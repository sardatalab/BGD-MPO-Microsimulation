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440" documentId="8_{F3CFCFF6-77B3-4CEE-A76C-12070A66FEFA}" xr6:coauthVersionLast="47" xr6:coauthVersionMax="47" xr10:uidLastSave="{B12EFC0D-961D-4F4F-A010-5D98A00A1D25}"/>
  <bookViews>
    <workbookView xWindow="20340" yWindow="1560" windowWidth="11865" windowHeight="15375" tabRatio="841" firstSheet="8" activeTab="12"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WELFARE" sheetId="62" r:id="rId9"/>
    <sheet name="5. SUMMARY AND SUBMISSION" sheetId="37" r:id="rId10"/>
    <sheet name="CONTROL " sheetId="36" r:id="rId11"/>
    <sheet name="parameters" sheetId="52" r:id="rId12"/>
    <sheet name="linkage_aggregate_variables" sheetId="51" r:id="rId13"/>
    <sheet name="POPULATION (hidden)" sheetId="46" r:id="rId14"/>
    <sheet name="input_setup" sheetId="57" r:id="rId15"/>
    <sheet name="input_gdp " sheetId="55" r:id="rId16"/>
    <sheet name="input_labor_incomes" sheetId="56" r:id="rId17"/>
    <sheet name="input_labor" sheetId="58" r:id="rId18"/>
    <sheet name="input_nonlabor" sheetId="53" r:id="rId19"/>
    <sheet name="input_pop_wdi" sheetId="54" r:id="rId20"/>
    <sheet name="input_informality" sheetId="59" r:id="rId21"/>
    <sheet name="input_pl" sheetId="60" r:id="rId22"/>
    <sheet name="input_population" sheetId="61" r:id="rId23"/>
  </sheets>
  <externalReferences>
    <externalReference r:id="rId24"/>
  </externalReferences>
  <definedNames>
    <definedName name="Click">#REF!</definedName>
    <definedName name="_xlnm.Print_Area" localSheetId="9">'5. SUMMARY AND SUBMISSION'!$A:$R</definedName>
    <definedName name="Z_5EB6DE45_64D9_4581_AE55_A519683B64F2_.wvu.Cols" localSheetId="1" hidden="1">'0. GUIDELINES'!$I:$XFD</definedName>
    <definedName name="Z_5EB6DE45_64D9_4581_AE55_A519683B64F2_.wvu.Cols" localSheetId="2" hidden="1">'1. GDP'!$AE:$XFD</definedName>
    <definedName name="Z_5EB6DE45_64D9_4581_AE55_A519683B64F2_.wvu.Cols" localSheetId="3" hidden="1">'2.1 LABOR STRUCTURE'!$AF:$XFD</definedName>
    <definedName name="Z_5EB6DE45_64D9_4581_AE55_A519683B64F2_.wvu.Cols" localSheetId="6" hidden="1">'2.2 LABOR INCOME &amp; PRODUCTIVITY'!$BC:$XFD</definedName>
    <definedName name="Z_5EB6DE45_64D9_4581_AE55_A519683B64F2_.wvu.Cols" localSheetId="7" hidden="1">'3. NON-LABOR INCOME'!$AF:$XFD</definedName>
    <definedName name="Z_5EB6DE45_64D9_4581_AE55_A519683B64F2_.wvu.Cols" localSheetId="8" hidden="1">'4. WELFARE'!$AF:$XFD</definedName>
    <definedName name="Z_5EB6DE45_64D9_4581_AE55_A519683B64F2_.wvu.Cols" localSheetId="9" hidden="1">'5. SUMMARY AND SUBMISSION'!$Q:$Q,'5. SUMMARY AND SUBMISSION'!$S:$XFD</definedName>
    <definedName name="Z_5EB6DE45_64D9_4581_AE55_A519683B64F2_.wvu.Cols" localSheetId="4" hidden="1">ELASTICITY!$X:$AS,ELASTICITY!$BC:$XFD</definedName>
    <definedName name="Z_5EB6DE45_64D9_4581_AE55_A519683B64F2_.wvu.Cols" localSheetId="5" hidden="1">'GROWTH RATES'!$AS:$XFD</definedName>
    <definedName name="Z_5EB6DE45_64D9_4581_AE55_A519683B64F2_.wvu.Cols" localSheetId="11" hidden="1">parameters!$L:$XFD</definedName>
    <definedName name="Z_5EB6DE45_64D9_4581_AE55_A519683B64F2_.wvu.Cols" localSheetId="0" hidden="1">'Technical Notes'!$F:$XFD</definedName>
    <definedName name="Z_5EB6DE45_64D9_4581_AE55_A519683B64F2_.wvu.PrintArea" localSheetId="9" hidden="1">'5. SUMMARY AND SUBMISSION'!$A:$R</definedName>
    <definedName name="Z_5EB6DE45_64D9_4581_AE55_A519683B64F2_.wvu.Rows" localSheetId="2" hidden="1">'1. GDP'!$70:$1048576</definedName>
    <definedName name="Z_5EB6DE45_64D9_4581_AE55_A519683B64F2_.wvu.Rows" localSheetId="3" hidden="1">'2.1 LABOR STRUCTURE'!$85:$1048576,'2.1 LABOR STRUCTURE'!$73:$84</definedName>
    <definedName name="Z_5EB6DE45_64D9_4581_AE55_A519683B64F2_.wvu.Rows" localSheetId="6" hidden="1">'2.2 LABOR INCOME &amp; PRODUCTIVITY'!$55:$1048576,'2.2 LABOR INCOME &amp; PRODUCTIVITY'!$44:$54</definedName>
    <definedName name="Z_5EB6DE45_64D9_4581_AE55_A519683B64F2_.wvu.Rows" localSheetId="7" hidden="1">'3. NON-LABOR INCOME'!$48:$1048576,'3. NON-LABOR INCOME'!$28:$47</definedName>
    <definedName name="Z_5EB6DE45_64D9_4581_AE55_A519683B64F2_.wvu.Rows" localSheetId="8" hidden="1">'4. WELFARE'!$49:$1048576,'4. WELFARE'!$29:$48</definedName>
    <definedName name="Z_5EB6DE45_64D9_4581_AE55_A519683B64F2_.wvu.Rows" localSheetId="9" hidden="1">'5. SUMMARY AND SUBMISSION'!$81:$1048576,'5. SUMMARY AND SUBMISSION'!$62:$62,'5. SUMMARY AND SUBMISSION'!$67:$79</definedName>
    <definedName name="Z_5EB6DE45_64D9_4581_AE55_A519683B64F2_.wvu.Rows" localSheetId="4" hidden="1">ELASTICITY!$47:$1048576,ELASTICITY!$45:$46</definedName>
    <definedName name="Z_5EB6DE45_64D9_4581_AE55_A519683B64F2_.wvu.Rows" localSheetId="5" hidden="1">'GROWTH RATES'!$51:$1048576</definedName>
    <definedName name="Z_5EB6DE45_64D9_4581_AE55_A519683B64F2_.wvu.Rows" localSheetId="11" hidden="1">parameters!$69:$1048576,parameters!$45:$68</definedName>
    <definedName name="Z_5EB6DE45_64D9_4581_AE55_A519683B64F2_.wvu.Rows" localSheetId="0" hidden="1">'Technical Notes'!$51:$1048576</definedName>
  </definedNames>
  <calcPr calcId="191028"/>
  <customWorkbookViews>
    <customWorkbookView name="My View" guid="{5EB6DE45-64D9-4581-AE55-A519683B64F2}" maximized="1" xWindow="-8" yWindow="-8" windowWidth="2576" windowHeight="1416" tabRatio="841" activeSheetId="3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34" i="51" l="1"/>
  <c r="U34" i="51"/>
  <c r="T34" i="51"/>
  <c r="S34" i="51"/>
  <c r="R34" i="51"/>
  <c r="Q34" i="51"/>
  <c r="P34" i="51"/>
  <c r="AC34" i="51"/>
  <c r="N34" i="51"/>
  <c r="M34" i="51"/>
  <c r="L34" i="51"/>
  <c r="K34" i="51"/>
  <c r="J34" i="51"/>
  <c r="I34" i="51"/>
  <c r="H34" i="51"/>
  <c r="G34" i="51"/>
  <c r="F34" i="51"/>
  <c r="E34" i="51"/>
  <c r="D34" i="51"/>
  <c r="C34" i="51"/>
  <c r="B34" i="51"/>
  <c r="I12" i="51" l="1"/>
  <c r="H12" i="51"/>
  <c r="G12" i="51"/>
  <c r="F12" i="51"/>
  <c r="E12" i="51"/>
  <c r="D12" i="51"/>
  <c r="C12" i="51"/>
  <c r="B12" i="51"/>
  <c r="I11" i="51"/>
  <c r="H11" i="51"/>
  <c r="G11" i="51"/>
  <c r="F11" i="51"/>
  <c r="E11" i="51"/>
  <c r="D11" i="51"/>
  <c r="C11" i="51"/>
  <c r="B11" i="51"/>
  <c r="I10" i="51"/>
  <c r="H10" i="51"/>
  <c r="G10" i="51"/>
  <c r="F10" i="51"/>
  <c r="E10" i="51"/>
  <c r="D10" i="51"/>
  <c r="C10" i="51"/>
  <c r="B10" i="51"/>
  <c r="I9" i="51"/>
  <c r="H9" i="51"/>
  <c r="G9" i="51"/>
  <c r="F9" i="51"/>
  <c r="E9" i="51"/>
  <c r="D9" i="51"/>
  <c r="C9" i="51"/>
  <c r="B9" i="51"/>
  <c r="N12" i="51"/>
  <c r="M12" i="51"/>
  <c r="L12" i="51"/>
  <c r="K12" i="51"/>
  <c r="N11" i="51"/>
  <c r="M11" i="51"/>
  <c r="L11" i="51"/>
  <c r="K11" i="51"/>
  <c r="N10" i="51"/>
  <c r="M10" i="51"/>
  <c r="L10" i="51"/>
  <c r="K10" i="51"/>
  <c r="N9" i="51"/>
  <c r="M9" i="51"/>
  <c r="L9" i="51"/>
  <c r="K9" i="51"/>
  <c r="J12" i="51"/>
  <c r="J11" i="51"/>
  <c r="J10" i="51"/>
  <c r="J9" i="51"/>
  <c r="F33" i="51"/>
  <c r="E33" i="51"/>
  <c r="D33" i="51"/>
  <c r="C33" i="51"/>
  <c r="B33" i="51"/>
  <c r="N33" i="51"/>
  <c r="M33" i="51"/>
  <c r="L33" i="51"/>
  <c r="K33" i="51"/>
  <c r="J33" i="51"/>
  <c r="U4" i="46"/>
  <c r="T4" i="46"/>
  <c r="S4" i="46"/>
  <c r="R4" i="46"/>
  <c r="Q4" i="46"/>
  <c r="P4" i="46"/>
  <c r="O4" i="46"/>
  <c r="N4" i="46"/>
  <c r="M4" i="46"/>
  <c r="L4" i="46"/>
  <c r="K4" i="46"/>
  <c r="J4" i="46"/>
  <c r="I4" i="46"/>
  <c r="H4" i="46"/>
  <c r="G4" i="46"/>
  <c r="Z4" i="46"/>
  <c r="Y4" i="46"/>
  <c r="X4" i="46"/>
  <c r="W4" i="46"/>
  <c r="V4" i="46"/>
  <c r="AA17" i="47" l="1"/>
  <c r="AA16" i="47"/>
  <c r="AA15" i="47"/>
  <c r="AA14" i="47"/>
  <c r="Z17" i="47"/>
  <c r="Z16" i="47"/>
  <c r="Z15" i="47"/>
  <c r="Z14" i="47"/>
  <c r="Y17" i="47"/>
  <c r="Y16" i="47"/>
  <c r="Y15" i="47"/>
  <c r="Y14" i="47"/>
  <c r="X17" i="47"/>
  <c r="X16" i="47"/>
  <c r="X15" i="47"/>
  <c r="X14" i="47"/>
  <c r="U8" i="50"/>
  <c r="T8" i="50"/>
  <c r="Z24" i="49" l="1" a="1"/>
  <c r="Z24" i="49" s="1"/>
  <c r="Z21" i="49" a="1"/>
  <c r="Z21" i="49" s="1"/>
  <c r="U21" i="49" a="1"/>
  <c r="U21" i="49" s="1"/>
  <c r="V21" i="49" a="1"/>
  <c r="V21" i="49" s="1"/>
  <c r="W21" i="49" a="1"/>
  <c r="W21" i="49" s="1"/>
  <c r="X21" i="49" a="1"/>
  <c r="X21" i="49" s="1"/>
  <c r="Y21" i="49" a="1"/>
  <c r="Y21" i="49" s="1"/>
  <c r="U22" i="49" a="1"/>
  <c r="U22" i="49" s="1"/>
  <c r="V22" i="49" a="1"/>
  <c r="V22" i="49" s="1"/>
  <c r="W22" i="49" a="1"/>
  <c r="W22" i="49" s="1"/>
  <c r="X22" i="49" a="1"/>
  <c r="X22" i="49" s="1"/>
  <c r="Y22" i="49" a="1"/>
  <c r="Y22" i="49" s="1"/>
  <c r="Z22" i="49" a="1"/>
  <c r="Z22" i="49" s="1"/>
  <c r="U23" i="49" a="1"/>
  <c r="U23" i="49" s="1"/>
  <c r="V23" i="49" a="1"/>
  <c r="V23" i="49" s="1"/>
  <c r="W23" i="49" a="1"/>
  <c r="W23" i="49" s="1"/>
  <c r="X23" i="49" a="1"/>
  <c r="X23" i="49" s="1"/>
  <c r="Y23" i="49" a="1"/>
  <c r="Y23" i="49" s="1"/>
  <c r="Z23" i="49" a="1"/>
  <c r="Z23" i="49" s="1"/>
  <c r="U24" i="49" a="1"/>
  <c r="U24" i="49" s="1"/>
  <c r="V24" i="49" a="1"/>
  <c r="V24" i="49" s="1"/>
  <c r="W24" i="49" a="1"/>
  <c r="W24" i="49" s="1"/>
  <c r="X24" i="49" a="1"/>
  <c r="X24" i="49" s="1"/>
  <c r="Y24" i="49" a="1"/>
  <c r="Y24" i="49" s="1"/>
  <c r="U25" i="49" a="1"/>
  <c r="U25" i="49" s="1"/>
  <c r="V25" i="49" a="1"/>
  <c r="V25" i="49" s="1"/>
  <c r="W25" i="49" a="1"/>
  <c r="W25" i="49" s="1"/>
  <c r="X25" i="49" a="1"/>
  <c r="X25" i="49" s="1"/>
  <c r="Y25" i="49" a="1"/>
  <c r="Y25" i="49" s="1"/>
  <c r="Z25" i="49" a="1"/>
  <c r="Z25" i="49" s="1"/>
  <c r="U26" i="49" a="1"/>
  <c r="U26" i="49" s="1"/>
  <c r="V26" i="49" a="1"/>
  <c r="V26" i="49" s="1"/>
  <c r="W26" i="49" a="1"/>
  <c r="W26" i="49" s="1"/>
  <c r="X26" i="49" a="1"/>
  <c r="X26" i="49" s="1"/>
  <c r="Y26" i="49" a="1"/>
  <c r="Y26" i="49" s="1"/>
  <c r="Z26" i="49" a="1"/>
  <c r="Z26" i="49" s="1"/>
  <c r="AA39" i="47"/>
  <c r="Z39" i="47"/>
  <c r="Y39" i="47"/>
  <c r="AA38" i="47"/>
  <c r="Z38" i="47"/>
  <c r="Y38" i="47"/>
  <c r="X39" i="47"/>
  <c r="X38" i="47"/>
  <c r="AW26" i="49" l="1"/>
  <c r="AW22" i="49"/>
  <c r="AW24" i="49"/>
  <c r="W34" i="47"/>
  <c r="W33" i="47"/>
  <c r="W37" i="47"/>
  <c r="W36" i="47"/>
  <c r="W35" i="47"/>
  <c r="Z10" i="44" a="1"/>
  <c r="Z10" i="44" s="1"/>
  <c r="Z8" i="44" a="1"/>
  <c r="Z8" i="44" s="1"/>
  <c r="T8" i="44" a="1"/>
  <c r="T8" i="44" s="1"/>
  <c r="J7" i="51"/>
  <c r="I7" i="51"/>
  <c r="H7" i="51"/>
  <c r="G7" i="51"/>
  <c r="F7" i="51"/>
  <c r="E7" i="51"/>
  <c r="S26" i="49" a="1"/>
  <c r="S26" i="49" s="1"/>
  <c r="C7" i="51" s="1"/>
  <c r="R26" i="49" a="1"/>
  <c r="R26" i="49" s="1"/>
  <c r="B7" i="51" s="1"/>
  <c r="Q26" i="49" a="1"/>
  <c r="Q26" i="49" s="1"/>
  <c r="P26" i="49" a="1"/>
  <c r="P26" i="49" s="1"/>
  <c r="O26" i="49" a="1"/>
  <c r="O26" i="49" s="1"/>
  <c r="N26" i="49" a="1"/>
  <c r="N26" i="49" s="1"/>
  <c r="M26" i="49" a="1"/>
  <c r="M26" i="49" s="1"/>
  <c r="L26" i="49" a="1"/>
  <c r="L26" i="49" s="1"/>
  <c r="K26" i="49" a="1"/>
  <c r="K26" i="49" s="1"/>
  <c r="J26" i="49" a="1"/>
  <c r="J26" i="49" s="1"/>
  <c r="I26" i="49" a="1"/>
  <c r="I26" i="49" s="1"/>
  <c r="F35" i="47" s="1"/>
  <c r="J6" i="51"/>
  <c r="I6" i="51"/>
  <c r="H6" i="51"/>
  <c r="G6" i="51"/>
  <c r="F6" i="51"/>
  <c r="E6" i="51"/>
  <c r="S25" i="49" a="1"/>
  <c r="S25" i="49" s="1"/>
  <c r="C6" i="51" s="1"/>
  <c r="R25" i="49" a="1"/>
  <c r="R25" i="49" s="1"/>
  <c r="B6" i="51" s="1"/>
  <c r="Q25" i="49" a="1"/>
  <c r="Q25" i="49" s="1"/>
  <c r="P25" i="49" a="1"/>
  <c r="P25" i="49" s="1"/>
  <c r="O25" i="49" a="1"/>
  <c r="O25" i="49" s="1"/>
  <c r="N25" i="49" a="1"/>
  <c r="N25" i="49" s="1"/>
  <c r="M25" i="49" a="1"/>
  <c r="M25" i="49" s="1"/>
  <c r="L25" i="49" a="1"/>
  <c r="L25" i="49" s="1"/>
  <c r="K25" i="49" a="1"/>
  <c r="K25" i="49" s="1"/>
  <c r="J25" i="49" a="1"/>
  <c r="J25" i="49" s="1"/>
  <c r="I25" i="49" a="1"/>
  <c r="I25" i="49" s="1"/>
  <c r="F34" i="47" s="1"/>
  <c r="J5" i="51"/>
  <c r="I5" i="51"/>
  <c r="H5" i="51"/>
  <c r="G5" i="51"/>
  <c r="F5" i="51"/>
  <c r="E5" i="51"/>
  <c r="S24" i="49" a="1"/>
  <c r="S24" i="49" s="1"/>
  <c r="C5" i="51" s="1"/>
  <c r="R24" i="49" a="1"/>
  <c r="R24" i="49" s="1"/>
  <c r="B5" i="51" s="1"/>
  <c r="Q24" i="49" a="1"/>
  <c r="Q24" i="49" s="1"/>
  <c r="P24" i="49" a="1"/>
  <c r="P24" i="49" s="1"/>
  <c r="O24" i="49" a="1"/>
  <c r="O24" i="49" s="1"/>
  <c r="N24" i="49" a="1"/>
  <c r="N24" i="49" s="1"/>
  <c r="M24" i="49" a="1"/>
  <c r="M24" i="49" s="1"/>
  <c r="L24" i="49" a="1"/>
  <c r="L24" i="49" s="1"/>
  <c r="K24" i="49" a="1"/>
  <c r="K24" i="49" s="1"/>
  <c r="J24" i="49" a="1"/>
  <c r="J24" i="49" s="1"/>
  <c r="I24" i="49" a="1"/>
  <c r="I24" i="49" s="1"/>
  <c r="J4" i="51"/>
  <c r="I4" i="51"/>
  <c r="H4" i="51"/>
  <c r="G4" i="51"/>
  <c r="F4" i="51"/>
  <c r="E4" i="51"/>
  <c r="S23" i="49" a="1"/>
  <c r="S23" i="49" s="1"/>
  <c r="C4" i="51" s="1"/>
  <c r="R23" i="49" a="1"/>
  <c r="R23" i="49" s="1"/>
  <c r="B4" i="51" s="1"/>
  <c r="Q23" i="49" a="1"/>
  <c r="Q23" i="49" s="1"/>
  <c r="P23" i="49" a="1"/>
  <c r="P23" i="49" s="1"/>
  <c r="O23" i="49" a="1"/>
  <c r="O23" i="49" s="1"/>
  <c r="N23" i="49" a="1"/>
  <c r="N23" i="49" s="1"/>
  <c r="M23" i="49" a="1"/>
  <c r="M23" i="49" s="1"/>
  <c r="L23" i="49" a="1"/>
  <c r="L23" i="49" s="1"/>
  <c r="K23" i="49" a="1"/>
  <c r="K23" i="49" s="1"/>
  <c r="J23" i="49" a="1"/>
  <c r="J23" i="49" s="1"/>
  <c r="I23" i="49" a="1"/>
  <c r="I23" i="49" s="1"/>
  <c r="J3" i="51"/>
  <c r="I3" i="51"/>
  <c r="H3" i="51"/>
  <c r="G3" i="51"/>
  <c r="E3" i="51"/>
  <c r="S22" i="49" a="1"/>
  <c r="S22" i="49" s="1"/>
  <c r="C3" i="51" s="1"/>
  <c r="R22" i="49" a="1"/>
  <c r="R22" i="49" s="1"/>
  <c r="B3" i="51" s="1"/>
  <c r="Q22" i="49" a="1"/>
  <c r="Q22" i="49" s="1"/>
  <c r="P22" i="49" a="1"/>
  <c r="P22" i="49" s="1"/>
  <c r="O22" i="49" a="1"/>
  <c r="O22" i="49" s="1"/>
  <c r="N22" i="49" a="1"/>
  <c r="N22" i="49" s="1"/>
  <c r="M22" i="49" a="1"/>
  <c r="M22" i="49" s="1"/>
  <c r="L22" i="49" a="1"/>
  <c r="L22" i="49" s="1"/>
  <c r="K22" i="49" a="1"/>
  <c r="K22" i="49" s="1"/>
  <c r="J22" i="49" a="1"/>
  <c r="J22" i="49" s="1"/>
  <c r="I22" i="49" a="1"/>
  <c r="I22" i="49" s="1"/>
  <c r="F33" i="47" s="1"/>
  <c r="J2" i="51"/>
  <c r="E2" i="51"/>
  <c r="S21" i="49" a="1"/>
  <c r="S21" i="49" s="1"/>
  <c r="R21" i="49" a="1"/>
  <c r="R21" i="49" s="1"/>
  <c r="Q21" i="49" a="1"/>
  <c r="Q21" i="49" s="1"/>
  <c r="P21" i="49" a="1"/>
  <c r="P21" i="49" s="1"/>
  <c r="O21" i="49" a="1"/>
  <c r="O21" i="49" s="1"/>
  <c r="N21" i="49" a="1"/>
  <c r="N21" i="49" s="1"/>
  <c r="M21" i="49" a="1"/>
  <c r="M21" i="49" s="1"/>
  <c r="L21" i="49" a="1"/>
  <c r="L21" i="49" s="1"/>
  <c r="K21" i="49" a="1"/>
  <c r="K21" i="49" s="1"/>
  <c r="J21" i="49" a="1"/>
  <c r="J21" i="49" s="1"/>
  <c r="I21" i="49" a="1"/>
  <c r="I21" i="49" s="1"/>
  <c r="F32" i="47" s="1"/>
  <c r="T26" i="49" a="1"/>
  <c r="T26" i="49" s="1"/>
  <c r="D7" i="51" s="1"/>
  <c r="T25" i="49" a="1"/>
  <c r="T25" i="49" s="1"/>
  <c r="D6" i="51" s="1"/>
  <c r="T24" i="49" a="1"/>
  <c r="T24" i="49" s="1"/>
  <c r="D5" i="51" s="1"/>
  <c r="T23" i="49" a="1"/>
  <c r="T23" i="49" s="1"/>
  <c r="D4" i="51" s="1"/>
  <c r="T22" i="49" a="1"/>
  <c r="T22" i="49" s="1"/>
  <c r="T21" i="49" a="1"/>
  <c r="T21" i="49" s="1"/>
  <c r="U33" i="48" a="1"/>
  <c r="U33" i="48" s="1"/>
  <c r="U32" i="48" a="1"/>
  <c r="U32" i="48" s="1"/>
  <c r="U31" i="48" a="1"/>
  <c r="U31" i="48" s="1"/>
  <c r="T31" i="48" a="1"/>
  <c r="T31" i="48" s="1"/>
  <c r="S31" i="48" a="1"/>
  <c r="S31" i="48" s="1"/>
  <c r="R11" i="48" a="1"/>
  <c r="R11" i="48" s="1"/>
  <c r="Q16" i="48" a="1"/>
  <c r="Q16" i="48" s="1"/>
  <c r="Q14" i="48" a="1"/>
  <c r="Q14" i="48" s="1"/>
  <c r="Q13" i="48" a="1"/>
  <c r="Q13" i="48" s="1"/>
  <c r="Q10" i="48" a="1"/>
  <c r="Q10" i="48" s="1"/>
  <c r="Y28" i="44" a="1"/>
  <c r="Y28" i="44" s="1"/>
  <c r="X28" i="44" a="1"/>
  <c r="X28" i="44" s="1"/>
  <c r="W28" i="44" a="1"/>
  <c r="W28" i="44" s="1"/>
  <c r="V28" i="44" a="1"/>
  <c r="V28" i="44" s="1"/>
  <c r="U28" i="44" a="1"/>
  <c r="U28" i="44" s="1"/>
  <c r="T28" i="44" a="1"/>
  <c r="T28" i="44" s="1"/>
  <c r="S28" i="44" a="1"/>
  <c r="S28" i="44" s="1"/>
  <c r="R28" i="44" a="1"/>
  <c r="R28" i="44" s="1"/>
  <c r="Q28" i="44" a="1"/>
  <c r="Q28" i="44" s="1"/>
  <c r="P28" i="44" a="1"/>
  <c r="P28" i="44" s="1"/>
  <c r="O28" i="44" a="1"/>
  <c r="O28" i="44" s="1"/>
  <c r="N28" i="44" a="1"/>
  <c r="N28" i="44" s="1"/>
  <c r="M28" i="44" a="1"/>
  <c r="M28" i="44" s="1"/>
  <c r="L28" i="44" a="1"/>
  <c r="L28" i="44" s="1"/>
  <c r="K28" i="44" a="1"/>
  <c r="K28" i="44" s="1"/>
  <c r="J28" i="44" a="1"/>
  <c r="J28" i="44" s="1"/>
  <c r="I28" i="44" a="1"/>
  <c r="I28" i="44" s="1"/>
  <c r="F17" i="47" s="1"/>
  <c r="Y27" i="44" a="1"/>
  <c r="Y27" i="44" s="1"/>
  <c r="X27" i="44" a="1"/>
  <c r="X27" i="44" s="1"/>
  <c r="W27" i="44" a="1"/>
  <c r="W27" i="44" s="1"/>
  <c r="V27" i="44" a="1"/>
  <c r="V27" i="44" s="1"/>
  <c r="U27" i="44" a="1"/>
  <c r="U27" i="44" s="1"/>
  <c r="U18" i="44" s="1"/>
  <c r="T27" i="44" a="1"/>
  <c r="T27" i="44" s="1"/>
  <c r="T18" i="44" s="1"/>
  <c r="S27" i="44" a="1"/>
  <c r="S27" i="44" s="1"/>
  <c r="S18" i="44" s="1"/>
  <c r="R27" i="44" a="1"/>
  <c r="R27" i="44" s="1"/>
  <c r="Q27" i="44" a="1"/>
  <c r="Q27" i="44" s="1"/>
  <c r="P27" i="44" a="1"/>
  <c r="P27" i="44" s="1"/>
  <c r="O27" i="44" a="1"/>
  <c r="O27" i="44" s="1"/>
  <c r="N27" i="44" a="1"/>
  <c r="N27" i="44" s="1"/>
  <c r="M27" i="44" a="1"/>
  <c r="M27" i="44" s="1"/>
  <c r="L27" i="44" a="1"/>
  <c r="L27" i="44" s="1"/>
  <c r="K27" i="44" a="1"/>
  <c r="K27" i="44" s="1"/>
  <c r="J27" i="44" a="1"/>
  <c r="J27" i="44" s="1"/>
  <c r="I27" i="44" a="1"/>
  <c r="I27" i="44" s="1"/>
  <c r="I18" i="44" s="1"/>
  <c r="Y26" i="44" a="1"/>
  <c r="Y26" i="44" s="1"/>
  <c r="X26" i="44" a="1"/>
  <c r="X26" i="44" s="1"/>
  <c r="W26" i="44" a="1"/>
  <c r="W26" i="44" s="1"/>
  <c r="V26" i="44" a="1"/>
  <c r="V26" i="44" s="1"/>
  <c r="U26" i="44" a="1"/>
  <c r="U26" i="44" s="1"/>
  <c r="T26" i="44" a="1"/>
  <c r="T26" i="44" s="1"/>
  <c r="S26" i="44" a="1"/>
  <c r="S26" i="44" s="1"/>
  <c r="R26" i="44" a="1"/>
  <c r="R26" i="44" s="1"/>
  <c r="Q26" i="44" a="1"/>
  <c r="Q26" i="44" s="1"/>
  <c r="P26" i="44" a="1"/>
  <c r="P26" i="44" s="1"/>
  <c r="O26" i="44" a="1"/>
  <c r="O26" i="44" s="1"/>
  <c r="N26" i="44" a="1"/>
  <c r="N26" i="44" s="1"/>
  <c r="M26" i="44" a="1"/>
  <c r="M26" i="44" s="1"/>
  <c r="L26" i="44" a="1"/>
  <c r="L26" i="44" s="1"/>
  <c r="K26" i="44" a="1"/>
  <c r="K26" i="44" s="1"/>
  <c r="J26" i="44" a="1"/>
  <c r="J26" i="44" s="1"/>
  <c r="I26" i="44" a="1"/>
  <c r="I26" i="44" s="1"/>
  <c r="F15" i="47" s="1"/>
  <c r="Y25" i="44" a="1"/>
  <c r="Y25" i="44" s="1"/>
  <c r="X25" i="44" a="1"/>
  <c r="X25" i="44" s="1"/>
  <c r="W25" i="44" a="1"/>
  <c r="W25" i="44" s="1"/>
  <c r="V25" i="44" a="1"/>
  <c r="V25" i="44" s="1"/>
  <c r="U25" i="44" a="1"/>
  <c r="U25" i="44" s="1"/>
  <c r="T25" i="44" a="1"/>
  <c r="T25" i="44" s="1"/>
  <c r="S25" i="44" a="1"/>
  <c r="S25" i="44" s="1"/>
  <c r="R25" i="44" a="1"/>
  <c r="R25" i="44" s="1"/>
  <c r="Q25" i="44" a="1"/>
  <c r="Q25" i="44" s="1"/>
  <c r="Q15" i="44" s="1"/>
  <c r="P25" i="44" a="1"/>
  <c r="P25" i="44" s="1"/>
  <c r="O25" i="44" a="1"/>
  <c r="O25" i="44" s="1"/>
  <c r="N25" i="44" a="1"/>
  <c r="N25" i="44" s="1"/>
  <c r="M25" i="44" a="1"/>
  <c r="M25" i="44" s="1"/>
  <c r="L25" i="44" a="1"/>
  <c r="L25" i="44" s="1"/>
  <c r="K25" i="44" a="1"/>
  <c r="K25" i="44" s="1"/>
  <c r="J25" i="44" a="1"/>
  <c r="J25" i="44" s="1"/>
  <c r="I25" i="44" a="1"/>
  <c r="I25" i="44" s="1"/>
  <c r="Y24" i="44" a="1"/>
  <c r="Y24" i="44" s="1"/>
  <c r="X24" i="44" a="1"/>
  <c r="X24" i="44" s="1"/>
  <c r="X29" i="49" s="1"/>
  <c r="W24" i="44" a="1"/>
  <c r="W24" i="44" s="1"/>
  <c r="W29" i="49" s="1"/>
  <c r="V24" i="44" a="1"/>
  <c r="V24" i="44" s="1"/>
  <c r="V29" i="49" s="1"/>
  <c r="U24" i="44" a="1"/>
  <c r="U24" i="44" s="1"/>
  <c r="T24" i="44" a="1"/>
  <c r="T24" i="44" s="1"/>
  <c r="S24" i="44" a="1"/>
  <c r="S24" i="44" s="1"/>
  <c r="R24" i="44" a="1"/>
  <c r="R24" i="44" s="1"/>
  <c r="Q24" i="44" a="1"/>
  <c r="Q24" i="44" s="1"/>
  <c r="P24" i="44" a="1"/>
  <c r="P24" i="44" s="1"/>
  <c r="O24" i="44" a="1"/>
  <c r="O24" i="44" s="1"/>
  <c r="N24" i="44" a="1"/>
  <c r="N24" i="44" s="1"/>
  <c r="M24" i="44" a="1"/>
  <c r="M24" i="44" s="1"/>
  <c r="L24" i="44" a="1"/>
  <c r="L24" i="44" s="1"/>
  <c r="K24" i="44" a="1"/>
  <c r="K24" i="44" s="1"/>
  <c r="J24" i="44" a="1"/>
  <c r="J24" i="44" s="1"/>
  <c r="I24" i="44" a="1"/>
  <c r="I24" i="44" s="1"/>
  <c r="F13" i="47" s="1"/>
  <c r="Y23" i="44" a="1"/>
  <c r="Y23" i="44" s="1"/>
  <c r="Y28" i="49" s="1"/>
  <c r="X23" i="44" a="1"/>
  <c r="X23" i="44" s="1"/>
  <c r="X28" i="49" s="1"/>
  <c r="W23" i="44" a="1"/>
  <c r="W23" i="44" s="1"/>
  <c r="W28" i="49" s="1"/>
  <c r="V23" i="44" a="1"/>
  <c r="V23" i="44" s="1"/>
  <c r="U23" i="44" a="1"/>
  <c r="U23" i="44" s="1"/>
  <c r="U28" i="49" s="1"/>
  <c r="T23" i="44" a="1"/>
  <c r="T23" i="44" s="1"/>
  <c r="S23" i="44" a="1"/>
  <c r="S23" i="44" s="1"/>
  <c r="R23" i="44" a="1"/>
  <c r="R23" i="44" s="1"/>
  <c r="Q23" i="44" a="1"/>
  <c r="Q23" i="44" s="1"/>
  <c r="P23" i="44" a="1"/>
  <c r="P23" i="44" s="1"/>
  <c r="P14" i="44" s="1"/>
  <c r="O23" i="44" a="1"/>
  <c r="O23" i="44" s="1"/>
  <c r="O14" i="44" s="1"/>
  <c r="N23" i="44" a="1"/>
  <c r="N23" i="44" s="1"/>
  <c r="M23" i="44" a="1"/>
  <c r="M23" i="44" s="1"/>
  <c r="L23" i="44" a="1"/>
  <c r="L23" i="44" s="1"/>
  <c r="K23" i="44" a="1"/>
  <c r="K23" i="44" s="1"/>
  <c r="J23" i="44" a="1"/>
  <c r="J23" i="44" s="1"/>
  <c r="I23" i="44" a="1"/>
  <c r="I23" i="44" s="1"/>
  <c r="Y12" i="44" a="1"/>
  <c r="Y12" i="44" s="1"/>
  <c r="X12" i="44" a="1"/>
  <c r="X12" i="44" s="1"/>
  <c r="W12" i="44" a="1"/>
  <c r="W12" i="44" s="1"/>
  <c r="V12" i="44" a="1"/>
  <c r="V12" i="44" s="1"/>
  <c r="U12" i="44" a="1"/>
  <c r="U12" i="44" s="1"/>
  <c r="T12" i="44" a="1"/>
  <c r="T12" i="44" s="1"/>
  <c r="S12" i="44" a="1"/>
  <c r="S12" i="44" s="1"/>
  <c r="R12" i="44" a="1"/>
  <c r="R12" i="44" s="1"/>
  <c r="Q12" i="44" a="1"/>
  <c r="Q12" i="44" s="1"/>
  <c r="P12" i="44" a="1"/>
  <c r="P12" i="44" s="1"/>
  <c r="O12" i="44" a="1"/>
  <c r="O12" i="44" s="1"/>
  <c r="N12" i="44" a="1"/>
  <c r="N12" i="44" s="1"/>
  <c r="M12" i="44" a="1"/>
  <c r="M12" i="44" s="1"/>
  <c r="L12" i="44" a="1"/>
  <c r="L12" i="44" s="1"/>
  <c r="K12" i="44" a="1"/>
  <c r="K12" i="44" s="1"/>
  <c r="J12" i="44" a="1"/>
  <c r="J12" i="44" s="1"/>
  <c r="I12" i="44" a="1"/>
  <c r="I12" i="44" s="1"/>
  <c r="Y10" i="44" a="1"/>
  <c r="Y10" i="44" s="1"/>
  <c r="X10" i="44" a="1"/>
  <c r="X10" i="44" s="1"/>
  <c r="W10" i="44" a="1"/>
  <c r="W10" i="44" s="1"/>
  <c r="V10" i="44" a="1"/>
  <c r="V10" i="44" s="1"/>
  <c r="U10" i="44" a="1"/>
  <c r="U10" i="44" s="1"/>
  <c r="T10" i="44" a="1"/>
  <c r="T10" i="44" s="1"/>
  <c r="S10" i="44" a="1"/>
  <c r="S10" i="44" s="1"/>
  <c r="R10" i="44" a="1"/>
  <c r="R10" i="44" s="1"/>
  <c r="Q10" i="44" a="1"/>
  <c r="Q10" i="44" s="1"/>
  <c r="P10" i="44" a="1"/>
  <c r="P10" i="44" s="1"/>
  <c r="O10" i="44" a="1"/>
  <c r="O10" i="44" s="1"/>
  <c r="N10" i="44" a="1"/>
  <c r="N10" i="44" s="1"/>
  <c r="M10" i="44" a="1"/>
  <c r="M10" i="44" s="1"/>
  <c r="L10" i="44" a="1"/>
  <c r="L10" i="44" s="1"/>
  <c r="K10" i="44" a="1"/>
  <c r="K10" i="44" s="1"/>
  <c r="J10" i="44" a="1"/>
  <c r="J10" i="44" s="1"/>
  <c r="I10" i="44" a="1"/>
  <c r="I10" i="44" s="1"/>
  <c r="Y8" i="44" a="1"/>
  <c r="Y8" i="44" s="1"/>
  <c r="X8" i="44" a="1"/>
  <c r="X8" i="44" s="1"/>
  <c r="W8" i="44" a="1"/>
  <c r="W8" i="44" s="1"/>
  <c r="V8" i="44" a="1"/>
  <c r="V8" i="44" s="1"/>
  <c r="U8" i="44" a="1"/>
  <c r="U8" i="44" s="1"/>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Z28" i="44" a="1"/>
  <c r="Z28" i="44" s="1"/>
  <c r="Z27" i="44" a="1"/>
  <c r="Z27" i="44" s="1"/>
  <c r="Z26" i="44" a="1"/>
  <c r="Z26" i="44" s="1"/>
  <c r="Z25" i="44" a="1"/>
  <c r="Z25" i="44" s="1"/>
  <c r="Z24" i="44" a="1"/>
  <c r="Z24" i="44" s="1"/>
  <c r="Z23" i="44" a="1"/>
  <c r="Z23" i="44" s="1"/>
  <c r="Z12" i="44" a="1"/>
  <c r="Z12" i="44" s="1"/>
  <c r="U36" i="48" a="1"/>
  <c r="U36" i="48" s="1"/>
  <c r="T36" i="48" a="1"/>
  <c r="T36" i="48" s="1"/>
  <c r="S36" i="48" a="1"/>
  <c r="S36" i="48" s="1"/>
  <c r="U35" i="48" a="1"/>
  <c r="U35" i="48" s="1"/>
  <c r="T35" i="48" a="1"/>
  <c r="T35" i="48" s="1"/>
  <c r="S35" i="48" a="1"/>
  <c r="S35" i="48" s="1"/>
  <c r="U34" i="48" a="1"/>
  <c r="U34" i="48" s="1"/>
  <c r="T34" i="48" a="1"/>
  <c r="T34" i="48" s="1"/>
  <c r="S34" i="48" a="1"/>
  <c r="S34" i="48" s="1"/>
  <c r="T33" i="48" a="1"/>
  <c r="T33" i="48" s="1"/>
  <c r="S33" i="48" a="1"/>
  <c r="S33" i="48" s="1"/>
  <c r="T32" i="48" a="1"/>
  <c r="T32" i="48" s="1"/>
  <c r="S32" i="48" a="1"/>
  <c r="S32" i="48" s="1"/>
  <c r="S30" i="48" a="1"/>
  <c r="S30" i="48" s="1"/>
  <c r="T30" i="48" a="1"/>
  <c r="T30" i="48" s="1"/>
  <c r="U30" i="48" a="1"/>
  <c r="U30" i="48" s="1"/>
  <c r="T13" i="48" a="1"/>
  <c r="T13" i="48" s="1"/>
  <c r="T12" i="48" a="1"/>
  <c r="T12" i="48" s="1"/>
  <c r="S10" i="48" a="1"/>
  <c r="S10" i="48" s="1"/>
  <c r="U10" i="48" a="1"/>
  <c r="U10" i="48" s="1"/>
  <c r="S11" i="48" a="1"/>
  <c r="S11" i="48" s="1"/>
  <c r="U14" i="62"/>
  <c r="V7" i="62" a="1"/>
  <c r="V7" i="62" s="1"/>
  <c r="U7" i="62" a="1"/>
  <c r="U7" i="62" s="1"/>
  <c r="T7" i="62" a="1"/>
  <c r="T7" i="62" s="1"/>
  <c r="S7" i="62" a="1"/>
  <c r="S7" i="62" s="1"/>
  <c r="R7" i="62" a="1"/>
  <c r="R7" i="62" s="1"/>
  <c r="Q7" i="62" a="1"/>
  <c r="Q7" i="62" s="1"/>
  <c r="P7" i="62" a="1"/>
  <c r="P7" i="62" s="1"/>
  <c r="O7" i="62" a="1"/>
  <c r="O7" i="62" s="1"/>
  <c r="N7" i="62" a="1"/>
  <c r="N7" i="62" s="1"/>
  <c r="M7" i="62" a="1"/>
  <c r="M7" i="62" s="1"/>
  <c r="L7" i="62" a="1"/>
  <c r="L7" i="62" s="1"/>
  <c r="K7" i="62" a="1"/>
  <c r="K7" i="62" s="1"/>
  <c r="J7" i="62" a="1"/>
  <c r="J7" i="62" s="1"/>
  <c r="I7" i="62" a="1"/>
  <c r="I7" i="62" s="1"/>
  <c r="H7" i="62" a="1"/>
  <c r="H7" i="62" s="1"/>
  <c r="G7" i="62" a="1"/>
  <c r="G7" i="62" s="1"/>
  <c r="I37" i="52"/>
  <c r="B26" i="51"/>
  <c r="A6" i="52"/>
  <c r="E15" i="46" a="1"/>
  <c r="E15" i="46" s="1"/>
  <c r="Z17" i="46" a="1"/>
  <c r="Z17" i="46" s="1"/>
  <c r="Y17" i="46" a="1"/>
  <c r="Y17" i="46" s="1"/>
  <c r="X17" i="46" a="1"/>
  <c r="X17" i="46" s="1"/>
  <c r="W17" i="46" a="1"/>
  <c r="W17" i="46" s="1"/>
  <c r="V17" i="46" a="1"/>
  <c r="V17" i="46" s="1"/>
  <c r="U17" i="46" a="1"/>
  <c r="U17" i="46" s="1"/>
  <c r="T17" i="46" a="1"/>
  <c r="T17" i="46" s="1"/>
  <c r="S17" i="46" a="1"/>
  <c r="S17" i="46" s="1"/>
  <c r="R17" i="46" a="1"/>
  <c r="R17" i="46" s="1"/>
  <c r="Q17" i="46" a="1"/>
  <c r="Q17" i="46" s="1"/>
  <c r="P17" i="46" a="1"/>
  <c r="P17" i="46" s="1"/>
  <c r="O17" i="46" a="1"/>
  <c r="O17" i="46" s="1"/>
  <c r="N17" i="46" a="1"/>
  <c r="N17" i="46" s="1"/>
  <c r="M17" i="46" a="1"/>
  <c r="M17" i="46" s="1"/>
  <c r="L17" i="46" a="1"/>
  <c r="L17" i="46" s="1"/>
  <c r="K17" i="46" a="1"/>
  <c r="K17" i="46" s="1"/>
  <c r="J17" i="46" a="1"/>
  <c r="J17" i="46" s="1"/>
  <c r="I17" i="46" a="1"/>
  <c r="I17" i="46" s="1"/>
  <c r="H17" i="46" a="1"/>
  <c r="H17" i="46" s="1"/>
  <c r="G17" i="46" a="1"/>
  <c r="G17" i="46" s="1"/>
  <c r="E17" i="46" a="1"/>
  <c r="E17" i="46" s="1"/>
  <c r="F17" i="46" a="1"/>
  <c r="F17" i="46" s="1"/>
  <c r="Z15" i="46" a="1"/>
  <c r="Z15" i="46" s="1"/>
  <c r="Y15" i="46" a="1"/>
  <c r="Y15" i="46" s="1"/>
  <c r="X15" i="46" a="1"/>
  <c r="X15" i="46" s="1"/>
  <c r="W15" i="46" a="1"/>
  <c r="W15" i="46" s="1"/>
  <c r="V15" i="46" a="1"/>
  <c r="V15" i="46" s="1"/>
  <c r="U15" i="46" a="1"/>
  <c r="U15" i="46" s="1"/>
  <c r="T15" i="46" a="1"/>
  <c r="T15" i="46" s="1"/>
  <c r="S15" i="46" a="1"/>
  <c r="S15" i="46" s="1"/>
  <c r="R15" i="46" a="1"/>
  <c r="R15" i="46" s="1"/>
  <c r="Q15" i="46" a="1"/>
  <c r="Q15" i="46" s="1"/>
  <c r="P15" i="46" a="1"/>
  <c r="P15" i="46" s="1"/>
  <c r="O15" i="46" a="1"/>
  <c r="O15" i="46" s="1"/>
  <c r="N15" i="46" a="1"/>
  <c r="N15" i="46" s="1"/>
  <c r="M15" i="46" a="1"/>
  <c r="M15" i="46" s="1"/>
  <c r="L15" i="46" a="1"/>
  <c r="L15" i="46" s="1"/>
  <c r="K15" i="46" a="1"/>
  <c r="K15" i="46" s="1"/>
  <c r="J15" i="46" a="1"/>
  <c r="J15" i="46" s="1"/>
  <c r="I15" i="46" a="1"/>
  <c r="I15" i="46" s="1"/>
  <c r="H15" i="46" a="1"/>
  <c r="H15" i="46" s="1"/>
  <c r="F15" i="46" a="1"/>
  <c r="F15" i="46" s="1"/>
  <c r="G15" i="46" a="1"/>
  <c r="G15" i="46" s="1"/>
  <c r="G7" i="50" a="1"/>
  <c r="G7" i="50" s="1"/>
  <c r="C36" i="48"/>
  <c r="C35" i="48"/>
  <c r="C34" i="48"/>
  <c r="C33" i="48"/>
  <c r="C32" i="48"/>
  <c r="C31" i="48"/>
  <c r="C17" i="48"/>
  <c r="U17" i="48" s="1" a="1"/>
  <c r="U17" i="48" s="1"/>
  <c r="C16" i="48"/>
  <c r="U16" i="48" s="1" a="1"/>
  <c r="U16" i="48" s="1"/>
  <c r="C15" i="48"/>
  <c r="U15" i="48" s="1" a="1"/>
  <c r="U15" i="48" s="1"/>
  <c r="C14" i="48"/>
  <c r="U14" i="48" s="1" a="1"/>
  <c r="U14" i="48" s="1"/>
  <c r="C13" i="48"/>
  <c r="U13" i="48" s="1" a="1"/>
  <c r="U13" i="48" s="1"/>
  <c r="C12" i="48"/>
  <c r="U12" i="48" s="1" a="1"/>
  <c r="U12" i="48" s="1"/>
  <c r="C11" i="48"/>
  <c r="T11" i="48" s="1" a="1"/>
  <c r="T11" i="48" s="1"/>
  <c r="Z25" i="45" a="1"/>
  <c r="Z25" i="45" s="1"/>
  <c r="Z17" i="45" a="1"/>
  <c r="Z17" i="45" s="1"/>
  <c r="Z14" i="45" a="1"/>
  <c r="Z14" i="45" s="1"/>
  <c r="AC25" i="45" a="1"/>
  <c r="AC25" i="45" s="1"/>
  <c r="AB25" i="45" a="1"/>
  <c r="AB25" i="45" s="1"/>
  <c r="AA25" i="45" a="1"/>
  <c r="AA25" i="45" s="1"/>
  <c r="F37" i="47"/>
  <c r="F36" i="47"/>
  <c r="AG12" i="48" a="1"/>
  <c r="AG12" i="48" s="1"/>
  <c r="AF12" i="48" a="1"/>
  <c r="AF12" i="48" s="1"/>
  <c r="AD12" i="48" a="1"/>
  <c r="AD12" i="48" s="1"/>
  <c r="AB12" i="48" a="1"/>
  <c r="AB12" i="48" s="1"/>
  <c r="AM36" i="48" a="1"/>
  <c r="AM36" i="48" s="1"/>
  <c r="AF35" i="48" a="1"/>
  <c r="AF35" i="48" s="1"/>
  <c r="AK34" i="48" a="1"/>
  <c r="AK34" i="48" s="1"/>
  <c r="AD33" i="48" a="1"/>
  <c r="AD33" i="48" s="1"/>
  <c r="AI32" i="48" a="1"/>
  <c r="AI32" i="48" s="1"/>
  <c r="AN31" i="48" a="1"/>
  <c r="AN31" i="48" s="1"/>
  <c r="AG23" i="48" a="1"/>
  <c r="AG23" i="48" s="1"/>
  <c r="AL22" i="48" a="1"/>
  <c r="AL22" i="48" s="1"/>
  <c r="AE21" i="48" a="1"/>
  <c r="AE21" i="48" s="1"/>
  <c r="AJ20" i="48" a="1"/>
  <c r="AJ20" i="48" s="1"/>
  <c r="AC19" i="48" a="1"/>
  <c r="AC19" i="48" s="1"/>
  <c r="AH18" i="48" a="1"/>
  <c r="AH18" i="48" s="1"/>
  <c r="AF16" i="48" a="1"/>
  <c r="AF16" i="48" s="1"/>
  <c r="AC14" i="48" a="1"/>
  <c r="AC14" i="48" s="1"/>
  <c r="AH13" i="48" a="1"/>
  <c r="AH13" i="48" s="1"/>
  <c r="AM12" i="48" a="1"/>
  <c r="AM12" i="48" s="1"/>
  <c r="T33" i="45" a="1"/>
  <c r="T33" i="45" s="1"/>
  <c r="S33" i="45" a="1"/>
  <c r="S33" i="45" s="1"/>
  <c r="R33" i="45" a="1"/>
  <c r="R33" i="45" s="1"/>
  <c r="Q33" i="45" a="1"/>
  <c r="Q33" i="45" s="1"/>
  <c r="P33" i="45" a="1"/>
  <c r="P33" i="45" s="1"/>
  <c r="O33" i="45" a="1"/>
  <c r="O33" i="45" s="1"/>
  <c r="N33" i="45" a="1"/>
  <c r="N33" i="45" s="1"/>
  <c r="M33" i="45" a="1"/>
  <c r="M33" i="45" s="1"/>
  <c r="L33" i="45" a="1"/>
  <c r="L33" i="45" s="1"/>
  <c r="K33" i="45" a="1"/>
  <c r="K33" i="45" s="1"/>
  <c r="J33" i="45" a="1"/>
  <c r="J33" i="45" s="1"/>
  <c r="I33" i="45" a="1"/>
  <c r="I33" i="45" s="1"/>
  <c r="T32" i="45" a="1"/>
  <c r="T32" i="45" s="1"/>
  <c r="S32" i="45" a="1"/>
  <c r="S32" i="45" s="1"/>
  <c r="R32" i="45" a="1"/>
  <c r="R32" i="45" s="1"/>
  <c r="Q32" i="45" a="1"/>
  <c r="Q32" i="45" s="1"/>
  <c r="P32" i="45" a="1"/>
  <c r="P32" i="45" s="1"/>
  <c r="O32" i="45" a="1"/>
  <c r="O32" i="45" s="1"/>
  <c r="N32" i="45" a="1"/>
  <c r="N32" i="45" s="1"/>
  <c r="M32" i="45" a="1"/>
  <c r="M32" i="45" s="1"/>
  <c r="L32" i="45" a="1"/>
  <c r="L32" i="45" s="1"/>
  <c r="K32" i="45" a="1"/>
  <c r="K32" i="45" s="1"/>
  <c r="J32" i="45" a="1"/>
  <c r="J32" i="45" s="1"/>
  <c r="I32" i="45" a="1"/>
  <c r="I32" i="45" s="1"/>
  <c r="AC33" i="45" a="1"/>
  <c r="AC33" i="45" s="1"/>
  <c r="AB33" i="45" a="1"/>
  <c r="AB33" i="45" s="1"/>
  <c r="AA33" i="45" a="1"/>
  <c r="AA33" i="45" s="1"/>
  <c r="Z33" i="45" a="1"/>
  <c r="Z33" i="45" s="1"/>
  <c r="Y33" i="45" a="1"/>
  <c r="Y33" i="45" s="1"/>
  <c r="X33" i="45" a="1"/>
  <c r="X33" i="45" s="1"/>
  <c r="W33" i="45" a="1"/>
  <c r="W33" i="45" s="1"/>
  <c r="V33" i="45" a="1"/>
  <c r="V33" i="45" s="1"/>
  <c r="U33" i="45" a="1"/>
  <c r="U33" i="45" s="1"/>
  <c r="AC32" i="45" a="1"/>
  <c r="AC32" i="45" s="1"/>
  <c r="AB32" i="45" a="1"/>
  <c r="AB32" i="45" s="1"/>
  <c r="AA32" i="45" a="1"/>
  <c r="AA32" i="45" s="1"/>
  <c r="Z32" i="45" a="1"/>
  <c r="Z32" i="45" s="1"/>
  <c r="Y32" i="45" a="1"/>
  <c r="Y32" i="45" s="1"/>
  <c r="X32" i="45" a="1"/>
  <c r="X32" i="45" s="1"/>
  <c r="W32" i="45" a="1"/>
  <c r="W32" i="45" s="1"/>
  <c r="V32" i="45" a="1"/>
  <c r="V32" i="45" s="1"/>
  <c r="U32" i="45" a="1"/>
  <c r="U32" i="45" s="1"/>
  <c r="Z29" i="45" a="1"/>
  <c r="Z29" i="45" s="1"/>
  <c r="AC29" i="45" a="1"/>
  <c r="AC29" i="45" s="1"/>
  <c r="AB29" i="45" a="1"/>
  <c r="AB29" i="45" s="1"/>
  <c r="AA29" i="45" a="1"/>
  <c r="AA29" i="45" s="1"/>
  <c r="Y29" i="45" a="1"/>
  <c r="Y29" i="45" s="1"/>
  <c r="X29" i="45" a="1"/>
  <c r="X29" i="45" s="1"/>
  <c r="W29" i="45" a="1"/>
  <c r="W29" i="45" s="1"/>
  <c r="V29" i="45" a="1"/>
  <c r="V29" i="45" s="1"/>
  <c r="U29" i="45" a="1"/>
  <c r="U29" i="45" s="1"/>
  <c r="T29" i="45" a="1"/>
  <c r="T29" i="45" s="1"/>
  <c r="S29" i="45" a="1"/>
  <c r="S29" i="45" s="1"/>
  <c r="R29" i="45" a="1"/>
  <c r="R29" i="45" s="1"/>
  <c r="Q29" i="45" a="1"/>
  <c r="Q29" i="45" s="1"/>
  <c r="P29" i="45" a="1"/>
  <c r="P29" i="45" s="1"/>
  <c r="O29" i="45" a="1"/>
  <c r="O29" i="45" s="1"/>
  <c r="N29" i="45" a="1"/>
  <c r="N29" i="45" s="1"/>
  <c r="M29" i="45" a="1"/>
  <c r="M29" i="45" s="1"/>
  <c r="L29" i="45" a="1"/>
  <c r="L29" i="45" s="1"/>
  <c r="K29" i="45" a="1"/>
  <c r="K29" i="45" s="1"/>
  <c r="J29" i="45" a="1"/>
  <c r="J29" i="45" s="1"/>
  <c r="I29" i="45" a="1"/>
  <c r="I29" i="45" s="1"/>
  <c r="AC30" i="45" a="1"/>
  <c r="AC30" i="45" s="1"/>
  <c r="AB30" i="45" a="1"/>
  <c r="AB30" i="45" s="1"/>
  <c r="AA30" i="45" a="1"/>
  <c r="AA30" i="45" s="1"/>
  <c r="Z30" i="45" a="1"/>
  <c r="Z30" i="45" s="1"/>
  <c r="Y30" i="45" a="1"/>
  <c r="Y30" i="45" s="1"/>
  <c r="X30" i="45" a="1"/>
  <c r="X30" i="45" s="1"/>
  <c r="W30" i="45" a="1"/>
  <c r="W30" i="45" s="1"/>
  <c r="V30" i="45" a="1"/>
  <c r="V30" i="45" s="1"/>
  <c r="U30" i="45" a="1"/>
  <c r="U30" i="45" s="1"/>
  <c r="T30" i="45" a="1"/>
  <c r="T30" i="45" s="1"/>
  <c r="S30" i="45" a="1"/>
  <c r="S30" i="45" s="1"/>
  <c r="R30" i="45" a="1"/>
  <c r="R30" i="45" s="1"/>
  <c r="Q30" i="45" a="1"/>
  <c r="Q30" i="45" s="1"/>
  <c r="P30" i="45" a="1"/>
  <c r="P30" i="45" s="1"/>
  <c r="O30" i="45" a="1"/>
  <c r="O30" i="45" s="1"/>
  <c r="N30" i="45" a="1"/>
  <c r="N30" i="45" s="1"/>
  <c r="M30" i="45" a="1"/>
  <c r="M30" i="45" s="1"/>
  <c r="L30" i="45" a="1"/>
  <c r="L30" i="45" s="1"/>
  <c r="K30" i="45" a="1"/>
  <c r="K30" i="45" s="1"/>
  <c r="J30" i="45" a="1"/>
  <c r="J30" i="45" s="1"/>
  <c r="I30" i="45" a="1"/>
  <c r="I30"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7" i="45" a="1"/>
  <c r="AC27" i="45" s="1"/>
  <c r="AB27" i="45" a="1"/>
  <c r="AB27" i="45" s="1"/>
  <c r="AA27" i="45" a="1"/>
  <c r="AA27" i="45" s="1"/>
  <c r="Z27" i="45" a="1"/>
  <c r="Z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T11" i="45" a="1"/>
  <c r="T11" i="45" s="1"/>
  <c r="S11" i="45" a="1"/>
  <c r="S11" i="45" s="1"/>
  <c r="R11" i="45" a="1"/>
  <c r="R11" i="45" s="1"/>
  <c r="Q11" i="45" a="1"/>
  <c r="Q11" i="45" s="1"/>
  <c r="P11" i="45" a="1"/>
  <c r="P11" i="45" s="1"/>
  <c r="O11" i="45" a="1"/>
  <c r="O11" i="45" s="1"/>
  <c r="N11" i="45" a="1"/>
  <c r="N11" i="45" s="1"/>
  <c r="M11" i="45" a="1"/>
  <c r="M11" i="45" s="1"/>
  <c r="L11" i="45" a="1"/>
  <c r="L11" i="45" s="1"/>
  <c r="K11" i="45" a="1"/>
  <c r="K11" i="45" s="1"/>
  <c r="J11" i="45" a="1"/>
  <c r="J11" i="45" s="1"/>
  <c r="I11" i="45" a="1"/>
  <c r="I11" i="45" s="1"/>
  <c r="T10" i="45" a="1"/>
  <c r="T10" i="45" s="1"/>
  <c r="S10" i="45" a="1"/>
  <c r="S10" i="45" s="1"/>
  <c r="R10" i="45" a="1"/>
  <c r="R10" i="45" s="1"/>
  <c r="Q10" i="45" a="1"/>
  <c r="Q10" i="45" s="1"/>
  <c r="P10" i="45" a="1"/>
  <c r="P10" i="45" s="1"/>
  <c r="O10" i="45" a="1"/>
  <c r="O10" i="45" s="1"/>
  <c r="N10" i="45" a="1"/>
  <c r="N10" i="45" s="1"/>
  <c r="M10" i="45" a="1"/>
  <c r="M10" i="45" s="1"/>
  <c r="L10" i="45" a="1"/>
  <c r="L10" i="45" s="1"/>
  <c r="K10" i="45" a="1"/>
  <c r="K10" i="45" s="1"/>
  <c r="J10" i="45" a="1"/>
  <c r="J10" i="45" s="1"/>
  <c r="I10" i="45" a="1"/>
  <c r="I10" i="45" s="1"/>
  <c r="T9" i="45" a="1"/>
  <c r="T9" i="45" s="1"/>
  <c r="S9" i="45" a="1"/>
  <c r="S9" i="45" s="1"/>
  <c r="R9" i="45" a="1"/>
  <c r="R9" i="45" s="1"/>
  <c r="Q9" i="45" a="1"/>
  <c r="Q9" i="45" s="1"/>
  <c r="P9" i="45" a="1"/>
  <c r="P9" i="45" s="1"/>
  <c r="O9" i="45" a="1"/>
  <c r="O9" i="45" s="1"/>
  <c r="N9" i="45" a="1"/>
  <c r="N9" i="45" s="1"/>
  <c r="M9" i="45" a="1"/>
  <c r="M9" i="45" s="1"/>
  <c r="L9" i="45" a="1"/>
  <c r="L9" i="45" s="1"/>
  <c r="K9" i="45" a="1"/>
  <c r="K9" i="45" s="1"/>
  <c r="J9" i="45" a="1"/>
  <c r="J9" i="45" s="1"/>
  <c r="I9" i="45" a="1"/>
  <c r="I9" i="45" s="1"/>
  <c r="T8" i="45" a="1"/>
  <c r="T8" i="45" s="1"/>
  <c r="S8" i="45" a="1"/>
  <c r="S8" i="45" s="1"/>
  <c r="R8" i="45" a="1"/>
  <c r="R8" i="45" s="1"/>
  <c r="Q8" i="45" a="1"/>
  <c r="Q8" i="45" s="1"/>
  <c r="P8" i="45" a="1"/>
  <c r="P8" i="45" s="1"/>
  <c r="O8" i="45" a="1"/>
  <c r="O8" i="45" s="1"/>
  <c r="N8" i="45" a="1"/>
  <c r="N8" i="45" s="1"/>
  <c r="M8" i="45" a="1"/>
  <c r="M8" i="45" s="1"/>
  <c r="L8" i="45" a="1"/>
  <c r="L8" i="45" s="1"/>
  <c r="K8" i="45" a="1"/>
  <c r="K8" i="45" s="1"/>
  <c r="J8" i="45" a="1"/>
  <c r="J8" i="45" s="1"/>
  <c r="I8" i="45" a="1"/>
  <c r="I8" i="45" s="1"/>
  <c r="U17" i="45" a="1"/>
  <c r="U17" i="45" s="1"/>
  <c r="T17" i="45" a="1"/>
  <c r="T17" i="45" s="1"/>
  <c r="S17" i="45" a="1"/>
  <c r="S17" i="45" s="1"/>
  <c r="R17" i="45" a="1"/>
  <c r="R17" i="45" s="1"/>
  <c r="Q17" i="45" a="1"/>
  <c r="Q17" i="45" s="1"/>
  <c r="P17" i="45" a="1"/>
  <c r="P17" i="45" s="1"/>
  <c r="O17" i="45" a="1"/>
  <c r="O17" i="45" s="1"/>
  <c r="N17" i="45" a="1"/>
  <c r="N17" i="45" s="1"/>
  <c r="M17" i="45" a="1"/>
  <c r="M17" i="45" s="1"/>
  <c r="L17" i="45" a="1"/>
  <c r="L17" i="45" s="1"/>
  <c r="K17" i="45" a="1"/>
  <c r="K17" i="45" s="1"/>
  <c r="J17" i="45" a="1"/>
  <c r="J17" i="45" s="1"/>
  <c r="I17" i="45" a="1"/>
  <c r="I17"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Y17" i="45" a="1"/>
  <c r="Y17" i="45" s="1"/>
  <c r="X17" i="45" a="1"/>
  <c r="X17" i="45" s="1"/>
  <c r="W17" i="45" a="1"/>
  <c r="W17" i="45" s="1"/>
  <c r="V17" i="45" a="1"/>
  <c r="V17" i="45" s="1"/>
  <c r="Y14" i="45" a="1"/>
  <c r="Y14" i="45" s="1"/>
  <c r="X14" i="45" a="1"/>
  <c r="X14" i="45" s="1"/>
  <c r="W14" i="45" a="1"/>
  <c r="W14" i="45" s="1"/>
  <c r="V14" i="45" a="1"/>
  <c r="V14" i="45" s="1"/>
  <c r="AC11" i="45" a="1"/>
  <c r="AC11" i="45" s="1"/>
  <c r="AB11" i="45" a="1"/>
  <c r="AB11" i="45" s="1"/>
  <c r="AA11" i="45" a="1"/>
  <c r="AA11" i="45" s="1"/>
  <c r="Z11" i="45" a="1"/>
  <c r="Z11" i="45" s="1"/>
  <c r="Y11" i="45" a="1"/>
  <c r="Y11" i="45" s="1"/>
  <c r="X11" i="45" a="1"/>
  <c r="X11" i="45" s="1"/>
  <c r="W11" i="45" a="1"/>
  <c r="W11" i="45" s="1"/>
  <c r="V11" i="45" a="1"/>
  <c r="V11" i="45" s="1"/>
  <c r="U11" i="45" a="1"/>
  <c r="U11" i="45" s="1"/>
  <c r="E6" i="46" a="1"/>
  <c r="E6" i="46" s="1"/>
  <c r="U8" i="45" a="1"/>
  <c r="U8" i="45" s="1"/>
  <c r="U9" i="45" a="1"/>
  <c r="U9" i="45" s="1"/>
  <c r="Z8" i="46" a="1"/>
  <c r="Z8" i="46" s="1"/>
  <c r="B4" i="37"/>
  <c r="P48" i="37"/>
  <c r="AC10" i="45" a="1"/>
  <c r="AC10" i="45" s="1"/>
  <c r="AC9" i="45" a="1"/>
  <c r="AC9" i="45" s="1"/>
  <c r="Z6" i="46" a="1"/>
  <c r="Z6" i="46" s="1"/>
  <c r="U9" i="50"/>
  <c r="M24" i="51"/>
  <c r="N24" i="51"/>
  <c r="L24" i="51"/>
  <c r="K24" i="51"/>
  <c r="R7" i="50" a="1"/>
  <c r="R7" i="50" s="1"/>
  <c r="Q7" i="50" a="1"/>
  <c r="Q7" i="50" s="1"/>
  <c r="I24" i="51" s="1"/>
  <c r="P7" i="50" a="1"/>
  <c r="P7" i="50" s="1"/>
  <c r="H24" i="51" s="1"/>
  <c r="O7" i="50" a="1"/>
  <c r="O7" i="50" s="1"/>
  <c r="G24" i="51" s="1"/>
  <c r="N7" i="50" a="1"/>
  <c r="N7" i="50" s="1"/>
  <c r="F24" i="51" s="1"/>
  <c r="M7" i="50" a="1"/>
  <c r="M7" i="50" s="1"/>
  <c r="E24" i="51" s="1"/>
  <c r="L7" i="50" a="1"/>
  <c r="L7" i="50" s="1"/>
  <c r="D24" i="51" s="1"/>
  <c r="K7" i="50" a="1"/>
  <c r="K7" i="50" s="1"/>
  <c r="C24" i="51" s="1"/>
  <c r="J7" i="50" a="1"/>
  <c r="J7" i="50" s="1"/>
  <c r="B24" i="51" s="1"/>
  <c r="I7" i="50" a="1"/>
  <c r="I7" i="50" s="1"/>
  <c r="H7" i="50" a="1"/>
  <c r="H7" i="50" s="1"/>
  <c r="R15" i="44" l="1"/>
  <c r="N14" i="44"/>
  <c r="V28" i="49"/>
  <c r="U29" i="49"/>
  <c r="U43" i="45"/>
  <c r="Z28" i="49"/>
  <c r="W39" i="47" s="1"/>
  <c r="AA44" i="45"/>
  <c r="R14" i="44"/>
  <c r="AM17" i="48" a="1"/>
  <c r="AM17" i="48" s="1"/>
  <c r="Z62" i="45"/>
  <c r="Y29" i="49"/>
  <c r="J24" i="51"/>
  <c r="R8" i="50"/>
  <c r="AB44" i="45"/>
  <c r="AC44" i="45"/>
  <c r="AB41" i="45"/>
  <c r="AC41" i="45"/>
  <c r="AA41" i="45"/>
  <c r="Y62" i="45"/>
  <c r="AA8" i="44"/>
  <c r="Z29" i="49"/>
  <c r="K15" i="44"/>
  <c r="W15" i="44"/>
  <c r="M18" i="44"/>
  <c r="Y18" i="44"/>
  <c r="U41" i="45"/>
  <c r="L14" i="44"/>
  <c r="X14" i="44"/>
  <c r="N15" i="44"/>
  <c r="P18" i="44"/>
  <c r="T28" i="49"/>
  <c r="D3" i="51"/>
  <c r="T29" i="49"/>
  <c r="Z15" i="44"/>
  <c r="Z53" i="44" s="1"/>
  <c r="Z18" i="44"/>
  <c r="Z54" i="44" s="1"/>
  <c r="T14" i="44"/>
  <c r="J15" i="44"/>
  <c r="V15" i="44"/>
  <c r="L18" i="44"/>
  <c r="X18" i="44"/>
  <c r="J14" i="44"/>
  <c r="T11" i="47"/>
  <c r="I14" i="44"/>
  <c r="U14" i="44"/>
  <c r="V14" i="44"/>
  <c r="L15" i="44"/>
  <c r="X15" i="44"/>
  <c r="N18" i="44"/>
  <c r="V17" i="47"/>
  <c r="M13" i="62"/>
  <c r="J18" i="44"/>
  <c r="V18" i="44"/>
  <c r="G33" i="47"/>
  <c r="Q17" i="48" a="1"/>
  <c r="Q17" i="48" s="1"/>
  <c r="Q11" i="48" a="1"/>
  <c r="Q11" i="48" s="1"/>
  <c r="P11" i="48" a="1"/>
  <c r="P11" i="48" s="1"/>
  <c r="AJ15" i="48" a="1"/>
  <c r="AJ15" i="48" s="1"/>
  <c r="T10" i="48" a="1"/>
  <c r="T10" i="48" s="1"/>
  <c r="Q12" i="48" a="1"/>
  <c r="Q12" i="48" s="1"/>
  <c r="Q15" i="48" a="1"/>
  <c r="Q15" i="48" s="1"/>
  <c r="S12" i="48" a="1"/>
  <c r="S12" i="48" s="1"/>
  <c r="S16" i="48" a="1"/>
  <c r="S16" i="48" s="1"/>
  <c r="T16" i="48" a="1"/>
  <c r="T16" i="48" s="1"/>
  <c r="S13" i="48" a="1"/>
  <c r="S13" i="48" s="1"/>
  <c r="S17" i="48" a="1"/>
  <c r="S17" i="48" s="1"/>
  <c r="T17" i="48" a="1"/>
  <c r="T17" i="48" s="1"/>
  <c r="U11" i="48" a="1"/>
  <c r="U11" i="48" s="1"/>
  <c r="S14" i="48" a="1"/>
  <c r="S14" i="48" s="1"/>
  <c r="T14" i="48" a="1"/>
  <c r="T14" i="48" s="1"/>
  <c r="S15" i="48" a="1"/>
  <c r="S15" i="48" s="1"/>
  <c r="T15" i="48" a="1"/>
  <c r="T15" i="48" s="1"/>
  <c r="Q14" i="44"/>
  <c r="S15" i="44"/>
  <c r="T15" i="44"/>
  <c r="T11" i="44" s="1"/>
  <c r="S14" i="44"/>
  <c r="F14" i="47"/>
  <c r="I15" i="44"/>
  <c r="I11" i="44" s="1"/>
  <c r="I9" i="44" s="1"/>
  <c r="U15" i="44"/>
  <c r="U11" i="44" s="1"/>
  <c r="U9" i="44" s="1"/>
  <c r="K18" i="44"/>
  <c r="W18" i="44"/>
  <c r="K14" i="44"/>
  <c r="W14" i="44"/>
  <c r="M15" i="44"/>
  <c r="Y15" i="44"/>
  <c r="O18" i="44"/>
  <c r="M14" i="44"/>
  <c r="Y14" i="44"/>
  <c r="O15" i="44"/>
  <c r="Q18" i="44"/>
  <c r="N11" i="44"/>
  <c r="N9" i="44" s="1"/>
  <c r="P15" i="44"/>
  <c r="P11" i="44" s="1"/>
  <c r="P9" i="44" s="1"/>
  <c r="R18" i="44"/>
  <c r="R11" i="44" s="1"/>
  <c r="R9" i="44" s="1"/>
  <c r="W11" i="47"/>
  <c r="F12" i="47"/>
  <c r="T52" i="44"/>
  <c r="D21" i="51" s="1"/>
  <c r="T54" i="44"/>
  <c r="T14" i="47"/>
  <c r="T17" i="47"/>
  <c r="W17" i="47"/>
  <c r="W9" i="47"/>
  <c r="W13" i="47"/>
  <c r="W15" i="47"/>
  <c r="W12" i="47"/>
  <c r="Z14" i="44"/>
  <c r="Z11" i="44" s="1"/>
  <c r="W16" i="47"/>
  <c r="Z12" i="36" s="1"/>
  <c r="K29" i="49"/>
  <c r="T9" i="47"/>
  <c r="T13" i="47"/>
  <c r="P13" i="62"/>
  <c r="R16" i="47"/>
  <c r="Q29" i="49"/>
  <c r="R29" i="49"/>
  <c r="V9" i="47"/>
  <c r="R9" i="47"/>
  <c r="V11" i="47"/>
  <c r="V14" i="47"/>
  <c r="N53" i="44"/>
  <c r="P54" i="44"/>
  <c r="T15" i="47"/>
  <c r="R15" i="47"/>
  <c r="V15" i="47"/>
  <c r="L13" i="62"/>
  <c r="S9" i="47"/>
  <c r="S13" i="47"/>
  <c r="R17" i="47"/>
  <c r="R54" i="44"/>
  <c r="B23" i="51" s="1"/>
  <c r="U13" i="47"/>
  <c r="X6" i="36" s="1"/>
  <c r="P29" i="49"/>
  <c r="V13" i="47"/>
  <c r="R53" i="44"/>
  <c r="B22" i="51" s="1"/>
  <c r="S11" i="47"/>
  <c r="S14" i="47"/>
  <c r="S17" i="47"/>
  <c r="U11" i="47"/>
  <c r="U14" i="47"/>
  <c r="U17" i="47"/>
  <c r="S13" i="62"/>
  <c r="R11" i="47"/>
  <c r="J53" i="44"/>
  <c r="S15" i="47"/>
  <c r="U13" i="62"/>
  <c r="J13" i="62"/>
  <c r="V13" i="62"/>
  <c r="U15" i="47"/>
  <c r="X10" i="36" s="1"/>
  <c r="W14" i="47"/>
  <c r="Z8" i="36" s="1"/>
  <c r="N13" i="62"/>
  <c r="O13" i="62"/>
  <c r="Q13" i="62"/>
  <c r="R13" i="62"/>
  <c r="H13" i="62"/>
  <c r="T13" i="62"/>
  <c r="R12" i="47"/>
  <c r="I13" i="62"/>
  <c r="R13" i="47"/>
  <c r="R14" i="47"/>
  <c r="U8" i="36" s="1"/>
  <c r="K13" i="62"/>
  <c r="M29" i="49"/>
  <c r="L29" i="49"/>
  <c r="N29" i="49"/>
  <c r="O29" i="49"/>
  <c r="X18" i="36"/>
  <c r="X22" i="36"/>
  <c r="S12" i="47"/>
  <c r="S16" i="47"/>
  <c r="J29" i="49"/>
  <c r="T12" i="47"/>
  <c r="T16" i="47"/>
  <c r="U9" i="47"/>
  <c r="U12" i="47"/>
  <c r="U16" i="47"/>
  <c r="V12" i="47"/>
  <c r="V16" i="47"/>
  <c r="S29" i="49"/>
  <c r="I54" i="44"/>
  <c r="R32" i="47"/>
  <c r="S33" i="47"/>
  <c r="K35" i="47"/>
  <c r="G16" i="46"/>
  <c r="D2" i="51"/>
  <c r="F3" i="51"/>
  <c r="Q33" i="47"/>
  <c r="H36" i="47"/>
  <c r="H34" i="47"/>
  <c r="T34" i="47"/>
  <c r="O35" i="47"/>
  <c r="Z16" i="36"/>
  <c r="Z20" i="36"/>
  <c r="M34" i="47"/>
  <c r="H35" i="47"/>
  <c r="T35" i="47"/>
  <c r="O34" i="47"/>
  <c r="J35" i="47"/>
  <c r="V35" i="47"/>
  <c r="I36" i="47"/>
  <c r="V36" i="47"/>
  <c r="L54" i="44"/>
  <c r="M36" i="47"/>
  <c r="Q36" i="47"/>
  <c r="I29" i="49"/>
  <c r="I28" i="49"/>
  <c r="N34" i="47"/>
  <c r="I35" i="47"/>
  <c r="U35" i="47"/>
  <c r="G36" i="47"/>
  <c r="R36" i="47"/>
  <c r="Q34" i="47"/>
  <c r="L35" i="47"/>
  <c r="J36" i="47"/>
  <c r="K33" i="47"/>
  <c r="G34" i="47"/>
  <c r="S34" i="47"/>
  <c r="N35" i="47"/>
  <c r="L36" i="47"/>
  <c r="U36" i="47"/>
  <c r="AQ10" i="49"/>
  <c r="M33" i="47"/>
  <c r="I34" i="47"/>
  <c r="U34" i="47"/>
  <c r="P35" i="47"/>
  <c r="S37" i="47"/>
  <c r="O33" i="47"/>
  <c r="K34" i="47"/>
  <c r="R35" i="47"/>
  <c r="S54" i="44"/>
  <c r="C23" i="51" s="1"/>
  <c r="P34" i="47"/>
  <c r="S36" i="47"/>
  <c r="R34" i="47"/>
  <c r="M35" i="47"/>
  <c r="T36" i="47"/>
  <c r="K36" i="47"/>
  <c r="J34" i="47"/>
  <c r="V34" i="47"/>
  <c r="Q35" i="47"/>
  <c r="N36" i="47"/>
  <c r="O36" i="47"/>
  <c r="L34" i="47"/>
  <c r="G35" i="47"/>
  <c r="S35" i="47"/>
  <c r="P36" i="47"/>
  <c r="U40" i="45"/>
  <c r="N25" i="62" s="1"/>
  <c r="AM10" i="49"/>
  <c r="J33" i="47"/>
  <c r="V33" i="47"/>
  <c r="Q37" i="47"/>
  <c r="O12" i="45"/>
  <c r="L33" i="47"/>
  <c r="G37" i="47"/>
  <c r="P33" i="47"/>
  <c r="M37" i="47"/>
  <c r="R33" i="47"/>
  <c r="H33" i="47"/>
  <c r="T33" i="47"/>
  <c r="I33" i="47"/>
  <c r="U33" i="47"/>
  <c r="N33" i="47"/>
  <c r="AB63" i="45"/>
  <c r="G12" i="47"/>
  <c r="G13" i="47"/>
  <c r="G15" i="47"/>
  <c r="G16" i="47"/>
  <c r="J12" i="45"/>
  <c r="V46" i="45"/>
  <c r="N12" i="45"/>
  <c r="P12" i="45"/>
  <c r="X12" i="48" a="1"/>
  <c r="X12" i="48" s="1"/>
  <c r="AA13" i="48" a="1"/>
  <c r="AA13" i="48" s="1"/>
  <c r="AH14" i="48" a="1"/>
  <c r="AH14" i="48" s="1"/>
  <c r="AB13" i="48" a="1"/>
  <c r="AB13" i="48" s="1"/>
  <c r="AJ14" i="48" a="1"/>
  <c r="AJ14" i="48" s="1"/>
  <c r="AC12" i="48" a="1"/>
  <c r="AC12" i="48" s="1"/>
  <c r="AC13" i="48" a="1"/>
  <c r="AC13" i="48" s="1"/>
  <c r="Y15" i="48" a="1"/>
  <c r="Y15" i="48" s="1"/>
  <c r="AE13" i="48" a="1"/>
  <c r="AE13" i="48" s="1"/>
  <c r="AA15" i="48" a="1"/>
  <c r="AA15" i="48" s="1"/>
  <c r="AE12" i="48" a="1"/>
  <c r="AE12" i="48" s="1"/>
  <c r="AI13" i="48" a="1"/>
  <c r="AI13" i="48" s="1"/>
  <c r="AC15" i="48" a="1"/>
  <c r="AC15" i="48" s="1"/>
  <c r="AK13" i="48" a="1"/>
  <c r="AK13" i="48" s="1"/>
  <c r="AE15" i="48" a="1"/>
  <c r="AE15" i="48" s="1"/>
  <c r="AM13" i="48" a="1"/>
  <c r="AM13" i="48" s="1"/>
  <c r="AK15" i="48" a="1"/>
  <c r="AK15" i="48" s="1"/>
  <c r="AH12" i="48" a="1"/>
  <c r="AH12" i="48" s="1"/>
  <c r="X14" i="48" a="1"/>
  <c r="X14" i="48" s="1"/>
  <c r="AM15" i="48" a="1"/>
  <c r="AM15" i="48" s="1"/>
  <c r="AJ12" i="48" a="1"/>
  <c r="AJ12" i="48" s="1"/>
  <c r="Z14" i="48" a="1"/>
  <c r="Z14" i="48" s="1"/>
  <c r="AN12" i="48" a="1"/>
  <c r="AN12" i="48" s="1"/>
  <c r="AA14" i="48" a="1"/>
  <c r="AA14" i="48" s="1"/>
  <c r="X13" i="48" a="1"/>
  <c r="X13" i="48" s="1"/>
  <c r="AD14" i="48" a="1"/>
  <c r="AD14" i="48" s="1"/>
  <c r="Y13" i="48" a="1"/>
  <c r="Y13" i="48" s="1"/>
  <c r="AF14" i="48" a="1"/>
  <c r="AF14" i="48" s="1"/>
  <c r="L37" i="47"/>
  <c r="V37" i="47"/>
  <c r="N37" i="47"/>
  <c r="P37" i="47"/>
  <c r="H37" i="47"/>
  <c r="J37" i="47"/>
  <c r="T37" i="47"/>
  <c r="I37" i="47"/>
  <c r="K37" i="47"/>
  <c r="U37" i="47"/>
  <c r="O37" i="47"/>
  <c r="R37" i="47"/>
  <c r="AJ13" i="48" a="1"/>
  <c r="AJ13" i="48" s="1"/>
  <c r="AE14" i="48" a="1"/>
  <c r="AE14" i="48" s="1"/>
  <c r="Z15" i="48" a="1"/>
  <c r="Z15" i="48" s="1"/>
  <c r="AL15" i="48" a="1"/>
  <c r="AL15" i="48" s="1"/>
  <c r="AG16" i="48" a="1"/>
  <c r="AG16" i="48" s="1"/>
  <c r="AB17" i="48" a="1"/>
  <c r="AB17" i="48" s="1"/>
  <c r="AN17" i="48" a="1"/>
  <c r="AN17" i="48" s="1"/>
  <c r="AI18" i="48" a="1"/>
  <c r="AI18" i="48" s="1"/>
  <c r="AD19" i="48" a="1"/>
  <c r="AD19" i="48" s="1"/>
  <c r="Y20" i="48" a="1"/>
  <c r="Y20" i="48" s="1"/>
  <c r="AK20" i="48" a="1"/>
  <c r="AK20" i="48" s="1"/>
  <c r="AF21" i="48" a="1"/>
  <c r="AF21" i="48" s="1"/>
  <c r="AA22" i="48" a="1"/>
  <c r="AA22" i="48" s="1"/>
  <c r="AM22" i="48" a="1"/>
  <c r="AM22" i="48" s="1"/>
  <c r="AH23" i="48" a="1"/>
  <c r="AH23" i="48" s="1"/>
  <c r="AC31" i="48" a="1"/>
  <c r="AC31" i="48" s="1"/>
  <c r="X32" i="48" a="1"/>
  <c r="X32" i="48" s="1"/>
  <c r="AJ32" i="48" a="1"/>
  <c r="AJ32" i="48" s="1"/>
  <c r="AE33" i="48" a="1"/>
  <c r="AE33" i="48" s="1"/>
  <c r="Z34" i="48" a="1"/>
  <c r="Z34" i="48" s="1"/>
  <c r="AL34" i="48" a="1"/>
  <c r="AL34" i="48" s="1"/>
  <c r="AG35" i="48" a="1"/>
  <c r="AG35" i="48" s="1"/>
  <c r="AB36" i="48" a="1"/>
  <c r="AB36" i="48" s="1"/>
  <c r="AN36" i="48" a="1"/>
  <c r="AN36" i="48" s="1"/>
  <c r="AH16" i="48" a="1"/>
  <c r="AH16" i="48" s="1"/>
  <c r="AC17" i="48" a="1"/>
  <c r="AC17" i="48" s="1"/>
  <c r="X18" i="48" a="1"/>
  <c r="X18" i="48" s="1"/>
  <c r="AJ18" i="48" a="1"/>
  <c r="AJ18" i="48" s="1"/>
  <c r="AE19" i="48" a="1"/>
  <c r="AE19" i="48" s="1"/>
  <c r="Z20" i="48" a="1"/>
  <c r="Z20" i="48" s="1"/>
  <c r="AL20" i="48" a="1"/>
  <c r="AL20" i="48" s="1"/>
  <c r="AG21" i="48" a="1"/>
  <c r="AG21" i="48" s="1"/>
  <c r="AB22" i="48" a="1"/>
  <c r="AB22" i="48" s="1"/>
  <c r="AN22" i="48" a="1"/>
  <c r="AN22" i="48" s="1"/>
  <c r="AI23" i="48" a="1"/>
  <c r="AI23" i="48" s="1"/>
  <c r="AD31" i="48" a="1"/>
  <c r="AD31" i="48" s="1"/>
  <c r="Y32" i="48" a="1"/>
  <c r="Y32" i="48" s="1"/>
  <c r="AK32" i="48" a="1"/>
  <c r="AK32" i="48" s="1"/>
  <c r="AF33" i="48" a="1"/>
  <c r="AF33" i="48" s="1"/>
  <c r="AA34" i="48" a="1"/>
  <c r="AA34" i="48" s="1"/>
  <c r="AM34" i="48" a="1"/>
  <c r="AM34" i="48" s="1"/>
  <c r="AH35" i="48" a="1"/>
  <c r="AH35" i="48" s="1"/>
  <c r="AC36" i="48" a="1"/>
  <c r="AC36" i="48" s="1"/>
  <c r="Z13" i="48" a="1"/>
  <c r="Z13" i="48" s="1"/>
  <c r="AL13" i="48" a="1"/>
  <c r="AL13" i="48" s="1"/>
  <c r="AG14" i="48" a="1"/>
  <c r="AG14" i="48" s="1"/>
  <c r="AB15" i="48" a="1"/>
  <c r="AB15" i="48" s="1"/>
  <c r="AN15" i="48" a="1"/>
  <c r="AN15" i="48" s="1"/>
  <c r="AI16" i="48" a="1"/>
  <c r="AI16" i="48" s="1"/>
  <c r="AD17" i="48" a="1"/>
  <c r="AD17" i="48" s="1"/>
  <c r="Y18" i="48" a="1"/>
  <c r="Y18" i="48" s="1"/>
  <c r="AK18" i="48" a="1"/>
  <c r="AK18" i="48" s="1"/>
  <c r="AF19" i="48" a="1"/>
  <c r="AF19" i="48" s="1"/>
  <c r="AA20" i="48" a="1"/>
  <c r="AA20" i="48" s="1"/>
  <c r="AM20" i="48" a="1"/>
  <c r="AM20" i="48" s="1"/>
  <c r="AH21" i="48" a="1"/>
  <c r="AH21" i="48" s="1"/>
  <c r="AC22" i="48" a="1"/>
  <c r="AC22" i="48" s="1"/>
  <c r="X23" i="48" a="1"/>
  <c r="X23" i="48" s="1"/>
  <c r="AJ23" i="48" a="1"/>
  <c r="AJ23" i="48" s="1"/>
  <c r="AE31" i="48" a="1"/>
  <c r="AE31" i="48" s="1"/>
  <c r="Z32" i="48" a="1"/>
  <c r="Z32" i="48" s="1"/>
  <c r="AL32" i="48" a="1"/>
  <c r="AL32" i="48" s="1"/>
  <c r="AG33" i="48" a="1"/>
  <c r="AG33" i="48" s="1"/>
  <c r="AB34" i="48" a="1"/>
  <c r="AB34" i="48" s="1"/>
  <c r="AN34" i="48" a="1"/>
  <c r="AN34" i="48" s="1"/>
  <c r="AI35" i="48" a="1"/>
  <c r="AI35" i="48" s="1"/>
  <c r="AD36" i="48" a="1"/>
  <c r="AD36" i="48" s="1"/>
  <c r="X16" i="48" a="1"/>
  <c r="X16" i="48" s="1"/>
  <c r="AJ16" i="48" a="1"/>
  <c r="AJ16" i="48" s="1"/>
  <c r="AE17" i="48" a="1"/>
  <c r="AE17" i="48" s="1"/>
  <c r="Z18" i="48" a="1"/>
  <c r="Z18" i="48" s="1"/>
  <c r="AL18" i="48" a="1"/>
  <c r="AL18" i="48" s="1"/>
  <c r="AG19" i="48" a="1"/>
  <c r="AG19" i="48" s="1"/>
  <c r="AB20" i="48" a="1"/>
  <c r="AB20" i="48" s="1"/>
  <c r="AN20" i="48" a="1"/>
  <c r="AN20" i="48" s="1"/>
  <c r="AI21" i="48" a="1"/>
  <c r="AI21" i="48" s="1"/>
  <c r="AD22" i="48" a="1"/>
  <c r="AD22" i="48" s="1"/>
  <c r="Y23" i="48" a="1"/>
  <c r="Y23" i="48" s="1"/>
  <c r="AK23" i="48" a="1"/>
  <c r="AK23" i="48" s="1"/>
  <c r="AF31" i="48" a="1"/>
  <c r="AF31" i="48" s="1"/>
  <c r="AA32" i="48" a="1"/>
  <c r="AA32" i="48" s="1"/>
  <c r="AM32" i="48" a="1"/>
  <c r="AM32" i="48" s="1"/>
  <c r="AH33" i="48" a="1"/>
  <c r="AH33" i="48" s="1"/>
  <c r="AC34" i="48" a="1"/>
  <c r="AC34" i="48" s="1"/>
  <c r="X35" i="48" a="1"/>
  <c r="X35" i="48" s="1"/>
  <c r="AJ35" i="48" a="1"/>
  <c r="AJ35" i="48" s="1"/>
  <c r="AE36" i="48" a="1"/>
  <c r="AE36" i="48" s="1"/>
  <c r="AN13" i="48" a="1"/>
  <c r="AN13" i="48" s="1"/>
  <c r="AI14" i="48" a="1"/>
  <c r="AI14" i="48" s="1"/>
  <c r="AD15" i="48" a="1"/>
  <c r="AD15" i="48" s="1"/>
  <c r="Y16" i="48" a="1"/>
  <c r="Y16" i="48" s="1"/>
  <c r="AK16" i="48" a="1"/>
  <c r="AK16" i="48" s="1"/>
  <c r="AF17" i="48" a="1"/>
  <c r="AF17" i="48" s="1"/>
  <c r="AA18" i="48" a="1"/>
  <c r="AA18" i="48" s="1"/>
  <c r="AM18" i="48" a="1"/>
  <c r="AM18" i="48" s="1"/>
  <c r="AH19" i="48" a="1"/>
  <c r="AH19" i="48" s="1"/>
  <c r="AC20" i="48" a="1"/>
  <c r="AC20" i="48" s="1"/>
  <c r="X21" i="48" a="1"/>
  <c r="X21" i="48" s="1"/>
  <c r="AJ21" i="48" a="1"/>
  <c r="AJ21" i="48" s="1"/>
  <c r="AE22" i="48" a="1"/>
  <c r="AE22" i="48" s="1"/>
  <c r="Z23" i="48" a="1"/>
  <c r="Z23" i="48" s="1"/>
  <c r="AL23" i="48" a="1"/>
  <c r="AL23" i="48" s="1"/>
  <c r="AG31" i="48" a="1"/>
  <c r="AG31" i="48" s="1"/>
  <c r="AB32" i="48" a="1"/>
  <c r="AB32" i="48" s="1"/>
  <c r="AN32" i="48" a="1"/>
  <c r="AN32" i="48" s="1"/>
  <c r="AI33" i="48" a="1"/>
  <c r="AI33" i="48" s="1"/>
  <c r="AD34" i="48" a="1"/>
  <c r="AD34" i="48" s="1"/>
  <c r="Y35" i="48" a="1"/>
  <c r="Y35" i="48" s="1"/>
  <c r="AK35" i="48" a="1"/>
  <c r="AK35" i="48" s="1"/>
  <c r="AF36" i="48" a="1"/>
  <c r="AF36" i="48" s="1"/>
  <c r="Z16" i="48" a="1"/>
  <c r="Z16" i="48" s="1"/>
  <c r="AL16" i="48" a="1"/>
  <c r="AL16" i="48" s="1"/>
  <c r="AG17" i="48" a="1"/>
  <c r="AG17" i="48" s="1"/>
  <c r="AB18" i="48" a="1"/>
  <c r="AB18" i="48" s="1"/>
  <c r="AN18" i="48" a="1"/>
  <c r="AN18" i="48" s="1"/>
  <c r="AI19" i="48" a="1"/>
  <c r="AI19" i="48" s="1"/>
  <c r="AD20" i="48" a="1"/>
  <c r="AD20" i="48" s="1"/>
  <c r="Y21" i="48" a="1"/>
  <c r="Y21" i="48" s="1"/>
  <c r="AK21" i="48" a="1"/>
  <c r="AK21" i="48" s="1"/>
  <c r="AF22" i="48" a="1"/>
  <c r="AF22" i="48" s="1"/>
  <c r="AA23" i="48" a="1"/>
  <c r="AA23" i="48" s="1"/>
  <c r="AM23" i="48" a="1"/>
  <c r="AM23" i="48" s="1"/>
  <c r="AH31" i="48" a="1"/>
  <c r="AH31" i="48" s="1"/>
  <c r="AC32" i="48" a="1"/>
  <c r="AC32" i="48" s="1"/>
  <c r="X33" i="48" a="1"/>
  <c r="X33" i="48" s="1"/>
  <c r="AJ33" i="48" a="1"/>
  <c r="AJ33" i="48" s="1"/>
  <c r="AE34" i="48" a="1"/>
  <c r="AE34" i="48" s="1"/>
  <c r="Z35" i="48" a="1"/>
  <c r="Z35" i="48" s="1"/>
  <c r="AL35" i="48" a="1"/>
  <c r="AL35" i="48" s="1"/>
  <c r="AG36" i="48" a="1"/>
  <c r="AG36" i="48" s="1"/>
  <c r="AI12" i="48" a="1"/>
  <c r="AI12" i="48" s="1"/>
  <c r="AD13" i="48" a="1"/>
  <c r="AD13" i="48" s="1"/>
  <c r="Y14" i="48" a="1"/>
  <c r="Y14" i="48" s="1"/>
  <c r="AK14" i="48" a="1"/>
  <c r="AK14" i="48" s="1"/>
  <c r="AF15" i="48" a="1"/>
  <c r="AF15" i="48" s="1"/>
  <c r="AA16" i="48" a="1"/>
  <c r="AA16" i="48" s="1"/>
  <c r="AM16" i="48" a="1"/>
  <c r="AM16" i="48" s="1"/>
  <c r="AH17" i="48" a="1"/>
  <c r="AH17" i="48" s="1"/>
  <c r="AC18" i="48" a="1"/>
  <c r="AC18" i="48" s="1"/>
  <c r="X19" i="48" a="1"/>
  <c r="X19" i="48" s="1"/>
  <c r="AJ19" i="48" a="1"/>
  <c r="AJ19" i="48" s="1"/>
  <c r="AE20" i="48" a="1"/>
  <c r="AE20" i="48" s="1"/>
  <c r="Z21" i="48" a="1"/>
  <c r="Z21" i="48" s="1"/>
  <c r="AL21" i="48" a="1"/>
  <c r="AL21" i="48" s="1"/>
  <c r="AG22" i="48" a="1"/>
  <c r="AG22" i="48" s="1"/>
  <c r="AB23" i="48" a="1"/>
  <c r="AB23" i="48" s="1"/>
  <c r="AN23" i="48" a="1"/>
  <c r="AN23" i="48" s="1"/>
  <c r="AI31" i="48" a="1"/>
  <c r="AI31" i="48" s="1"/>
  <c r="AD32" i="48" a="1"/>
  <c r="AD32" i="48" s="1"/>
  <c r="Y33" i="48" a="1"/>
  <c r="Y33" i="48" s="1"/>
  <c r="AK33" i="48" a="1"/>
  <c r="AK33" i="48" s="1"/>
  <c r="AF34" i="48" a="1"/>
  <c r="AF34" i="48" s="1"/>
  <c r="AA35" i="48" a="1"/>
  <c r="AA35" i="48" s="1"/>
  <c r="AM35" i="48" a="1"/>
  <c r="AM35" i="48" s="1"/>
  <c r="AH36" i="48" a="1"/>
  <c r="AH36" i="48" s="1"/>
  <c r="AL14" i="48" a="1"/>
  <c r="AL14" i="48" s="1"/>
  <c r="AG15" i="48" a="1"/>
  <c r="AG15" i="48" s="1"/>
  <c r="AB16" i="48" a="1"/>
  <c r="AB16" i="48" s="1"/>
  <c r="AN16" i="48" a="1"/>
  <c r="AN16" i="48" s="1"/>
  <c r="AI17" i="48" a="1"/>
  <c r="AI17" i="48" s="1"/>
  <c r="AD18" i="48" a="1"/>
  <c r="AD18" i="48" s="1"/>
  <c r="Y19" i="48" a="1"/>
  <c r="Y19" i="48" s="1"/>
  <c r="AK19" i="48" a="1"/>
  <c r="AK19" i="48" s="1"/>
  <c r="AF20" i="48" a="1"/>
  <c r="AF20" i="48" s="1"/>
  <c r="AA21" i="48" a="1"/>
  <c r="AA21" i="48" s="1"/>
  <c r="AM21" i="48" a="1"/>
  <c r="AM21" i="48" s="1"/>
  <c r="AH22" i="48" a="1"/>
  <c r="AH22" i="48" s="1"/>
  <c r="AC23" i="48" a="1"/>
  <c r="AC23" i="48" s="1"/>
  <c r="X31" i="48" a="1"/>
  <c r="X31" i="48" s="1"/>
  <c r="AJ31" i="48" a="1"/>
  <c r="AJ31" i="48" s="1"/>
  <c r="AE32" i="48" a="1"/>
  <c r="AE32" i="48" s="1"/>
  <c r="Z33" i="48" a="1"/>
  <c r="Z33" i="48" s="1"/>
  <c r="AL33" i="48" a="1"/>
  <c r="AL33" i="48" s="1"/>
  <c r="AG34" i="48" a="1"/>
  <c r="AG34" i="48" s="1"/>
  <c r="AB35" i="48" a="1"/>
  <c r="AB35" i="48" s="1"/>
  <c r="AN35" i="48" a="1"/>
  <c r="AN35" i="48" s="1"/>
  <c r="AI36" i="48" a="1"/>
  <c r="AI36" i="48" s="1"/>
  <c r="AM14" i="48" a="1"/>
  <c r="AM14" i="48" s="1"/>
  <c r="AH15" i="48" a="1"/>
  <c r="AH15" i="48" s="1"/>
  <c r="AC16" i="48" a="1"/>
  <c r="AC16" i="48" s="1"/>
  <c r="X17" i="48" a="1"/>
  <c r="X17" i="48" s="1"/>
  <c r="AJ17" i="48" a="1"/>
  <c r="AJ17" i="48" s="1"/>
  <c r="AE18" i="48" a="1"/>
  <c r="AE18" i="48" s="1"/>
  <c r="Z19" i="48" a="1"/>
  <c r="Z19" i="48" s="1"/>
  <c r="AL19" i="48" a="1"/>
  <c r="AL19" i="48" s="1"/>
  <c r="AG20" i="48" a="1"/>
  <c r="AG20" i="48" s="1"/>
  <c r="AB21" i="48" a="1"/>
  <c r="AB21" i="48" s="1"/>
  <c r="AN21" i="48" a="1"/>
  <c r="AN21" i="48" s="1"/>
  <c r="AI22" i="48" a="1"/>
  <c r="AI22" i="48" s="1"/>
  <c r="AD23" i="48" a="1"/>
  <c r="AD23" i="48" s="1"/>
  <c r="Y31" i="48" a="1"/>
  <c r="Y31" i="48" s="1"/>
  <c r="AK31" i="48" a="1"/>
  <c r="AK31" i="48" s="1"/>
  <c r="AF32" i="48" a="1"/>
  <c r="AF32" i="48" s="1"/>
  <c r="AA33" i="48" a="1"/>
  <c r="AA33" i="48" s="1"/>
  <c r="AM33" i="48" a="1"/>
  <c r="AM33" i="48" s="1"/>
  <c r="AH34" i="48" a="1"/>
  <c r="AH34" i="48" s="1"/>
  <c r="AC35" i="48" a="1"/>
  <c r="AC35" i="48" s="1"/>
  <c r="X36" i="48" a="1"/>
  <c r="X36" i="48" s="1"/>
  <c r="AJ36" i="48" a="1"/>
  <c r="AJ36" i="48" s="1"/>
  <c r="Y12" i="48" a="1"/>
  <c r="Y12" i="48" s="1"/>
  <c r="AF13" i="48" a="1"/>
  <c r="AF13" i="48" s="1"/>
  <c r="Z12" i="48" a="1"/>
  <c r="Z12" i="48" s="1"/>
  <c r="AL12" i="48" a="1"/>
  <c r="AL12" i="48" s="1"/>
  <c r="AG13" i="48" a="1"/>
  <c r="AG13" i="48" s="1"/>
  <c r="AB14" i="48" a="1"/>
  <c r="AB14" i="48" s="1"/>
  <c r="AN14" i="48" a="1"/>
  <c r="AN14" i="48" s="1"/>
  <c r="AI15" i="48" a="1"/>
  <c r="AI15" i="48" s="1"/>
  <c r="AD16" i="48" a="1"/>
  <c r="AD16" i="48" s="1"/>
  <c r="Y17" i="48" a="1"/>
  <c r="Y17" i="48" s="1"/>
  <c r="AK17" i="48" a="1"/>
  <c r="AK17" i="48" s="1"/>
  <c r="AF18" i="48" a="1"/>
  <c r="AF18" i="48" s="1"/>
  <c r="AA19" i="48" a="1"/>
  <c r="AA19" i="48" s="1"/>
  <c r="AM19" i="48" a="1"/>
  <c r="AM19" i="48" s="1"/>
  <c r="AH20" i="48" a="1"/>
  <c r="AH20" i="48" s="1"/>
  <c r="AC21" i="48" a="1"/>
  <c r="AC21" i="48" s="1"/>
  <c r="X22" i="48" a="1"/>
  <c r="X22" i="48" s="1"/>
  <c r="AJ22" i="48" a="1"/>
  <c r="AJ22" i="48" s="1"/>
  <c r="AE23" i="48" a="1"/>
  <c r="AE23" i="48" s="1"/>
  <c r="Z31" i="48" a="1"/>
  <c r="Z31" i="48" s="1"/>
  <c r="AL31" i="48" a="1"/>
  <c r="AL31" i="48" s="1"/>
  <c r="AG32" i="48" a="1"/>
  <c r="AG32" i="48" s="1"/>
  <c r="AB33" i="48" a="1"/>
  <c r="AB33" i="48" s="1"/>
  <c r="AN33" i="48" a="1"/>
  <c r="AN33" i="48" s="1"/>
  <c r="AI34" i="48" a="1"/>
  <c r="AI34" i="48" s="1"/>
  <c r="AD35" i="48" a="1"/>
  <c r="AD35" i="48" s="1"/>
  <c r="Y36" i="48" a="1"/>
  <c r="Y36" i="48" s="1"/>
  <c r="AK36" i="48" a="1"/>
  <c r="AK36" i="48" s="1"/>
  <c r="AK12" i="48" a="1"/>
  <c r="AK12" i="48" s="1"/>
  <c r="AA12" i="48" a="1"/>
  <c r="AA12" i="48" s="1"/>
  <c r="X15" i="48" a="1"/>
  <c r="X15" i="48" s="1"/>
  <c r="AE16" i="48" a="1"/>
  <c r="AE16" i="48" s="1"/>
  <c r="Z17" i="48" a="1"/>
  <c r="Z17" i="48" s="1"/>
  <c r="AL17" i="48" a="1"/>
  <c r="AL17" i="48" s="1"/>
  <c r="AG18" i="48" a="1"/>
  <c r="AG18" i="48" s="1"/>
  <c r="AB19" i="48" a="1"/>
  <c r="AB19" i="48" s="1"/>
  <c r="AN19" i="48" a="1"/>
  <c r="AN19" i="48" s="1"/>
  <c r="AI20" i="48" a="1"/>
  <c r="AI20" i="48" s="1"/>
  <c r="AD21" i="48" a="1"/>
  <c r="AD21" i="48" s="1"/>
  <c r="Y22" i="48" a="1"/>
  <c r="Y22" i="48" s="1"/>
  <c r="AK22" i="48" a="1"/>
  <c r="AK22" i="48" s="1"/>
  <c r="AF23" i="48" a="1"/>
  <c r="AF23" i="48" s="1"/>
  <c r="AA31" i="48" a="1"/>
  <c r="AA31" i="48" s="1"/>
  <c r="AM31" i="48" a="1"/>
  <c r="AM31" i="48" s="1"/>
  <c r="AH32" i="48" a="1"/>
  <c r="AH32" i="48" s="1"/>
  <c r="AC33" i="48" a="1"/>
  <c r="AC33" i="48" s="1"/>
  <c r="X34" i="48" a="1"/>
  <c r="X34" i="48" s="1"/>
  <c r="AJ34" i="48" a="1"/>
  <c r="AJ34" i="48" s="1"/>
  <c r="AE35" i="48" a="1"/>
  <c r="AE35" i="48" s="1"/>
  <c r="Z36" i="48" a="1"/>
  <c r="Z36" i="48" s="1"/>
  <c r="AL36" i="48" a="1"/>
  <c r="AL36" i="48" s="1"/>
  <c r="AA17" i="48" a="1"/>
  <c r="AA17" i="48" s="1"/>
  <c r="X20" i="48" a="1"/>
  <c r="X20" i="48" s="1"/>
  <c r="Z22" i="48" a="1"/>
  <c r="Z22" i="48" s="1"/>
  <c r="AB31" i="48" a="1"/>
  <c r="AB31" i="48" s="1"/>
  <c r="Y34" i="48" a="1"/>
  <c r="Y34" i="48" s="1"/>
  <c r="AA36" i="48" a="1"/>
  <c r="AA36" i="48" s="1"/>
  <c r="K9" i="47"/>
  <c r="M11" i="47"/>
  <c r="G17" i="47"/>
  <c r="G9" i="47"/>
  <c r="K12" i="47"/>
  <c r="K13" i="47"/>
  <c r="K15" i="47"/>
  <c r="K16" i="47"/>
  <c r="K17" i="47"/>
  <c r="O17" i="47"/>
  <c r="I15" i="47"/>
  <c r="I17" i="47"/>
  <c r="I9" i="47"/>
  <c r="O9" i="47"/>
  <c r="AC62" i="45"/>
  <c r="P11" i="47"/>
  <c r="I12" i="47"/>
  <c r="I13" i="47"/>
  <c r="AC63" i="45"/>
  <c r="T62" i="45"/>
  <c r="T63" i="45"/>
  <c r="I11" i="47"/>
  <c r="N12" i="47"/>
  <c r="N13" i="47"/>
  <c r="N14" i="47"/>
  <c r="N15" i="47"/>
  <c r="N17" i="47"/>
  <c r="J11" i="47"/>
  <c r="O12" i="47"/>
  <c r="O13" i="47"/>
  <c r="O15" i="47"/>
  <c r="N11" i="47"/>
  <c r="H12" i="47"/>
  <c r="G11" i="47"/>
  <c r="L12" i="47"/>
  <c r="L13" i="47"/>
  <c r="L14" i="47"/>
  <c r="L15" i="47"/>
  <c r="L16" i="47"/>
  <c r="L17" i="47"/>
  <c r="L9" i="47"/>
  <c r="H11" i="47"/>
  <c r="M13" i="47"/>
  <c r="M14" i="47"/>
  <c r="M15" i="47"/>
  <c r="M17" i="47"/>
  <c r="M9" i="47"/>
  <c r="N9" i="47"/>
  <c r="K62" i="45"/>
  <c r="K63" i="45"/>
  <c r="K11" i="47"/>
  <c r="P12" i="47"/>
  <c r="P13" i="47"/>
  <c r="S6" i="36" s="1"/>
  <c r="P14" i="47"/>
  <c r="S8" i="36" s="1"/>
  <c r="P15" i="47"/>
  <c r="S10" i="36" s="1"/>
  <c r="P16" i="47"/>
  <c r="S12" i="36" s="1"/>
  <c r="P17" i="47"/>
  <c r="S16" i="36"/>
  <c r="S18" i="36"/>
  <c r="S20" i="36"/>
  <c r="S22" i="36"/>
  <c r="P9" i="47"/>
  <c r="L11" i="47"/>
  <c r="Q15" i="47"/>
  <c r="T10" i="36" s="1"/>
  <c r="Q16" i="47"/>
  <c r="T12" i="36" s="1"/>
  <c r="Q17" i="47"/>
  <c r="T16" i="36"/>
  <c r="T18" i="36"/>
  <c r="T22" i="36"/>
  <c r="Q9" i="47"/>
  <c r="V63" i="45"/>
  <c r="M62" i="45"/>
  <c r="X63" i="45"/>
  <c r="O11" i="47"/>
  <c r="H13" i="47"/>
  <c r="H14" i="47"/>
  <c r="H15" i="47"/>
  <c r="H17" i="47"/>
  <c r="H9" i="47"/>
  <c r="Q11" i="47"/>
  <c r="J12" i="47"/>
  <c r="J13" i="47"/>
  <c r="J14" i="47"/>
  <c r="J15" i="47"/>
  <c r="J17" i="47"/>
  <c r="J9" i="47"/>
  <c r="AA62" i="45"/>
  <c r="W21" i="45"/>
  <c r="AB62" i="45"/>
  <c r="J62" i="45"/>
  <c r="J63" i="45"/>
  <c r="M63" i="45"/>
  <c r="W63" i="45"/>
  <c r="V62" i="45"/>
  <c r="Y63" i="45"/>
  <c r="P62" i="45"/>
  <c r="P63" i="45"/>
  <c r="W62" i="45"/>
  <c r="Z63" i="45"/>
  <c r="X62" i="45"/>
  <c r="AA63" i="45"/>
  <c r="R62" i="45"/>
  <c r="R63" i="45"/>
  <c r="K54" i="44"/>
  <c r="I14" i="47"/>
  <c r="I16" i="47"/>
  <c r="Y6" i="36"/>
  <c r="Y10" i="36"/>
  <c r="Y18" i="36"/>
  <c r="Y22" i="36"/>
  <c r="J16" i="47"/>
  <c r="Z6" i="36"/>
  <c r="Z10" i="36"/>
  <c r="Z18" i="36"/>
  <c r="Z22" i="36"/>
  <c r="K14" i="47"/>
  <c r="U12" i="36"/>
  <c r="U16" i="36"/>
  <c r="U20" i="36"/>
  <c r="V8" i="36"/>
  <c r="V12" i="36"/>
  <c r="V16" i="36"/>
  <c r="V20" i="36"/>
  <c r="M12" i="47"/>
  <c r="M16" i="47"/>
  <c r="W8" i="36"/>
  <c r="W12" i="36"/>
  <c r="W16" i="36"/>
  <c r="W20" i="36"/>
  <c r="P53" i="44"/>
  <c r="N16" i="47"/>
  <c r="X8" i="36"/>
  <c r="X12" i="36"/>
  <c r="X16" i="36"/>
  <c r="X20" i="36"/>
  <c r="O14" i="47"/>
  <c r="O16" i="47"/>
  <c r="Y8" i="36"/>
  <c r="Y12" i="36"/>
  <c r="Y16" i="36"/>
  <c r="Y20" i="36"/>
  <c r="Q12" i="47"/>
  <c r="Q13" i="47"/>
  <c r="T6" i="36" s="1"/>
  <c r="Q14" i="47"/>
  <c r="T8" i="36" s="1"/>
  <c r="T20" i="36"/>
  <c r="U6" i="36"/>
  <c r="U10" i="36"/>
  <c r="U18" i="36"/>
  <c r="U22" i="36"/>
  <c r="F16" i="47"/>
  <c r="V6" i="36"/>
  <c r="V10" i="36"/>
  <c r="V18" i="36"/>
  <c r="V22" i="36"/>
  <c r="G14" i="47"/>
  <c r="W6" i="36"/>
  <c r="W10" i="36"/>
  <c r="W18" i="36"/>
  <c r="W22" i="36"/>
  <c r="H16" i="47"/>
  <c r="U63" i="45"/>
  <c r="L62" i="45"/>
  <c r="L63" i="45"/>
  <c r="N62" i="45"/>
  <c r="N63" i="45"/>
  <c r="U62" i="45"/>
  <c r="O62" i="45"/>
  <c r="O63" i="45"/>
  <c r="Q62" i="45"/>
  <c r="Q63" i="45"/>
  <c r="S62" i="45"/>
  <c r="S63" i="45"/>
  <c r="W46" i="45"/>
  <c r="AA47" i="45"/>
  <c r="J46" i="45"/>
  <c r="U47" i="45"/>
  <c r="P44" i="45"/>
  <c r="P41" i="45"/>
  <c r="P42" i="45"/>
  <c r="P43" i="45"/>
  <c r="S55" i="45"/>
  <c r="V57" i="45"/>
  <c r="W43" i="45"/>
  <c r="AA46" i="45"/>
  <c r="N46" i="45"/>
  <c r="M47" i="45"/>
  <c r="T40" i="45"/>
  <c r="M25" i="62" s="1"/>
  <c r="T41" i="45"/>
  <c r="T42" i="45"/>
  <c r="T43" i="45"/>
  <c r="K55" i="45"/>
  <c r="W55" i="45"/>
  <c r="N57" i="45"/>
  <c r="Z57" i="45"/>
  <c r="L21" i="45"/>
  <c r="M55" i="45"/>
  <c r="N21" i="45"/>
  <c r="L60" i="45"/>
  <c r="X60" i="45"/>
  <c r="O59" i="45"/>
  <c r="AB57" i="45"/>
  <c r="Q54" i="44"/>
  <c r="X46" i="45"/>
  <c r="AB47" i="45"/>
  <c r="K46" i="45"/>
  <c r="J47" i="45"/>
  <c r="Q40" i="45"/>
  <c r="J25" i="62" s="1"/>
  <c r="Q41" i="45"/>
  <c r="Q42" i="45"/>
  <c r="Q43" i="45"/>
  <c r="T55" i="45"/>
  <c r="K57" i="45"/>
  <c r="M54" i="44"/>
  <c r="V43" i="45"/>
  <c r="Z46" i="45"/>
  <c r="M46" i="45"/>
  <c r="L47" i="45"/>
  <c r="I21" i="45"/>
  <c r="U21" i="45"/>
  <c r="J55" i="45"/>
  <c r="P52" i="44"/>
  <c r="X43" i="45"/>
  <c r="AB46" i="45"/>
  <c r="O46" i="45"/>
  <c r="N47" i="45"/>
  <c r="Z43" i="45"/>
  <c r="V47" i="45"/>
  <c r="Q46" i="45"/>
  <c r="P47" i="45"/>
  <c r="K40" i="45"/>
  <c r="K41" i="45"/>
  <c r="K42" i="45"/>
  <c r="K43" i="45"/>
  <c r="N55" i="45"/>
  <c r="Z55" i="45"/>
  <c r="Q57" i="45"/>
  <c r="AC57" i="45"/>
  <c r="X47" i="45"/>
  <c r="S46" i="45"/>
  <c r="R47" i="45"/>
  <c r="M40" i="45"/>
  <c r="M41" i="45"/>
  <c r="M42" i="45"/>
  <c r="M43" i="45"/>
  <c r="P55" i="45"/>
  <c r="AB55" i="45"/>
  <c r="S57" i="45"/>
  <c r="Y47" i="45"/>
  <c r="T46" i="45"/>
  <c r="S47" i="45"/>
  <c r="N41" i="45"/>
  <c r="N42" i="45"/>
  <c r="N43" i="45"/>
  <c r="Q55" i="45"/>
  <c r="AC55" i="45"/>
  <c r="T57" i="45"/>
  <c r="J21" i="45"/>
  <c r="Z47" i="45"/>
  <c r="U46" i="45"/>
  <c r="T47" i="45"/>
  <c r="O44" i="45"/>
  <c r="O41" i="45"/>
  <c r="O42" i="45"/>
  <c r="O43" i="45"/>
  <c r="R55" i="45"/>
  <c r="U57" i="45"/>
  <c r="L58" i="45"/>
  <c r="X58" i="45"/>
  <c r="O60" i="45"/>
  <c r="AA60" i="45"/>
  <c r="V21" i="45"/>
  <c r="K21" i="45"/>
  <c r="W57" i="45"/>
  <c r="N58" i="45"/>
  <c r="Z58" i="45"/>
  <c r="Q60" i="45"/>
  <c r="AC60" i="45"/>
  <c r="T59" i="45"/>
  <c r="X21" i="45"/>
  <c r="Y46" i="45"/>
  <c r="AC47" i="45"/>
  <c r="L46" i="45"/>
  <c r="K47" i="45"/>
  <c r="R40" i="45"/>
  <c r="K25" i="62" s="1"/>
  <c r="R41" i="45"/>
  <c r="R42" i="45"/>
  <c r="R43" i="45"/>
  <c r="U55" i="45"/>
  <c r="L57" i="45"/>
  <c r="X57" i="45"/>
  <c r="M21" i="45"/>
  <c r="S40" i="45"/>
  <c r="L25" i="62" s="1"/>
  <c r="S41" i="45"/>
  <c r="S42" i="45"/>
  <c r="S43" i="45"/>
  <c r="V55" i="45"/>
  <c r="M57" i="45"/>
  <c r="Y57" i="45"/>
  <c r="P58" i="45"/>
  <c r="AB58" i="45"/>
  <c r="S60" i="45"/>
  <c r="O21" i="45"/>
  <c r="L55" i="45"/>
  <c r="X55" i="45"/>
  <c r="O57" i="45"/>
  <c r="AA57" i="45"/>
  <c r="P21" i="45"/>
  <c r="Y43" i="45"/>
  <c r="AC46" i="45"/>
  <c r="P46" i="45"/>
  <c r="O47" i="45"/>
  <c r="Y55" i="45"/>
  <c r="P57" i="45"/>
  <c r="Q21" i="45"/>
  <c r="R21" i="45"/>
  <c r="W47" i="45"/>
  <c r="R46" i="45"/>
  <c r="Q47" i="45"/>
  <c r="L40" i="45"/>
  <c r="L41" i="45"/>
  <c r="L42" i="45"/>
  <c r="L43" i="45"/>
  <c r="O55" i="45"/>
  <c r="AA55" i="45"/>
  <c r="R57" i="45"/>
  <c r="U58" i="45"/>
  <c r="S21" i="45"/>
  <c r="T21" i="45"/>
  <c r="AA59" i="45"/>
  <c r="J59" i="45"/>
  <c r="V59" i="45"/>
  <c r="R59" i="45"/>
  <c r="Q58" i="45"/>
  <c r="AC58" i="45"/>
  <c r="T60" i="45"/>
  <c r="K59" i="45"/>
  <c r="W59" i="45"/>
  <c r="R58" i="45"/>
  <c r="U60" i="45"/>
  <c r="L59" i="45"/>
  <c r="X59" i="45"/>
  <c r="S58" i="45"/>
  <c r="J60" i="45"/>
  <c r="V60" i="45"/>
  <c r="M59" i="45"/>
  <c r="Y59" i="45"/>
  <c r="T58" i="45"/>
  <c r="K60" i="45"/>
  <c r="W60" i="45"/>
  <c r="N59" i="45"/>
  <c r="Z59" i="45"/>
  <c r="J58" i="45"/>
  <c r="V58" i="45"/>
  <c r="M60" i="45"/>
  <c r="Y60" i="45"/>
  <c r="P59" i="45"/>
  <c r="AB59" i="45"/>
  <c r="K58" i="45"/>
  <c r="W58" i="45"/>
  <c r="N60" i="45"/>
  <c r="Z60" i="45"/>
  <c r="Q59" i="45"/>
  <c r="AC59" i="45"/>
  <c r="M58" i="45"/>
  <c r="Y58" i="45"/>
  <c r="P60" i="45"/>
  <c r="AB60" i="45"/>
  <c r="S59" i="45"/>
  <c r="O58" i="45"/>
  <c r="AA58" i="45"/>
  <c r="R60" i="45"/>
  <c r="U59" i="45"/>
  <c r="Q12" i="45"/>
  <c r="Q44" i="45" s="1"/>
  <c r="AC12" i="45"/>
  <c r="N40" i="45"/>
  <c r="R12" i="45"/>
  <c r="O40" i="45"/>
  <c r="H25" i="62" s="1"/>
  <c r="S12" i="45"/>
  <c r="P40" i="45"/>
  <c r="I25" i="62" s="1"/>
  <c r="T12" i="45"/>
  <c r="U12" i="45"/>
  <c r="K12" i="45"/>
  <c r="K44" i="45" s="1"/>
  <c r="L12" i="45"/>
  <c r="M12" i="45"/>
  <c r="I18" i="45"/>
  <c r="W18" i="45"/>
  <c r="V18" i="45"/>
  <c r="U18" i="45"/>
  <c r="T18" i="45"/>
  <c r="J18" i="45"/>
  <c r="K18" i="45"/>
  <c r="S18" i="45"/>
  <c r="L18" i="45"/>
  <c r="M18" i="45"/>
  <c r="N18" i="45"/>
  <c r="O18" i="45"/>
  <c r="P18" i="45"/>
  <c r="Q18" i="45"/>
  <c r="R18" i="45"/>
  <c r="X18" i="45"/>
  <c r="O54" i="44"/>
  <c r="L53" i="44"/>
  <c r="Q18" i="46"/>
  <c r="U18" i="46"/>
  <c r="W16" i="46"/>
  <c r="O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J8" i="50"/>
  <c r="I8" i="50"/>
  <c r="S8" i="50"/>
  <c r="AO3" i="36" s="1"/>
  <c r="N8" i="50"/>
  <c r="L8" i="50"/>
  <c r="M8" i="50"/>
  <c r="AQ4" i="36"/>
  <c r="P8" i="50"/>
  <c r="Q8" i="50"/>
  <c r="K8" i="50"/>
  <c r="V8" i="50"/>
  <c r="AR4" i="36" s="1"/>
  <c r="O8" i="50"/>
  <c r="H8" i="50"/>
  <c r="I2" i="51"/>
  <c r="H2" i="51"/>
  <c r="G2" i="51"/>
  <c r="F2" i="51"/>
  <c r="C2" i="51"/>
  <c r="B2" i="51"/>
  <c r="J67" i="45"/>
  <c r="V67" i="45"/>
  <c r="AB10" i="45" a="1"/>
  <c r="AB10" i="45" s="1"/>
  <c r="AA10" i="45" a="1"/>
  <c r="AA10" i="45" s="1"/>
  <c r="Z10" i="45" a="1"/>
  <c r="Z10" i="45" s="1"/>
  <c r="Y10" i="45" a="1"/>
  <c r="Y10" i="45" s="1"/>
  <c r="X10" i="45" a="1"/>
  <c r="X10" i="45" s="1"/>
  <c r="W10" i="45" a="1"/>
  <c r="W10" i="45" s="1"/>
  <c r="V10" i="45" a="1"/>
  <c r="V10" i="45" s="1"/>
  <c r="U10" i="45" a="1"/>
  <c r="U10" i="45" s="1"/>
  <c r="U42" i="45" s="1"/>
  <c r="AB9" i="45" a="1"/>
  <c r="AB9" i="45" s="1"/>
  <c r="AA9" i="45" a="1"/>
  <c r="AA9" i="45" s="1"/>
  <c r="Z9" i="45" a="1"/>
  <c r="Z9" i="45" s="1"/>
  <c r="Y9" i="45" a="1"/>
  <c r="Y9" i="45" s="1"/>
  <c r="X9" i="45" a="1"/>
  <c r="X9" i="45" s="1"/>
  <c r="W9" i="45" a="1"/>
  <c r="W9" i="45" s="1"/>
  <c r="V9" i="45" a="1"/>
  <c r="V9" i="45" s="1"/>
  <c r="V41" i="45" s="1"/>
  <c r="Z8" i="45" a="1"/>
  <c r="Z8" i="45" s="1"/>
  <c r="Y8" i="45" a="1"/>
  <c r="Y8" i="45" s="1"/>
  <c r="X8" i="45" a="1"/>
  <c r="X8" i="45" s="1"/>
  <c r="W8" i="45" a="1"/>
  <c r="W8" i="45" s="1"/>
  <c r="V8" i="45" a="1"/>
  <c r="V8" i="45" s="1"/>
  <c r="D11" i="32"/>
  <c r="D10" i="32"/>
  <c r="C13" i="50"/>
  <c r="Z13" i="47" l="1"/>
  <c r="Z12" i="47"/>
  <c r="AA12" i="47"/>
  <c r="AA13" i="47"/>
  <c r="X11" i="44"/>
  <c r="X9" i="44" s="1"/>
  <c r="Y13" i="47"/>
  <c r="Y12" i="47"/>
  <c r="P16" i="45"/>
  <c r="P15" i="45" s="1"/>
  <c r="AA42" i="45"/>
  <c r="AB42" i="45"/>
  <c r="AB43" i="45"/>
  <c r="AA43" i="45"/>
  <c r="AC43" i="45"/>
  <c r="J11" i="44"/>
  <c r="J9" i="44" s="1"/>
  <c r="AC42" i="45"/>
  <c r="AA40" i="45"/>
  <c r="L11" i="44"/>
  <c r="L9" i="44" s="1"/>
  <c r="V11" i="44"/>
  <c r="V9" i="44" s="1"/>
  <c r="Z44" i="44"/>
  <c r="Z9" i="44"/>
  <c r="Z40" i="44" s="1"/>
  <c r="W11" i="44"/>
  <c r="W9" i="44" s="1"/>
  <c r="O11" i="44"/>
  <c r="O9" i="44" s="1"/>
  <c r="AC16" i="45"/>
  <c r="AC15" i="45" s="1"/>
  <c r="S11" i="44"/>
  <c r="S9" i="44" s="1"/>
  <c r="T9" i="44"/>
  <c r="T45" i="44"/>
  <c r="M11" i="44"/>
  <c r="M9" i="44" s="1"/>
  <c r="K11" i="44"/>
  <c r="K9" i="44" s="1"/>
  <c r="T53" i="44"/>
  <c r="D22" i="51" s="1"/>
  <c r="Q11" i="44"/>
  <c r="Q9" i="44" s="1"/>
  <c r="Z52" i="44"/>
  <c r="Y11" i="44"/>
  <c r="Y9" i="44" s="1"/>
  <c r="T44" i="44"/>
  <c r="T51" i="44"/>
  <c r="T46" i="44"/>
  <c r="T47" i="44"/>
  <c r="AW9" i="49"/>
  <c r="AI12" i="49"/>
  <c r="Z16" i="45"/>
  <c r="Z15" i="45" s="1"/>
  <c r="AA16" i="45"/>
  <c r="AA15" i="45" s="1"/>
  <c r="AB8" i="44"/>
  <c r="AC8" i="44" s="1"/>
  <c r="AD8" i="44" s="1"/>
  <c r="AI11" i="49"/>
  <c r="V16" i="45"/>
  <c r="V15" i="45" s="1"/>
  <c r="W16" i="45"/>
  <c r="W15" i="45" s="1"/>
  <c r="U53" i="44"/>
  <c r="AQ12" i="49"/>
  <c r="V52" i="44"/>
  <c r="U52" i="44"/>
  <c r="U54" i="44"/>
  <c r="J23" i="51"/>
  <c r="AC40" i="45"/>
  <c r="V25" i="62" s="1"/>
  <c r="M28" i="49"/>
  <c r="R28" i="49"/>
  <c r="S28" i="49"/>
  <c r="Y16" i="45"/>
  <c r="Y15" i="45" s="1"/>
  <c r="L28" i="49"/>
  <c r="N28" i="49"/>
  <c r="O28" i="49"/>
  <c r="P28" i="49"/>
  <c r="N16" i="45"/>
  <c r="N15" i="45" s="1"/>
  <c r="Q28" i="49"/>
  <c r="G32" i="47"/>
  <c r="J28" i="49"/>
  <c r="K28" i="49"/>
  <c r="X16" i="45"/>
  <c r="X15" i="45" s="1"/>
  <c r="AB16" i="45"/>
  <c r="AB15" i="45" s="1"/>
  <c r="I16" i="45"/>
  <c r="I15" i="45" s="1"/>
  <c r="L16" i="45"/>
  <c r="L15" i="45" s="1"/>
  <c r="J16" i="45"/>
  <c r="J15" i="45" s="1"/>
  <c r="T16" i="45"/>
  <c r="T15" i="45" s="1"/>
  <c r="U16" i="45"/>
  <c r="U15" i="45" s="1"/>
  <c r="O16" i="45"/>
  <c r="O15" i="45" s="1"/>
  <c r="M16" i="45"/>
  <c r="M15" i="45" s="1"/>
  <c r="S16" i="45"/>
  <c r="S15" i="45" s="1"/>
  <c r="N32" i="47"/>
  <c r="I32" i="47"/>
  <c r="U32" i="47"/>
  <c r="K32" i="47"/>
  <c r="R16" i="45"/>
  <c r="R15" i="45" s="1"/>
  <c r="AO11" i="49"/>
  <c r="Q16" i="45"/>
  <c r="Q15" i="45" s="1"/>
  <c r="K16" i="45"/>
  <c r="K15" i="45" s="1"/>
  <c r="AM11" i="49"/>
  <c r="H32" i="47"/>
  <c r="X51" i="45"/>
  <c r="J32" i="47"/>
  <c r="L32" i="47"/>
  <c r="AO12" i="49"/>
  <c r="M32" i="47"/>
  <c r="AK12" i="49"/>
  <c r="O32" i="47"/>
  <c r="Q32" i="47"/>
  <c r="P32" i="47"/>
  <c r="S32" i="47"/>
  <c r="T32" i="47"/>
  <c r="V32" i="47"/>
  <c r="AO10" i="49"/>
  <c r="AN10" i="49"/>
  <c r="Q10" i="49" s="1"/>
  <c r="J52" i="44"/>
  <c r="AG10" i="49"/>
  <c r="AW12" i="49"/>
  <c r="AN11" i="49"/>
  <c r="AL10" i="49"/>
  <c r="AP11" i="49"/>
  <c r="AJ10" i="49"/>
  <c r="S52" i="44"/>
  <c r="C21" i="51" s="1"/>
  <c r="AP10" i="49"/>
  <c r="K52" i="44"/>
  <c r="AH10" i="49"/>
  <c r="AK10" i="49"/>
  <c r="L52" i="44"/>
  <c r="AI10" i="49"/>
  <c r="L45" i="44"/>
  <c r="AW10" i="49"/>
  <c r="AH12" i="49"/>
  <c r="AN12" i="49"/>
  <c r="AJ12" i="49"/>
  <c r="K53" i="44"/>
  <c r="AH11" i="49"/>
  <c r="M53" i="44"/>
  <c r="AJ11" i="49"/>
  <c r="N54" i="44"/>
  <c r="AK11" i="49"/>
  <c r="AG12" i="49"/>
  <c r="AL12" i="49"/>
  <c r="AP12" i="49"/>
  <c r="O53" i="44"/>
  <c r="AL11" i="49"/>
  <c r="J54" i="44"/>
  <c r="AG11" i="49"/>
  <c r="AW11" i="49"/>
  <c r="W51" i="45"/>
  <c r="R44" i="45"/>
  <c r="M51" i="45"/>
  <c r="Z51" i="45"/>
  <c r="Z41" i="45"/>
  <c r="O51" i="45"/>
  <c r="AC51" i="45"/>
  <c r="J51" i="45"/>
  <c r="W41" i="45"/>
  <c r="W42" i="45"/>
  <c r="W48" i="45"/>
  <c r="Z42" i="45"/>
  <c r="R51" i="45"/>
  <c r="S51" i="45"/>
  <c r="U44" i="45"/>
  <c r="D23" i="51"/>
  <c r="X48" i="45"/>
  <c r="P48" i="45"/>
  <c r="N52" i="44"/>
  <c r="S48" i="45"/>
  <c r="AB48" i="45"/>
  <c r="I52" i="44"/>
  <c r="L44" i="45"/>
  <c r="L48" i="45"/>
  <c r="K48" i="45"/>
  <c r="AB51" i="45"/>
  <c r="M52" i="44"/>
  <c r="N48" i="45"/>
  <c r="X42" i="45"/>
  <c r="J48" i="45"/>
  <c r="V48" i="45"/>
  <c r="AA48" i="45"/>
  <c r="S44" i="45"/>
  <c r="V42" i="45"/>
  <c r="AA12" i="45"/>
  <c r="T25" i="62"/>
  <c r="Q48" i="45"/>
  <c r="U51" i="45"/>
  <c r="X40" i="45"/>
  <c r="Q25" i="62" s="1"/>
  <c r="X12" i="45"/>
  <c r="T51" i="45"/>
  <c r="O48" i="45"/>
  <c r="L51" i="45"/>
  <c r="V40" i="45"/>
  <c r="O25" i="62" s="1"/>
  <c r="V12" i="45"/>
  <c r="V44" i="45" s="1"/>
  <c r="X41" i="45"/>
  <c r="M48" i="45"/>
  <c r="M44" i="45"/>
  <c r="V51" i="45"/>
  <c r="K51" i="45"/>
  <c r="Y48" i="45"/>
  <c r="Y41" i="45"/>
  <c r="Y42" i="45"/>
  <c r="Y51" i="45"/>
  <c r="AC48" i="45"/>
  <c r="Q51" i="45"/>
  <c r="W40" i="45"/>
  <c r="P25" i="62" s="1"/>
  <c r="W12" i="45"/>
  <c r="T48" i="45"/>
  <c r="Z48" i="45"/>
  <c r="Y40" i="45"/>
  <c r="R25" i="62" s="1"/>
  <c r="Y12" i="45"/>
  <c r="N51" i="45"/>
  <c r="U48" i="45"/>
  <c r="N44" i="45"/>
  <c r="Z12" i="45"/>
  <c r="Z40" i="45"/>
  <c r="S25" i="62" s="1"/>
  <c r="AB12" i="45"/>
  <c r="AB40" i="45"/>
  <c r="U25" i="62" s="1"/>
  <c r="P51" i="45"/>
  <c r="AA51" i="45"/>
  <c r="R48" i="45"/>
  <c r="T44" i="45"/>
  <c r="S53" i="44"/>
  <c r="C22" i="51" s="1"/>
  <c r="O52" i="44"/>
  <c r="I53" i="44"/>
  <c r="Q53" i="44"/>
  <c r="J22" i="51"/>
  <c r="Q52" i="44"/>
  <c r="R52" i="44"/>
  <c r="B21" i="51" s="1"/>
  <c r="T27" i="49" l="1"/>
  <c r="M11" i="49"/>
  <c r="V19" i="50"/>
  <c r="J21" i="51"/>
  <c r="Z45" i="44"/>
  <c r="Z51" i="44"/>
  <c r="Z46" i="44"/>
  <c r="Z47" i="44"/>
  <c r="W10" i="47"/>
  <c r="T8" i="47"/>
  <c r="T10" i="47"/>
  <c r="V8" i="47"/>
  <c r="U10" i="47"/>
  <c r="V10" i="47"/>
  <c r="U45" i="44"/>
  <c r="V54" i="44"/>
  <c r="W53" i="44"/>
  <c r="V53" i="44"/>
  <c r="V45" i="44"/>
  <c r="S11" i="49"/>
  <c r="B16" i="51"/>
  <c r="B17" i="51"/>
  <c r="B15" i="51"/>
  <c r="B18" i="51"/>
  <c r="B20" i="51"/>
  <c r="B19" i="51"/>
  <c r="R45" i="44"/>
  <c r="O12" i="49"/>
  <c r="K10" i="49"/>
  <c r="N10" i="49"/>
  <c r="I47" i="44"/>
  <c r="I51" i="44"/>
  <c r="I44" i="44"/>
  <c r="I45" i="44"/>
  <c r="I46" i="44"/>
  <c r="O11" i="49"/>
  <c r="P11" i="49"/>
  <c r="L10" i="49"/>
  <c r="I10" i="47"/>
  <c r="S12" i="49"/>
  <c r="T12" i="49"/>
  <c r="L11" i="49"/>
  <c r="K11" i="49"/>
  <c r="O10" i="49"/>
  <c r="P10" i="49"/>
  <c r="M12" i="49"/>
  <c r="N12" i="49"/>
  <c r="R12" i="49"/>
  <c r="O10" i="47"/>
  <c r="L12" i="49"/>
  <c r="K12" i="49"/>
  <c r="T10" i="49"/>
  <c r="S10" i="49"/>
  <c r="Q11" i="49"/>
  <c r="R11" i="49"/>
  <c r="R10" i="49"/>
  <c r="N11" i="49"/>
  <c r="R51" i="44"/>
  <c r="R46" i="44"/>
  <c r="R47" i="44"/>
  <c r="R44" i="44"/>
  <c r="M10" i="49"/>
  <c r="L51" i="44"/>
  <c r="L46" i="44"/>
  <c r="L44" i="44"/>
  <c r="L47" i="44"/>
  <c r="AR10" i="49"/>
  <c r="U10" i="49" s="1"/>
  <c r="AM12" i="49"/>
  <c r="P12" i="49" s="1"/>
  <c r="AQ11" i="49"/>
  <c r="T11" i="49" s="1"/>
  <c r="AR11" i="49"/>
  <c r="AR12" i="49"/>
  <c r="U12" i="49" s="1"/>
  <c r="E22" i="51"/>
  <c r="E21" i="51"/>
  <c r="E23" i="51"/>
  <c r="X44" i="45"/>
  <c r="Y44" i="45"/>
  <c r="W44" i="45"/>
  <c r="Z44" i="45"/>
  <c r="AR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X6" i="46" a="1"/>
  <c r="X6" i="46" s="1"/>
  <c r="W6" i="46" a="1"/>
  <c r="W6" i="46" s="1"/>
  <c r="W21" i="46" s="1"/>
  <c r="V6" i="46" a="1"/>
  <c r="V6" i="46" s="1"/>
  <c r="V21" i="46" s="1"/>
  <c r="U6" i="46" a="1"/>
  <c r="U6" i="46" s="1"/>
  <c r="T6" i="46" a="1"/>
  <c r="T6" i="46" s="1"/>
  <c r="S6" i="46" a="1"/>
  <c r="S6" i="46" s="1"/>
  <c r="R6" i="46" a="1"/>
  <c r="R6" i="46" s="1"/>
  <c r="Q6" i="46" a="1"/>
  <c r="Q6" i="46" s="1"/>
  <c r="P6" i="46" a="1"/>
  <c r="P6" i="46" s="1"/>
  <c r="O6" i="46" a="1"/>
  <c r="O6" i="46" s="1"/>
  <c r="N6" i="46" a="1"/>
  <c r="N6" i="46" s="1"/>
  <c r="M6" i="46" a="1"/>
  <c r="M6" i="46" s="1"/>
  <c r="L6" i="46" a="1"/>
  <c r="L6" i="46" s="1"/>
  <c r="K6" i="46" a="1"/>
  <c r="K6" i="46" s="1"/>
  <c r="J6" i="46" a="1"/>
  <c r="J6" i="46" s="1"/>
  <c r="I6" i="46" a="1"/>
  <c r="I6" i="46" s="1"/>
  <c r="H6" i="46" a="1"/>
  <c r="H6" i="46" s="1"/>
  <c r="G6" i="46" a="1"/>
  <c r="G6" i="46" s="1"/>
  <c r="F6" i="46" a="1"/>
  <c r="F6" i="46" s="1"/>
  <c r="Y8" i="46" a="1"/>
  <c r="Y8" i="46" s="1"/>
  <c r="X8" i="46" a="1"/>
  <c r="X8" i="46" s="1"/>
  <c r="Z27" i="49" l="1"/>
  <c r="T42" i="44"/>
  <c r="T40" i="44"/>
  <c r="T41" i="44" s="1"/>
  <c r="N44" i="44"/>
  <c r="W8" i="47"/>
  <c r="Z42" i="44"/>
  <c r="N46" i="44"/>
  <c r="K10" i="47"/>
  <c r="R10" i="47"/>
  <c r="S10" i="47"/>
  <c r="U46" i="44"/>
  <c r="U8" i="47"/>
  <c r="U47" i="44"/>
  <c r="U44" i="44"/>
  <c r="U51" i="44"/>
  <c r="V47" i="44"/>
  <c r="X54" i="44"/>
  <c r="X52" i="44"/>
  <c r="W52" i="44"/>
  <c r="Z41" i="44"/>
  <c r="W54" i="44"/>
  <c r="V44" i="44"/>
  <c r="V51" i="44"/>
  <c r="X53" i="44"/>
  <c r="V46" i="44"/>
  <c r="C16" i="51"/>
  <c r="C15" i="51"/>
  <c r="C17" i="51"/>
  <c r="C18" i="51"/>
  <c r="C19" i="51"/>
  <c r="C20" i="51"/>
  <c r="J16" i="51"/>
  <c r="J17" i="51"/>
  <c r="J18" i="51"/>
  <c r="J19" i="51"/>
  <c r="J20" i="51"/>
  <c r="J15" i="51"/>
  <c r="D20" i="51"/>
  <c r="D16" i="51"/>
  <c r="D18" i="51"/>
  <c r="D19" i="51"/>
  <c r="D15" i="51"/>
  <c r="D17" i="51"/>
  <c r="I27" i="49"/>
  <c r="R27" i="49"/>
  <c r="B8" i="51" s="1"/>
  <c r="L27" i="49"/>
  <c r="N51" i="44"/>
  <c r="U11" i="49"/>
  <c r="N47" i="44"/>
  <c r="N45" i="44"/>
  <c r="Q51" i="44"/>
  <c r="Q47" i="44"/>
  <c r="Q44" i="44"/>
  <c r="N10" i="47"/>
  <c r="Q46" i="44"/>
  <c r="Q45" i="44"/>
  <c r="G10" i="47"/>
  <c r="J46" i="44"/>
  <c r="J51" i="44"/>
  <c r="J44" i="44"/>
  <c r="J47" i="44"/>
  <c r="J45" i="44"/>
  <c r="R42" i="44"/>
  <c r="R40" i="44"/>
  <c r="R41" i="44" s="1"/>
  <c r="Q12" i="49"/>
  <c r="M47" i="44"/>
  <c r="M51" i="44"/>
  <c r="M44" i="44"/>
  <c r="J10" i="47"/>
  <c r="M46" i="44"/>
  <c r="M45" i="44"/>
  <c r="O44" i="44"/>
  <c r="L10" i="47"/>
  <c r="O47" i="44"/>
  <c r="O51" i="44"/>
  <c r="O46" i="44"/>
  <c r="O45" i="44"/>
  <c r="N40" i="44"/>
  <c r="N41" i="44" s="1"/>
  <c r="N42" i="44"/>
  <c r="Q10" i="47"/>
  <c r="L40" i="44"/>
  <c r="L41" i="44" s="1"/>
  <c r="L42" i="44"/>
  <c r="S51" i="44"/>
  <c r="S44" i="44"/>
  <c r="S47" i="44"/>
  <c r="P10" i="47"/>
  <c r="S46" i="44"/>
  <c r="S45" i="44"/>
  <c r="I40" i="44"/>
  <c r="I41" i="44" s="1"/>
  <c r="I42" i="44"/>
  <c r="P45" i="44"/>
  <c r="P46" i="44"/>
  <c r="P51" i="44"/>
  <c r="M10" i="47"/>
  <c r="P44" i="44"/>
  <c r="P47" i="44"/>
  <c r="K51" i="44"/>
  <c r="K47" i="44"/>
  <c r="H10" i="47"/>
  <c r="K44" i="44"/>
  <c r="K46" i="44"/>
  <c r="K45" i="44"/>
  <c r="AS10" i="49"/>
  <c r="V10" i="49" s="1"/>
  <c r="AS12" i="49"/>
  <c r="V12" i="49" s="1"/>
  <c r="F22" i="51"/>
  <c r="AS11" i="49"/>
  <c r="V11" i="49" s="1"/>
  <c r="F23" i="51"/>
  <c r="F21" i="51"/>
  <c r="G33" i="51"/>
  <c r="H33" i="51"/>
  <c r="I33" i="51"/>
  <c r="U19" i="50"/>
  <c r="AQ7" i="36" s="1"/>
  <c r="Z7" i="46"/>
  <c r="Z9" i="46" s="1"/>
  <c r="W32" i="47"/>
  <c r="AA30" i="36" s="1"/>
  <c r="AA35" i="36"/>
  <c r="AA42" i="36"/>
  <c r="AA34" i="36"/>
  <c r="AA41" i="36"/>
  <c r="AA31" i="36"/>
  <c r="AA40" i="36"/>
  <c r="Z26" i="36"/>
  <c r="Z24" i="36"/>
  <c r="Z14" i="36"/>
  <c r="U27" i="49" l="1"/>
  <c r="V27" i="49"/>
  <c r="R8" i="47"/>
  <c r="S8" i="47"/>
  <c r="U42" i="44"/>
  <c r="U43" i="44" s="1"/>
  <c r="U40" i="44"/>
  <c r="U41" i="44" s="1"/>
  <c r="W44" i="44"/>
  <c r="W51" i="44"/>
  <c r="W47" i="44"/>
  <c r="W45" i="44"/>
  <c r="W46" i="44"/>
  <c r="V40" i="44"/>
  <c r="V41" i="44" s="1"/>
  <c r="V42" i="44"/>
  <c r="Y53" i="44"/>
  <c r="Y52" i="44"/>
  <c r="Y54" i="44"/>
  <c r="E20" i="51"/>
  <c r="E17" i="51"/>
  <c r="E18" i="51"/>
  <c r="E19" i="51"/>
  <c r="E15" i="51"/>
  <c r="E16" i="51"/>
  <c r="AA44" i="36"/>
  <c r="Q27" i="49"/>
  <c r="N27" i="49"/>
  <c r="P27" i="49"/>
  <c r="J27" i="49"/>
  <c r="S27" i="49"/>
  <c r="C8" i="51" s="1"/>
  <c r="O27" i="49"/>
  <c r="J8" i="51"/>
  <c r="K27" i="49"/>
  <c r="D8" i="51"/>
  <c r="M27" i="49"/>
  <c r="P42" i="44"/>
  <c r="P40" i="44"/>
  <c r="P41" i="44" s="1"/>
  <c r="O42" i="44"/>
  <c r="O40" i="44"/>
  <c r="O41" i="44" s="1"/>
  <c r="J13" i="51"/>
  <c r="J14" i="51"/>
  <c r="J42" i="44"/>
  <c r="J40" i="44"/>
  <c r="J41" i="44" s="1"/>
  <c r="K42" i="44"/>
  <c r="K40" i="44"/>
  <c r="K41" i="44" s="1"/>
  <c r="Q42" i="44"/>
  <c r="Q40" i="44"/>
  <c r="Q41" i="44" s="1"/>
  <c r="M42" i="44"/>
  <c r="M40" i="44"/>
  <c r="M41" i="44" s="1"/>
  <c r="S42" i="44"/>
  <c r="C14" i="51" s="1"/>
  <c r="S40" i="44"/>
  <c r="S41" i="44" s="1"/>
  <c r="AT10" i="49"/>
  <c r="W10" i="49" s="1"/>
  <c r="G22" i="51"/>
  <c r="AT11" i="49"/>
  <c r="AT12" i="49"/>
  <c r="W12" i="49" s="1"/>
  <c r="G21" i="51"/>
  <c r="G23" i="51"/>
  <c r="B13" i="51"/>
  <c r="Z4" i="36"/>
  <c r="B14" i="51"/>
  <c r="D14" i="51"/>
  <c r="W27" i="49" l="1"/>
  <c r="V43" i="44"/>
  <c r="X44" i="44"/>
  <c r="X51" i="44"/>
  <c r="X47" i="44"/>
  <c r="X45" i="44"/>
  <c r="X46" i="44"/>
  <c r="W40" i="44"/>
  <c r="W41" i="44" s="1"/>
  <c r="W42" i="44"/>
  <c r="W43" i="44" s="1"/>
  <c r="F16" i="51"/>
  <c r="F15" i="51"/>
  <c r="F20" i="51"/>
  <c r="F17" i="51"/>
  <c r="F19" i="51"/>
  <c r="F18" i="51"/>
  <c r="C13" i="51"/>
  <c r="E8" i="51"/>
  <c r="W11" i="49"/>
  <c r="D13" i="51"/>
  <c r="AU12" i="49"/>
  <c r="AU10" i="49"/>
  <c r="X10" i="49" s="1"/>
  <c r="H22" i="51"/>
  <c r="AU11" i="49"/>
  <c r="X11" i="49" s="1"/>
  <c r="AB70" i="44"/>
  <c r="H23" i="51"/>
  <c r="H21" i="51"/>
  <c r="AB72" i="44"/>
  <c r="AB71" i="44"/>
  <c r="P50" i="37"/>
  <c r="X27" i="49" l="1"/>
  <c r="Y44" i="44"/>
  <c r="Y51" i="44"/>
  <c r="Y46" i="44"/>
  <c r="Y45" i="44"/>
  <c r="Y47" i="44"/>
  <c r="X40" i="44"/>
  <c r="X41" i="44" s="1"/>
  <c r="X42" i="44"/>
  <c r="X43" i="44" s="1"/>
  <c r="G19" i="51"/>
  <c r="G16" i="51"/>
  <c r="G20" i="51"/>
  <c r="G18" i="51"/>
  <c r="G17" i="51"/>
  <c r="G15" i="51"/>
  <c r="F8" i="51"/>
  <c r="E14" i="51"/>
  <c r="AB69" i="44"/>
  <c r="AB65" i="44"/>
  <c r="AB67" i="44"/>
  <c r="AB68" i="44"/>
  <c r="E13" i="51"/>
  <c r="X12" i="49"/>
  <c r="AV10" i="49"/>
  <c r="AV12" i="49"/>
  <c r="Z12" i="49" s="1"/>
  <c r="AV11" i="49"/>
  <c r="I22" i="51"/>
  <c r="I21" i="51"/>
  <c r="I23" i="51"/>
  <c r="C6" i="61"/>
  <c r="B6" i="61"/>
  <c r="C5" i="61"/>
  <c r="B5" i="61"/>
  <c r="C4" i="61"/>
  <c r="B4" i="61"/>
  <c r="C3" i="61"/>
  <c r="B3" i="61"/>
  <c r="C2" i="61"/>
  <c r="B2" i="61"/>
  <c r="F2" i="57"/>
  <c r="C2" i="57"/>
  <c r="B2" i="57"/>
  <c r="A2" i="57"/>
  <c r="Y27" i="49" l="1"/>
  <c r="W38" i="47" s="1"/>
  <c r="AA43" i="36" s="1"/>
  <c r="Y40" i="44"/>
  <c r="Y41" i="44" s="1"/>
  <c r="Y42" i="44"/>
  <c r="H15" i="51"/>
  <c r="H19" i="51"/>
  <c r="H16" i="51"/>
  <c r="H20" i="51"/>
  <c r="H17" i="51"/>
  <c r="H18" i="51"/>
  <c r="AB66" i="44"/>
  <c r="G8" i="51"/>
  <c r="Y12" i="49"/>
  <c r="F14" i="51"/>
  <c r="Y11" i="49"/>
  <c r="Z11" i="49"/>
  <c r="F13" i="51"/>
  <c r="Y10" i="49"/>
  <c r="Z10" i="49"/>
  <c r="N5" i="52"/>
  <c r="N6" i="52" s="1"/>
  <c r="N7" i="52" s="1"/>
  <c r="N8" i="52" s="1"/>
  <c r="N9" i="52" s="1"/>
  <c r="N10" i="52" s="1"/>
  <c r="N13" i="52" s="1"/>
  <c r="N14" i="52" s="1"/>
  <c r="N15" i="52" s="1"/>
  <c r="N16" i="52" s="1"/>
  <c r="N17" i="52" s="1"/>
  <c r="N18" i="52" s="1"/>
  <c r="AD1" i="51"/>
  <c r="A11" i="50"/>
  <c r="A10" i="50"/>
  <c r="N39" i="47"/>
  <c r="J39" i="47"/>
  <c r="F39" i="47"/>
  <c r="Q38" i="47"/>
  <c r="S42" i="36"/>
  <c r="A31" i="48"/>
  <c r="B31" i="48"/>
  <c r="B11" i="48"/>
  <c r="A11" i="48"/>
  <c r="A8" i="46"/>
  <c r="A6" i="46"/>
  <c r="Q35" i="48" l="1" a="1"/>
  <c r="Q35" i="48" s="1"/>
  <c r="P33" i="48" a="1"/>
  <c r="P33" i="48" s="1"/>
  <c r="P35" i="48" a="1"/>
  <c r="P35" i="48" s="1"/>
  <c r="R32" i="48" a="1"/>
  <c r="R32" i="48" s="1"/>
  <c r="R31" i="48" a="1"/>
  <c r="R31" i="48" s="1"/>
  <c r="Q31" i="48" a="1"/>
  <c r="Q31" i="48" s="1"/>
  <c r="P32" i="48" a="1"/>
  <c r="P32" i="48" s="1"/>
  <c r="P31" i="48" a="1"/>
  <c r="P31" i="48" s="1"/>
  <c r="R34" i="48" a="1"/>
  <c r="R34" i="48" s="1"/>
  <c r="Q36" i="48" a="1"/>
  <c r="Q36" i="48" s="1"/>
  <c r="Q34" i="48" a="1"/>
  <c r="Q34" i="48" s="1"/>
  <c r="P36" i="48" a="1"/>
  <c r="P36" i="48" s="1"/>
  <c r="P34" i="48" a="1"/>
  <c r="P34" i="48" s="1"/>
  <c r="Q30" i="48" a="1"/>
  <c r="Q30" i="48" s="1"/>
  <c r="Q32" i="48" a="1"/>
  <c r="Q32" i="48" s="1"/>
  <c r="P30" i="48" a="1"/>
  <c r="P30" i="48" s="1"/>
  <c r="Q33" i="48" a="1"/>
  <c r="Q33" i="48" s="1"/>
  <c r="R33" i="48" a="1"/>
  <c r="R33" i="48" s="1"/>
  <c r="R30" i="48" a="1"/>
  <c r="R30" i="48" s="1"/>
  <c r="R35" i="48" a="1"/>
  <c r="R35" i="48" s="1"/>
  <c r="R36" i="48" a="1"/>
  <c r="R36" i="48" s="1"/>
  <c r="P12" i="48" a="1"/>
  <c r="P12" i="48" s="1"/>
  <c r="R17" i="48" a="1"/>
  <c r="R17" i="48" s="1"/>
  <c r="R16" i="48" a="1"/>
  <c r="R16" i="48" s="1"/>
  <c r="R15" i="48" a="1"/>
  <c r="R15" i="48" s="1"/>
  <c r="R14" i="48" a="1"/>
  <c r="R14" i="48" s="1"/>
  <c r="R10" i="48" a="1"/>
  <c r="R10" i="48" s="1"/>
  <c r="R13" i="48" a="1"/>
  <c r="R13" i="48" s="1"/>
  <c r="P17" i="48" a="1"/>
  <c r="P17" i="48" s="1"/>
  <c r="R12" i="48" a="1"/>
  <c r="R12" i="48" s="1"/>
  <c r="P16" i="48" a="1"/>
  <c r="P16" i="48" s="1"/>
  <c r="P15" i="48" a="1"/>
  <c r="P15" i="48" s="1"/>
  <c r="P10" i="48" a="1"/>
  <c r="P10" i="48" s="1"/>
  <c r="P14" i="48" a="1"/>
  <c r="P14" i="48" s="1"/>
  <c r="P13" i="48" a="1"/>
  <c r="P13" i="48" s="1"/>
  <c r="AC28" i="51"/>
  <c r="AC27" i="51"/>
  <c r="AC11" i="51"/>
  <c r="AC5" i="51"/>
  <c r="AC10" i="51"/>
  <c r="AC4" i="51"/>
  <c r="AC18" i="51"/>
  <c r="U18" i="51" s="1"/>
  <c r="AC9" i="51"/>
  <c r="P9" i="51" s="1"/>
  <c r="AC3" i="51"/>
  <c r="AC8" i="51"/>
  <c r="AC2" i="51"/>
  <c r="P2" i="51" s="1"/>
  <c r="AC15" i="51"/>
  <c r="AC14" i="51"/>
  <c r="AC13" i="51"/>
  <c r="AC12" i="51"/>
  <c r="AC21" i="51"/>
  <c r="AC33" i="51"/>
  <c r="AC7" i="51"/>
  <c r="AC24" i="51"/>
  <c r="AC6" i="51"/>
  <c r="Y43" i="44"/>
  <c r="I15" i="51"/>
  <c r="I19" i="51"/>
  <c r="I16" i="51"/>
  <c r="I18" i="51"/>
  <c r="I17" i="51"/>
  <c r="I20" i="51"/>
  <c r="H8" i="51"/>
  <c r="AB63" i="44"/>
  <c r="G13" i="51"/>
  <c r="AB62" i="44"/>
  <c r="G14" i="51"/>
  <c r="AB64" i="44"/>
  <c r="AN11" i="48" a="1"/>
  <c r="AN11" i="48" s="1"/>
  <c r="AM11" i="48" a="1"/>
  <c r="AM11" i="48" s="1"/>
  <c r="AM30" i="48" a="1"/>
  <c r="AM30" i="48" s="1"/>
  <c r="AN30" i="48" a="1"/>
  <c r="AN30"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T42" i="36"/>
  <c r="U42" i="36"/>
  <c r="T34" i="36"/>
  <c r="U34" i="36"/>
  <c r="X30" i="36"/>
  <c r="S34" i="36"/>
  <c r="U43" i="36"/>
  <c r="T43" i="36"/>
  <c r="T26" i="36"/>
  <c r="T14" i="36"/>
  <c r="T24" i="36"/>
  <c r="T4" i="36"/>
  <c r="W7" i="46"/>
  <c r="S7" i="46"/>
  <c r="O7" i="46"/>
  <c r="K7" i="46"/>
  <c r="I38" i="47"/>
  <c r="M38" i="47"/>
  <c r="J38" i="47"/>
  <c r="N38" i="47"/>
  <c r="V38" i="47"/>
  <c r="T39" i="47"/>
  <c r="X44" i="36" s="1"/>
  <c r="O39" i="47"/>
  <c r="K39" i="47"/>
  <c r="R38" i="47"/>
  <c r="V43" i="36" s="1"/>
  <c r="R39" i="47"/>
  <c r="V44" i="36" s="1"/>
  <c r="G39" i="47"/>
  <c r="F38" i="47"/>
  <c r="V39" i="47"/>
  <c r="Q39" i="47"/>
  <c r="M39" i="47"/>
  <c r="I39" i="47"/>
  <c r="U38" i="47"/>
  <c r="P38" i="47"/>
  <c r="S43" i="36" s="1"/>
  <c r="L38" i="47"/>
  <c r="H38" i="47"/>
  <c r="X42" i="36"/>
  <c r="U39" i="47"/>
  <c r="P39" i="47"/>
  <c r="S44" i="36" s="1"/>
  <c r="L39" i="47"/>
  <c r="H39" i="47"/>
  <c r="T38" i="47"/>
  <c r="X43" i="36" s="1"/>
  <c r="O38" i="47"/>
  <c r="K38" i="47"/>
  <c r="G38" i="47"/>
  <c r="V42" i="36"/>
  <c r="S39" i="47"/>
  <c r="W44" i="36" s="1"/>
  <c r="S38" i="47"/>
  <c r="W43" i="36" s="1"/>
  <c r="W42" i="36"/>
  <c r="N7" i="46"/>
  <c r="J7" i="46"/>
  <c r="G9" i="46"/>
  <c r="W9" i="46"/>
  <c r="H7" i="46"/>
  <c r="L7" i="46"/>
  <c r="P7" i="46"/>
  <c r="T7" i="46"/>
  <c r="X7" i="46"/>
  <c r="M9" i="46"/>
  <c r="H9" i="46"/>
  <c r="L9" i="46"/>
  <c r="P9" i="46"/>
  <c r="T9" i="46"/>
  <c r="X9" i="46"/>
  <c r="I7" i="46"/>
  <c r="M7" i="46"/>
  <c r="Q7" i="46"/>
  <c r="F9" i="46"/>
  <c r="J9" i="46"/>
  <c r="N9" i="46"/>
  <c r="R9" i="46"/>
  <c r="AA33" i="51" l="1"/>
  <c r="Z33" i="51"/>
  <c r="Q33" i="51"/>
  <c r="W33" i="51"/>
  <c r="T33" i="51"/>
  <c r="Y33" i="51"/>
  <c r="X33" i="51"/>
  <c r="V33" i="51"/>
  <c r="U33" i="51"/>
  <c r="P33" i="51"/>
  <c r="R33" i="51"/>
  <c r="S33" i="51"/>
  <c r="V18" i="51"/>
  <c r="W18" i="51"/>
  <c r="Q18" i="51"/>
  <c r="R18" i="51"/>
  <c r="P18" i="51"/>
  <c r="S18" i="51"/>
  <c r="T18" i="51"/>
  <c r="W9" i="51"/>
  <c r="Z9" i="51"/>
  <c r="Q9" i="51"/>
  <c r="AA9" i="51"/>
  <c r="V9" i="51"/>
  <c r="X9" i="51"/>
  <c r="U9" i="51"/>
  <c r="T9" i="51"/>
  <c r="R9" i="51"/>
  <c r="Y9" i="51"/>
  <c r="S9" i="51"/>
  <c r="X11" i="51"/>
  <c r="V11" i="51"/>
  <c r="AA11" i="51"/>
  <c r="Y11" i="51"/>
  <c r="U11" i="51"/>
  <c r="P11" i="51"/>
  <c r="W11" i="51"/>
  <c r="S11" i="51"/>
  <c r="T11" i="51"/>
  <c r="Z11" i="51"/>
  <c r="Q11" i="51"/>
  <c r="R11" i="51"/>
  <c r="P12" i="51"/>
  <c r="R12" i="51"/>
  <c r="AA12" i="51"/>
  <c r="Q12" i="51"/>
  <c r="S12" i="51"/>
  <c r="T12" i="51"/>
  <c r="U12" i="51"/>
  <c r="V12" i="51"/>
  <c r="W12" i="51"/>
  <c r="X12" i="51"/>
  <c r="Y12" i="51"/>
  <c r="Z12" i="51"/>
  <c r="Q10" i="51"/>
  <c r="W10" i="51"/>
  <c r="R10" i="51"/>
  <c r="T10" i="51"/>
  <c r="X10" i="51"/>
  <c r="S10" i="51"/>
  <c r="P10" i="51"/>
  <c r="AA10" i="51"/>
  <c r="Z10" i="51"/>
  <c r="U10" i="51"/>
  <c r="Y10" i="51"/>
  <c r="V10" i="51"/>
  <c r="I8" i="51"/>
  <c r="V8" i="51" s="1"/>
  <c r="Q4" i="51"/>
  <c r="R4" i="51"/>
  <c r="T4" i="51"/>
  <c r="S4" i="51"/>
  <c r="V4" i="51"/>
  <c r="W4" i="51"/>
  <c r="P4" i="51"/>
  <c r="U4" i="51"/>
  <c r="Q7" i="51"/>
  <c r="V7" i="51"/>
  <c r="S7" i="51"/>
  <c r="R7" i="51"/>
  <c r="T7" i="51"/>
  <c r="W7" i="51"/>
  <c r="P7" i="51"/>
  <c r="U7" i="51"/>
  <c r="Q2" i="51"/>
  <c r="V2" i="51"/>
  <c r="T2" i="51"/>
  <c r="U2" i="51"/>
  <c r="R2" i="51"/>
  <c r="W2" i="51"/>
  <c r="S2" i="51"/>
  <c r="Q8" i="51"/>
  <c r="U8" i="51"/>
  <c r="S8" i="51"/>
  <c r="T8" i="51"/>
  <c r="W8" i="51"/>
  <c r="R8" i="51"/>
  <c r="P8" i="51"/>
  <c r="T6" i="51"/>
  <c r="U6" i="51"/>
  <c r="P6" i="51"/>
  <c r="S6" i="51"/>
  <c r="V6" i="51"/>
  <c r="R6" i="51"/>
  <c r="Q6" i="51"/>
  <c r="W6" i="51"/>
  <c r="R5" i="51"/>
  <c r="V5" i="51"/>
  <c r="S5" i="51"/>
  <c r="P5" i="51"/>
  <c r="T5" i="51"/>
  <c r="W5" i="51"/>
  <c r="U5" i="51"/>
  <c r="Q5" i="51"/>
  <c r="Y8" i="47"/>
  <c r="AC19" i="36"/>
  <c r="AB11" i="36"/>
  <c r="AC11" i="36"/>
  <c r="AD11" i="36"/>
  <c r="AB23" i="36"/>
  <c r="AC15" i="36"/>
  <c r="AD15" i="36"/>
  <c r="AC27" i="36"/>
  <c r="AD27" i="36"/>
  <c r="AD7" i="36"/>
  <c r="AC25" i="36"/>
  <c r="AC9" i="36"/>
  <c r="AA25" i="44"/>
  <c r="AB9" i="36"/>
  <c r="AC17" i="36"/>
  <c r="AD17" i="36"/>
  <c r="AB17" i="36"/>
  <c r="AB21" i="36"/>
  <c r="AC21" i="36"/>
  <c r="X12" i="47"/>
  <c r="AA23" i="44" s="1"/>
  <c r="AC5" i="36"/>
  <c r="AC13" i="36"/>
  <c r="AD13" i="36"/>
  <c r="AA27" i="44"/>
  <c r="H14" i="51"/>
  <c r="H13" i="51"/>
  <c r="AD25" i="36"/>
  <c r="AD21" i="36"/>
  <c r="AD9" i="36"/>
  <c r="AD23" i="36"/>
  <c r="AC23" i="36"/>
  <c r="AD19" i="36"/>
  <c r="AB19" i="36"/>
  <c r="AA28" i="44"/>
  <c r="AA26" i="44"/>
  <c r="X13" i="47"/>
  <c r="AA24" i="44" s="1"/>
  <c r="AC7" i="36"/>
  <c r="AD5" i="36"/>
  <c r="X8" i="47"/>
  <c r="AA9" i="44" s="1"/>
  <c r="Z8" i="47"/>
  <c r="AA8" i="47"/>
  <c r="AQ30" i="48"/>
  <c r="AR22" i="48"/>
  <c r="AP23" i="48"/>
  <c r="AP31" i="48"/>
  <c r="AP12" i="48"/>
  <c r="AP20" i="48"/>
  <c r="AP13" i="48"/>
  <c r="AP21" i="48"/>
  <c r="AP22" i="48"/>
  <c r="AP30" i="48"/>
  <c r="AR23" i="48"/>
  <c r="AR31" i="48"/>
  <c r="AR12" i="48"/>
  <c r="AR20" i="48"/>
  <c r="AR13" i="48"/>
  <c r="AR21" i="48"/>
  <c r="AR30" i="48"/>
  <c r="AQ31" i="48"/>
  <c r="AQ12" i="48"/>
  <c r="AQ20" i="48"/>
  <c r="AQ13" i="48"/>
  <c r="AQ21" i="48"/>
  <c r="AQ23" i="48"/>
  <c r="AQ22" i="48"/>
  <c r="Z31" i="36"/>
  <c r="Z41" i="36"/>
  <c r="Z30" i="36"/>
  <c r="Z40" i="36"/>
  <c r="Z44" i="36"/>
  <c r="Z34" i="36"/>
  <c r="Z42" i="36"/>
  <c r="Z43" i="36"/>
  <c r="Z35" i="36"/>
  <c r="AR11" i="48"/>
  <c r="AP11" i="48"/>
  <c r="AQ11" i="48"/>
  <c r="W31" i="36"/>
  <c r="W34" i="36"/>
  <c r="W35" i="36"/>
  <c r="W40" i="36"/>
  <c r="W41" i="36"/>
  <c r="W30" i="36"/>
  <c r="S30" i="36"/>
  <c r="Y30" i="36"/>
  <c r="U31" i="36"/>
  <c r="T31" i="36"/>
  <c r="V34" i="36"/>
  <c r="X35" i="36"/>
  <c r="S40" i="36"/>
  <c r="Y40" i="36"/>
  <c r="U41" i="36"/>
  <c r="T41" i="36"/>
  <c r="Y44" i="36"/>
  <c r="T30" i="36"/>
  <c r="U30" i="36"/>
  <c r="V31" i="36"/>
  <c r="X34" i="36"/>
  <c r="S35" i="36"/>
  <c r="Y35" i="36"/>
  <c r="T40" i="36"/>
  <c r="U40" i="36"/>
  <c r="V41" i="36"/>
  <c r="Y43" i="36"/>
  <c r="T44" i="36"/>
  <c r="U44" i="36"/>
  <c r="V30" i="36"/>
  <c r="V35" i="36"/>
  <c r="V40" i="36"/>
  <c r="Y31" i="36"/>
  <c r="X31" i="36"/>
  <c r="Y34" i="36"/>
  <c r="T35" i="36"/>
  <c r="U35" i="36"/>
  <c r="Y41" i="36"/>
  <c r="X41" i="36"/>
  <c r="Y42" i="36"/>
  <c r="S41" i="36"/>
  <c r="X40" i="36"/>
  <c r="S31" i="36"/>
  <c r="I9" i="46"/>
  <c r="O9" i="46"/>
  <c r="U9" i="46"/>
  <c r="Y7" i="46"/>
  <c r="K9" i="46"/>
  <c r="S9" i="46"/>
  <c r="Y9" i="46"/>
  <c r="U7" i="46"/>
  <c r="Q9" i="46"/>
  <c r="R7" i="46"/>
  <c r="V7" i="46"/>
  <c r="V9" i="46"/>
  <c r="AB9" i="44" l="1"/>
  <c r="AC9" i="44" s="1"/>
  <c r="AD9" i="44" s="1"/>
  <c r="AB26" i="44"/>
  <c r="AC26" i="44" s="1"/>
  <c r="AD26" i="44" s="1"/>
  <c r="AB28" i="44"/>
  <c r="AC28" i="44" s="1"/>
  <c r="AD28" i="44" s="1"/>
  <c r="AA40" i="44"/>
  <c r="AA41" i="44" s="1"/>
  <c r="AA10" i="44"/>
  <c r="X9" i="47" s="1"/>
  <c r="AA15" i="44"/>
  <c r="AA53" i="44" s="1"/>
  <c r="AA18" i="44"/>
  <c r="AB24" i="44"/>
  <c r="AC24" i="44" s="1"/>
  <c r="AD24" i="44" s="1"/>
  <c r="AA14" i="44"/>
  <c r="AB27" i="44"/>
  <c r="AB25" i="44"/>
  <c r="AB23" i="44"/>
  <c r="I14" i="51"/>
  <c r="I13" i="51"/>
  <c r="AA4" i="36"/>
  <c r="AA5" i="36"/>
  <c r="AA15" i="36"/>
  <c r="AA14" i="36"/>
  <c r="AA27" i="36"/>
  <c r="AA26" i="36"/>
  <c r="AA17" i="36"/>
  <c r="AA16" i="36"/>
  <c r="AA8" i="36"/>
  <c r="AA9" i="36"/>
  <c r="AA21" i="36"/>
  <c r="AA20" i="36"/>
  <c r="AA7" i="36"/>
  <c r="AA6" i="36"/>
  <c r="AA19" i="36"/>
  <c r="AA18" i="36"/>
  <c r="AA11" i="36"/>
  <c r="AA10" i="36"/>
  <c r="AA23" i="36"/>
  <c r="AA22" i="36"/>
  <c r="AA13" i="36"/>
  <c r="AA12" i="36"/>
  <c r="AA24" i="36"/>
  <c r="AA25" i="36"/>
  <c r="AL9" i="49"/>
  <c r="AH9" i="49"/>
  <c r="AI9" i="49"/>
  <c r="AJ9" i="49"/>
  <c r="AK9" i="49"/>
  <c r="AM9" i="49"/>
  <c r="AN9" i="49"/>
  <c r="AO9" i="49"/>
  <c r="AP9" i="49"/>
  <c r="S4" i="36"/>
  <c r="U4" i="36"/>
  <c r="W4" i="36"/>
  <c r="X4" i="36"/>
  <c r="S14" i="36"/>
  <c r="U14" i="36"/>
  <c r="V14" i="36"/>
  <c r="X14" i="36"/>
  <c r="S24" i="36"/>
  <c r="U24" i="36"/>
  <c r="W24" i="36"/>
  <c r="X24" i="36"/>
  <c r="S26" i="36"/>
  <c r="V26" i="36"/>
  <c r="W26" i="36"/>
  <c r="X26" i="36"/>
  <c r="AA11" i="44" l="1"/>
  <c r="AB10" i="44"/>
  <c r="AB40" i="44"/>
  <c r="AB41" i="44" s="1"/>
  <c r="AB14" i="44"/>
  <c r="AB15" i="44"/>
  <c r="AB53" i="44" s="1"/>
  <c r="AA52" i="44"/>
  <c r="AA54" i="44"/>
  <c r="AB18" i="44"/>
  <c r="AB54" i="44" s="1"/>
  <c r="AC23" i="44"/>
  <c r="AC25" i="44"/>
  <c r="AC27" i="44"/>
  <c r="AX10" i="49"/>
  <c r="O19" i="50"/>
  <c r="AK6" i="36" s="1"/>
  <c r="R9" i="49"/>
  <c r="M9" i="49"/>
  <c r="P9" i="49"/>
  <c r="AG9" i="49"/>
  <c r="K9" i="49" s="1"/>
  <c r="S9" i="49"/>
  <c r="N9" i="49"/>
  <c r="L9" i="49"/>
  <c r="O9" i="49"/>
  <c r="Q9" i="49"/>
  <c r="AV9" i="49"/>
  <c r="Z9" i="49" s="1"/>
  <c r="AU9" i="49"/>
  <c r="AT9" i="49"/>
  <c r="AS9" i="49"/>
  <c r="AR9" i="49"/>
  <c r="AQ9" i="49"/>
  <c r="T9" i="49" s="1"/>
  <c r="U26" i="36"/>
  <c r="V24" i="36"/>
  <c r="W14" i="36"/>
  <c r="V4" i="36"/>
  <c r="N19" i="50"/>
  <c r="AA10" i="49" l="1"/>
  <c r="AA45" i="44"/>
  <c r="AX9" i="49"/>
  <c r="AA9" i="49" s="1"/>
  <c r="AC10" i="44"/>
  <c r="AC40" i="44"/>
  <c r="AC41" i="44" s="1"/>
  <c r="AA46" i="44"/>
  <c r="AA44" i="44"/>
  <c r="AA51" i="44"/>
  <c r="AC18" i="44"/>
  <c r="AC54" i="44" s="1"/>
  <c r="AA47" i="44"/>
  <c r="AB11" i="44"/>
  <c r="AB45" i="44" s="1"/>
  <c r="AC15" i="44"/>
  <c r="AC14" i="44"/>
  <c r="AC52" i="44" s="1"/>
  <c r="AB52" i="44"/>
  <c r="AD25" i="44"/>
  <c r="AD27" i="44"/>
  <c r="AD23" i="44"/>
  <c r="D42" i="52"/>
  <c r="D41" i="52"/>
  <c r="K23" i="51"/>
  <c r="K21" i="51"/>
  <c r="K22" i="51"/>
  <c r="D40" i="52"/>
  <c r="AX12" i="49"/>
  <c r="AA12" i="49" s="1"/>
  <c r="AY10" i="49"/>
  <c r="AB10" i="49" s="1"/>
  <c r="H19" i="50"/>
  <c r="AJ6" i="36"/>
  <c r="L19" i="50"/>
  <c r="J19" i="50"/>
  <c r="P19" i="50"/>
  <c r="AL6" i="36" s="1"/>
  <c r="R19" i="50"/>
  <c r="X9" i="49"/>
  <c r="U9" i="49"/>
  <c r="Y26" i="36"/>
  <c r="Y4" i="36"/>
  <c r="Y14" i="36"/>
  <c r="Y24" i="36"/>
  <c r="V9" i="49"/>
  <c r="W9" i="49"/>
  <c r="AB13" i="36"/>
  <c r="AB15" i="36"/>
  <c r="AB27" i="36"/>
  <c r="AB25" i="36"/>
  <c r="AB7" i="36"/>
  <c r="AB5" i="36"/>
  <c r="Y9" i="49"/>
  <c r="S19" i="50"/>
  <c r="AO6" i="36" s="1"/>
  <c r="T19" i="50"/>
  <c r="Y32" i="47" l="1"/>
  <c r="Y33" i="47"/>
  <c r="X37" i="47"/>
  <c r="X36" i="47"/>
  <c r="AA26" i="49"/>
  <c r="AA25" i="49"/>
  <c r="X33" i="47"/>
  <c r="AA21" i="49"/>
  <c r="AB21" i="49" s="1"/>
  <c r="AA22" i="49"/>
  <c r="X32" i="47"/>
  <c r="AB46" i="44"/>
  <c r="AD10" i="44"/>
  <c r="AD40" i="44"/>
  <c r="AD41" i="44" s="1"/>
  <c r="AC53" i="44"/>
  <c r="AB47" i="44"/>
  <c r="AD15" i="44"/>
  <c r="AD53" i="44" s="1"/>
  <c r="AB44" i="44"/>
  <c r="AB51" i="44"/>
  <c r="AD14" i="44"/>
  <c r="AD52" i="44" s="1"/>
  <c r="AD18" i="44"/>
  <c r="AA12" i="44"/>
  <c r="AA42" i="44" s="1"/>
  <c r="I16" i="52"/>
  <c r="B9" i="56" s="1"/>
  <c r="L23" i="51"/>
  <c r="AX11" i="49"/>
  <c r="AA11" i="49" s="1"/>
  <c r="L21" i="51"/>
  <c r="AY12" i="49"/>
  <c r="AB12" i="49" s="1"/>
  <c r="AZ10" i="49"/>
  <c r="AC10" i="49" s="1"/>
  <c r="L22" i="51"/>
  <c r="AN6" i="36"/>
  <c r="AH6" i="36"/>
  <c r="K19" i="50"/>
  <c r="AG6" i="36" s="1"/>
  <c r="I19" i="50"/>
  <c r="M19" i="50"/>
  <c r="AI6" i="36" s="1"/>
  <c r="Q19" i="50"/>
  <c r="Q8" i="47"/>
  <c r="J8" i="47"/>
  <c r="AP7" i="36"/>
  <c r="AO7" i="36"/>
  <c r="G8" i="47"/>
  <c r="K8" i="47"/>
  <c r="M8" i="47"/>
  <c r="N8" i="47"/>
  <c r="H8" i="47"/>
  <c r="L8" i="47"/>
  <c r="P8" i="47"/>
  <c r="I8" i="47"/>
  <c r="O8" i="47"/>
  <c r="X34" i="47" l="1"/>
  <c r="X35" i="47"/>
  <c r="AA23" i="49"/>
  <c r="K4" i="51" s="1"/>
  <c r="X4" i="51" s="1"/>
  <c r="I11" i="52" s="1"/>
  <c r="B4" i="56" s="1"/>
  <c r="AA24" i="49"/>
  <c r="K5" i="51" s="1"/>
  <c r="X5" i="51" s="1"/>
  <c r="I12" i="52" s="1"/>
  <c r="B5" i="56" s="1"/>
  <c r="AX22" i="49"/>
  <c r="AB22" i="49"/>
  <c r="AC21" i="49"/>
  <c r="AB25" i="49"/>
  <c r="Y36" i="47"/>
  <c r="Y37" i="47"/>
  <c r="AB26" i="49"/>
  <c r="AX26" i="49"/>
  <c r="Z33" i="47"/>
  <c r="Z32" i="47"/>
  <c r="K3" i="51"/>
  <c r="AD54" i="44"/>
  <c r="N23" i="51" s="1"/>
  <c r="AC11" i="44"/>
  <c r="AC12" i="44" s="1"/>
  <c r="AC42" i="44" s="1"/>
  <c r="AB12" i="44"/>
  <c r="AB42" i="44" s="1"/>
  <c r="I18" i="52"/>
  <c r="B11" i="56" s="1"/>
  <c r="I19" i="52"/>
  <c r="B12" i="56" s="1"/>
  <c r="I17" i="52"/>
  <c r="B10" i="56" s="1"/>
  <c r="K16" i="51"/>
  <c r="K19" i="51"/>
  <c r="K20" i="51"/>
  <c r="K15" i="51"/>
  <c r="X15" i="51" s="1"/>
  <c r="D13" i="52" s="1"/>
  <c r="B2" i="55" s="1"/>
  <c r="K17" i="51"/>
  <c r="K18" i="51"/>
  <c r="X18" i="51" s="1"/>
  <c r="AY11" i="49"/>
  <c r="AB11" i="49" s="1"/>
  <c r="M23" i="51"/>
  <c r="AZ11" i="49"/>
  <c r="X11" i="47"/>
  <c r="M21" i="51"/>
  <c r="BA12" i="49"/>
  <c r="M22" i="51"/>
  <c r="C25" i="51"/>
  <c r="C26" i="51" s="1"/>
  <c r="AM6" i="36"/>
  <c r="D16" i="52" l="1"/>
  <c r="B5" i="55" s="1"/>
  <c r="AC22" i="49"/>
  <c r="AA27" i="49"/>
  <c r="AY22" i="49"/>
  <c r="Y35" i="47"/>
  <c r="Y34" i="47"/>
  <c r="AB24" i="49"/>
  <c r="AX24" i="49"/>
  <c r="AA29" i="49"/>
  <c r="AB23" i="49"/>
  <c r="AY26" i="49"/>
  <c r="AA28" i="49"/>
  <c r="AB38" i="49"/>
  <c r="K6" i="51"/>
  <c r="X6" i="51" s="1"/>
  <c r="I13" i="52" s="1"/>
  <c r="B6" i="56" s="1"/>
  <c r="AC44" i="44"/>
  <c r="AC51" i="44"/>
  <c r="AC46" i="44"/>
  <c r="AC47" i="44"/>
  <c r="AC45" i="44"/>
  <c r="P31" i="37"/>
  <c r="P29" i="37"/>
  <c r="P30" i="37"/>
  <c r="AD11" i="44"/>
  <c r="L16" i="51"/>
  <c r="L18" i="51"/>
  <c r="Y18" i="51" s="1"/>
  <c r="L19" i="51"/>
  <c r="L15" i="51"/>
  <c r="L20" i="51"/>
  <c r="L17" i="51"/>
  <c r="BA10" i="49"/>
  <c r="AD10" i="49" s="1"/>
  <c r="AD21" i="49" s="1"/>
  <c r="AE21" i="49" s="1"/>
  <c r="AK21" i="49" s="1"/>
  <c r="P41" i="37"/>
  <c r="X10" i="47"/>
  <c r="AY9" i="49"/>
  <c r="AC11" i="49"/>
  <c r="AZ12" i="49"/>
  <c r="AC12" i="49" s="1"/>
  <c r="AC26" i="49" s="1"/>
  <c r="N22" i="51"/>
  <c r="D25" i="51"/>
  <c r="M13" i="51"/>
  <c r="AZ22" i="49" l="1"/>
  <c r="AC23" i="49"/>
  <c r="AY24" i="49"/>
  <c r="AC24" i="49"/>
  <c r="AB37" i="49"/>
  <c r="Z37" i="47"/>
  <c r="Z36" i="47"/>
  <c r="AD22" i="49"/>
  <c r="Z34" i="47"/>
  <c r="Z35" i="47"/>
  <c r="L5" i="51"/>
  <c r="Y5" i="51" s="1"/>
  <c r="AC25" i="49"/>
  <c r="AA33" i="47"/>
  <c r="AA32" i="47"/>
  <c r="AB29" i="49"/>
  <c r="AB36" i="49"/>
  <c r="L4" i="51"/>
  <c r="Y4" i="51" s="1"/>
  <c r="L6" i="51"/>
  <c r="Y6" i="51" s="1"/>
  <c r="AB39" i="49"/>
  <c r="K7" i="51"/>
  <c r="X7" i="51" s="1"/>
  <c r="I14" i="52" s="1"/>
  <c r="B7" i="56" s="1"/>
  <c r="AD44" i="44"/>
  <c r="AD12" i="44"/>
  <c r="AD42" i="44" s="1"/>
  <c r="AD51" i="44"/>
  <c r="AD47" i="44"/>
  <c r="AE47" i="44" s="1"/>
  <c r="AD45" i="44"/>
  <c r="AE45" i="44" s="1"/>
  <c r="AD46" i="44"/>
  <c r="AE46" i="44" s="1"/>
  <c r="E25" i="51"/>
  <c r="D26" i="51"/>
  <c r="M16" i="51"/>
  <c r="M20" i="51"/>
  <c r="M17" i="51"/>
  <c r="M18" i="51"/>
  <c r="Z18" i="51" s="1"/>
  <c r="M19" i="51"/>
  <c r="M15" i="51"/>
  <c r="P43" i="37"/>
  <c r="P42" i="37"/>
  <c r="P44" i="37"/>
  <c r="AD12" i="49"/>
  <c r="BA11" i="49"/>
  <c r="AD11" i="49" s="1"/>
  <c r="AA9" i="47"/>
  <c r="N13" i="51"/>
  <c r="AC62" i="44"/>
  <c r="E11" i="37"/>
  <c r="BA22" i="49" l="1"/>
  <c r="AE22" i="49"/>
  <c r="M5" i="51"/>
  <c r="Z5" i="51" s="1"/>
  <c r="AZ26" i="49"/>
  <c r="AA36" i="47"/>
  <c r="AA37" i="47"/>
  <c r="AA34" i="47"/>
  <c r="AA35" i="47"/>
  <c r="AD24" i="49"/>
  <c r="AE24" i="49" s="1"/>
  <c r="AZ24" i="49"/>
  <c r="AD23" i="49"/>
  <c r="AE23" i="49" s="1"/>
  <c r="AD25" i="49"/>
  <c r="AE25" i="49" s="1"/>
  <c r="AD26" i="49"/>
  <c r="AE26" i="49" s="1"/>
  <c r="AC37" i="49"/>
  <c r="M4" i="51"/>
  <c r="Z4" i="51" s="1"/>
  <c r="AC36" i="49"/>
  <c r="AC29" i="49"/>
  <c r="L7" i="51"/>
  <c r="Y7" i="51" s="1"/>
  <c r="AC38" i="49"/>
  <c r="M6" i="51"/>
  <c r="Z6" i="51" s="1"/>
  <c r="P45" i="37"/>
  <c r="F25" i="51"/>
  <c r="E26" i="51"/>
  <c r="N19" i="51"/>
  <c r="N18" i="51"/>
  <c r="N17" i="51"/>
  <c r="N16" i="51"/>
  <c r="N15" i="51"/>
  <c r="P22" i="37"/>
  <c r="N20" i="51"/>
  <c r="K13" i="51"/>
  <c r="AC63" i="44"/>
  <c r="P13" i="37" l="1"/>
  <c r="BA24" i="49"/>
  <c r="BA26" i="49"/>
  <c r="AD36" i="49"/>
  <c r="AD29" i="49"/>
  <c r="N5" i="51"/>
  <c r="AD37" i="49"/>
  <c r="N4" i="51"/>
  <c r="N6" i="51"/>
  <c r="AA6" i="51" s="1"/>
  <c r="AD38" i="49"/>
  <c r="M7" i="51"/>
  <c r="Z7" i="51" s="1"/>
  <c r="AC39" i="49"/>
  <c r="P20" i="37"/>
  <c r="AA18" i="51"/>
  <c r="P16" i="37"/>
  <c r="P19" i="37"/>
  <c r="P21" i="37"/>
  <c r="G25" i="51"/>
  <c r="F26" i="51"/>
  <c r="W15" i="51"/>
  <c r="V15" i="51"/>
  <c r="U15" i="51"/>
  <c r="T15" i="51"/>
  <c r="S15" i="51"/>
  <c r="R15" i="51"/>
  <c r="Q15" i="51"/>
  <c r="AA15" i="51"/>
  <c r="Z15" i="51"/>
  <c r="Y15" i="51"/>
  <c r="P15" i="51"/>
  <c r="L13" i="51"/>
  <c r="AD62" i="44"/>
  <c r="N21" i="51"/>
  <c r="P26" i="37" s="1"/>
  <c r="AZ9" i="49"/>
  <c r="AA11" i="47"/>
  <c r="BA9" i="49"/>
  <c r="AD63" i="44"/>
  <c r="P7" i="37" l="1"/>
  <c r="P4" i="37"/>
  <c r="P38" i="37"/>
  <c r="P36" i="37"/>
  <c r="AA4" i="51"/>
  <c r="P37" i="37"/>
  <c r="AA5" i="51"/>
  <c r="N7" i="51"/>
  <c r="AD39" i="49"/>
  <c r="H25" i="51"/>
  <c r="G26" i="51"/>
  <c r="Y13" i="51"/>
  <c r="Q13" i="51"/>
  <c r="AD9" i="49"/>
  <c r="S13" i="51"/>
  <c r="W13" i="51"/>
  <c r="U13" i="51"/>
  <c r="Z13" i="51"/>
  <c r="R13" i="51"/>
  <c r="T13" i="51"/>
  <c r="P13" i="51"/>
  <c r="V13" i="51"/>
  <c r="AA13" i="51"/>
  <c r="X13" i="51"/>
  <c r="I20" i="52" s="1"/>
  <c r="B13" i="56" s="1"/>
  <c r="AA10" i="47"/>
  <c r="AA7" i="51" l="1"/>
  <c r="P39" i="37"/>
  <c r="I25" i="51"/>
  <c r="H26" i="51"/>
  <c r="N14" i="51"/>
  <c r="M14" i="51"/>
  <c r="E14" i="37"/>
  <c r="E13" i="37"/>
  <c r="E12" i="37"/>
  <c r="E10" i="37"/>
  <c r="E9" i="37"/>
  <c r="J25" i="51" l="1"/>
  <c r="I26" i="51"/>
  <c r="B17" i="37"/>
  <c r="B21" i="37" s="1"/>
  <c r="AC19" i="51" l="1"/>
  <c r="W19" i="51" s="1"/>
  <c r="AC16" i="51"/>
  <c r="AC22" i="51"/>
  <c r="V22" i="51" s="1"/>
  <c r="J26" i="51"/>
  <c r="K25" i="51"/>
  <c r="AC25" i="51"/>
  <c r="AA19" i="51" l="1"/>
  <c r="P8" i="37" s="1"/>
  <c r="Z19" i="51"/>
  <c r="Y19" i="51"/>
  <c r="X19" i="51"/>
  <c r="D17" i="52" s="1"/>
  <c r="B6" i="55" s="1"/>
  <c r="T19" i="51"/>
  <c r="S19" i="51"/>
  <c r="P19" i="51"/>
  <c r="V19" i="51"/>
  <c r="R19" i="51"/>
  <c r="Q19" i="51"/>
  <c r="AC20" i="51"/>
  <c r="V20" i="51" s="1"/>
  <c r="AC17" i="51"/>
  <c r="U19" i="51"/>
  <c r="V16" i="51"/>
  <c r="W16" i="51"/>
  <c r="Q16" i="51"/>
  <c r="U16" i="51"/>
  <c r="P16" i="51"/>
  <c r="R16" i="51"/>
  <c r="S16" i="51"/>
  <c r="T16" i="51"/>
  <c r="X16" i="51"/>
  <c r="D14" i="52" s="1"/>
  <c r="B3" i="55" s="1"/>
  <c r="Y16" i="51"/>
  <c r="Z16" i="51"/>
  <c r="AA16" i="51"/>
  <c r="P5" i="37" s="1"/>
  <c r="Y22" i="51"/>
  <c r="P22" i="51"/>
  <c r="R22" i="51"/>
  <c r="W22" i="51"/>
  <c r="AA22" i="51"/>
  <c r="Z22" i="51"/>
  <c r="X22" i="51"/>
  <c r="U22" i="51"/>
  <c r="T22" i="51"/>
  <c r="S22" i="51"/>
  <c r="Q22" i="51"/>
  <c r="AC23" i="51"/>
  <c r="Z23" i="51" s="1"/>
  <c r="D38" i="52"/>
  <c r="D29" i="52"/>
  <c r="B11" i="58" s="1"/>
  <c r="AC26" i="51"/>
  <c r="P25" i="51"/>
  <c r="S25" i="51"/>
  <c r="U25" i="51"/>
  <c r="W25" i="51"/>
  <c r="Q25" i="51"/>
  <c r="T25" i="51"/>
  <c r="V25" i="51"/>
  <c r="R25" i="51"/>
  <c r="L25" i="51"/>
  <c r="K26" i="51"/>
  <c r="X25" i="51"/>
  <c r="AA20" i="51" l="1"/>
  <c r="P9" i="37" s="1"/>
  <c r="V17" i="51"/>
  <c r="P17" i="51"/>
  <c r="S17" i="51"/>
  <c r="T17" i="51"/>
  <c r="U17" i="51"/>
  <c r="W17" i="51"/>
  <c r="R17" i="51"/>
  <c r="Q17" i="51"/>
  <c r="X17" i="51"/>
  <c r="Y17" i="51"/>
  <c r="Z17" i="51"/>
  <c r="AA17" i="51"/>
  <c r="U20" i="51"/>
  <c r="Z20" i="51"/>
  <c r="Y20" i="51"/>
  <c r="W20" i="51"/>
  <c r="R20" i="51"/>
  <c r="X20" i="51"/>
  <c r="D18" i="52" s="1"/>
  <c r="B7" i="55" s="1"/>
  <c r="T20" i="51"/>
  <c r="S20" i="51"/>
  <c r="Q20" i="51"/>
  <c r="P20" i="51"/>
  <c r="D26" i="52"/>
  <c r="B8" i="58" s="1"/>
  <c r="D9" i="52"/>
  <c r="Y23" i="51"/>
  <c r="AA23" i="51"/>
  <c r="X23" i="51"/>
  <c r="D27" i="52" s="1"/>
  <c r="B9" i="58" s="1"/>
  <c r="P23" i="51"/>
  <c r="V23" i="51"/>
  <c r="D32" i="52"/>
  <c r="B14" i="58" s="1"/>
  <c r="D23" i="52"/>
  <c r="B5" i="58" s="1"/>
  <c r="S23" i="51"/>
  <c r="U23" i="51"/>
  <c r="T23" i="51"/>
  <c r="R23" i="51"/>
  <c r="Q23" i="51"/>
  <c r="W23" i="51"/>
  <c r="D39" i="52"/>
  <c r="D30" i="52"/>
  <c r="B12" i="58" s="1"/>
  <c r="X26" i="51"/>
  <c r="P26" i="51"/>
  <c r="Q26" i="51"/>
  <c r="R26" i="51"/>
  <c r="S26" i="51"/>
  <c r="T26" i="51"/>
  <c r="U26" i="51"/>
  <c r="V26" i="51"/>
  <c r="W26" i="51"/>
  <c r="I25" i="52"/>
  <c r="I26" i="52"/>
  <c r="M25" i="51"/>
  <c r="L26" i="51"/>
  <c r="Y26" i="51" s="1"/>
  <c r="Y25" i="51"/>
  <c r="AA56" i="36"/>
  <c r="AA55" i="36"/>
  <c r="AA46" i="36"/>
  <c r="AA45" i="36"/>
  <c r="AC71" i="44"/>
  <c r="AC70" i="44"/>
  <c r="AC72" i="44"/>
  <c r="D33" i="52" l="1"/>
  <c r="B15" i="58" s="1"/>
  <c r="D24" i="52"/>
  <c r="B6" i="58" s="1"/>
  <c r="N25" i="51"/>
  <c r="M26" i="51"/>
  <c r="Z26" i="51" s="1"/>
  <c r="Z25" i="51"/>
  <c r="AC46" i="36"/>
  <c r="AD49" i="36"/>
  <c r="AD50" i="36"/>
  <c r="AC56" i="36"/>
  <c r="AC65" i="44"/>
  <c r="AC66" i="44"/>
  <c r="AD71" i="44"/>
  <c r="AC68" i="44"/>
  <c r="AC69" i="44"/>
  <c r="AC64" i="44"/>
  <c r="AC67" i="44"/>
  <c r="AD70" i="44"/>
  <c r="Z9" i="47"/>
  <c r="AD72" i="44"/>
  <c r="P17" i="37" l="1"/>
  <c r="P14" i="37"/>
  <c r="P27" i="37"/>
  <c r="P23" i="37"/>
  <c r="N26" i="51"/>
  <c r="P15" i="37" s="1"/>
  <c r="AA25" i="51"/>
  <c r="P49" i="37" s="1"/>
  <c r="Z11" i="47"/>
  <c r="K14" i="51"/>
  <c r="AC45" i="36"/>
  <c r="AC55" i="36"/>
  <c r="AD56" i="36"/>
  <c r="AD55" i="36"/>
  <c r="AD45" i="36"/>
  <c r="AD46" i="36"/>
  <c r="Y9" i="47"/>
  <c r="AA50" i="36"/>
  <c r="AA49" i="36"/>
  <c r="AD65" i="44"/>
  <c r="AD66" i="44"/>
  <c r="B2" i="58"/>
  <c r="AC49" i="36"/>
  <c r="AC50" i="36"/>
  <c r="Y11" i="47"/>
  <c r="AD69" i="44"/>
  <c r="AD67" i="44"/>
  <c r="AD68" i="44"/>
  <c r="Z10" i="47"/>
  <c r="P24" i="37" l="1"/>
  <c r="P18" i="37"/>
  <c r="AA26" i="51"/>
  <c r="P28" i="37"/>
  <c r="Q21" i="51"/>
  <c r="W21" i="51"/>
  <c r="R21" i="51"/>
  <c r="S21" i="51"/>
  <c r="T21" i="51"/>
  <c r="U21" i="51"/>
  <c r="V21" i="51"/>
  <c r="X21" i="51"/>
  <c r="Y21" i="51"/>
  <c r="Z21" i="51"/>
  <c r="AA21" i="51"/>
  <c r="P10" i="37" s="1"/>
  <c r="B4" i="53"/>
  <c r="B3" i="53"/>
  <c r="B2" i="54"/>
  <c r="P14" i="51"/>
  <c r="P21" i="51"/>
  <c r="AB9" i="49"/>
  <c r="AC9" i="49"/>
  <c r="AD64" i="44"/>
  <c r="Y10" i="47"/>
  <c r="D19" i="52" l="1"/>
  <c r="B8" i="55" s="1"/>
  <c r="D28" i="52"/>
  <c r="B10" i="58" s="1"/>
  <c r="AB27" i="49"/>
  <c r="AB28" i="49"/>
  <c r="B3" i="59"/>
  <c r="Q14" i="51"/>
  <c r="W14" i="51"/>
  <c r="T14" i="51"/>
  <c r="U14" i="51"/>
  <c r="S14" i="51"/>
  <c r="R14" i="51"/>
  <c r="V14" i="51"/>
  <c r="AA14" i="51"/>
  <c r="P6" i="37" s="1"/>
  <c r="Z14" i="51"/>
  <c r="X14" i="51"/>
  <c r="L14" i="51"/>
  <c r="Y14" i="51" s="1"/>
  <c r="D10" i="52" l="1"/>
  <c r="D15" i="52"/>
  <c r="B4" i="55" s="1"/>
  <c r="AC28" i="49"/>
  <c r="AC27" i="49"/>
  <c r="B4" i="59"/>
  <c r="G7" i="46"/>
  <c r="F7" i="46"/>
  <c r="AD27" i="49" l="1"/>
  <c r="AE27" i="49" s="1"/>
  <c r="AD28" i="49"/>
  <c r="AA59" i="36"/>
  <c r="AA57" i="36"/>
  <c r="AA58" i="36"/>
  <c r="AO4" i="36" l="1"/>
  <c r="AG3" i="36"/>
  <c r="AP4" i="36"/>
  <c r="AN3" i="36" l="1"/>
  <c r="AK3" i="36"/>
  <c r="AL3" i="36"/>
  <c r="AJ3" i="36"/>
  <c r="AH3" i="36"/>
  <c r="AI3" i="36"/>
  <c r="AM3" i="36"/>
  <c r="R24" i="51" l="1"/>
  <c r="Z24" i="51"/>
  <c r="V24" i="51"/>
  <c r="T24" i="51"/>
  <c r="U24" i="51"/>
  <c r="P24" i="51"/>
  <c r="Y24" i="51"/>
  <c r="W24" i="51"/>
  <c r="X24" i="51"/>
  <c r="D22" i="52" s="1"/>
  <c r="B4" i="58" s="1"/>
  <c r="S24" i="51"/>
  <c r="Q24" i="51"/>
  <c r="AA24" i="51"/>
  <c r="P47" i="37" s="1"/>
  <c r="D31" i="52" l="1"/>
  <c r="B13" i="58" s="1"/>
  <c r="D25" i="52"/>
  <c r="B7" i="58" s="1"/>
  <c r="I24" i="52"/>
  <c r="B2" i="53" s="1"/>
  <c r="D37" i="52"/>
  <c r="B2" i="59" s="1"/>
  <c r="AB58" i="36"/>
  <c r="AB57" i="36"/>
  <c r="AB59" i="36"/>
  <c r="AB50" i="36"/>
  <c r="AB46" i="36"/>
  <c r="AB56" i="36"/>
  <c r="AB49" i="36"/>
  <c r="AB55" i="36"/>
  <c r="P3" i="51" l="1"/>
  <c r="T3" i="51"/>
  <c r="U3" i="51"/>
  <c r="Q3" i="51"/>
  <c r="V3" i="51"/>
  <c r="X3" i="51"/>
  <c r="R3" i="51"/>
  <c r="W3" i="51"/>
  <c r="S3" i="51"/>
  <c r="AC58" i="36"/>
  <c r="AC59" i="36"/>
  <c r="AC57" i="36"/>
  <c r="B3" i="58"/>
  <c r="I10" i="52" l="1"/>
  <c r="B3" i="56" s="1"/>
  <c r="AD58" i="36"/>
  <c r="AD59" i="36"/>
  <c r="AD57" i="36"/>
  <c r="AB45" i="36" l="1"/>
  <c r="K8" i="51" l="1"/>
  <c r="X8" i="51" s="1"/>
  <c r="AB35" i="49"/>
  <c r="L3" i="51"/>
  <c r="Y3" i="51" s="1"/>
  <c r="K2" i="51"/>
  <c r="X2" i="51" s="1"/>
  <c r="I9" i="52" s="1"/>
  <c r="B2" i="56" s="1"/>
  <c r="I21" i="52" l="1"/>
  <c r="B14" i="56" s="1"/>
  <c r="I15" i="52"/>
  <c r="B8" i="56" s="1"/>
  <c r="AB40" i="49"/>
  <c r="AC34" i="49"/>
  <c r="L8" i="51"/>
  <c r="Y8" i="51" s="1"/>
  <c r="M3" i="51"/>
  <c r="Z3" i="51" s="1"/>
  <c r="AB42" i="49"/>
  <c r="AB34" i="49"/>
  <c r="AC35" i="49"/>
  <c r="L2" i="51"/>
  <c r="Y2" i="51" s="1"/>
  <c r="AG21" i="49"/>
  <c r="AL21" i="49" s="1"/>
  <c r="AB41" i="49"/>
  <c r="M2" i="51"/>
  <c r="Z2" i="51" s="1"/>
  <c r="AH21" i="49"/>
  <c r="AC42" i="49" l="1"/>
  <c r="AM21" i="49"/>
  <c r="AR21" i="49" s="1"/>
  <c r="N3" i="51"/>
  <c r="AD35" i="49"/>
  <c r="M8" i="51"/>
  <c r="Z8" i="51" s="1"/>
  <c r="AC40" i="49"/>
  <c r="AJ21" i="49"/>
  <c r="AI21" i="49"/>
  <c r="AN21" i="49" s="1"/>
  <c r="N2" i="51"/>
  <c r="AD34" i="49"/>
  <c r="AC41" i="49"/>
  <c r="AS21" i="49" l="1"/>
  <c r="AD41" i="49"/>
  <c r="AD42" i="49"/>
  <c r="N8" i="51"/>
  <c r="P35" i="37"/>
  <c r="AA3" i="51"/>
  <c r="P34" i="37"/>
  <c r="AA2" i="51"/>
  <c r="AP21" i="49"/>
  <c r="AO21" i="49"/>
  <c r="AT21" i="49" s="1"/>
  <c r="AD40" i="49"/>
  <c r="AA8" i="51" l="1"/>
  <c r="P40" i="37"/>
  <c r="AU21" i="49"/>
  <c r="AV21" i="4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<sst xmlns="http://schemas.openxmlformats.org/spreadsheetml/2006/main" count="1082" uniqueCount="621">
  <si>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</si>
  <si>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</si>
  <si>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</si>
  <si>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</si>
  <si>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</si>
  <si>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</si>
  <si>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</si>
  <si>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</si>
  <si>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</si>
  <si>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</si>
  <si>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</si>
  <si>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</si>
  <si>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</si>
  <si>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</si>
  <si>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</si>
  <si>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</si>
  <si>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</si>
  <si>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</si>
  <si>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</si>
  <si>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</si>
  <si>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</si>
  <si>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</si>
  <si>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</si>
  <si>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</si>
  <si>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</si>
  <si>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</si>
  <si>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</si>
  <si>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</si>
  <si>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</si>
  <si>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</si>
  <si>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</si>
  <si>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</si>
  <si>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</si>
  <si>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</si>
  <si>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</si>
  <si>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</si>
  <si>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</si>
  <si>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</si>
  <si>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</si>
  <si>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</si>
  <si>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</si>
  <si>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</si>
  <si>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</si>
  <si>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</si>
  <si>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</si>
  <si>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</si>
  <si>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</si>
  <si>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</si>
  <si>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</si>
  <si>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</si>
  <si>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</si>
  <si>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</si>
  <si>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</si>
  <si>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</si>
  <si>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</si>
  <si>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</si>
  <si>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</si>
  <si>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</si>
  <si>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</si>
  <si>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</si>
  <si>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</si>
  <si>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</si>
  <si>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</si>
  <si>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</si>
  <si>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</si>
  <si>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</si>
  <si>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</si>
  <si>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</si>
  <si>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</si>
  <si>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</si>
  <si>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</si>
  <si>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</si>
  <si>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</si>
  <si>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</si>
  <si>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</si>
  <si>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</si>
  <si>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</si>
  <si>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</si>
  <si>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</si>
  <si>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</si>
  <si>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</si>
  <si>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</si>
  <si>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</si>
  <si>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</si>
  <si>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</si>
  <si>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</si>
  <si>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</si>
  <si>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</si>
  <si>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</si>
  <si>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</si>
  <si>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</si>
  <si>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</si>
  <si>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</si>
  <si>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</si>
  <si>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</si>
  <si>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</si>
  <si>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</si>
  <si>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</si>
  <si>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</si>
  <si>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</si>
  <si>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</si>
  <si>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</si>
  <si>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</si>
  <si>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</si>
  <si>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</si>
  <si>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</si>
  <si>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</si>
  <si>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</si>
  <si>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</si>
  <si>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</si>
  <si>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</si>
  <si>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</si>
  <si>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</si>
  <si>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</si>
  <si>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</si>
  <si>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</si>
  <si>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</si>
  <si>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</si>
  <si>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</si>
  <si>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</si>
  <si>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</si>
  <si>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</si>
  <si>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</si>
  <si>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</si>
  <si>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</si>
  <si>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</si>
  <si>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</si>
  <si>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</si>
  <si>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</si>
  <si>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</si>
  <si>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</si>
  <si>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</si>
  <si>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</si>
  <si>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</si>
  <si>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</si>
  <si>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</si>
  <si>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</si>
  <si>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</si>
  <si>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</si>
  <si>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</si>
  <si>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</si>
  <si>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</si>
  <si>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</si>
  <si>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</si>
  <si>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</si>
  <si>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</si>
  <si>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</si>
  <si>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</si>
  <si>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</si>
  <si>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</si>
  <si>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</si>
  <si>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</si>
  <si>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</si>
  <si>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</si>
  <si>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</si>
  <si>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</si>
  <si>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</si>
  <si>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</si>
  <si>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</si>
  <si>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</si>
  <si>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</si>
  <si>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</si>
  <si>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</si>
  <si>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</si>
  <si>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</si>
  <si>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</si>
  <si>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</si>
  <si>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</si>
  <si>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</si>
  <si>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</si>
  <si>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</si>
  <si>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</si>
  <si>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</si>
  <si>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</si>
  <si>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</si>
  <si>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</si>
  <si>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</si>
  <si>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</si>
  <si>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</si>
  <si>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</si>
  <si>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</si>
  <si>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</si>
  <si>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</si>
  <si>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</si>
  <si>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</si>
  <si>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</si>
  <si>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</si>
  <si>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</si>
  <si>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</si>
  <si>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</si>
  <si>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</si>
  <si>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</si>
  <si>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</si>
  <si>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</si>
  <si>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</si>
  <si>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</si>
  <si>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</si>
  <si>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growth rates are confirmed</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</si>
  <si>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</si>
  <si>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</si>
  <si>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</si>
  <si>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</si>
  <si>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</si>
  <si>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</si>
  <si>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</si>
  <si>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</si>
  <si>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</si>
  <si>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</si>
  <si>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</si>
  <si>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</si>
  <si>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</si>
  <si>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</si>
  <si>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</si>
  <si>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</si>
  <si>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</si>
  <si>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</si>
  <si>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</si>
  <si>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</si>
  <si>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Total Formal</t>
  </si>
  <si>
    <t>Total Informal</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</si>
  <si>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</si>
  <si>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</si>
  <si>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</si>
  <si>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</si>
  <si>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</si>
  <si>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</si>
  <si>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</si>
  <si>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</si>
  <si>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</si>
  <si>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</si>
  <si>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</si>
  <si>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</si>
  <si>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</si>
  <si>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</si>
  <si>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</si>
  <si>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</si>
  <si>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</si>
  <si>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</si>
  <si>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</si>
  <si>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</si>
  <si>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</si>
  <si>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</si>
  <si>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</si>
  <si>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</si>
  <si>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</si>
  <si>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</si>
  <si>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</si>
  <si>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</si>
  <si>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</si>
  <si>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 xml:space="preserve">Remittances </t>
  </si>
  <si>
    <t>Remittances distribution</t>
  </si>
  <si>
    <t xml:space="preserve">Contact us </t>
  </si>
  <si>
    <t xml:space="preserve">Pensions and Capital </t>
  </si>
  <si>
    <t>CHECK BOXES</t>
  </si>
  <si>
    <t>elast models</t>
  </si>
  <si>
    <t>Y/N</t>
  </si>
  <si>
    <t>Country Name</t>
  </si>
  <si>
    <t>CODE</t>
  </si>
  <si>
    <t>Base</t>
  </si>
  <si>
    <t>REMITTANCES</t>
  </si>
  <si>
    <t>LABOR MKT</t>
  </si>
  <si>
    <t>labor income</t>
  </si>
  <si>
    <t>remittances</t>
  </si>
  <si>
    <t>year</t>
  </si>
  <si>
    <t>GRAFICOS</t>
  </si>
  <si>
    <t>GRAFICOS NON-LABOR INCOME</t>
  </si>
  <si>
    <t>avg</t>
  </si>
  <si>
    <t>Yes</t>
  </si>
  <si>
    <t>pop_1564</t>
  </si>
  <si>
    <t>agri_formal_income</t>
  </si>
  <si>
    <t>gr_remittances</t>
  </si>
  <si>
    <t>labor market</t>
  </si>
  <si>
    <t>2.1 LM 1</t>
  </si>
  <si>
    <t>Average: Without Outliers</t>
  </si>
  <si>
    <t>avg_1_99</t>
  </si>
  <si>
    <t>Random Allocation</t>
  </si>
  <si>
    <t>employed</t>
  </si>
  <si>
    <t>agri_informal_income</t>
  </si>
  <si>
    <t>Remittances (actual data)</t>
  </si>
  <si>
    <t>2.1 LM 2</t>
  </si>
  <si>
    <t>Average: Imputed Outliers</t>
  </si>
  <si>
    <t>avg_1_99_imp</t>
  </si>
  <si>
    <t>unemployed</t>
  </si>
  <si>
    <t>ind_formal_income</t>
  </si>
  <si>
    <t>Remittances (projected)</t>
  </si>
  <si>
    <t>2.1 LM 3</t>
  </si>
  <si>
    <t>reg</t>
  </si>
  <si>
    <t>agri_formal_workers</t>
  </si>
  <si>
    <t>ind_informal_income</t>
  </si>
  <si>
    <t>2.1 LM 4</t>
  </si>
  <si>
    <t>Regression: Control - log GDP</t>
  </si>
  <si>
    <t>reg_gdp</t>
  </si>
  <si>
    <t>agri_informal_workers</t>
  </si>
  <si>
    <t>serv_formal_income</t>
  </si>
  <si>
    <t>Capital and Pensions (actual data)</t>
  </si>
  <si>
    <t>2.1 LM 5</t>
  </si>
  <si>
    <t>reg_iter</t>
  </si>
  <si>
    <t>ind_formal_workers</t>
  </si>
  <si>
    <t>serv_informal_income</t>
  </si>
  <si>
    <t>Capital and Pensions (projected)</t>
  </si>
  <si>
    <t>2.2 LI 1</t>
  </si>
  <si>
    <t>Regression: Median</t>
  </si>
  <si>
    <t>med_reg</t>
  </si>
  <si>
    <t>ind_informal_workers</t>
  </si>
  <si>
    <t>total_income</t>
  </si>
  <si>
    <t>2.2 LI 2</t>
  </si>
  <si>
    <t>serv_formal_workers</t>
  </si>
  <si>
    <t>total_formal_income</t>
  </si>
  <si>
    <t>2.2 LI 3</t>
  </si>
  <si>
    <t>serv_informal_workers</t>
  </si>
  <si>
    <t>total_informal_income</t>
  </si>
  <si>
    <t>2.2 LI 4</t>
  </si>
  <si>
    <t>ELAST 1</t>
  </si>
  <si>
    <t>GRWT 1</t>
  </si>
  <si>
    <t>GRWT 2</t>
  </si>
  <si>
    <t>3 NLI 1</t>
  </si>
  <si>
    <t>3. NLI2</t>
  </si>
  <si>
    <t>Total - Main Occupation (actual data)</t>
  </si>
  <si>
    <t xml:space="preserve">Total - formal Income (actual data) </t>
  </si>
  <si>
    <t xml:space="preserve">Total - Informal Income (actual data)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</si>
  <si>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</si>
  <si>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</si>
  <si>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</si>
  <si>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</si>
  <si>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</si>
  <si>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</si>
  <si>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</si>
  <si>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</si>
  <si>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</si>
  <si>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</si>
  <si>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</si>
  <si>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</si>
  <si>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</si>
  <si>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</si>
  <si>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</si>
  <si>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</si>
  <si>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</si>
  <si>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</si>
  <si>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</si>
  <si>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</si>
  <si>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</si>
  <si>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</si>
  <si>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gdp_total</t>
  </si>
  <si>
    <t>parti_rate</t>
  </si>
  <si>
    <t>unemp_rate</t>
  </si>
  <si>
    <t>Population by country (thousands)</t>
  </si>
  <si>
    <r>
      <rPr>
        <b/>
        <sz val="9"/>
        <color rgb="FFC00000"/>
        <rFont val="Arial"/>
        <family val="2"/>
      </rPr>
      <t>Source:</t>
    </r>
    <r>
      <rPr>
        <sz val="9"/>
        <color rgb="FFC00000"/>
        <rFont val="Arial"/>
        <family val="2"/>
      </rPr>
      <t xml:space="preserve"> World Development Indicators</t>
    </r>
  </si>
  <si>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</si>
  <si>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</si>
  <si>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</si>
  <si>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</si>
  <si>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</si>
  <si>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</si>
  <si>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</si>
  <si>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</si>
  <si>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</si>
  <si>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</si>
  <si>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</si>
  <si>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</si>
  <si>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</si>
  <si>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</si>
  <si>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</si>
  <si>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</si>
  <si>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</si>
  <si>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</si>
  <si>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</si>
  <si>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</si>
  <si>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</si>
  <si>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bdh</t>
  </si>
  <si>
    <t>jgl</t>
  </si>
  <si>
    <t>pl</t>
  </si>
  <si>
    <t>groups</t>
  </si>
  <si>
    <t>female</t>
  </si>
  <si>
    <t>male</t>
  </si>
  <si>
    <t>0-14</t>
  </si>
  <si>
    <t>15-29</t>
  </si>
  <si>
    <t>30-44</t>
  </si>
  <si>
    <t>45-64</t>
  </si>
  <si>
    <t>&gt;=65</t>
  </si>
  <si>
    <t>* This should be used only when there are very big differences between the two sources of information.</t>
  </si>
  <si>
    <t>total population</t>
  </si>
  <si>
    <t>2020-2023</t>
  </si>
  <si>
    <t>2024-2026</t>
  </si>
  <si>
    <t>BGD</t>
  </si>
  <si>
    <t>Bangladesh</t>
  </si>
  <si>
    <t>Construction</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</si>
  <si>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</si>
  <si>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</si>
  <si>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</si>
  <si>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</si>
  <si>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</si>
  <si>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</si>
  <si>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</si>
  <si>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</si>
  <si>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</si>
  <si>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</si>
  <si>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</si>
  <si>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</si>
  <si>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</si>
  <si>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</si>
  <si>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</si>
  <si>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</si>
  <si>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Rest of industry</t>
  </si>
  <si>
    <t>Rest of industry - unskilled</t>
  </si>
  <si>
    <t>(4) = (6) + (7) + (8) + (9) + (10) + (11)</t>
  </si>
  <si>
    <t>(6) = (12) + (13)</t>
  </si>
  <si>
    <t>(15)</t>
  </si>
  <si>
    <t>(16)</t>
  </si>
  <si>
    <t>(17)</t>
  </si>
  <si>
    <t xml:space="preserve">(24) = (2) / (1) </t>
  </si>
  <si>
    <t xml:space="preserve">(25) = (3) / (1) </t>
  </si>
  <si>
    <t xml:space="preserve">(26) = (5) / (2) </t>
  </si>
  <si>
    <t xml:space="preserve">(27) = (4) / (1) </t>
  </si>
  <si>
    <t xml:space="preserve">(28) = (6) / (4) </t>
  </si>
  <si>
    <t xml:space="preserve">(29) = (7) / (4) </t>
  </si>
  <si>
    <t xml:space="preserve">(30) = (8) / (4) </t>
  </si>
  <si>
    <t xml:space="preserve">(34) = [(12) + (14) + (16) + (18) + (20) + (22)] / (4) </t>
  </si>
  <si>
    <t xml:space="preserve">(35) = (12) / (6) </t>
  </si>
  <si>
    <t>(36) = (14) / (7)</t>
  </si>
  <si>
    <t xml:space="preserve">(37) = (16) / (8) </t>
  </si>
  <si>
    <t>prod_s0_a1</t>
  </si>
  <si>
    <t>prod_s1_a1</t>
  </si>
  <si>
    <t>prod_s0_a2</t>
  </si>
  <si>
    <t>prod_s1_a2</t>
  </si>
  <si>
    <t>prod_s0_a3</t>
  </si>
  <si>
    <t>prod_s1_a3</t>
  </si>
  <si>
    <t>prod_s0_a4</t>
  </si>
  <si>
    <t>prod_s1_a4</t>
  </si>
  <si>
    <t>prod_s0_a5</t>
  </si>
  <si>
    <t>prod_s1_a5</t>
  </si>
  <si>
    <t>prod_s0_a6</t>
  </si>
  <si>
    <t>prod_s1_a6</t>
  </si>
  <si>
    <t>hslstatus1_s0_a1</t>
  </si>
  <si>
    <t>hslstatus1_s1_a1</t>
  </si>
  <si>
    <t>hslstatus1_s0_a2</t>
  </si>
  <si>
    <t>hslstatus1_s1_a2</t>
  </si>
  <si>
    <t>hslstatus1_s0_a3</t>
  </si>
  <si>
    <t>hslstatus1_s1_a3</t>
  </si>
  <si>
    <t>pvgdp</t>
  </si>
  <si>
    <t>pvgdp_agriculture</t>
  </si>
  <si>
    <t>pvgdp_industry</t>
  </si>
  <si>
    <t>pvgdp_services</t>
  </si>
  <si>
    <t>mfnygdpmktpkn</t>
  </si>
  <si>
    <t>mfnvagrtotlkn</t>
  </si>
  <si>
    <t>mfnvindconskn</t>
  </si>
  <si>
    <t>mfnvindrestkn</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</si>
  <si>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</si>
  <si>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</si>
  <si>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</si>
  <si>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</si>
  <si>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</si>
  <si>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</si>
  <si>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</si>
  <si>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</si>
  <si>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</si>
  <si>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</si>
  <si>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</si>
  <si>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</si>
  <si>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</si>
  <si>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</si>
  <si>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</si>
  <si>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</si>
  <si>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</si>
  <si>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</si>
  <si>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</si>
  <si>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</si>
  <si>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</si>
  <si>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</si>
  <si>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</si>
  <si>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</si>
  <si>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</si>
  <si>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</si>
  <si>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</si>
  <si>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</si>
  <si>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</si>
  <si>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</si>
  <si>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</si>
  <si>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</si>
  <si>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</si>
  <si>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</si>
  <si>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</si>
  <si>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</si>
  <si>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</si>
  <si>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</si>
  <si>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</si>
  <si>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</si>
  <si>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</si>
  <si>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</si>
  <si>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pvpop_1564</t>
  </si>
  <si>
    <t>unpop_1564</t>
  </si>
  <si>
    <t xml:space="preserve">      Unemployment rate, change p.p.</t>
  </si>
  <si>
    <t>Regression: Control - log GDP and formality rates</t>
  </si>
  <si>
    <t>Scalar for Employment Elasticities</t>
  </si>
  <si>
    <t>(25) = (7) + (8)</t>
  </si>
  <si>
    <t>(26) = (9) + (10) + (11)</t>
  </si>
  <si>
    <t>Scalar for Income Elasticities</t>
  </si>
  <si>
    <t>Total Unskilled</t>
  </si>
  <si>
    <t>Total Skilled</t>
  </si>
  <si>
    <t>Labor Market Structure (%) - HIES</t>
  </si>
  <si>
    <t>Labor Income (%) - LFS</t>
  </si>
  <si>
    <t>Rest of services - formal (actual data)</t>
  </si>
  <si>
    <t>Rest of services - informal (actual data)</t>
  </si>
  <si>
    <t>GPD Supply Side</t>
  </si>
  <si>
    <t>Statistical discrepancy</t>
  </si>
  <si>
    <t>Population (15+ years old)</t>
  </si>
  <si>
    <t>hspop_15up</t>
  </si>
  <si>
    <t>hslstatus3_15up</t>
  </si>
  <si>
    <t>hslstatus1_15up</t>
  </si>
  <si>
    <t>hslstatus2_15up</t>
  </si>
  <si>
    <t>Load Elasticities based on LFS or HIES</t>
  </si>
  <si>
    <t>LFS</t>
  </si>
  <si>
    <t>hsip_s0_a1</t>
  </si>
  <si>
    <t>hsip_s1_a1</t>
  </si>
  <si>
    <t>hsip_s0_a2</t>
  </si>
  <si>
    <t>hsip_s1_a2</t>
  </si>
  <si>
    <t>hsip_s0_a3</t>
  </si>
  <si>
    <t>hsip_s1_a3</t>
  </si>
  <si>
    <t>hsip_total</t>
  </si>
  <si>
    <t>ls1_s0_a1</t>
  </si>
  <si>
    <t>ls1_s1_a1</t>
  </si>
  <si>
    <t>ls1_s0_a2</t>
  </si>
  <si>
    <t>ls1_s1_a2</t>
  </si>
  <si>
    <t>ls1_s0_a3</t>
  </si>
  <si>
    <t>ls1_s1_a3</t>
  </si>
  <si>
    <t>ls1_s0_a4</t>
  </si>
  <si>
    <t>ls1_s1_a4</t>
  </si>
  <si>
    <t>ls1_s0_a5</t>
  </si>
  <si>
    <t>ls1_s1_a5</t>
  </si>
  <si>
    <t>ls1_s0_a6</t>
  </si>
  <si>
    <t>ls1_s1_a6</t>
  </si>
  <si>
    <t>ls12_S0_A0</t>
  </si>
  <si>
    <t>inc_s0_a1</t>
  </si>
  <si>
    <t>inc_s1_a1</t>
  </si>
  <si>
    <t>inc_s0_a2</t>
  </si>
  <si>
    <t>inc_s1_a2</t>
  </si>
  <si>
    <t>inc_s0_a3</t>
  </si>
  <si>
    <t>inc_s1_a3</t>
  </si>
  <si>
    <t>gdp_a1</t>
  </si>
  <si>
    <t>gdp_a2</t>
  </si>
  <si>
    <t>gdp_a3</t>
  </si>
  <si>
    <t>gdp_a4</t>
  </si>
  <si>
    <t>gdp_a5</t>
  </si>
  <si>
    <t>gdp_a6</t>
  </si>
  <si>
    <t>sh_s0_a1</t>
  </si>
  <si>
    <t>sh_s1_a1</t>
  </si>
  <si>
    <t>sh_s0_a2</t>
  </si>
  <si>
    <t>sh_s1_a2</t>
  </si>
  <si>
    <t>sh_s0_a3</t>
  </si>
  <si>
    <t>sh_s1_a3</t>
  </si>
  <si>
    <t>rate_s0_a1</t>
  </si>
  <si>
    <r>
      <rPr>
        <b/>
        <sz val="9"/>
        <color rgb="FFC00000"/>
        <rFont val="Arial"/>
        <family val="2"/>
      </rPr>
      <t>Source:</t>
    </r>
    <r>
      <rPr>
        <sz val="9"/>
        <color rgb="FFC00000"/>
        <rFont val="Arial"/>
        <family val="2"/>
      </rPr>
      <t xml:space="preserve"> UN (2024)</t>
    </r>
  </si>
  <si>
    <t>Total Population ratio POV Server / UN</t>
  </si>
  <si>
    <t>15-64 Population ratio POV Server /UN</t>
  </si>
  <si>
    <t>Naming</t>
  </si>
  <si>
    <t>Sri Lanka</t>
  </si>
  <si>
    <t>LKA</t>
  </si>
  <si>
    <t>value2015</t>
  </si>
  <si>
    <t>value2014</t>
  </si>
  <si>
    <t>value2016</t>
  </si>
  <si>
    <t>value2017</t>
  </si>
  <si>
    <t>value2018</t>
  </si>
  <si>
    <t>value2019</t>
  </si>
  <si>
    <t>value2020</t>
  </si>
  <si>
    <t>value2021</t>
  </si>
  <si>
    <t>value2022</t>
  </si>
  <si>
    <t>value2023</t>
  </si>
  <si>
    <t>value2024</t>
  </si>
  <si>
    <t>value2025</t>
  </si>
  <si>
    <t>value2026</t>
  </si>
  <si>
    <t>lav2015</t>
  </si>
  <si>
    <t>lav2016</t>
  </si>
  <si>
    <t>lav2017</t>
  </si>
  <si>
    <t>lav2018</t>
  </si>
  <si>
    <t>lav2019</t>
  </si>
  <si>
    <t>lav2020</t>
  </si>
  <si>
    <t>lav2021</t>
  </si>
  <si>
    <t>lav2022</t>
  </si>
  <si>
    <t>lav2023</t>
  </si>
  <si>
    <t>lav2024</t>
  </si>
  <si>
    <t>lav2025</t>
  </si>
  <si>
    <t>lav2026</t>
  </si>
  <si>
    <t>rate_s0_a2</t>
  </si>
  <si>
    <t>rate_s0_a3</t>
  </si>
  <si>
    <t>inc_S0_A0</t>
  </si>
  <si>
    <t>3. NON-LABOR INCOME (%∆) w.r.t. baseyear</t>
  </si>
  <si>
    <t>cpi</t>
  </si>
  <si>
    <t>foodcpi</t>
  </si>
  <si>
    <t>nonfoodcpi</t>
  </si>
  <si>
    <t>pccons</t>
  </si>
  <si>
    <t>Prices</t>
  </si>
  <si>
    <t>CPI</t>
  </si>
  <si>
    <t>Per Capita Consumption Growth</t>
  </si>
  <si>
    <t>Welfare Aggregate</t>
  </si>
  <si>
    <t>Food</t>
  </si>
  <si>
    <t>Non-food</t>
  </si>
  <si>
    <t>Non-Food</t>
  </si>
  <si>
    <t>Welfare aggregate</t>
  </si>
  <si>
    <t>4. Welfare aggregate</t>
  </si>
  <si>
    <t>Please, revise the 4. Welfare aggregate</t>
  </si>
  <si>
    <t>Part 4. Welfare aggregate</t>
  </si>
  <si>
    <t>1. Revise and/or modify food and non-food price growth rates</t>
  </si>
  <si>
    <t>Default: based on historical food and non-food price growth rates</t>
  </si>
  <si>
    <t>2. Revise and/or modify household consumption growth rates</t>
  </si>
  <si>
    <t>Default: total household consumption growth rates</t>
  </si>
  <si>
    <t xml:space="preserve">In this section you can revise food and non-food prices, that affect household consumption growth. Please, follow the checkbox on the right and make sure that you provided all key information required. </t>
  </si>
  <si>
    <t>Food, yoy %</t>
  </si>
  <si>
    <t>Non-food, yoy %</t>
  </si>
  <si>
    <t>CPI, yoy  %</t>
  </si>
  <si>
    <t>Consumer Price Index</t>
  </si>
  <si>
    <t>Number of Sectors</t>
  </si>
  <si>
    <t>Industry - unskilled</t>
  </si>
  <si>
    <t>Industry - skilled</t>
  </si>
  <si>
    <t>Services - unskilled</t>
  </si>
  <si>
    <t>Services - skilled</t>
  </si>
  <si>
    <t>unpop_15up</t>
  </si>
  <si>
    <t>Population, 15+ (UN 2024)</t>
  </si>
  <si>
    <t>pvpop_15up</t>
  </si>
  <si>
    <t>Population, 15+ (POV)</t>
  </si>
  <si>
    <t>Wage Premia</t>
  </si>
  <si>
    <t>July 2024</t>
  </si>
  <si>
    <t>consumption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</si>
</sst>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 numFmtId="175" formatCode="#,##0.000000"/>
    <numFmt numFmtId="179" formatCode="_(* #,##0.000000_);_(* \(#,##0.000000\);_(* &quot;-&quot;??_);_(@_)"/>
  </numFmts>
  <fonts count="129"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
      <sz val="10"/>
      <color theme="3"/>
      <name val="Arial"/>
      <family val="2"/>
    </font>
    <font>
      <b/>
      <sz val="10"/>
      <color theme="0"/>
      <name val="Calibri Light"/>
      <family val="2"/>
      <scheme val="major"/>
    </font>
    <font>
      <b/>
      <sz val="11"/>
      <color theme="1"/>
      <name val="Calibri"/>
      <family val="2"/>
      <scheme val="minor"/>
    </font>
  </fonts>
  <fills count="33">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
      <patternFill patternType="solid">
        <fgColor theme="4" tint="0.79998168889431442"/>
        <bgColor indexed="64"/>
      </patternFill>
    </fill>
  </fills>
  <borders count="53">
    <border>
      <left/>
      <right/>
      <top/>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bottom style="medium">
        <color indexed="64"/>
      </bottom>
      <diagonal/>
    </border>
    <border>
      <left style="thin">
        <color auto="1"/>
      </left>
      <right style="medium">
        <color auto="1"/>
      </right>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style="medium">
        <color indexed="64"/>
      </top>
      <bottom style="medium">
        <color auto="1"/>
      </bottom>
      <diagonal/>
    </border>
    <border>
      <left style="thin">
        <color auto="1"/>
      </left>
      <right/>
      <top style="medium">
        <color indexed="64"/>
      </top>
      <bottom style="medium">
        <color auto="1"/>
      </bottom>
      <diagonal/>
    </border>
    <border>
      <left style="medium">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auto="1"/>
      </bottom>
      <diagonal/>
    </border>
    <border>
      <left style="thin">
        <color indexed="64"/>
      </left>
      <right style="thin">
        <color indexed="64"/>
      </right>
      <top style="thin">
        <color indexed="64"/>
      </top>
      <bottom style="thin">
        <color indexed="64"/>
      </bottom>
      <diagonal/>
    </border>
    <border>
      <left/>
      <right/>
      <top style="double">
        <color auto="1"/>
      </top>
      <bottom style="double">
        <color indexed="64"/>
      </bottom>
      <diagonal/>
    </border>
    <border>
      <left/>
      <right style="thin">
        <color auto="1"/>
      </right>
      <top style="double">
        <color auto="1"/>
      </top>
      <bottom style="double">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649">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3" fontId="3" fillId="0" borderId="8" xfId="0" applyNumberFormat="1" applyFont="1" applyBorder="1" applyAlignment="1">
      <alignment horizontal="center" vertical="center"/>
    </xf>
    <xf numFmtId="164" fontId="13" fillId="3" borderId="3" xfId="1" applyNumberFormat="1" applyFont="1" applyFill="1" applyBorder="1" applyAlignment="1">
      <alignment vertical="center"/>
    </xf>
    <xf numFmtId="167" fontId="13" fillId="3" borderId="0" xfId="0" applyNumberFormat="1" applyFont="1" applyFill="1" applyAlignment="1">
      <alignment vertical="center"/>
    </xf>
    <xf numFmtId="167" fontId="13" fillId="3" borderId="3" xfId="0" applyNumberFormat="1" applyFont="1" applyFill="1" applyBorder="1" applyAlignment="1">
      <alignment vertical="center"/>
    </xf>
    <xf numFmtId="0" fontId="14" fillId="0" borderId="0" xfId="3" applyFont="1" applyAlignment="1">
      <alignment vertical="center"/>
    </xf>
    <xf numFmtId="0" fontId="14" fillId="0" borderId="11"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0" xfId="0" applyFont="1" applyBorder="1" applyAlignment="1">
      <alignment horizontal="center" vertical="center"/>
    </xf>
    <xf numFmtId="0" fontId="0" fillId="0" borderId="20" xfId="0" applyBorder="1"/>
    <xf numFmtId="0" fontId="0" fillId="0" borderId="19" xfId="0" applyBorder="1"/>
    <xf numFmtId="0" fontId="0" fillId="0" borderId="18" xfId="0" applyBorder="1"/>
    <xf numFmtId="0" fontId="0" fillId="0" borderId="21" xfId="0" applyBorder="1"/>
    <xf numFmtId="0" fontId="29" fillId="0" borderId="0" xfId="0" applyFont="1"/>
    <xf numFmtId="0" fontId="31" fillId="0" borderId="0" xfId="0" applyFont="1"/>
    <xf numFmtId="0" fontId="0" fillId="0" borderId="23" xfId="0" applyBorder="1"/>
    <xf numFmtId="0" fontId="0" fillId="0" borderId="27" xfId="0" applyBorder="1"/>
    <xf numFmtId="0" fontId="29" fillId="0" borderId="26" xfId="0" applyFont="1" applyBorder="1"/>
    <xf numFmtId="0" fontId="29" fillId="0" borderId="27" xfId="0" applyFont="1" applyBorder="1"/>
    <xf numFmtId="0" fontId="34" fillId="0" borderId="0" xfId="0" applyFont="1"/>
    <xf numFmtId="0" fontId="0" fillId="0" borderId="26" xfId="0" applyBorder="1"/>
    <xf numFmtId="0" fontId="0" fillId="0" borderId="16" xfId="0" applyBorder="1"/>
    <xf numFmtId="0" fontId="22" fillId="0" borderId="18" xfId="0" applyFont="1" applyBorder="1"/>
    <xf numFmtId="0" fontId="0" fillId="0" borderId="17" xfId="0" applyBorder="1"/>
    <xf numFmtId="0" fontId="5" fillId="0" borderId="11" xfId="0" applyFont="1" applyBorder="1"/>
    <xf numFmtId="0" fontId="29" fillId="0" borderId="0" xfId="0" applyFont="1" applyAlignment="1">
      <alignment vertical="center"/>
    </xf>
    <xf numFmtId="0" fontId="27" fillId="0" borderId="0" xfId="0" applyFont="1"/>
    <xf numFmtId="0" fontId="0" fillId="0" borderId="28"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2" fillId="0" borderId="18"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1" fontId="6" fillId="0" borderId="14" xfId="3" applyNumberFormat="1" applyFont="1" applyBorder="1" applyAlignment="1">
      <alignment horizontal="center" vertical="center"/>
    </xf>
    <xf numFmtId="1" fontId="6" fillId="0" borderId="12" xfId="3" applyNumberFormat="1" applyFont="1" applyBorder="1" applyAlignment="1">
      <alignment horizontal="center" vertical="center"/>
    </xf>
    <xf numFmtId="1" fontId="6" fillId="0" borderId="13" xfId="3" applyNumberFormat="1" applyFont="1" applyBorder="1" applyAlignment="1">
      <alignment horizontal="center" vertical="center"/>
    </xf>
    <xf numFmtId="2" fontId="7" fillId="0" borderId="20" xfId="3" applyNumberFormat="1" applyFont="1" applyBorder="1" applyAlignment="1">
      <alignment horizontal="left" vertical="center" indent="2"/>
    </xf>
    <xf numFmtId="2" fontId="3" fillId="0" borderId="15"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9" xfId="0" applyNumberFormat="1" applyFont="1" applyBorder="1" applyAlignment="1">
      <alignment vertical="center"/>
    </xf>
    <xf numFmtId="0" fontId="6" fillId="0" borderId="25" xfId="0" applyFont="1" applyBorder="1" applyAlignment="1">
      <alignment horizontal="center" vertical="center"/>
    </xf>
    <xf numFmtId="0" fontId="5" fillId="12" borderId="0" xfId="0" applyFont="1" applyFill="1"/>
    <xf numFmtId="0" fontId="29" fillId="12" borderId="0" xfId="0" applyFont="1" applyFill="1"/>
    <xf numFmtId="0" fontId="12" fillId="5" borderId="22" xfId="0" applyFont="1" applyFill="1" applyBorder="1" applyAlignment="1">
      <alignment horizontal="center" vertical="center"/>
    </xf>
    <xf numFmtId="0" fontId="12" fillId="5" borderId="11" xfId="0" applyFont="1" applyFill="1" applyBorder="1" applyAlignment="1">
      <alignment horizontal="center" vertical="center"/>
    </xf>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29"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0"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1" xfId="0" applyFont="1" applyFill="1" applyBorder="1" applyAlignment="1">
      <alignment horizontal="center" vertical="center"/>
    </xf>
    <xf numFmtId="0" fontId="73" fillId="4" borderId="32" xfId="0" applyFont="1" applyFill="1" applyBorder="1" applyAlignment="1" applyProtection="1">
      <alignment horizontal="left" vertical="center"/>
      <protection locked="0"/>
    </xf>
    <xf numFmtId="2" fontId="73" fillId="4" borderId="32"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2"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0" xfId="0" applyNumberFormat="1" applyFont="1" applyFill="1" applyBorder="1" applyAlignment="1">
      <alignment horizontal="center" vertical="center"/>
    </xf>
    <xf numFmtId="2" fontId="77" fillId="8" borderId="30"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5"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6"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1" xfId="0" applyFont="1" applyFill="1" applyBorder="1" applyAlignment="1">
      <alignment horizontal="left" vertical="center"/>
    </xf>
    <xf numFmtId="0" fontId="13" fillId="4" borderId="24"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4"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5"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5"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2" xfId="0" applyFont="1" applyFill="1" applyBorder="1" applyAlignment="1">
      <alignment horizontal="left" vertical="center"/>
    </xf>
    <xf numFmtId="43" fontId="13" fillId="4" borderId="3" xfId="0" applyNumberFormat="1" applyFont="1" applyFill="1" applyBorder="1" applyAlignment="1">
      <alignment horizontal="center" vertical="center"/>
    </xf>
    <xf numFmtId="0" fontId="13" fillId="4" borderId="1" xfId="0" applyFont="1" applyFill="1" applyBorder="1" applyAlignment="1">
      <alignment vertical="center"/>
    </xf>
    <xf numFmtId="164" fontId="13" fillId="4" borderId="0" xfId="1" applyNumberFormat="1" applyFont="1" applyFill="1" applyAlignment="1">
      <alignment vertical="center"/>
    </xf>
    <xf numFmtId="0" fontId="12" fillId="4" borderId="2" xfId="0" applyFont="1" applyFill="1" applyBorder="1" applyAlignment="1">
      <alignment vertical="center"/>
    </xf>
    <xf numFmtId="164" fontId="13" fillId="4" borderId="3" xfId="1" applyNumberFormat="1" applyFont="1" applyFill="1" applyBorder="1" applyAlignment="1">
      <alignment vertical="center"/>
    </xf>
    <xf numFmtId="169" fontId="13" fillId="4" borderId="3" xfId="0" applyNumberFormat="1" applyFont="1" applyFill="1" applyBorder="1" applyAlignment="1">
      <alignment vertical="center"/>
    </xf>
    <xf numFmtId="167" fontId="13" fillId="4" borderId="0" xfId="0" applyNumberFormat="1" applyFont="1" applyFill="1" applyAlignment="1">
      <alignment vertical="center"/>
    </xf>
    <xf numFmtId="167" fontId="13" fillId="4" borderId="3" xfId="0" applyNumberFormat="1" applyFont="1" applyFill="1" applyBorder="1" applyAlignment="1">
      <alignment vertical="center"/>
    </xf>
    <xf numFmtId="0" fontId="21" fillId="4" borderId="2" xfId="0" applyFont="1" applyFill="1" applyBorder="1" applyAlignment="1">
      <alignment vertical="center"/>
    </xf>
    <xf numFmtId="0" fontId="21" fillId="4" borderId="3" xfId="0" applyFont="1" applyFill="1" applyBorder="1" applyAlignment="1">
      <alignment vertical="center"/>
    </xf>
    <xf numFmtId="164" fontId="13" fillId="4" borderId="3" xfId="1" applyNumberFormat="1" applyFont="1" applyFill="1" applyBorder="1" applyAlignment="1">
      <alignment horizontal="center" vertical="center"/>
    </xf>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1" xfId="0" applyFont="1" applyFill="1" applyBorder="1" applyAlignment="1">
      <alignment horizontal="center" vertical="center"/>
    </xf>
    <xf numFmtId="0" fontId="12" fillId="3" borderId="0" xfId="0" applyFont="1" applyFill="1" applyAlignment="1">
      <alignment horizontal="center" vertical="center"/>
    </xf>
    <xf numFmtId="0" fontId="12" fillId="3" borderId="3"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3" xfId="0" applyNumberFormat="1" applyFont="1" applyFill="1" applyBorder="1" applyAlignment="1">
      <alignment vertical="center"/>
    </xf>
    <xf numFmtId="0" fontId="25" fillId="3" borderId="3" xfId="0" applyFont="1" applyFill="1" applyBorder="1"/>
    <xf numFmtId="0" fontId="12" fillId="27" borderId="11" xfId="0" applyFont="1" applyFill="1" applyBorder="1" applyAlignment="1">
      <alignment horizontal="center" vertical="center"/>
    </xf>
    <xf numFmtId="0" fontId="12" fillId="13" borderId="11" xfId="0" applyFont="1" applyFill="1" applyBorder="1" applyAlignment="1">
      <alignment horizontal="center" vertical="center"/>
    </xf>
    <xf numFmtId="0" fontId="121" fillId="4" borderId="0" xfId="0" applyFont="1" applyFill="1"/>
    <xf numFmtId="2" fontId="21" fillId="4" borderId="3"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29"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0" xfId="0" applyFont="1" applyFill="1" applyBorder="1" applyAlignment="1" applyProtection="1">
      <alignment horizontal="left" vertical="center" indent="1"/>
      <protection locked="0"/>
    </xf>
    <xf numFmtId="10" fontId="76" fillId="4" borderId="30"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0" xfId="0" applyFont="1" applyFill="1" applyBorder="1" applyAlignment="1">
      <alignment horizontal="left" vertical="center" indent="1"/>
    </xf>
    <xf numFmtId="0" fontId="76" fillId="4" borderId="30" xfId="0" quotePrefix="1" applyFont="1" applyFill="1" applyBorder="1" applyAlignment="1">
      <alignment horizontal="left" vertical="center"/>
    </xf>
    <xf numFmtId="164" fontId="76" fillId="4" borderId="30"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0" xfId="0" applyFont="1" applyFill="1" applyBorder="1" applyAlignment="1">
      <alignment horizontal="left" vertical="center"/>
    </xf>
    <xf numFmtId="165" fontId="76" fillId="4" borderId="30"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1" xfId="0" applyNumberFormat="1" applyFont="1" applyFill="1" applyBorder="1" applyAlignment="1">
      <alignment horizontal="center"/>
    </xf>
    <xf numFmtId="2" fontId="73" fillId="4" borderId="32" xfId="0" applyNumberFormat="1" applyFont="1" applyFill="1" applyBorder="1" applyAlignment="1">
      <alignment horizontal="center"/>
    </xf>
    <xf numFmtId="2" fontId="73" fillId="4" borderId="33"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0" xfId="3" applyNumberFormat="1" applyFont="1" applyFill="1" applyBorder="1" applyAlignment="1">
      <alignment horizontal="left" vertical="center"/>
    </xf>
    <xf numFmtId="2" fontId="73" fillId="4" borderId="30"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0" xfId="3" applyNumberFormat="1" applyFont="1" applyFill="1" applyBorder="1" applyAlignment="1">
      <alignment horizontal="left" vertical="center"/>
    </xf>
    <xf numFmtId="2" fontId="77" fillId="4" borderId="30"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35" xfId="0" applyFont="1" applyFill="1" applyBorder="1" applyAlignment="1">
      <alignment horizontal="left" vertical="center" indent="1"/>
    </xf>
    <xf numFmtId="167" fontId="92" fillId="4" borderId="35"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5" xfId="0" applyFont="1" applyFill="1" applyBorder="1"/>
    <xf numFmtId="172" fontId="91" fillId="4" borderId="35"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4"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5" xfId="1" applyNumberFormat="1" applyFont="1" applyFill="1" applyBorder="1" applyAlignment="1" applyProtection="1">
      <alignment horizontal="right"/>
    </xf>
    <xf numFmtId="167" fontId="92" fillId="4" borderId="35"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6" xfId="3" applyNumberFormat="1" applyFont="1" applyFill="1" applyBorder="1" applyAlignment="1">
      <alignment horizontal="center" vertical="center"/>
    </xf>
    <xf numFmtId="168" fontId="100" fillId="4" borderId="36"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6"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29" xfId="0" applyFont="1" applyFill="1" applyBorder="1" applyAlignment="1">
      <alignment horizontal="left" vertical="center"/>
    </xf>
    <xf numFmtId="3" fontId="68" fillId="4" borderId="29" xfId="3" applyNumberFormat="1" applyFont="1" applyFill="1" applyBorder="1" applyAlignment="1">
      <alignment horizontal="center" vertical="center"/>
    </xf>
    <xf numFmtId="3" fontId="68" fillId="6" borderId="29"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48" fillId="4" borderId="0" xfId="6" applyFont="1" applyFill="1" applyBorder="1" applyAlignment="1" applyProtection="1">
      <alignment horizontal="center"/>
      <protection locked="0"/>
    </xf>
    <xf numFmtId="0" fontId="91" fillId="4" borderId="0" xfId="0" applyFont="1" applyFill="1" applyAlignment="1">
      <alignment horizontal="left"/>
    </xf>
    <xf numFmtId="0" fontId="7" fillId="4" borderId="0" xfId="0" applyFont="1" applyFill="1" applyProtection="1">
      <protection locked="0"/>
    </xf>
    <xf numFmtId="165" fontId="76" fillId="4" borderId="0" xfId="2" applyNumberFormat="1" applyFont="1" applyFill="1" applyBorder="1" applyAlignment="1" applyProtection="1">
      <alignment vertical="center"/>
    </xf>
    <xf numFmtId="165" fontId="75" fillId="4" borderId="38" xfId="2" applyNumberFormat="1" applyFont="1" applyFill="1" applyBorder="1" applyAlignment="1" applyProtection="1">
      <alignment vertical="center"/>
    </xf>
    <xf numFmtId="165" fontId="75" fillId="8" borderId="39" xfId="2" applyNumberFormat="1" applyFont="1" applyFill="1" applyBorder="1" applyAlignment="1" applyProtection="1">
      <alignment horizontal="right" vertical="center"/>
    </xf>
    <xf numFmtId="165" fontId="75" fillId="8" borderId="40" xfId="2" applyNumberFormat="1" applyFont="1" applyFill="1" applyBorder="1" applyAlignment="1" applyProtection="1">
      <alignment horizontal="right" vertical="center"/>
    </xf>
    <xf numFmtId="0" fontId="91" fillId="4" borderId="0" xfId="0" applyFont="1" applyFill="1" applyAlignment="1">
      <alignment horizontal="left" vertical="center" indent="1"/>
    </xf>
    <xf numFmtId="3" fontId="29" fillId="4" borderId="0" xfId="0" applyNumberFormat="1" applyFont="1" applyFill="1"/>
    <xf numFmtId="49" fontId="57" fillId="0" borderId="0" xfId="0" applyNumberFormat="1" applyFont="1"/>
    <xf numFmtId="0" fontId="126" fillId="4" borderId="0" xfId="0" applyFont="1" applyFill="1" applyAlignment="1">
      <alignment horizontal="left" vertical="center"/>
    </xf>
    <xf numFmtId="165" fontId="126" fillId="4" borderId="0" xfId="2" applyNumberFormat="1" applyFont="1" applyFill="1" applyAlignment="1">
      <alignment horizontal="right" vertical="center"/>
    </xf>
    <xf numFmtId="165" fontId="126" fillId="6" borderId="0" xfId="2" applyNumberFormat="1" applyFont="1" applyFill="1" applyAlignment="1">
      <alignment horizontal="right" vertical="center"/>
    </xf>
    <xf numFmtId="165" fontId="29" fillId="4" borderId="0" xfId="2" applyNumberFormat="1" applyFont="1" applyFill="1"/>
    <xf numFmtId="2" fontId="73" fillId="4" borderId="0" xfId="0" applyNumberFormat="1" applyFont="1" applyFill="1" applyBorder="1" applyAlignment="1">
      <alignment horizontal="center"/>
    </xf>
    <xf numFmtId="0" fontId="113" fillId="4" borderId="0" xfId="3" applyFont="1" applyFill="1" applyAlignment="1">
      <alignment horizontal="center" vertical="center"/>
    </xf>
    <xf numFmtId="0" fontId="0" fillId="0" borderId="0" xfId="0" applyBorder="1"/>
    <xf numFmtId="0" fontId="0" fillId="0" borderId="11" xfId="0" applyBorder="1"/>
    <xf numFmtId="0" fontId="0" fillId="0" borderId="28" xfId="0" applyBorder="1" applyAlignment="1">
      <alignment horizontal="center"/>
    </xf>
    <xf numFmtId="0" fontId="10" fillId="0" borderId="16" xfId="0" applyFont="1" applyBorder="1" applyAlignment="1">
      <alignment horizontal="center" vertical="center"/>
    </xf>
    <xf numFmtId="1" fontId="6" fillId="0" borderId="23" xfId="3" applyNumberFormat="1" applyFont="1" applyBorder="1" applyAlignment="1">
      <alignment horizontal="center" vertical="center"/>
    </xf>
    <xf numFmtId="1" fontId="6" fillId="0" borderId="42" xfId="3" applyNumberFormat="1" applyFont="1" applyBorder="1" applyAlignment="1">
      <alignment horizontal="center" vertical="center"/>
    </xf>
    <xf numFmtId="2" fontId="7" fillId="0" borderId="43" xfId="3" applyNumberFormat="1" applyFont="1" applyBorder="1" applyAlignment="1">
      <alignment horizontal="left" vertical="center" indent="2"/>
    </xf>
    <xf numFmtId="2" fontId="3" fillId="0" borderId="44" xfId="0" applyNumberFormat="1" applyFont="1" applyBorder="1" applyAlignment="1">
      <alignment horizontal="center" vertical="center"/>
    </xf>
    <xf numFmtId="0" fontId="2" fillId="0" borderId="45" xfId="0" applyFont="1" applyBorder="1" applyAlignment="1">
      <alignment horizontal="center" vertical="center"/>
    </xf>
    <xf numFmtId="0" fontId="2" fillId="0" borderId="46" xfId="0" applyFont="1" applyBorder="1" applyAlignment="1">
      <alignment horizontal="center" vertical="center"/>
    </xf>
    <xf numFmtId="0" fontId="2" fillId="0" borderId="47" xfId="0" applyFont="1" applyBorder="1" applyAlignment="1">
      <alignment horizontal="center" vertical="center"/>
    </xf>
    <xf numFmtId="1" fontId="6" fillId="0" borderId="48" xfId="3" applyNumberFormat="1" applyFont="1" applyBorder="1" applyAlignment="1">
      <alignment horizontal="center" vertical="center"/>
    </xf>
    <xf numFmtId="1" fontId="6" fillId="0" borderId="46" xfId="3" applyNumberFormat="1" applyFont="1" applyBorder="1" applyAlignment="1">
      <alignment horizontal="center" vertical="center"/>
    </xf>
    <xf numFmtId="1" fontId="6" fillId="0" borderId="47" xfId="3" applyNumberFormat="1" applyFont="1" applyBorder="1" applyAlignment="1">
      <alignment horizontal="center" vertical="center"/>
    </xf>
    <xf numFmtId="1" fontId="6" fillId="0" borderId="49" xfId="3" applyNumberFormat="1" applyFont="1" applyBorder="1" applyAlignment="1">
      <alignment horizontal="center" vertical="center"/>
    </xf>
    <xf numFmtId="2" fontId="0" fillId="0" borderId="0" xfId="0" applyNumberFormat="1" applyBorder="1"/>
    <xf numFmtId="2" fontId="0" fillId="0" borderId="19" xfId="0" applyNumberFormat="1" applyBorder="1"/>
    <xf numFmtId="2" fontId="0" fillId="0" borderId="11" xfId="0" applyNumberFormat="1" applyBorder="1"/>
    <xf numFmtId="2" fontId="0" fillId="0" borderId="21" xfId="0" applyNumberFormat="1" applyBorder="1"/>
    <xf numFmtId="0" fontId="127" fillId="4" borderId="0" xfId="3" applyFont="1" applyFill="1" applyAlignment="1">
      <alignment vertical="center"/>
    </xf>
    <xf numFmtId="1" fontId="102" fillId="26" borderId="0" xfId="3" applyNumberFormat="1" applyFont="1" applyFill="1" applyAlignment="1">
      <alignment horizontal="center" vertical="center"/>
    </xf>
    <xf numFmtId="167" fontId="27" fillId="6" borderId="0" xfId="1" applyNumberFormat="1" applyFont="1" applyFill="1" applyBorder="1" applyAlignment="1">
      <alignment horizontal="right" vertical="center"/>
    </xf>
    <xf numFmtId="1" fontId="27" fillId="23" borderId="0" xfId="0" applyNumberFormat="1" applyFont="1" applyFill="1" applyAlignment="1">
      <alignment horizontal="right" vertical="center"/>
    </xf>
    <xf numFmtId="2" fontId="27" fillId="26" borderId="0" xfId="1" applyNumberFormat="1" applyFont="1" applyFill="1" applyBorder="1" applyAlignment="1" applyProtection="1">
      <alignment horizontal="right" vertical="center"/>
    </xf>
    <xf numFmtId="167" fontId="21" fillId="4" borderId="0" xfId="0" applyNumberFormat="1" applyFont="1" applyFill="1" applyBorder="1" applyAlignment="1">
      <alignment vertical="center"/>
    </xf>
    <xf numFmtId="0" fontId="25" fillId="3" borderId="0" xfId="0" applyFont="1" applyFill="1" applyBorder="1"/>
    <xf numFmtId="169" fontId="13" fillId="4" borderId="0" xfId="0" applyNumberFormat="1" applyFont="1" applyFill="1" applyBorder="1" applyAlignment="1">
      <alignment vertical="center"/>
    </xf>
    <xf numFmtId="0" fontId="21" fillId="4" borderId="0" xfId="0" applyFont="1" applyFill="1" applyBorder="1" applyAlignment="1">
      <alignment vertical="center"/>
    </xf>
    <xf numFmtId="2" fontId="21" fillId="4" borderId="0" xfId="0" applyNumberFormat="1" applyFont="1" applyFill="1" applyBorder="1" applyAlignment="1">
      <alignment vertical="center"/>
    </xf>
    <xf numFmtId="0" fontId="21" fillId="4" borderId="1" xfId="0" applyFont="1" applyFill="1" applyBorder="1" applyAlignment="1">
      <alignment vertical="center"/>
    </xf>
    <xf numFmtId="0" fontId="113" fillId="4" borderId="0" xfId="3" applyFont="1" applyFill="1" applyAlignment="1">
      <alignment vertical="center"/>
    </xf>
    <xf numFmtId="0" fontId="27" fillId="29" borderId="0" xfId="0" applyFont="1" applyFill="1" applyAlignment="1">
      <alignment horizontal="left" vertical="center"/>
    </xf>
    <xf numFmtId="2" fontId="27" fillId="29" borderId="0" xfId="1" applyNumberFormat="1" applyFont="1" applyFill="1" applyBorder="1" applyAlignment="1" applyProtection="1">
      <alignment horizontal="right" vertical="center"/>
    </xf>
    <xf numFmtId="0" fontId="27" fillId="18" borderId="0" xfId="0" applyFont="1" applyFill="1" applyAlignment="1">
      <alignment horizontal="left" vertical="center"/>
    </xf>
    <xf numFmtId="2" fontId="27" fillId="18" borderId="0" xfId="1" applyNumberFormat="1" applyFont="1" applyFill="1" applyBorder="1" applyAlignment="1" applyProtection="1">
      <alignment horizontal="right" vertical="center"/>
    </xf>
    <xf numFmtId="0" fontId="0" fillId="4" borderId="0" xfId="0" applyFill="1"/>
    <xf numFmtId="0" fontId="97" fillId="29" borderId="0" xfId="0" applyFont="1" applyFill="1" applyAlignment="1">
      <alignment vertical="center" wrapText="1"/>
    </xf>
    <xf numFmtId="0" fontId="36" fillId="29" borderId="0" xfId="0" applyFont="1" applyFill="1"/>
    <xf numFmtId="0" fontId="97" fillId="29" borderId="0" xfId="0" applyFont="1" applyFill="1"/>
    <xf numFmtId="0" fontId="98" fillId="29" borderId="0" xfId="0" applyFont="1" applyFill="1"/>
    <xf numFmtId="0" fontId="0" fillId="29" borderId="0" xfId="0" applyFill="1"/>
    <xf numFmtId="0" fontId="97" fillId="29" borderId="0" xfId="0" applyFont="1" applyFill="1" applyAlignment="1">
      <alignment vertical="center"/>
    </xf>
    <xf numFmtId="0" fontId="98" fillId="18" borderId="0" xfId="0" applyFont="1" applyFill="1"/>
    <xf numFmtId="0" fontId="8" fillId="32" borderId="0" xfId="0" applyFont="1" applyFill="1" applyAlignment="1" applyProtection="1">
      <protection locked="0"/>
    </xf>
    <xf numFmtId="0" fontId="38" fillId="32" borderId="0" xfId="0" applyFont="1" applyFill="1" applyAlignment="1" applyProtection="1">
      <protection locked="0"/>
    </xf>
    <xf numFmtId="0" fontId="8" fillId="32" borderId="0" xfId="0" applyFont="1" applyFill="1" applyAlignment="1" applyProtection="1">
      <alignment horizontal="center"/>
      <protection locked="0"/>
    </xf>
    <xf numFmtId="0" fontId="77" fillId="4" borderId="0" xfId="6" applyFont="1" applyFill="1" applyBorder="1" applyAlignment="1" applyProtection="1">
      <alignment horizontal="center"/>
      <protection locked="0"/>
    </xf>
    <xf numFmtId="10" fontId="76" fillId="8" borderId="50" xfId="2" applyNumberFormat="1" applyFont="1" applyFill="1" applyBorder="1" applyAlignment="1" applyProtection="1">
      <alignment horizontal="right" vertical="center"/>
    </xf>
    <xf numFmtId="43" fontId="76" fillId="4" borderId="0" xfId="1" applyFont="1" applyFill="1" applyBorder="1" applyProtection="1"/>
    <xf numFmtId="175" fontId="76" fillId="8" borderId="0" xfId="0" applyNumberFormat="1" applyFont="1" applyFill="1" applyAlignment="1">
      <alignment horizontal="right"/>
    </xf>
    <xf numFmtId="10" fontId="29" fillId="4" borderId="0" xfId="2" applyNumberFormat="1" applyFont="1" applyFill="1"/>
    <xf numFmtId="0" fontId="13" fillId="4" borderId="2" xfId="0" applyFont="1" applyFill="1" applyBorder="1" applyAlignment="1">
      <alignment vertical="center"/>
    </xf>
    <xf numFmtId="0" fontId="5" fillId="14" borderId="0" xfId="0" applyFont="1" applyFill="1" applyAlignment="1">
      <alignment horizontal="left" vertical="top"/>
    </xf>
    <xf numFmtId="0" fontId="41" fillId="15" borderId="0" xfId="0" applyFont="1" applyFill="1" applyAlignment="1">
      <alignment horizontal="center" vertical="center"/>
    </xf>
    <xf numFmtId="0" fontId="5" fillId="14" borderId="0" xfId="0" applyFont="1" applyFill="1" applyAlignment="1">
      <alignment horizontal="left" vertical="center"/>
    </xf>
    <xf numFmtId="0" fontId="5" fillId="14" borderId="0" xfId="0" applyFont="1" applyFill="1" applyAlignment="1">
      <alignment horizontal="left"/>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1" fillId="11" borderId="0" xfId="0" applyFont="1" applyFill="1" applyAlignment="1">
      <alignment horizontal="center"/>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41" fillId="20" borderId="0" xfId="0" applyFont="1" applyFill="1" applyAlignment="1" applyProtection="1">
      <alignment horizontal="center" vertical="center"/>
      <protection locked="0"/>
    </xf>
    <xf numFmtId="0" fontId="74" fillId="11"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75" fillId="11" borderId="0" xfId="0" applyFont="1" applyFill="1" applyAlignment="1">
      <alignment horizontal="center"/>
    </xf>
    <xf numFmtId="0" fontId="6" fillId="11" borderId="0" xfId="0" applyFont="1" applyFill="1" applyAlignment="1">
      <alignment horizontal="center"/>
    </xf>
    <xf numFmtId="0" fontId="41" fillId="31" borderId="0" xfId="0" applyFont="1" applyFill="1" applyAlignment="1" applyProtection="1">
      <alignment horizontal="center" vertical="center"/>
      <protection locked="0"/>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wrapText="1"/>
      <protection locked="0"/>
    </xf>
    <xf numFmtId="0" fontId="77" fillId="8" borderId="0" xfId="0" applyFont="1" applyFill="1" applyAlignment="1" applyProtection="1">
      <alignment horizontal="center" vertical="center"/>
      <protection locked="0"/>
    </xf>
    <xf numFmtId="0" fontId="77" fillId="8" borderId="31" xfId="0" applyFont="1" applyFill="1" applyBorder="1" applyAlignment="1" applyProtection="1">
      <alignment horizontal="center" vertical="center" wrapText="1"/>
      <protection locked="0"/>
    </xf>
    <xf numFmtId="0" fontId="52" fillId="4" borderId="0" xfId="6" applyFont="1" applyFill="1" applyBorder="1" applyAlignment="1" applyProtection="1">
      <alignment horizontal="center"/>
      <protection locked="0"/>
    </xf>
    <xf numFmtId="0" fontId="76" fillId="4" borderId="0" xfId="0" applyFont="1" applyFill="1" applyAlignment="1" applyProtection="1">
      <alignment horizontal="center" vertical="center"/>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74" fillId="8" borderId="0" xfId="0" applyFont="1" applyFill="1" applyAlignment="1" applyProtection="1">
      <alignment horizontal="center" vertical="center" wrapText="1"/>
      <protection locked="0"/>
    </xf>
    <xf numFmtId="0" fontId="9" fillId="4"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2" fillId="11" borderId="0" xfId="0" applyFont="1" applyFill="1" applyAlignment="1" applyProtection="1">
      <alignment horizontal="center"/>
      <protection locked="0"/>
    </xf>
    <xf numFmtId="0" fontId="73" fillId="21" borderId="0" xfId="0" applyFont="1" applyFill="1" applyAlignment="1" applyProtection="1">
      <alignment horizontal="center" vertical="center" wrapText="1"/>
      <protection locked="0"/>
    </xf>
    <xf numFmtId="0" fontId="76" fillId="0" borderId="0" xfId="0" applyFont="1" applyAlignment="1" applyProtection="1">
      <alignment horizontal="center" vertical="center"/>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91" fillId="4" borderId="34"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2" fillId="4" borderId="0" xfId="0" applyFont="1" applyFill="1" applyAlignment="1">
      <alignment horizontal="left"/>
    </xf>
    <xf numFmtId="0" fontId="91" fillId="4" borderId="0" xfId="0" applyFont="1" applyFill="1" applyAlignment="1">
      <alignment horizontal="left"/>
    </xf>
    <xf numFmtId="0" fontId="5" fillId="4" borderId="0" xfId="0" applyFont="1" applyFill="1" applyAlignment="1">
      <alignment horizontal="center" vertical="center" wrapText="1"/>
    </xf>
    <xf numFmtId="0" fontId="86" fillId="23" borderId="0" xfId="0" applyFont="1" applyFill="1" applyAlignment="1">
      <alignment horizontal="left" vertical="center" wrapText="1"/>
    </xf>
    <xf numFmtId="0" fontId="88" fillId="23" borderId="0" xfId="6" applyFont="1" applyFill="1" applyBorder="1" applyAlignment="1" applyProtection="1">
      <alignment horizontal="center" vertical="center" wrapText="1"/>
    </xf>
    <xf numFmtId="0" fontId="38" fillId="24" borderId="0" xfId="0" applyFont="1" applyFill="1" applyAlignment="1">
      <alignment horizontal="center"/>
    </xf>
    <xf numFmtId="0" fontId="90" fillId="22" borderId="0" xfId="0" applyFont="1" applyFill="1" applyAlignment="1">
      <alignment horizontal="center" vertical="center" wrapText="1"/>
    </xf>
    <xf numFmtId="0" fontId="119" fillId="4" borderId="0" xfId="6" applyFont="1" applyFill="1" applyBorder="1" applyAlignment="1" applyProtection="1">
      <alignment horizontal="right"/>
    </xf>
    <xf numFmtId="0" fontId="90" fillId="22" borderId="0" xfId="0" applyFont="1" applyFill="1" applyAlignment="1">
      <alignment horizontal="center" vertical="center"/>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3" applyFont="1" applyFill="1" applyAlignment="1">
      <alignment horizontal="center" vertical="center"/>
    </xf>
    <xf numFmtId="0" fontId="101" fillId="25" borderId="0" xfId="0" applyFont="1" applyFill="1" applyAlignment="1">
      <alignment horizontal="center"/>
    </xf>
    <xf numFmtId="173" fontId="103" fillId="4" borderId="37" xfId="0" applyNumberFormat="1" applyFont="1" applyFill="1" applyBorder="1" applyAlignment="1">
      <alignment horizontal="center"/>
    </xf>
    <xf numFmtId="0" fontId="100" fillId="4" borderId="37"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98" fillId="26"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0" fontId="98" fillId="29" borderId="0" xfId="0" applyFont="1" applyFill="1" applyAlignment="1">
      <alignment horizontal="center"/>
    </xf>
    <xf numFmtId="0" fontId="96" fillId="18" borderId="0" xfId="0" applyFont="1" applyFill="1" applyAlignment="1">
      <alignment horizontal="center"/>
    </xf>
    <xf numFmtId="0" fontId="98" fillId="18" borderId="0" xfId="0" applyFont="1" applyFill="1" applyAlignment="1">
      <alignment horizontal="center" wrapText="1"/>
    </xf>
    <xf numFmtId="0" fontId="101" fillId="18" borderId="0" xfId="0" applyFont="1" applyFill="1" applyAlignment="1">
      <alignment horizontal="center"/>
    </xf>
    <xf numFmtId="0" fontId="27" fillId="23" borderId="0" xfId="0" applyFont="1" applyFill="1" applyAlignment="1">
      <alignment horizontal="left" vertical="center"/>
    </xf>
    <xf numFmtId="0" fontId="27" fillId="6" borderId="0" xfId="0" applyFont="1" applyFill="1" applyAlignment="1">
      <alignment vertical="center"/>
    </xf>
    <xf numFmtId="0" fontId="27" fillId="8" borderId="0" xfId="0" applyFont="1" applyFill="1" applyAlignment="1">
      <alignment vertical="center"/>
    </xf>
    <xf numFmtId="0" fontId="111" fillId="27" borderId="0" xfId="0" applyFont="1" applyFill="1" applyAlignment="1">
      <alignment horizontal="center" vertical="center"/>
    </xf>
    <xf numFmtId="0" fontId="27" fillId="26" borderId="0" xfId="0" applyFont="1" applyFill="1" applyAlignment="1">
      <alignment horizontal="left" vertical="center"/>
    </xf>
    <xf numFmtId="0" fontId="9" fillId="3" borderId="0" xfId="0" applyFont="1" applyFill="1" applyAlignment="1">
      <alignment horizontal="center"/>
    </xf>
    <xf numFmtId="0" fontId="37" fillId="11" borderId="0" xfId="0" applyFont="1" applyFill="1" applyAlignment="1">
      <alignment horizontal="center" vertical="center"/>
    </xf>
    <xf numFmtId="0" fontId="27" fillId="6" borderId="0" xfId="0" applyFont="1" applyFill="1" applyAlignment="1">
      <alignment horizontal="left" vertical="center"/>
    </xf>
    <xf numFmtId="0" fontId="9" fillId="25" borderId="0" xfId="0" applyFont="1" applyFill="1" applyAlignment="1">
      <alignment horizontal="center"/>
    </xf>
    <xf numFmtId="0" fontId="37" fillId="22" borderId="0" xfId="0" applyFont="1" applyFill="1" applyAlignment="1">
      <alignment horizontal="center" vertical="center"/>
    </xf>
    <xf numFmtId="0" fontId="9" fillId="10" borderId="0" xfId="0" applyFont="1" applyFill="1" applyAlignment="1">
      <alignment horizontal="center"/>
    </xf>
    <xf numFmtId="0" fontId="9" fillId="17" borderId="0" xfId="0" applyFont="1" applyFill="1" applyAlignment="1">
      <alignment horizontal="center"/>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106" fillId="4" borderId="0" xfId="0" applyFont="1" applyFill="1" applyAlignment="1">
      <alignment horizontal="center" wrapText="1"/>
    </xf>
    <xf numFmtId="0" fontId="104" fillId="28" borderId="0" xfId="6" applyFont="1" applyFill="1" applyBorder="1" applyAlignment="1">
      <alignment horizontal="left"/>
    </xf>
    <xf numFmtId="0" fontId="110" fillId="28" borderId="0" xfId="0" applyFont="1" applyFill="1" applyAlignment="1">
      <alignment horizontal="left"/>
    </xf>
    <xf numFmtId="0" fontId="0" fillId="0" borderId="16" xfId="0" applyBorder="1" applyAlignment="1">
      <alignment horizontal="center"/>
    </xf>
    <xf numFmtId="0" fontId="0" fillId="0" borderId="23" xfId="0" applyBorder="1" applyAlignment="1">
      <alignment horizontal="center"/>
    </xf>
    <xf numFmtId="0" fontId="2" fillId="0" borderId="41" xfId="0" applyFont="1" applyBorder="1" applyAlignment="1">
      <alignment horizontal="center" vertical="center"/>
    </xf>
    <xf numFmtId="1" fontId="6" fillId="0" borderId="41" xfId="3" applyNumberFormat="1" applyFont="1" applyBorder="1" applyAlignment="1">
      <alignment horizontal="center" vertical="center"/>
    </xf>
    <xf numFmtId="0" fontId="113" fillId="4" borderId="0" xfId="3" applyFont="1" applyFill="1" applyAlignment="1">
      <alignment horizontal="center" vertical="center"/>
    </xf>
    <xf numFmtId="0" fontId="116" fillId="18" borderId="0" xfId="3" applyFont="1" applyFill="1" applyAlignment="1">
      <alignment horizontal="center" vertical="center"/>
    </xf>
    <xf numFmtId="0" fontId="25" fillId="4" borderId="51" xfId="0" applyFont="1" applyFill="1" applyBorder="1"/>
    <xf numFmtId="0" fontId="21" fillId="4" borderId="52" xfId="0" applyFont="1" applyFill="1" applyBorder="1" applyAlignment="1">
      <alignment vertical="center"/>
    </xf>
    <xf numFmtId="164" fontId="0" fillId="0" borderId="51" xfId="1" applyNumberFormat="1" applyFont="1" applyBorder="1"/>
    <xf numFmtId="164" fontId="128" fillId="0" borderId="51" xfId="1" applyNumberFormat="1" applyFont="1" applyBorder="1"/>
    <xf numFmtId="179" fontId="13" fillId="4" borderId="3" xfId="1" applyNumberFormat="1" applyFont="1" applyFill="1" applyBorder="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9">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860000"/>
      <color rgb="FFFF9797"/>
      <color rgb="FFFFEBEB"/>
      <color rgb="FFFFC9C9"/>
      <color rgb="FFFFD9D9"/>
      <color rgb="FF000000"/>
      <color rgb="FFE7F4D8"/>
      <color rgb="FFCCE9AD"/>
      <color rgb="FFB8E08C"/>
      <color rgb="FF8DC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#N/A</c:v>
                </c:pt>
                <c:pt idx="3">
                  <c:v>#N/A</c:v>
                </c:pt>
                <c:pt idx="4">
                  <c:v>#N/A</c:v>
                </c:pt>
                <c:pt idx="5">
                  <c:v>#N/A</c:v>
                </c:pt>
                <c:pt idx="6">
                  <c:v>#N/A</c:v>
                </c:pt>
                <c:pt idx="7">
                  <c:v>#N/A</c:v>
                </c:pt>
                <c:pt idx="8">
                  <c:v>-2.5285794155077479</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-2.5285794155077479</c:v>
                </c:pt>
                <c:pt idx="9">
                  <c:v>-0.6600000114104132</c:v>
                </c:pt>
                <c:pt idx="10">
                  <c:v>1.1999999977908349</c:v>
                </c:pt>
                <c:pt idx="11">
                  <c:v>0.1549999973859939</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#N/A</c:v>
                </c:pt>
                <c:pt idx="3">
                  <c:v>#N/A</c:v>
                </c:pt>
                <c:pt idx="4">
                  <c:v>#N/A</c:v>
                </c:pt>
                <c:pt idx="5">
                  <c:v>#N/A</c:v>
                </c:pt>
                <c:pt idx="6">
                  <c:v>#N/A</c:v>
                </c:pt>
                <c:pt idx="7">
                  <c:v>#N/A</c:v>
                </c:pt>
                <c:pt idx="8">
                  <c:v>1.1505313975355735</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1.1505313975355735</c:v>
                </c:pt>
                <c:pt idx="9">
                  <c:v>-1.5968247315137729</c:v>
                </c:pt>
                <c:pt idx="10">
                  <c:v>3.2652995022966036</c:v>
                </c:pt>
                <c:pt idx="11">
                  <c:v>1.2067548891602886</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0</c:v>
                </c:pt>
                <c:pt idx="9">
                  <c:v>0</c:v>
                </c:pt>
                <c:pt idx="10">
                  <c:v>0</c:v>
                </c:pt>
                <c:pt idx="11">
                  <c:v>0</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#N/A</c:v>
                      </c:pt>
                      <c:pt idx="3">
                        <c:v>#N/A</c:v>
                      </c:pt>
                      <c:pt idx="4">
                        <c:v>#N/A</c:v>
                      </c:pt>
                      <c:pt idx="5">
                        <c:v>#N/A</c:v>
                      </c:pt>
                      <c:pt idx="6">
                        <c:v>#N/A</c:v>
                      </c:pt>
                      <c:pt idx="7">
                        <c:v>#N/A</c:v>
                      </c:pt>
                      <c:pt idx="8">
                        <c:v>-2.5285794155077479</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-2.5285794155077479</c:v>
                      </c:pt>
                      <c:pt idx="9">
                        <c:v>-0.9900000171156198</c:v>
                      </c:pt>
                      <c:pt idx="10">
                        <c:v>1.4999999972385436</c:v>
                      </c:pt>
                      <c:pt idx="11">
                        <c:v>0.46499999215798171</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#N/A</c:v>
                      </c:pt>
                      <c:pt idx="3">
                        <c:v>#N/A</c:v>
                      </c:pt>
                      <c:pt idx="4">
                        <c:v>#N/A</c:v>
                      </c:pt>
                      <c:pt idx="5">
                        <c:v>#N/A</c:v>
                      </c:pt>
                      <c:pt idx="6">
                        <c:v>#N/A</c:v>
                      </c:pt>
                      <c:pt idx="7">
                        <c:v>#N/A</c:v>
                      </c:pt>
                      <c:pt idx="8">
                        <c:v>2.4780676254612297</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2.4780676254612297</c:v>
                      </c:pt>
                      <c:pt idx="9">
                        <c:v>-3.4597869182798413</c:v>
                      </c:pt>
                      <c:pt idx="10">
                        <c:v>2.0991211086192454</c:v>
                      </c:pt>
                      <c:pt idx="11">
                        <c:v>3.0168872229007215</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#N/A</c:v>
                </c:pt>
                <c:pt idx="1">
                  <c:v>#N/A</c:v>
                </c:pt>
                <c:pt idx="2">
                  <c:v>#N/A</c:v>
                </c:pt>
                <c:pt idx="3">
                  <c:v>#N/A</c:v>
                </c:pt>
                <c:pt idx="4">
                  <c:v>#N/A</c:v>
                </c:pt>
                <c:pt idx="5">
                  <c:v>#N/A</c:v>
                </c:pt>
                <c:pt idx="6">
                  <c:v>-2.5285794155077479</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-2.5285794155077479</c:v>
                </c:pt>
                <c:pt idx="7">
                  <c:v>-0.9900000171156198</c:v>
                </c:pt>
                <c:pt idx="8">
                  <c:v>1.4999999972385436</c:v>
                </c:pt>
                <c:pt idx="9">
                  <c:v>0.46499999215798171</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#N/A</c:v>
                </c:pt>
                <c:pt idx="1">
                  <c:v>#N/A</c:v>
                </c:pt>
                <c:pt idx="2">
                  <c:v>#N/A</c:v>
                </c:pt>
                <c:pt idx="3">
                  <c:v>#N/A</c:v>
                </c:pt>
                <c:pt idx="4">
                  <c:v>#N/A</c:v>
                </c:pt>
                <c:pt idx="5">
                  <c:v>#N/A</c:v>
                </c:pt>
                <c:pt idx="6">
                  <c:v>0.20943892376903417</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0.20943892376903417</c:v>
                </c:pt>
                <c:pt idx="7">
                  <c:v>-1.7400000102691404</c:v>
                </c:pt>
                <c:pt idx="8">
                  <c:v>-9.8999998102440969</c:v>
                </c:pt>
                <c:pt idx="9">
                  <c:v>11.340000144700122</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#N/A</c:v>
                </c:pt>
                <c:pt idx="1">
                  <c:v>#N/A</c:v>
                </c:pt>
                <c:pt idx="2">
                  <c:v>#N/A</c:v>
                </c:pt>
                <c:pt idx="3">
                  <c:v>#N/A</c:v>
                </c:pt>
                <c:pt idx="4">
                  <c:v>#N/A</c:v>
                </c:pt>
                <c:pt idx="5">
                  <c:v>#N/A</c:v>
                </c:pt>
                <c:pt idx="6">
                  <c:v>2.4780676254612297</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2.4780676254612297</c:v>
                </c:pt>
                <c:pt idx="7">
                  <c:v>-3.4597869182798413</c:v>
                </c:pt>
                <c:pt idx="8">
                  <c:v>2.0991211086192454</c:v>
                </c:pt>
                <c:pt idx="9">
                  <c:v>3.0168872229007215</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34EE-40CD-8DDC-598B48A55E2D}"/>
            </c:ext>
          </c:extLst>
        </c:ser>
        <c:ser>
          <c:idx val="10"/>
          <c:order val="15"/>
          <c:tx>
            <c:strRef>
              <c:f>'CONTROL '!$R$26</c:f>
              <c:strCache>
                <c:ptCount val="1"/>
                <c:pt idx="0">
                  <c:v>Rest of services - unskilled (actual data) </c:v>
                </c:pt>
              </c:strCache>
              <c:extLst xmlns:c15="http://schemas.microsoft.com/office/drawing/2012/chart"/>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ext>
              </c:extLst>
              <c:f>'CONTROL '!$U$26:$AD$26</c:f>
              <c:numCache>
                <c:formatCode>0.00</c:formatCode>
                <c:ptCount val="10"/>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A-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#N/A</c:v>
                      </c:pt>
                      <c:pt idx="1">
                        <c:v>#N/A</c:v>
                      </c:pt>
                      <c:pt idx="2">
                        <c:v>#N/A</c:v>
                      </c:pt>
                      <c:pt idx="3">
                        <c:v>#N/A</c:v>
                      </c:pt>
                      <c:pt idx="4">
                        <c:v>#N/A</c:v>
                      </c:pt>
                      <c:pt idx="5">
                        <c:v>#N/A</c:v>
                      </c:pt>
                      <c:pt idx="6">
                        <c:v>-2.5285794155077479</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-2.5285794155077479</c:v>
                      </c:pt>
                      <c:pt idx="7">
                        <c:v>-0.6600000114104132</c:v>
                      </c:pt>
                      <c:pt idx="8">
                        <c:v>1.1999999977908349</c:v>
                      </c:pt>
                      <c:pt idx="9">
                        <c:v>0.1549999973859939</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#N/A</c:v>
                      </c:pt>
                      <c:pt idx="1">
                        <c:v>#N/A</c:v>
                      </c:pt>
                      <c:pt idx="2">
                        <c:v>#N/A</c:v>
                      </c:pt>
                      <c:pt idx="3">
                        <c:v>#N/A</c:v>
                      </c:pt>
                      <c:pt idx="4">
                        <c:v>#N/A</c:v>
                      </c:pt>
                      <c:pt idx="5">
                        <c:v>#N/A</c:v>
                      </c:pt>
                      <c:pt idx="6">
                        <c:v>1.1505313975355735</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1.1505313975355735</c:v>
                      </c:pt>
                      <c:pt idx="7">
                        <c:v>-1.5968247315137729</c:v>
                      </c:pt>
                      <c:pt idx="8">
                        <c:v>3.2652995022966036</c:v>
                      </c:pt>
                      <c:pt idx="9">
                        <c:v>1.2067548891602886</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9"/>
                <c:order val="16"/>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15:formulaRef>
                          <c15:sqref>'CONTROL '!$U$25:$AD$25</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5-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unskilled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'!$R$34</c:f>
              <c:strCache>
                <c:ptCount val="1"/>
                <c:pt idx="0">
                  <c:v>Rest of industry - unskilled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'!$R$40</c:f>
              <c:strCache>
                <c:ptCount val="1"/>
                <c:pt idx="0">
                  <c:v>Rest of 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'!$R$45</c:f>
              <c:strCache>
                <c:ptCount val="1"/>
                <c:pt idx="0">
                  <c:v>Agriculture - unskilled (actual data)</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'!$S$45:$AD$45</c:f>
              <c:numCache>
                <c:formatCode>General</c:formatCode>
                <c:ptCount val="12"/>
                <c:pt idx="8" formatCode="0.00">
                  <c:v>#N/A</c:v>
                </c:pt>
                <c:pt idx="9" formatCode="0.00">
                  <c:v>-7.142629038286179</c:v>
                </c:pt>
                <c:pt idx="10" formatCode="0.00">
                  <c:v>-3.4499999999999993</c:v>
                </c:pt>
                <c:pt idx="11" formatCode="0.00">
                  <c:v>-0.17361793975967155</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'!$R$49</c:f>
              <c:strCache>
                <c:ptCount val="1"/>
                <c:pt idx="0">
                  <c:v>Rest of industry - unskilled (actual data)</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'!$S$49:$AD$49</c:f>
              <c:numCache>
                <c:formatCode>General</c:formatCode>
                <c:ptCount val="12"/>
                <c:pt idx="8" formatCode="0.00">
                  <c:v>#N/A</c:v>
                </c:pt>
                <c:pt idx="9" formatCode="0.00">
                  <c:v>-4.619220224243124</c:v>
                </c:pt>
                <c:pt idx="10" formatCode="0.00">
                  <c:v>-4.1399999999999988</c:v>
                </c:pt>
                <c:pt idx="11" formatCode="0.00">
                  <c:v>-12.28108021427623</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'!$R$55</c:f>
              <c:strCache>
                <c:ptCount val="1"/>
                <c:pt idx="0">
                  <c:v>Rest of services - formal (actual data)</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'!$S$55:$AD$55</c:f>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skilled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'!$R$35</c15:sqref>
                        </c15:formulaRef>
                      </c:ext>
                    </c:extLst>
                    <c:strCache>
                      <c:ptCount val="1"/>
                      <c:pt idx="0">
                        <c:v>Rest of industry - skilled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'!$R$41</c15:sqref>
                        </c15:formulaRef>
                      </c:ext>
                    </c:extLst>
                    <c:strCache>
                      <c:ptCount val="1"/>
                      <c:pt idx="0">
                        <c:v>Rest of 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'!$R$46</c15:sqref>
                        </c15:formulaRef>
                      </c:ext>
                    </c:extLst>
                    <c:strCache>
                      <c:ptCount val="1"/>
                      <c:pt idx="0">
                        <c:v>Agriculture - skilled (actual data)</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1.8159226368524184</c:v>
                      </c:pt>
                      <c:pt idx="10" formatCode="0.00">
                        <c:v>0.80702477682353724</c:v>
                      </c:pt>
                      <c:pt idx="11" formatCode="0.00">
                        <c:v>-1.7361793975967155</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'!$R$50</c15:sqref>
                        </c15:formulaRef>
                      </c:ext>
                    </c:extLst>
                    <c:strCache>
                      <c:ptCount val="1"/>
                      <c:pt idx="0">
                        <c:v>Rest of industry - skilled (actual data)</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'!$S$50:$AD$50</c15:sqref>
                        </c15:formulaRef>
                      </c:ext>
                    </c:extLst>
                    <c:numCache>
                      <c:formatCode>General</c:formatCode>
                      <c:ptCount val="12"/>
                      <c:pt idx="8" formatCode="0.00">
                        <c:v>#N/A</c:v>
                      </c:pt>
                      <c:pt idx="9" formatCode="0.00">
                        <c:v>-0.49745448568772105</c:v>
                      </c:pt>
                      <c:pt idx="10" formatCode="0.00">
                        <c:v>-0.70721064019031665</c:v>
                      </c:pt>
                      <c:pt idx="11" formatCode="0.00">
                        <c:v>-9.8248641714209839</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'!$R$56</c15:sqref>
                        </c15:formulaRef>
                      </c:ext>
                    </c:extLst>
                    <c:strCache>
                      <c:ptCount val="1"/>
                      <c:pt idx="0">
                        <c:v>Rest of services - informal (actual data)</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'!$S$56:$AD$56</c15:sqref>
                        </c15:formulaRef>
                      </c:ext>
                    </c:extLst>
                    <c:numCache>
                      <c:formatCode>General</c:formatCode>
                      <c:ptCount val="12"/>
                      <c:pt idx="8" formatCode="0.00">
                        <c:v>#N/A</c:v>
                      </c:pt>
                      <c:pt idx="9" formatCode="0.00">
                        <c:v>-0.74903981742206938</c:v>
                      </c:pt>
                      <c:pt idx="10" formatCode="0.00">
                        <c:v>-3.39</c:v>
                      </c:pt>
                      <c:pt idx="11" formatCode="0.00">
                        <c:v>-1.3034522360195089</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-0.1702363221413794</c:v>
                      </c:pt>
                      <c:pt idx="10" formatCode="0.00">
                        <c:v>-0.16395122831971154</c:v>
                      </c:pt>
                      <c:pt idx="11" formatCode="0.00">
                        <c:v>-1.2031866794026236</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skilled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'!$R$35</c:f>
              <c:strCache>
                <c:ptCount val="1"/>
                <c:pt idx="0">
                  <c:v>Rest of industry - skilled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'!$R$41</c:f>
              <c:strCache>
                <c:ptCount val="1"/>
                <c:pt idx="0">
                  <c:v>Rest of 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0.00</c:formatCode>
                <c:ptCount val="12"/>
                <c:pt idx="0">
                  <c:v>0</c:v>
                </c:pt>
                <c:pt idx="1">
                  <c:v>0</c:v>
                </c:pt>
                <c:pt idx="2">
                  <c:v>0</c:v>
                </c:pt>
                <c:pt idx="3">
                  <c:v>0</c:v>
                </c:pt>
                <c:pt idx="4">
                  <c:v>0</c:v>
                </c:pt>
                <c:pt idx="5">
                  <c:v>0</c:v>
                </c:pt>
                <c:pt idx="6">
                  <c:v>0</c:v>
                </c:pt>
                <c:pt idx="7">
                  <c:v>0</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'!$R$46</c:f>
              <c:strCache>
                <c:ptCount val="1"/>
                <c:pt idx="0">
                  <c:v>Agriculture - skilled (actual data)</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'!$S$46:$AD$46</c:f>
              <c:numCache>
                <c:formatCode>General</c:formatCode>
                <c:ptCount val="12"/>
                <c:pt idx="8" formatCode="0.00">
                  <c:v>#N/A</c:v>
                </c:pt>
                <c:pt idx="9" formatCode="0.00">
                  <c:v>1.8159226368524184</c:v>
                </c:pt>
                <c:pt idx="10" formatCode="0.00">
                  <c:v>0.80702477682353724</c:v>
                </c:pt>
                <c:pt idx="11" formatCode="0.00">
                  <c:v>-1.7361793975967155</c:v>
                </c:pt>
              </c:numCache>
            </c:numRef>
          </c:val>
          <c:smooth val="0"/>
          <c:extLst>
            <c:ext xmlns:c16="http://schemas.microsoft.com/office/drawing/2014/chart" uri="{C3380CC4-5D6E-409C-BE32-E72D297353CC}">
              <c16:uniqueId val="{00000003-1D89-4836-AB6E-0C853B416441}"/>
            </c:ext>
          </c:extLst>
        </c:ser>
        <c:ser>
          <c:idx val="7"/>
          <c:order val="13"/>
          <c:tx>
            <c:strRef>
              <c:f>'CONTROL '!$R$50</c:f>
              <c:strCache>
                <c:ptCount val="1"/>
                <c:pt idx="0">
                  <c:v>Rest of industry - skilled (actual data)</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'!$S$50:$AD$50</c:f>
              <c:numCache>
                <c:formatCode>General</c:formatCode>
                <c:ptCount val="12"/>
                <c:pt idx="8" formatCode="0.00">
                  <c:v>#N/A</c:v>
                </c:pt>
                <c:pt idx="9" formatCode="0.00">
                  <c:v>-0.49745448568772105</c:v>
                </c:pt>
                <c:pt idx="10" formatCode="0.00">
                  <c:v>-0.70721064019031665</c:v>
                </c:pt>
                <c:pt idx="11" formatCode="0.00">
                  <c:v>-9.8248641714209839</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'!$R$56</c:f>
              <c:strCache>
                <c:ptCount val="1"/>
                <c:pt idx="0">
                  <c:v>Rest of services - informal (actual data)</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'!$S$56:$AD$56</c:f>
              <c:numCache>
                <c:formatCode>General</c:formatCode>
                <c:ptCount val="12"/>
                <c:pt idx="8" formatCode="0.00">
                  <c:v>#N/A</c:v>
                </c:pt>
                <c:pt idx="9" formatCode="0.00">
                  <c:v>-0.74903981742206938</c:v>
                </c:pt>
                <c:pt idx="10" formatCode="0.00">
                  <c:v>-3.39</c:v>
                </c:pt>
                <c:pt idx="11" formatCode="0.00">
                  <c:v>-1.3034522360195089</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unskilled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'!$R$34</c15:sqref>
                        </c15:formulaRef>
                      </c:ext>
                    </c:extLst>
                    <c:strCache>
                      <c:ptCount val="1"/>
                      <c:pt idx="0">
                        <c:v>Rest of industry - unskilled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'!$R$40</c15:sqref>
                        </c15:formulaRef>
                      </c:ext>
                    </c:extLst>
                    <c:strCache>
                      <c:ptCount val="1"/>
                      <c:pt idx="0">
                        <c:v>Rest of 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'!$R$45</c15:sqref>
                        </c15:formulaRef>
                      </c:ext>
                    </c:extLst>
                    <c:strCache>
                      <c:ptCount val="1"/>
                      <c:pt idx="0">
                        <c:v>Agriculture - unskilled (actual data)</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-7.142629038286179</c:v>
                      </c:pt>
                      <c:pt idx="10" formatCode="0.00">
                        <c:v>-3.4499999999999993</c:v>
                      </c:pt>
                      <c:pt idx="11" formatCode="0.00">
                        <c:v>-0.17361793975967155</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'!$R$49</c15:sqref>
                        </c15:formulaRef>
                      </c:ext>
                    </c:extLst>
                    <c:strCache>
                      <c:ptCount val="1"/>
                      <c:pt idx="0">
                        <c:v>Rest of industry - unskilled (actual data)</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'!$S$49:$AD$49</c15:sqref>
                        </c15:formulaRef>
                      </c:ext>
                    </c:extLst>
                    <c:numCache>
                      <c:formatCode>General</c:formatCode>
                      <c:ptCount val="12"/>
                      <c:pt idx="8" formatCode="0.00">
                        <c:v>#N/A</c:v>
                      </c:pt>
                      <c:pt idx="9" formatCode="0.00">
                        <c:v>-4.619220224243124</c:v>
                      </c:pt>
                      <c:pt idx="10" formatCode="0.00">
                        <c:v>-4.1399999999999988</c:v>
                      </c:pt>
                      <c:pt idx="11" formatCode="0.00">
                        <c:v>-12.28108021427623</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'!$R$55</c15:sqref>
                        </c15:formulaRef>
                      </c:ext>
                    </c:extLst>
                    <c:strCache>
                      <c:ptCount val="1"/>
                      <c:pt idx="0">
                        <c:v>Rest of services - formal (actual data)</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'!$S$55:$AD$55</c15:sqref>
                        </c15:formulaRef>
                      </c:ext>
                    </c:extLst>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-0.1702363221413794</c:v>
                      </c:pt>
                      <c:pt idx="10" formatCode="0.00">
                        <c:v>-0.16395122831971154</c:v>
                      </c:pt>
                      <c:pt idx="11" formatCode="0.00">
                        <c:v>-1.2031866794026236</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2.7532275120198957</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2.7532275120198957</c:v>
                </c:pt>
                <c:pt idx="9" formatCode="0.00">
                  <c:v>10.648737918617289</c:v>
                </c:pt>
                <c:pt idx="10" formatCode="0.00">
                  <c:v>4.5500167280026815</c:v>
                </c:pt>
                <c:pt idx="11" formatCode="0.00">
                  <c:v>6.0000000000000053</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5.2177536312238093</c:v>
                </c:pt>
                <c:pt idx="10" formatCode="0.00">
                  <c:v>3.9513981480802318</c:v>
                </c:pt>
                <c:pt idx="11" formatCode="0.00">
                  <c:v>5.4696937322054273</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2.7532275120198957</c:v>
                </c:pt>
              </c:numCache>
            </c:numRef>
          </c:val>
          <c:smooth val="0"/>
          <c:extLst>
            <c:ext xmlns:c16="http://schemas.microsoft.com/office/drawing/2014/chart" uri="{C3380CC4-5D6E-409C-BE32-E72D297353CC}">
              <c16:uniqueId val="{00000000-7143-4C37-AB9C-568DB069A058}"/>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2.7532275120198957</c:v>
                </c:pt>
                <c:pt idx="9" formatCode="0.00">
                  <c:v>10.648737918617289</c:v>
                </c:pt>
                <c:pt idx="10" formatCode="0.00">
                  <c:v>4.5500167280026815</c:v>
                </c:pt>
                <c:pt idx="11" formatCode="0.00">
                  <c:v>6.0000000000000053</c:v>
                </c:pt>
              </c:numCache>
            </c:numRef>
          </c:val>
          <c:smooth val="0"/>
          <c:extLst>
            <c:ext xmlns:c16="http://schemas.microsoft.com/office/drawing/2014/chart" uri="{C3380CC4-5D6E-409C-BE32-E72D297353CC}">
              <c16:uniqueId val="{00000001-7143-4C37-AB9C-568DB069A058}"/>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800F-4449-91B0-EF1F2B7B247E}"/>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5.2177536312238093</c:v>
                </c:pt>
                <c:pt idx="10" formatCode="0.00">
                  <c:v>3.9513981480802318</c:v>
                </c:pt>
                <c:pt idx="11" formatCode="0.00">
                  <c:v>5.4696937322054273</c:v>
                </c:pt>
              </c:numCache>
            </c:numRef>
          </c:val>
          <c:smooth val="0"/>
          <c:extLst>
            <c:ext xmlns:c16="http://schemas.microsoft.com/office/drawing/2014/chart" uri="{C3380CC4-5D6E-409C-BE32-E72D297353CC}">
              <c16:uniqueId val="{00000001-800F-4449-91B0-EF1F2B7B247E}"/>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ctrlProps/ctrlProp14.xml><?xml version="1.0" encoding="utf-8"?>
<formControlPr xmlns="http://schemas.microsoft.com/office/spreadsheetml/2009/9/main" objectType="CheckBox" fmlaLink="'CONTROL '!$B$15" lockText="1" noThreeD="1"/>
</file>

<file path=xl/ctrlProps/ctrlProp15.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hyperlink" Target="#'4. SUMMARY AND SUBMISSION'!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279951</xdr:colOff>
      <xdr:row>22</xdr:row>
      <xdr:rowOff>74544</xdr:rowOff>
    </xdr:from>
    <xdr:to>
      <xdr:col>6</xdr:col>
      <xdr:colOff>211371</xdr:colOff>
      <xdr:row>29</xdr:row>
      <xdr:rowOff>44726</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414668" y="4149587"/>
          <a:ext cx="3434964" cy="1245704"/>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67</xdr:row>
      <xdr:rowOff>47625</xdr:rowOff>
    </xdr:from>
    <xdr:to>
      <xdr:col>7</xdr:col>
      <xdr:colOff>1701800</xdr:colOff>
      <xdr:row>71</xdr:row>
      <xdr:rowOff>144144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123294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2</xdr:col>
      <xdr:colOff>2695575</xdr:colOff>
      <xdr:row>32</xdr:row>
      <xdr:rowOff>57150</xdr:rowOff>
    </xdr:from>
    <xdr:to>
      <xdr:col>7</xdr:col>
      <xdr:colOff>284481</xdr:colOff>
      <xdr:row>36</xdr:row>
      <xdr:rowOff>53975</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3733800" y="6677025"/>
          <a:ext cx="3465831" cy="730250"/>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9CE327E2-2597-4CE4-B664-BD7A7659D643}"/>
            </a:ext>
          </a:extLst>
        </xdr:cNvPr>
        <xdr:cNvSpPr/>
      </xdr:nvSpPr>
      <xdr:spPr>
        <a:xfrm>
          <a:off x="25199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95233" name="Check Box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95234" name="Check Box 2" hidden="1">
              <a:extLst>
                <a:ext uri="{63B3BB69-23CF-44E3-9099-C40C66FF867C}">
                  <a14:compatExt spid="_x0000_s95234"/>
                </a:ext>
                <a:ext uri="{FF2B5EF4-FFF2-40B4-BE49-F238E27FC236}">
                  <a16:creationId xmlns:a16="http://schemas.microsoft.com/office/drawing/2014/main" id="{00000000-0008-0000-0800-00000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12A3CA79-459D-4DF9-9AA5-978AB10EA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26</xdr:row>
      <xdr:rowOff>194310</xdr:rowOff>
    </xdr:to>
    <xdr:graphicFrame macro="">
      <xdr:nvGraphicFramePr>
        <xdr:cNvPr id="4" name="Chart 3">
          <a:extLst>
            <a:ext uri="{FF2B5EF4-FFF2-40B4-BE49-F238E27FC236}">
              <a16:creationId xmlns:a16="http://schemas.microsoft.com/office/drawing/2014/main" id="{0FB37765-E5B3-413C-B8AE-869BC6460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95250</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mpo"/>
      <sheetName val="input-labor"/>
      <sheetName val="Elasticities"/>
      <sheetName val="inflows"/>
      <sheetName val="Elasticities by year"/>
      <sheetName val="input-labor-microsimulated"/>
    </sheetNames>
    <sheetDataSet>
      <sheetData sheetId="0">
        <row r="1">
          <cell r="A1" t="str">
            <v>country</v>
          </cell>
          <cell r="B1" t="str">
            <v>year</v>
          </cell>
          <cell r="C1" t="str">
            <v>indicator</v>
          </cell>
          <cell r="D1" t="str">
            <v>value</v>
          </cell>
          <cell r="F1" t="str">
            <v>date</v>
          </cell>
        </row>
        <row r="2">
          <cell r="A2" t="str">
            <v>AFG</v>
          </cell>
          <cell r="B2">
            <v>2000</v>
          </cell>
          <cell r="C2" t="str">
            <v>wbsp_pop_0014_to</v>
          </cell>
          <cell r="D2">
            <v>9716430</v>
          </cell>
          <cell r="E2" t="str">
            <v>Population, 0-14 (WDI)</v>
          </cell>
          <cell r="F2" t="str">
            <v>16 Sep 2024</v>
          </cell>
        </row>
        <row r="3">
          <cell r="A3" t="str">
            <v>AFG</v>
          </cell>
          <cell r="B3">
            <v>2000</v>
          </cell>
          <cell r="C3" t="str">
            <v>wbsp_pop_1564_to</v>
          </cell>
          <cell r="D3">
            <v>9380032</v>
          </cell>
          <cell r="F3" t="str">
            <v>16 Sep 2024</v>
          </cell>
        </row>
        <row r="4">
          <cell r="A4" t="str">
            <v>AFG</v>
          </cell>
          <cell r="B4">
            <v>2000</v>
          </cell>
          <cell r="C4" t="str">
            <v>wbsp_pop_15up_to</v>
          </cell>
          <cell r="D4">
            <v>9826551</v>
          </cell>
          <cell r="F4" t="str">
            <v>16 Sep 2024</v>
          </cell>
        </row>
        <row r="5">
          <cell r="A5" t="str">
            <v>AFG</v>
          </cell>
          <cell r="B5">
            <v>2000</v>
          </cell>
          <cell r="C5" t="str">
            <v>wbsp_pop_65up_to</v>
          </cell>
          <cell r="D5">
            <v>446519</v>
          </cell>
          <cell r="F5" t="str">
            <v>16 Sep 2024</v>
          </cell>
        </row>
        <row r="6">
          <cell r="A6" t="str">
            <v>AFG</v>
          </cell>
          <cell r="B6">
            <v>2000</v>
          </cell>
          <cell r="C6" t="str">
            <v>wbsp_pop_totl</v>
          </cell>
          <cell r="D6">
            <v>19542982</v>
          </cell>
          <cell r="F6" t="str">
            <v>16 Sep 2024</v>
          </cell>
        </row>
        <row r="7">
          <cell r="A7" t="str">
            <v>AFG</v>
          </cell>
          <cell r="B7">
            <v>2001</v>
          </cell>
          <cell r="C7" t="str">
            <v>wbsp_pop_0014_to</v>
          </cell>
          <cell r="D7">
            <v>9817923</v>
          </cell>
          <cell r="F7" t="str">
            <v>16 Sep 2024</v>
          </cell>
        </row>
        <row r="8">
          <cell r="A8" t="str">
            <v>AFG</v>
          </cell>
          <cell r="B8">
            <v>2001</v>
          </cell>
          <cell r="C8" t="str">
            <v>wbsp_pop_1564_to</v>
          </cell>
          <cell r="D8">
            <v>9420854</v>
          </cell>
          <cell r="F8" t="str">
            <v>16 Sep 2024</v>
          </cell>
        </row>
        <row r="9">
          <cell r="A9" t="str">
            <v>AFG</v>
          </cell>
          <cell r="B9">
            <v>2001</v>
          </cell>
          <cell r="C9" t="str">
            <v>wbsp_pop_15up_to</v>
          </cell>
          <cell r="D9">
            <v>9870709</v>
          </cell>
          <cell r="F9" t="str">
            <v>16 Sep 2024</v>
          </cell>
        </row>
        <row r="10">
          <cell r="A10" t="str">
            <v>AFG</v>
          </cell>
          <cell r="B10">
            <v>2001</v>
          </cell>
          <cell r="C10" t="str">
            <v>wbsp_pop_65up_to</v>
          </cell>
          <cell r="D10">
            <v>449855</v>
          </cell>
          <cell r="F10" t="str">
            <v>16 Sep 2024</v>
          </cell>
        </row>
        <row r="11">
          <cell r="A11" t="str">
            <v>AFG</v>
          </cell>
          <cell r="B11">
            <v>2001</v>
          </cell>
          <cell r="C11" t="str">
            <v>wbsp_pop_totl</v>
          </cell>
          <cell r="D11">
            <v>19688632</v>
          </cell>
          <cell r="F11" t="str">
            <v>16 Sep 2024</v>
          </cell>
        </row>
        <row r="12">
          <cell r="A12" t="str">
            <v>AFG</v>
          </cell>
          <cell r="B12">
            <v>2002</v>
          </cell>
          <cell r="C12" t="str">
            <v>wbsp_pop_0014_to</v>
          </cell>
          <cell r="D12">
            <v>10488288</v>
          </cell>
          <cell r="F12" t="str">
            <v>16 Sep 2024</v>
          </cell>
        </row>
        <row r="13">
          <cell r="A13" t="str">
            <v>AFG</v>
          </cell>
          <cell r="B13">
            <v>2002</v>
          </cell>
          <cell r="C13" t="str">
            <v>wbsp_pop_1564_to</v>
          </cell>
          <cell r="D13">
            <v>10031307</v>
          </cell>
          <cell r="F13" t="str">
            <v>16 Sep 2024</v>
          </cell>
        </row>
        <row r="14">
          <cell r="A14" t="str">
            <v>AFG</v>
          </cell>
          <cell r="B14">
            <v>2002</v>
          </cell>
          <cell r="C14" t="str">
            <v>wbsp_pop_15up_to</v>
          </cell>
          <cell r="D14">
            <v>10511968</v>
          </cell>
          <cell r="F14" t="str">
            <v>16 Sep 2024</v>
          </cell>
        </row>
        <row r="15">
          <cell r="A15" t="str">
            <v>AFG</v>
          </cell>
          <cell r="B15">
            <v>2002</v>
          </cell>
          <cell r="C15" t="str">
            <v>wbsp_pop_65up_to</v>
          </cell>
          <cell r="D15">
            <v>480661</v>
          </cell>
          <cell r="F15" t="str">
            <v>16 Sep 2024</v>
          </cell>
        </row>
        <row r="16">
          <cell r="A16" t="str">
            <v>AFG</v>
          </cell>
          <cell r="B16">
            <v>2002</v>
          </cell>
          <cell r="C16" t="str">
            <v>wbsp_pop_totl</v>
          </cell>
          <cell r="D16">
            <v>21000256</v>
          </cell>
          <cell r="F16" t="str">
            <v>16 Sep 2024</v>
          </cell>
        </row>
        <row r="17">
          <cell r="A17" t="str">
            <v>AFG</v>
          </cell>
          <cell r="B17">
            <v>2003</v>
          </cell>
          <cell r="C17" t="str">
            <v>wbsp_pop_0014_to</v>
          </cell>
          <cell r="D17">
            <v>11313831</v>
          </cell>
          <cell r="F17" t="str">
            <v>16 Sep 2024</v>
          </cell>
        </row>
        <row r="18">
          <cell r="A18" t="str">
            <v>AFG</v>
          </cell>
          <cell r="B18">
            <v>2003</v>
          </cell>
          <cell r="C18" t="str">
            <v>wbsp_pop_1564_to</v>
          </cell>
          <cell r="D18">
            <v>10811839</v>
          </cell>
          <cell r="F18" t="str">
            <v>16 Sep 2024</v>
          </cell>
        </row>
        <row r="19">
          <cell r="A19" t="str">
            <v>AFG</v>
          </cell>
          <cell r="B19">
            <v>2003</v>
          </cell>
          <cell r="C19" t="str">
            <v>wbsp_pop_15up_to</v>
          </cell>
          <cell r="D19">
            <v>11331299</v>
          </cell>
          <cell r="F19" t="str">
            <v>16 Sep 2024</v>
          </cell>
        </row>
        <row r="20">
          <cell r="A20" t="str">
            <v>AFG</v>
          </cell>
          <cell r="B20">
            <v>2003</v>
          </cell>
          <cell r="C20" t="str">
            <v>wbsp_pop_65up_to</v>
          </cell>
          <cell r="D20">
            <v>519460</v>
          </cell>
          <cell r="F20" t="str">
            <v>16 Sep 2024</v>
          </cell>
        </row>
        <row r="21">
          <cell r="A21" t="str">
            <v>AFG</v>
          </cell>
          <cell r="B21">
            <v>2003</v>
          </cell>
          <cell r="C21" t="str">
            <v>wbsp_pop_totl</v>
          </cell>
          <cell r="D21">
            <v>22645130</v>
          </cell>
          <cell r="F21" t="str">
            <v>16 Sep 2024</v>
          </cell>
        </row>
        <row r="22">
          <cell r="A22" t="str">
            <v>AFG</v>
          </cell>
          <cell r="B22">
            <v>2004</v>
          </cell>
          <cell r="C22" t="str">
            <v>wbsp_pop_0014_to</v>
          </cell>
          <cell r="D22">
            <v>11758412</v>
          </cell>
          <cell r="F22" t="str">
            <v>16 Sep 2024</v>
          </cell>
        </row>
        <row r="23">
          <cell r="A23" t="str">
            <v>AFG</v>
          </cell>
          <cell r="B23">
            <v>2004</v>
          </cell>
          <cell r="C23" t="str">
            <v>wbsp_pop_1564_to</v>
          </cell>
          <cell r="D23">
            <v>11254197</v>
          </cell>
          <cell r="F23" t="str">
            <v>16 Sep 2024</v>
          </cell>
        </row>
        <row r="24">
          <cell r="A24" t="str">
            <v>AFG</v>
          </cell>
          <cell r="B24">
            <v>2004</v>
          </cell>
          <cell r="C24" t="str">
            <v>wbsp_pop_15up_to</v>
          </cell>
          <cell r="D24">
            <v>11795139</v>
          </cell>
          <cell r="F24" t="str">
            <v>16 Sep 2024</v>
          </cell>
        </row>
        <row r="25">
          <cell r="A25" t="str">
            <v>AFG</v>
          </cell>
          <cell r="B25">
            <v>2004</v>
          </cell>
          <cell r="C25" t="str">
            <v>wbsp_pop_65up_to</v>
          </cell>
          <cell r="D25">
            <v>540942</v>
          </cell>
          <cell r="F25" t="str">
            <v>16 Sep 2024</v>
          </cell>
        </row>
        <row r="26">
          <cell r="A26" t="str">
            <v>AFG</v>
          </cell>
          <cell r="B26">
            <v>2004</v>
          </cell>
          <cell r="C26" t="str">
            <v>wbsp_pop_totl</v>
          </cell>
          <cell r="D26">
            <v>23553551</v>
          </cell>
          <cell r="F26" t="str">
            <v>16 Sep 2024</v>
          </cell>
        </row>
        <row r="27">
          <cell r="A27" t="str">
            <v>AFG</v>
          </cell>
          <cell r="B27">
            <v>2005</v>
          </cell>
          <cell r="C27" t="str">
            <v>wbsp_pop_0014_to</v>
          </cell>
          <cell r="D27">
            <v>12111730</v>
          </cell>
          <cell r="F27" t="str">
            <v>16 Sep 2024</v>
          </cell>
        </row>
        <row r="28">
          <cell r="A28" t="str">
            <v>AFG</v>
          </cell>
          <cell r="B28">
            <v>2005</v>
          </cell>
          <cell r="C28" t="str">
            <v>wbsp_pop_1564_to</v>
          </cell>
          <cell r="D28">
            <v>11738147</v>
          </cell>
          <cell r="F28" t="str">
            <v>16 Sep 2024</v>
          </cell>
        </row>
        <row r="29">
          <cell r="A29" t="str">
            <v>AFG</v>
          </cell>
          <cell r="B29">
            <v>2005</v>
          </cell>
          <cell r="C29" t="str">
            <v>wbsp_pop_15up_to</v>
          </cell>
          <cell r="D29">
            <v>12299461</v>
          </cell>
          <cell r="F29" t="str">
            <v>16 Sep 2024</v>
          </cell>
        </row>
        <row r="30">
          <cell r="A30" t="str">
            <v>AFG</v>
          </cell>
          <cell r="B30">
            <v>2005</v>
          </cell>
          <cell r="C30" t="str">
            <v>wbsp_pop_65up_to</v>
          </cell>
          <cell r="D30">
            <v>561314</v>
          </cell>
          <cell r="F30" t="str">
            <v>16 Sep 2024</v>
          </cell>
        </row>
        <row r="31">
          <cell r="A31" t="str">
            <v>AFG</v>
          </cell>
          <cell r="B31">
            <v>2005</v>
          </cell>
          <cell r="C31" t="str">
            <v>wbsp_pop_totl</v>
          </cell>
          <cell r="D31">
            <v>24411191</v>
          </cell>
          <cell r="F31" t="str">
            <v>16 Sep 2024</v>
          </cell>
        </row>
        <row r="32">
          <cell r="A32" t="str">
            <v>AFG</v>
          </cell>
          <cell r="B32">
            <v>2006</v>
          </cell>
          <cell r="C32" t="str">
            <v>wbsp_pop_0014_to</v>
          </cell>
          <cell r="D32">
            <v>12525733</v>
          </cell>
          <cell r="F32" t="str">
            <v>16 Sep 2024</v>
          </cell>
        </row>
        <row r="33">
          <cell r="A33" t="str">
            <v>AFG</v>
          </cell>
          <cell r="B33">
            <v>2006</v>
          </cell>
          <cell r="C33" t="str">
            <v>wbsp_pop_1564_to</v>
          </cell>
          <cell r="D33">
            <v>12331417</v>
          </cell>
          <cell r="F33" t="str">
            <v>16 Sep 2024</v>
          </cell>
        </row>
        <row r="34">
          <cell r="A34" t="str">
            <v>AFG</v>
          </cell>
          <cell r="B34">
            <v>2006</v>
          </cell>
          <cell r="C34" t="str">
            <v>wbsp_pop_15up_to</v>
          </cell>
          <cell r="D34">
            <v>12917210</v>
          </cell>
          <cell r="F34" t="str">
            <v>16 Sep 2024</v>
          </cell>
        </row>
        <row r="35">
          <cell r="A35" t="str">
            <v>AFG</v>
          </cell>
          <cell r="B35">
            <v>2006</v>
          </cell>
          <cell r="C35" t="str">
            <v>wbsp_pop_65up_to</v>
          </cell>
          <cell r="D35">
            <v>585793</v>
          </cell>
          <cell r="F35" t="str">
            <v>16 Sep 2024</v>
          </cell>
        </row>
        <row r="36">
          <cell r="A36" t="str">
            <v>AFG</v>
          </cell>
          <cell r="B36">
            <v>2006</v>
          </cell>
          <cell r="C36" t="str">
            <v>wbsp_pop_totl</v>
          </cell>
          <cell r="D36">
            <v>25442944</v>
          </cell>
          <cell r="F36" t="str">
            <v>16 Sep 2024</v>
          </cell>
        </row>
        <row r="37">
          <cell r="A37" t="str">
            <v>AFG</v>
          </cell>
          <cell r="B37">
            <v>2007</v>
          </cell>
          <cell r="C37" t="str">
            <v>wbsp_pop_0014_to</v>
          </cell>
          <cell r="D37">
            <v>12872747</v>
          </cell>
          <cell r="F37" t="str">
            <v>16 Sep 2024</v>
          </cell>
        </row>
        <row r="38">
          <cell r="A38" t="str">
            <v>AFG</v>
          </cell>
          <cell r="B38">
            <v>2007</v>
          </cell>
          <cell r="C38" t="str">
            <v>wbsp_pop_1564_to</v>
          </cell>
          <cell r="D38">
            <v>12433299</v>
          </cell>
          <cell r="F38" t="str">
            <v>16 Sep 2024</v>
          </cell>
        </row>
        <row r="39">
          <cell r="A39" t="str">
            <v>AFG</v>
          </cell>
          <cell r="B39">
            <v>2007</v>
          </cell>
          <cell r="C39" t="str">
            <v>wbsp_pop_15up_to</v>
          </cell>
          <cell r="D39">
            <v>13030555</v>
          </cell>
          <cell r="F39" t="str">
            <v>16 Sep 2024</v>
          </cell>
        </row>
        <row r="40">
          <cell r="A40" t="str">
            <v>AFG</v>
          </cell>
          <cell r="B40">
            <v>2007</v>
          </cell>
          <cell r="C40" t="str">
            <v>wbsp_pop_65up_to</v>
          </cell>
          <cell r="D40">
            <v>597256</v>
          </cell>
          <cell r="F40" t="str">
            <v>16 Sep 2024</v>
          </cell>
        </row>
        <row r="41">
          <cell r="A41" t="str">
            <v>AFG</v>
          </cell>
          <cell r="B41">
            <v>2007</v>
          </cell>
          <cell r="C41" t="str">
            <v>wbsp_pop_totl</v>
          </cell>
          <cell r="D41">
            <v>25903301</v>
          </cell>
          <cell r="F41" t="str">
            <v>16 Sep 2024</v>
          </cell>
        </row>
        <row r="42">
          <cell r="A42" t="str">
            <v>AFG</v>
          </cell>
          <cell r="B42">
            <v>2008</v>
          </cell>
          <cell r="C42" t="str">
            <v>wbsp_pop_0014_to</v>
          </cell>
          <cell r="D42">
            <v>13184652</v>
          </cell>
          <cell r="F42" t="str">
            <v>16 Sep 2024</v>
          </cell>
        </row>
        <row r="43">
          <cell r="A43" t="str">
            <v>AFG</v>
          </cell>
          <cell r="B43">
            <v>2008</v>
          </cell>
          <cell r="C43" t="str">
            <v>wbsp_pop_1564_to</v>
          </cell>
          <cell r="D43">
            <v>12630067</v>
          </cell>
          <cell r="F43" t="str">
            <v>16 Sep 2024</v>
          </cell>
        </row>
        <row r="44">
          <cell r="A44" t="str">
            <v>AFG</v>
          </cell>
          <cell r="B44">
            <v>2008</v>
          </cell>
          <cell r="C44" t="str">
            <v>wbsp_pop_15up_to</v>
          </cell>
          <cell r="D44">
            <v>13242548</v>
          </cell>
          <cell r="F44" t="str">
            <v>16 Sep 2024</v>
          </cell>
        </row>
        <row r="45">
          <cell r="A45" t="str">
            <v>AFG</v>
          </cell>
          <cell r="B45">
            <v>2008</v>
          </cell>
          <cell r="C45" t="str">
            <v>wbsp_pop_65up_to</v>
          </cell>
          <cell r="D45">
            <v>612481</v>
          </cell>
          <cell r="F45" t="str">
            <v>16 Sep 2024</v>
          </cell>
        </row>
        <row r="46">
          <cell r="A46" t="str">
            <v>AFG</v>
          </cell>
          <cell r="B46">
            <v>2008</v>
          </cell>
          <cell r="C46" t="str">
            <v>wbsp_pop_totl</v>
          </cell>
          <cell r="D46">
            <v>26427199</v>
          </cell>
          <cell r="F46" t="str">
            <v>16 Sep 2024</v>
          </cell>
        </row>
        <row r="47">
          <cell r="A47" t="str">
            <v>AFG</v>
          </cell>
          <cell r="B47">
            <v>2009</v>
          </cell>
          <cell r="C47" t="str">
            <v>wbsp_pop_0014_to</v>
          </cell>
          <cell r="D47">
            <v>13506299</v>
          </cell>
          <cell r="F47" t="str">
            <v>16 Sep 2024</v>
          </cell>
        </row>
        <row r="48">
          <cell r="A48" t="str">
            <v>AFG</v>
          </cell>
          <cell r="B48">
            <v>2009</v>
          </cell>
          <cell r="C48" t="str">
            <v>wbsp_pop_1564_to</v>
          </cell>
          <cell r="D48">
            <v>13239481</v>
          </cell>
          <cell r="F48" t="str">
            <v>16 Sep 2024</v>
          </cell>
        </row>
        <row r="49">
          <cell r="A49" t="str">
            <v>AFG</v>
          </cell>
          <cell r="B49">
            <v>2009</v>
          </cell>
          <cell r="C49" t="str">
            <v>wbsp_pop_15up_to</v>
          </cell>
          <cell r="D49">
            <v>13879008</v>
          </cell>
          <cell r="F49" t="str">
            <v>16 Sep 2024</v>
          </cell>
        </row>
        <row r="50">
          <cell r="A50" t="str">
            <v>AFG</v>
          </cell>
          <cell r="B50">
            <v>2009</v>
          </cell>
          <cell r="C50" t="str">
            <v>wbsp_pop_65up_to</v>
          </cell>
          <cell r="D50">
            <v>639527</v>
          </cell>
          <cell r="F50" t="str">
            <v>16 Sep 2024</v>
          </cell>
        </row>
        <row r="51">
          <cell r="A51" t="str">
            <v>AFG</v>
          </cell>
          <cell r="B51">
            <v>2009</v>
          </cell>
          <cell r="C51" t="str">
            <v>wbsp_pop_totl</v>
          </cell>
          <cell r="D51">
            <v>27385307</v>
          </cell>
          <cell r="F51" t="str">
            <v>16 Sep 2024</v>
          </cell>
        </row>
        <row r="52">
          <cell r="A52" t="str">
            <v>AFG</v>
          </cell>
          <cell r="B52">
            <v>2010</v>
          </cell>
          <cell r="C52" t="str">
            <v>wbsp_pop_0014_to</v>
          </cell>
          <cell r="D52">
            <v>13804200</v>
          </cell>
          <cell r="F52" t="str">
            <v>16 Sep 2024</v>
          </cell>
        </row>
        <row r="53">
          <cell r="A53" t="str">
            <v>AFG</v>
          </cell>
          <cell r="B53">
            <v>2010</v>
          </cell>
          <cell r="C53" t="str">
            <v>wbsp_pop_1564_to</v>
          </cell>
          <cell r="D53">
            <v>13722048</v>
          </cell>
          <cell r="F53" t="str">
            <v>16 Sep 2024</v>
          </cell>
        </row>
        <row r="54">
          <cell r="A54" t="str">
            <v>AFG</v>
          </cell>
          <cell r="B54">
            <v>2010</v>
          </cell>
          <cell r="C54" t="str">
            <v>wbsp_pop_15up_to</v>
          </cell>
          <cell r="D54">
            <v>14385472</v>
          </cell>
          <cell r="F54" t="str">
            <v>16 Sep 2024</v>
          </cell>
        </row>
        <row r="55">
          <cell r="A55" t="str">
            <v>AFG</v>
          </cell>
          <cell r="B55">
            <v>2010</v>
          </cell>
          <cell r="C55" t="str">
            <v>wbsp_pop_65up_to</v>
          </cell>
          <cell r="D55">
            <v>663424</v>
          </cell>
          <cell r="F55" t="str">
            <v>16 Sep 2024</v>
          </cell>
        </row>
        <row r="56">
          <cell r="A56" t="str">
            <v>AFG</v>
          </cell>
          <cell r="B56">
            <v>2010</v>
          </cell>
          <cell r="C56" t="str">
            <v>wbsp_pop_totl</v>
          </cell>
          <cell r="D56">
            <v>28189672</v>
          </cell>
          <cell r="F56" t="str">
            <v>16 Sep 2024</v>
          </cell>
        </row>
        <row r="57">
          <cell r="A57" t="str">
            <v>AFG</v>
          </cell>
          <cell r="B57">
            <v>2011</v>
          </cell>
          <cell r="C57" t="str">
            <v>wbsp_pop_0014_to</v>
          </cell>
          <cell r="D57">
            <v>14116918</v>
          </cell>
          <cell r="F57" t="str">
            <v>16 Sep 2024</v>
          </cell>
        </row>
        <row r="58">
          <cell r="A58" t="str">
            <v>AFG</v>
          </cell>
          <cell r="B58">
            <v>2011</v>
          </cell>
          <cell r="C58" t="str">
            <v>wbsp_pop_1564_to</v>
          </cell>
          <cell r="D58">
            <v>14437898</v>
          </cell>
          <cell r="F58" t="str">
            <v>16 Sep 2024</v>
          </cell>
        </row>
        <row r="59">
          <cell r="A59" t="str">
            <v>AFG</v>
          </cell>
          <cell r="B59">
            <v>2011</v>
          </cell>
          <cell r="C59" t="str">
            <v>wbsp_pop_15up_to</v>
          </cell>
          <cell r="D59">
            <v>15132238</v>
          </cell>
          <cell r="F59" t="str">
            <v>16 Sep 2024</v>
          </cell>
        </row>
        <row r="60">
          <cell r="A60" t="str">
            <v>AFG</v>
          </cell>
          <cell r="B60">
            <v>2011</v>
          </cell>
          <cell r="C60" t="str">
            <v>wbsp_pop_65up_to</v>
          </cell>
          <cell r="D60">
            <v>694340</v>
          </cell>
          <cell r="F60" t="str">
            <v>16 Sep 2024</v>
          </cell>
        </row>
        <row r="61">
          <cell r="A61" t="str">
            <v>AFG</v>
          </cell>
          <cell r="B61">
            <v>2011</v>
          </cell>
          <cell r="C61" t="str">
            <v>wbsp_pop_totl</v>
          </cell>
          <cell r="D61">
            <v>29249157</v>
          </cell>
          <cell r="F61" t="str">
            <v>16 Sep 2024</v>
          </cell>
        </row>
        <row r="62">
          <cell r="A62" t="str">
            <v>AFG</v>
          </cell>
          <cell r="B62">
            <v>2012</v>
          </cell>
          <cell r="C62" t="str">
            <v>wbsp_pop_0014_to</v>
          </cell>
          <cell r="D62">
            <v>14451010</v>
          </cell>
          <cell r="F62" t="str">
            <v>16 Sep 2024</v>
          </cell>
        </row>
        <row r="63">
          <cell r="A63" t="str">
            <v>AFG</v>
          </cell>
          <cell r="B63">
            <v>2012</v>
          </cell>
          <cell r="C63" t="str">
            <v>wbsp_pop_1564_to</v>
          </cell>
          <cell r="D63">
            <v>15286716</v>
          </cell>
          <cell r="F63" t="str">
            <v>16 Sep 2024</v>
          </cell>
        </row>
        <row r="64">
          <cell r="A64" t="str">
            <v>AFG</v>
          </cell>
          <cell r="B64">
            <v>2012</v>
          </cell>
          <cell r="C64" t="str">
            <v>wbsp_pop_15up_to</v>
          </cell>
          <cell r="D64">
            <v>16015470</v>
          </cell>
          <cell r="F64" t="str">
            <v>16 Sep 2024</v>
          </cell>
        </row>
        <row r="65">
          <cell r="A65" t="str">
            <v>AFG</v>
          </cell>
          <cell r="B65">
            <v>2012</v>
          </cell>
          <cell r="C65" t="str">
            <v>wbsp_pop_65up_to</v>
          </cell>
          <cell r="D65">
            <v>728754</v>
          </cell>
          <cell r="F65" t="str">
            <v>16 Sep 2024</v>
          </cell>
        </row>
        <row r="66">
          <cell r="A66" t="str">
            <v>AFG</v>
          </cell>
          <cell r="B66">
            <v>2012</v>
          </cell>
          <cell r="C66" t="str">
            <v>wbsp_pop_totl</v>
          </cell>
          <cell r="D66">
            <v>30466479</v>
          </cell>
          <cell r="F66" t="str">
            <v>16 Sep 2024</v>
          </cell>
        </row>
        <row r="67">
          <cell r="A67" t="str">
            <v>AFG</v>
          </cell>
          <cell r="B67">
            <v>2013</v>
          </cell>
          <cell r="C67" t="str">
            <v>wbsp_pop_0014_to</v>
          </cell>
          <cell r="D67">
            <v>14782614</v>
          </cell>
          <cell r="F67" t="str">
            <v>16 Sep 2024</v>
          </cell>
        </row>
        <row r="68">
          <cell r="A68" t="str">
            <v>AFG</v>
          </cell>
          <cell r="B68">
            <v>2013</v>
          </cell>
          <cell r="C68" t="str">
            <v>wbsp_pop_1564_to</v>
          </cell>
          <cell r="D68">
            <v>16000570</v>
          </cell>
          <cell r="F68" t="str">
            <v>16 Sep 2024</v>
          </cell>
        </row>
        <row r="69">
          <cell r="A69" t="str">
            <v>AFG</v>
          </cell>
          <cell r="B69">
            <v>2013</v>
          </cell>
          <cell r="C69" t="str">
            <v>wbsp_pop_15up_to</v>
          </cell>
          <cell r="D69">
            <v>16758595</v>
          </cell>
          <cell r="F69" t="str">
            <v>16 Sep 2024</v>
          </cell>
        </row>
        <row r="70">
          <cell r="A70" t="str">
            <v>AFG</v>
          </cell>
          <cell r="B70">
            <v>2013</v>
          </cell>
          <cell r="C70" t="str">
            <v>wbsp_pop_65up_to</v>
          </cell>
          <cell r="D70">
            <v>758025</v>
          </cell>
          <cell r="F70" t="str">
            <v>16 Sep 2024</v>
          </cell>
        </row>
        <row r="71">
          <cell r="A71" t="str">
            <v>AFG</v>
          </cell>
          <cell r="B71">
            <v>2013</v>
          </cell>
          <cell r="C71" t="str">
            <v>wbsp_pop_totl</v>
          </cell>
          <cell r="D71">
            <v>31541209</v>
          </cell>
          <cell r="F71" t="str">
            <v>16 Sep 2024</v>
          </cell>
        </row>
        <row r="72">
          <cell r="A72" t="str">
            <v>AFG</v>
          </cell>
          <cell r="B72">
            <v>2014</v>
          </cell>
          <cell r="C72" t="str">
            <v>wbsp_pop_0014_to</v>
          </cell>
          <cell r="D72">
            <v>15125207</v>
          </cell>
          <cell r="F72" t="str">
            <v>16 Sep 2024</v>
          </cell>
        </row>
        <row r="73">
          <cell r="A73" t="str">
            <v>AFG</v>
          </cell>
          <cell r="B73">
            <v>2014</v>
          </cell>
          <cell r="C73" t="str">
            <v>wbsp_pop_1564_to</v>
          </cell>
          <cell r="D73">
            <v>16802817</v>
          </cell>
          <cell r="F73" t="str">
            <v>16 Sep 2024</v>
          </cell>
        </row>
        <row r="74">
          <cell r="A74" t="str">
            <v>AFG</v>
          </cell>
          <cell r="B74">
            <v>2014</v>
          </cell>
          <cell r="C74" t="str">
            <v>wbsp_pop_15up_to</v>
          </cell>
          <cell r="D74">
            <v>17591003</v>
          </cell>
          <cell r="F74" t="str">
            <v>16 Sep 2024</v>
          </cell>
        </row>
        <row r="75">
          <cell r="A75" t="str">
            <v>AFG</v>
          </cell>
          <cell r="B75">
            <v>2014</v>
          </cell>
          <cell r="C75" t="str">
            <v>wbsp_pop_65up_to</v>
          </cell>
          <cell r="D75">
            <v>788186</v>
          </cell>
          <cell r="F75" t="str">
            <v>16 Sep 2024</v>
          </cell>
        </row>
        <row r="76">
          <cell r="A76" t="str">
            <v>AFG</v>
          </cell>
          <cell r="B76">
            <v>2014</v>
          </cell>
          <cell r="C76" t="str">
            <v>wbsp_pop_totl</v>
          </cell>
          <cell r="D76">
            <v>32716210</v>
          </cell>
          <cell r="F76" t="str">
            <v>16 Sep 2024</v>
          </cell>
        </row>
        <row r="77">
          <cell r="A77" t="str">
            <v>AFG</v>
          </cell>
          <cell r="B77">
            <v>2015</v>
          </cell>
          <cell r="C77" t="str">
            <v>wbsp_pop_0014_to</v>
          </cell>
          <cell r="D77">
            <v>15456438</v>
          </cell>
          <cell r="F77" t="str">
            <v>16 Sep 2024</v>
          </cell>
        </row>
        <row r="78">
          <cell r="A78" t="str">
            <v>AFG</v>
          </cell>
          <cell r="B78">
            <v>2015</v>
          </cell>
          <cell r="C78" t="str">
            <v>wbsp_pop_1564_to</v>
          </cell>
          <cell r="D78">
            <v>17485014</v>
          </cell>
          <cell r="F78" t="str">
            <v>16 Sep 2024</v>
          </cell>
        </row>
        <row r="79">
          <cell r="A79" t="str">
            <v>AFG</v>
          </cell>
          <cell r="B79">
            <v>2015</v>
          </cell>
          <cell r="C79" t="str">
            <v>wbsp_pop_15up_to</v>
          </cell>
          <cell r="D79">
            <v>18297061</v>
          </cell>
          <cell r="F79" t="str">
            <v>16 Sep 2024</v>
          </cell>
        </row>
        <row r="80">
          <cell r="A80" t="str">
            <v>AFG</v>
          </cell>
          <cell r="B80">
            <v>2015</v>
          </cell>
          <cell r="C80" t="str">
            <v>wbsp_pop_65up_to</v>
          </cell>
          <cell r="D80">
            <v>812047</v>
          </cell>
          <cell r="F80" t="str">
            <v>16 Sep 2024</v>
          </cell>
        </row>
        <row r="81">
          <cell r="A81" t="str">
            <v>AFG</v>
          </cell>
          <cell r="B81">
            <v>2015</v>
          </cell>
          <cell r="C81" t="str">
            <v>wbsp_pop_totl</v>
          </cell>
          <cell r="D81">
            <v>33753499</v>
          </cell>
          <cell r="F81" t="str">
            <v>16 Sep 2024</v>
          </cell>
        </row>
        <row r="82">
          <cell r="A82" t="str">
            <v>AFG</v>
          </cell>
          <cell r="B82">
            <v>2016</v>
          </cell>
          <cell r="C82" t="str">
            <v>wbsp_pop_0014_to</v>
          </cell>
          <cell r="D82">
            <v>15766736</v>
          </cell>
          <cell r="F82" t="str">
            <v>16 Sep 2024</v>
          </cell>
        </row>
        <row r="83">
          <cell r="A83" t="str">
            <v>AFG</v>
          </cell>
          <cell r="B83">
            <v>2016</v>
          </cell>
          <cell r="C83" t="str">
            <v>wbsp_pop_1564_to</v>
          </cell>
          <cell r="D83">
            <v>18038552</v>
          </cell>
          <cell r="F83" t="str">
            <v>16 Sep 2024</v>
          </cell>
        </row>
        <row r="84">
          <cell r="A84" t="str">
            <v>AFG</v>
          </cell>
          <cell r="B84">
            <v>2016</v>
          </cell>
          <cell r="C84" t="str">
            <v>wbsp_pop_15up_to</v>
          </cell>
          <cell r="D84">
            <v>18869471</v>
          </cell>
          <cell r="F84" t="str">
            <v>16 Sep 2024</v>
          </cell>
        </row>
        <row r="85">
          <cell r="A85" t="str">
            <v>AFG</v>
          </cell>
          <cell r="B85">
            <v>2016</v>
          </cell>
          <cell r="C85" t="str">
            <v>wbsp_pop_65up_to</v>
          </cell>
          <cell r="D85">
            <v>830919</v>
          </cell>
          <cell r="F85" t="str">
            <v>16 Sep 2024</v>
          </cell>
        </row>
        <row r="86">
          <cell r="A86" t="str">
            <v>AFG</v>
          </cell>
          <cell r="B86">
            <v>2016</v>
          </cell>
          <cell r="C86" t="str">
            <v>wbsp_pop_totl</v>
          </cell>
          <cell r="D86">
            <v>34636207</v>
          </cell>
          <cell r="F86" t="str">
            <v>16 Sep 2024</v>
          </cell>
        </row>
        <row r="87">
          <cell r="A87" t="str">
            <v>AFG</v>
          </cell>
          <cell r="B87">
            <v>2017</v>
          </cell>
          <cell r="C87" t="str">
            <v>wbsp_pop_0014_to</v>
          </cell>
          <cell r="D87">
            <v>16081817</v>
          </cell>
          <cell r="F87" t="str">
            <v>16 Sep 2024</v>
          </cell>
        </row>
        <row r="88">
          <cell r="A88" t="str">
            <v>AFG</v>
          </cell>
          <cell r="B88">
            <v>2017</v>
          </cell>
          <cell r="C88" t="str">
            <v>wbsp_pop_1564_to</v>
          </cell>
          <cell r="D88">
            <v>18706224</v>
          </cell>
          <cell r="F88" t="str">
            <v>16 Sep 2024</v>
          </cell>
        </row>
        <row r="89">
          <cell r="A89" t="str">
            <v>AFG</v>
          </cell>
          <cell r="B89">
            <v>2017</v>
          </cell>
          <cell r="C89" t="str">
            <v>wbsp_pop_15up_to</v>
          </cell>
          <cell r="D89">
            <v>19561601</v>
          </cell>
          <cell r="F89" t="str">
            <v>16 Sep 2024</v>
          </cell>
        </row>
        <row r="90">
          <cell r="A90" t="str">
            <v>AFG</v>
          </cell>
          <cell r="B90">
            <v>2017</v>
          </cell>
          <cell r="C90" t="str">
            <v>wbsp_pop_65up_to</v>
          </cell>
          <cell r="D90">
            <v>855377</v>
          </cell>
          <cell r="F90" t="str">
            <v>16 Sep 2024</v>
          </cell>
        </row>
        <row r="91">
          <cell r="A91" t="str">
            <v>AFG</v>
          </cell>
          <cell r="B91">
            <v>2017</v>
          </cell>
          <cell r="C91" t="str">
            <v>wbsp_pop_totl</v>
          </cell>
          <cell r="D91">
            <v>35643418</v>
          </cell>
          <cell r="F91" t="str">
            <v>16 Sep 2024</v>
          </cell>
        </row>
        <row r="92">
          <cell r="A92" t="str">
            <v>AFG</v>
          </cell>
          <cell r="B92">
            <v>2018</v>
          </cell>
          <cell r="C92" t="str">
            <v>wbsp_pop_0014_to</v>
          </cell>
          <cell r="D92">
            <v>16402090</v>
          </cell>
          <cell r="F92" t="str">
            <v>16 Sep 2024</v>
          </cell>
        </row>
        <row r="93">
          <cell r="A93" t="str">
            <v>AFG</v>
          </cell>
          <cell r="B93">
            <v>2018</v>
          </cell>
          <cell r="C93" t="str">
            <v>wbsp_pop_1564_to</v>
          </cell>
          <cell r="D93">
            <v>19401609</v>
          </cell>
          <cell r="F93" t="str">
            <v>16 Sep 2024</v>
          </cell>
        </row>
        <row r="94">
          <cell r="A94" t="str">
            <v>AFG</v>
          </cell>
          <cell r="B94">
            <v>2018</v>
          </cell>
          <cell r="C94" t="str">
            <v>wbsp_pop_15up_to</v>
          </cell>
          <cell r="D94">
            <v>20284694</v>
          </cell>
          <cell r="F94" t="str">
            <v>16 Sep 2024</v>
          </cell>
        </row>
        <row r="95">
          <cell r="A95" t="str">
            <v>AFG</v>
          </cell>
          <cell r="B95">
            <v>2018</v>
          </cell>
          <cell r="C95" t="str">
            <v>wbsp_pop_65up_to</v>
          </cell>
          <cell r="D95">
            <v>883085</v>
          </cell>
          <cell r="F95" t="str">
            <v>16 Sep 2024</v>
          </cell>
        </row>
        <row r="96">
          <cell r="A96" t="str">
            <v>AFG</v>
          </cell>
          <cell r="B96">
            <v>2018</v>
          </cell>
          <cell r="C96" t="str">
            <v>wbsp_pop_totl</v>
          </cell>
          <cell r="D96">
            <v>36686784</v>
          </cell>
          <cell r="F96" t="str">
            <v>16 Sep 2024</v>
          </cell>
        </row>
        <row r="97">
          <cell r="A97" t="str">
            <v>AFG</v>
          </cell>
          <cell r="B97">
            <v>2019</v>
          </cell>
          <cell r="C97" t="str">
            <v>wbsp_pop_0014_to</v>
          </cell>
          <cell r="D97">
            <v>16728622</v>
          </cell>
          <cell r="F97" t="str">
            <v>16 Sep 2024</v>
          </cell>
        </row>
        <row r="98">
          <cell r="A98" t="str">
            <v>AFG</v>
          </cell>
          <cell r="B98">
            <v>2019</v>
          </cell>
          <cell r="C98" t="str">
            <v>wbsp_pop_1564_to</v>
          </cell>
          <cell r="D98">
            <v>20127704</v>
          </cell>
          <cell r="F98" t="str">
            <v>16 Sep 2024</v>
          </cell>
        </row>
        <row r="99">
          <cell r="A99" t="str">
            <v>AFG</v>
          </cell>
          <cell r="B99">
            <v>2019</v>
          </cell>
          <cell r="C99" t="str">
            <v>wbsp_pop_15up_to</v>
          </cell>
          <cell r="D99">
            <v>21040878</v>
          </cell>
          <cell r="F99" t="str">
            <v>16 Sep 2024</v>
          </cell>
        </row>
        <row r="100">
          <cell r="A100" t="str">
            <v>AFG</v>
          </cell>
          <cell r="B100">
            <v>2019</v>
          </cell>
          <cell r="C100" t="str">
            <v>wbsp_pop_65up_to</v>
          </cell>
          <cell r="D100">
            <v>913174</v>
          </cell>
          <cell r="F100" t="str">
            <v>16 Sep 2024</v>
          </cell>
        </row>
        <row r="101">
          <cell r="A101" t="str">
            <v>AFG</v>
          </cell>
          <cell r="B101">
            <v>2019</v>
          </cell>
          <cell r="C101" t="str">
            <v>wbsp_pop_totl</v>
          </cell>
          <cell r="D101">
            <v>37769499</v>
          </cell>
          <cell r="F101" t="str">
            <v>16 Sep 2024</v>
          </cell>
        </row>
        <row r="102">
          <cell r="A102" t="str">
            <v>AFG</v>
          </cell>
          <cell r="B102">
            <v>2020</v>
          </cell>
          <cell r="C102" t="str">
            <v>wbsp_pop_0014_to</v>
          </cell>
          <cell r="D102">
            <v>17072920</v>
          </cell>
          <cell r="F102" t="str">
            <v>16 Sep 2024</v>
          </cell>
        </row>
        <row r="103">
          <cell r="A103" t="str">
            <v>AFG</v>
          </cell>
          <cell r="B103">
            <v>2020</v>
          </cell>
          <cell r="C103" t="str">
            <v>wbsp_pop_1564_to</v>
          </cell>
          <cell r="D103">
            <v>20957369</v>
          </cell>
          <cell r="F103" t="str">
            <v>16 Sep 2024</v>
          </cell>
        </row>
        <row r="104">
          <cell r="A104" t="str">
            <v>AFG</v>
          </cell>
          <cell r="B104">
            <v>2020</v>
          </cell>
          <cell r="C104" t="str">
            <v>wbsp_pop_15up_to</v>
          </cell>
          <cell r="D104">
            <v>21899309</v>
          </cell>
          <cell r="F104" t="str">
            <v>16 Sep 2024</v>
          </cell>
        </row>
        <row r="105">
          <cell r="A105" t="str">
            <v>AFG</v>
          </cell>
          <cell r="B105">
            <v>2020</v>
          </cell>
          <cell r="C105" t="str">
            <v>wbsp_pop_65up_to</v>
          </cell>
          <cell r="D105">
            <v>941940</v>
          </cell>
          <cell r="F105" t="str">
            <v>16 Sep 2024</v>
          </cell>
        </row>
        <row r="106">
          <cell r="A106" t="str">
            <v>AFG</v>
          </cell>
          <cell r="B106">
            <v>2020</v>
          </cell>
          <cell r="C106" t="str">
            <v>wbsp_pop_totl</v>
          </cell>
          <cell r="D106">
            <v>38972230</v>
          </cell>
          <cell r="F106" t="str">
            <v>16 Sep 2024</v>
          </cell>
        </row>
        <row r="107">
          <cell r="A107" t="str">
            <v>AFG</v>
          </cell>
          <cell r="B107">
            <v>2021</v>
          </cell>
          <cell r="C107" t="str">
            <v>wbsp_pop_0014_to</v>
          </cell>
          <cell r="D107">
            <v>17413008</v>
          </cell>
          <cell r="F107" t="str">
            <v>16 Sep 2024</v>
          </cell>
        </row>
        <row r="108">
          <cell r="A108" t="str">
            <v>AFG</v>
          </cell>
          <cell r="B108">
            <v>2021</v>
          </cell>
          <cell r="C108" t="str">
            <v>wbsp_pop_1564_to</v>
          </cell>
          <cell r="D108">
            <v>21722439</v>
          </cell>
          <cell r="F108" t="str">
            <v>16 Sep 2024</v>
          </cell>
        </row>
        <row r="109">
          <cell r="A109" t="str">
            <v>AFG</v>
          </cell>
          <cell r="B109">
            <v>2021</v>
          </cell>
          <cell r="C109" t="str">
            <v>wbsp_pop_15up_to</v>
          </cell>
          <cell r="D109">
            <v>22686453</v>
          </cell>
          <cell r="F109" t="str">
            <v>16 Sep 2024</v>
          </cell>
        </row>
        <row r="110">
          <cell r="A110" t="str">
            <v>AFG</v>
          </cell>
          <cell r="B110">
            <v>2021</v>
          </cell>
          <cell r="C110" t="str">
            <v>wbsp_pop_65up_to</v>
          </cell>
          <cell r="D110">
            <v>964014</v>
          </cell>
          <cell r="F110" t="str">
            <v>16 Sep 2024</v>
          </cell>
        </row>
        <row r="111">
          <cell r="A111" t="str">
            <v>AFG</v>
          </cell>
          <cell r="B111">
            <v>2021</v>
          </cell>
          <cell r="C111" t="str">
            <v>wbsp_pop_totl</v>
          </cell>
          <cell r="D111">
            <v>40099462</v>
          </cell>
          <cell r="F111" t="str">
            <v>16 Sep 2024</v>
          </cell>
        </row>
        <row r="112">
          <cell r="A112" t="str">
            <v>AFG</v>
          </cell>
          <cell r="B112">
            <v>2022</v>
          </cell>
          <cell r="C112" t="str">
            <v>wbsp_pop_0014_to</v>
          </cell>
          <cell r="D112">
            <v>17739100</v>
          </cell>
          <cell r="F112" t="str">
            <v>16 Sep 2024</v>
          </cell>
        </row>
        <row r="113">
          <cell r="A113" t="str">
            <v>AFG</v>
          </cell>
          <cell r="B113">
            <v>2022</v>
          </cell>
          <cell r="C113" t="str">
            <v>wbsp_pop_1564_to</v>
          </cell>
          <cell r="D113">
            <v>22404909</v>
          </cell>
          <cell r="F113" t="str">
            <v>16 Sep 2024</v>
          </cell>
        </row>
        <row r="114">
          <cell r="A114" t="str">
            <v>AFG</v>
          </cell>
          <cell r="B114">
            <v>2022</v>
          </cell>
          <cell r="C114" t="str">
            <v>wbsp_pop_15up_to</v>
          </cell>
          <cell r="D114">
            <v>23389672</v>
          </cell>
          <cell r="F114" t="str">
            <v>16 Sep 2024</v>
          </cell>
        </row>
        <row r="115">
          <cell r="A115" t="str">
            <v>AFG</v>
          </cell>
          <cell r="B115">
            <v>2022</v>
          </cell>
          <cell r="C115" t="str">
            <v>wbsp_pop_65up_to</v>
          </cell>
          <cell r="D115">
            <v>984763</v>
          </cell>
          <cell r="F115" t="str">
            <v>16 Sep 2024</v>
          </cell>
        </row>
        <row r="116">
          <cell r="A116" t="str">
            <v>AFG</v>
          </cell>
          <cell r="B116">
            <v>2022</v>
          </cell>
          <cell r="C116" t="str">
            <v>wbsp_pop_totl</v>
          </cell>
          <cell r="D116">
            <v>41128771</v>
          </cell>
          <cell r="F116" t="str">
            <v>16 Sep 2024</v>
          </cell>
        </row>
        <row r="117">
          <cell r="A117" t="str">
            <v>AFG</v>
          </cell>
          <cell r="B117">
            <v>2023</v>
          </cell>
          <cell r="C117" t="str">
            <v>wbsp_pop_0014_to</v>
          </cell>
          <cell r="D117">
            <v>18097715</v>
          </cell>
          <cell r="F117" t="str">
            <v>16 Sep 2024</v>
          </cell>
        </row>
        <row r="118">
          <cell r="A118" t="str">
            <v>AFG</v>
          </cell>
          <cell r="B118">
            <v>2023</v>
          </cell>
          <cell r="C118" t="str">
            <v>wbsp_pop_1564_to</v>
          </cell>
          <cell r="D118">
            <v>23130436</v>
          </cell>
          <cell r="F118" t="str">
            <v>16 Sep 2024</v>
          </cell>
        </row>
        <row r="119">
          <cell r="A119" t="str">
            <v>AFG</v>
          </cell>
          <cell r="B119">
            <v>2023</v>
          </cell>
          <cell r="C119" t="str">
            <v>wbsp_pop_15up_to</v>
          </cell>
          <cell r="D119">
            <v>24142140</v>
          </cell>
          <cell r="F119" t="str">
            <v>16 Sep 2024</v>
          </cell>
        </row>
        <row r="120">
          <cell r="A120" t="str">
            <v>AFG</v>
          </cell>
          <cell r="B120">
            <v>2023</v>
          </cell>
          <cell r="C120" t="str">
            <v>wbsp_pop_65up_to</v>
          </cell>
          <cell r="D120">
            <v>1011704</v>
          </cell>
          <cell r="F120" t="str">
            <v>16 Sep 2024</v>
          </cell>
        </row>
        <row r="121">
          <cell r="A121" t="str">
            <v>AFG</v>
          </cell>
          <cell r="B121">
            <v>2023</v>
          </cell>
          <cell r="C121" t="str">
            <v>wbsp_pop_totl</v>
          </cell>
          <cell r="D121">
            <v>42239854</v>
          </cell>
          <cell r="F121" t="str">
            <v>16 Sep 2024</v>
          </cell>
        </row>
        <row r="122">
          <cell r="A122" t="str">
            <v>AFG</v>
          </cell>
          <cell r="B122">
            <v>2024</v>
          </cell>
          <cell r="C122" t="str">
            <v>wbsp_pop_0014_to</v>
          </cell>
          <cell r="D122">
            <v>18472876</v>
          </cell>
          <cell r="F122" t="str">
            <v>16 Sep 2024</v>
          </cell>
        </row>
        <row r="123">
          <cell r="A123" t="str">
            <v>AFG</v>
          </cell>
          <cell r="B123">
            <v>2024</v>
          </cell>
          <cell r="C123" t="str">
            <v>wbsp_pop_1564_to</v>
          </cell>
          <cell r="D123">
            <v>23855004</v>
          </cell>
          <cell r="F123" t="str">
            <v>16 Sep 2024</v>
          </cell>
        </row>
        <row r="124">
          <cell r="A124" t="str">
            <v>AFG</v>
          </cell>
          <cell r="B124">
            <v>2024</v>
          </cell>
          <cell r="C124" t="str">
            <v>wbsp_pop_15up_to</v>
          </cell>
          <cell r="D124">
            <v>24900074</v>
          </cell>
          <cell r="F124" t="str">
            <v>16 Sep 2024</v>
          </cell>
        </row>
        <row r="125">
          <cell r="A125" t="str">
            <v>AFG</v>
          </cell>
          <cell r="B125">
            <v>2024</v>
          </cell>
          <cell r="C125" t="str">
            <v>wbsp_pop_65up_to</v>
          </cell>
          <cell r="D125">
            <v>1045070</v>
          </cell>
          <cell r="F125" t="str">
            <v>16 Sep 2024</v>
          </cell>
        </row>
        <row r="126">
          <cell r="A126" t="str">
            <v>AFG</v>
          </cell>
          <cell r="B126">
            <v>2024</v>
          </cell>
          <cell r="C126" t="str">
            <v>wbsp_pop_totl</v>
          </cell>
          <cell r="D126">
            <v>43372950</v>
          </cell>
          <cell r="F126" t="str">
            <v>16 Sep 2024</v>
          </cell>
        </row>
        <row r="127">
          <cell r="A127" t="str">
            <v>AFG</v>
          </cell>
          <cell r="B127">
            <v>2025</v>
          </cell>
          <cell r="C127" t="str">
            <v>wbsp_pop_0014_to</v>
          </cell>
          <cell r="D127">
            <v>18826599</v>
          </cell>
          <cell r="F127" t="str">
            <v>16 Sep 2024</v>
          </cell>
        </row>
        <row r="128">
          <cell r="A128" t="str">
            <v>AFG</v>
          </cell>
          <cell r="B128">
            <v>2025</v>
          </cell>
          <cell r="C128" t="str">
            <v>wbsp_pop_1564_to</v>
          </cell>
          <cell r="D128">
            <v>24604807</v>
          </cell>
          <cell r="F128" t="str">
            <v>16 Sep 2024</v>
          </cell>
        </row>
        <row r="129">
          <cell r="A129" t="str">
            <v>AFG</v>
          </cell>
          <cell r="B129">
            <v>2025</v>
          </cell>
          <cell r="C129" t="str">
            <v>wbsp_pop_15up_to</v>
          </cell>
          <cell r="D129">
            <v>25689194</v>
          </cell>
          <cell r="F129" t="str">
            <v>16 Sep 2024</v>
          </cell>
        </row>
        <row r="130">
          <cell r="A130" t="str">
            <v>AFG</v>
          </cell>
          <cell r="B130">
            <v>2025</v>
          </cell>
          <cell r="C130" t="str">
            <v>wbsp_pop_65up_to</v>
          </cell>
          <cell r="D130">
            <v>1084387</v>
          </cell>
          <cell r="F130" t="str">
            <v>16 Sep 2024</v>
          </cell>
        </row>
        <row r="131">
          <cell r="A131" t="str">
            <v>AFG</v>
          </cell>
          <cell r="B131">
            <v>2025</v>
          </cell>
          <cell r="C131" t="str">
            <v>wbsp_pop_totl</v>
          </cell>
          <cell r="D131">
            <v>44515793</v>
          </cell>
          <cell r="F131" t="str">
            <v>16 Sep 2024</v>
          </cell>
        </row>
        <row r="132">
          <cell r="A132" t="str">
            <v>AFG</v>
          </cell>
          <cell r="B132">
            <v>2026</v>
          </cell>
          <cell r="C132" t="str">
            <v>wbsp_pop_0014_to</v>
          </cell>
          <cell r="D132">
            <v>19171762</v>
          </cell>
          <cell r="F132" t="str">
            <v>16 Sep 2024</v>
          </cell>
        </row>
        <row r="133">
          <cell r="A133" t="str">
            <v>AFG</v>
          </cell>
          <cell r="B133">
            <v>2026</v>
          </cell>
          <cell r="C133" t="str">
            <v>wbsp_pop_1564_to</v>
          </cell>
          <cell r="D133">
            <v>25368089</v>
          </cell>
          <cell r="F133" t="str">
            <v>16 Sep 2024</v>
          </cell>
        </row>
        <row r="134">
          <cell r="A134" t="str">
            <v>AFG</v>
          </cell>
          <cell r="B134">
            <v>2026</v>
          </cell>
          <cell r="C134" t="str">
            <v>wbsp_pop_15up_to</v>
          </cell>
          <cell r="D134">
            <v>26495788</v>
          </cell>
          <cell r="F134" t="str">
            <v>16 Sep 2024</v>
          </cell>
        </row>
        <row r="135">
          <cell r="A135" t="str">
            <v>AFG</v>
          </cell>
          <cell r="B135">
            <v>2026</v>
          </cell>
          <cell r="C135" t="str">
            <v>wbsp_pop_65up_to</v>
          </cell>
          <cell r="D135">
            <v>1127699</v>
          </cell>
          <cell r="F135" t="str">
            <v>16 Sep 2024</v>
          </cell>
        </row>
        <row r="136">
          <cell r="A136" t="str">
            <v>AFG</v>
          </cell>
          <cell r="B136">
            <v>2026</v>
          </cell>
          <cell r="C136" t="str">
            <v>wbsp_pop_totl</v>
          </cell>
          <cell r="D136">
            <v>45667550</v>
          </cell>
          <cell r="F136" t="str">
            <v>16 Sep 2024</v>
          </cell>
        </row>
        <row r="137">
          <cell r="A137" t="str">
            <v>AFG</v>
          </cell>
          <cell r="B137">
            <v>2027</v>
          </cell>
          <cell r="C137" t="str">
            <v>wbsp_pop_0014_to</v>
          </cell>
          <cell r="D137">
            <v>19495296</v>
          </cell>
          <cell r="F137" t="str">
            <v>16 Sep 2024</v>
          </cell>
        </row>
        <row r="138">
          <cell r="A138" t="str">
            <v>AFG</v>
          </cell>
          <cell r="B138">
            <v>2027</v>
          </cell>
          <cell r="C138" t="str">
            <v>wbsp_pop_1564_to</v>
          </cell>
          <cell r="D138">
            <v>26158937</v>
          </cell>
          <cell r="F138" t="str">
            <v>16 Sep 2024</v>
          </cell>
        </row>
        <row r="139">
          <cell r="A139" t="str">
            <v>AFG</v>
          </cell>
          <cell r="B139">
            <v>2027</v>
          </cell>
          <cell r="C139" t="str">
            <v>wbsp_pop_15up_to</v>
          </cell>
          <cell r="D139">
            <v>27332329</v>
          </cell>
          <cell r="F139" t="str">
            <v>16 Sep 2024</v>
          </cell>
        </row>
        <row r="140">
          <cell r="A140" t="str">
            <v>AFG</v>
          </cell>
          <cell r="B140">
            <v>2027</v>
          </cell>
          <cell r="C140" t="str">
            <v>wbsp_pop_65up_to</v>
          </cell>
          <cell r="D140">
            <v>1173392</v>
          </cell>
          <cell r="F140" t="str">
            <v>16 Sep 2024</v>
          </cell>
        </row>
        <row r="141">
          <cell r="A141" t="str">
            <v>AFG</v>
          </cell>
          <cell r="B141">
            <v>2027</v>
          </cell>
          <cell r="C141" t="str">
            <v>wbsp_pop_totl</v>
          </cell>
          <cell r="D141">
            <v>46827624</v>
          </cell>
          <cell r="F141" t="str">
            <v>16 Sep 2024</v>
          </cell>
        </row>
        <row r="142">
          <cell r="A142" t="str">
            <v>AFG</v>
          </cell>
          <cell r="B142">
            <v>2028</v>
          </cell>
          <cell r="C142" t="str">
            <v>wbsp_pop_0014_to</v>
          </cell>
          <cell r="D142">
            <v>19785234</v>
          </cell>
          <cell r="F142" t="str">
            <v>16 Sep 2024</v>
          </cell>
        </row>
        <row r="143">
          <cell r="A143" t="str">
            <v>AFG</v>
          </cell>
          <cell r="B143">
            <v>2028</v>
          </cell>
          <cell r="C143" t="str">
            <v>wbsp_pop_1564_to</v>
          </cell>
          <cell r="D143">
            <v>26983963</v>
          </cell>
          <cell r="F143" t="str">
            <v>16 Sep 2024</v>
          </cell>
        </row>
        <row r="144">
          <cell r="A144" t="str">
            <v>AFG</v>
          </cell>
          <cell r="B144">
            <v>2028</v>
          </cell>
          <cell r="C144" t="str">
            <v>wbsp_pop_15up_to</v>
          </cell>
          <cell r="D144">
            <v>28205678</v>
          </cell>
          <cell r="F144" t="str">
            <v>16 Sep 2024</v>
          </cell>
        </row>
        <row r="145">
          <cell r="A145" t="str">
            <v>AFG</v>
          </cell>
          <cell r="B145">
            <v>2028</v>
          </cell>
          <cell r="C145" t="str">
            <v>wbsp_pop_65up_to</v>
          </cell>
          <cell r="D145">
            <v>1221715</v>
          </cell>
          <cell r="F145" t="str">
            <v>16 Sep 2024</v>
          </cell>
        </row>
        <row r="146">
          <cell r="A146" t="str">
            <v>AFG</v>
          </cell>
          <cell r="B146">
            <v>2028</v>
          </cell>
          <cell r="C146" t="str">
            <v>wbsp_pop_totl</v>
          </cell>
          <cell r="D146">
            <v>47990912</v>
          </cell>
          <cell r="F146" t="str">
            <v>16 Sep 2024</v>
          </cell>
        </row>
        <row r="147">
          <cell r="A147" t="str">
            <v>AFG</v>
          </cell>
          <cell r="B147">
            <v>2029</v>
          </cell>
          <cell r="C147" t="str">
            <v>wbsp_pop_0014_to</v>
          </cell>
          <cell r="D147">
            <v>20054832</v>
          </cell>
          <cell r="F147" t="str">
            <v>16 Sep 2024</v>
          </cell>
        </row>
        <row r="148">
          <cell r="A148" t="str">
            <v>AFG</v>
          </cell>
          <cell r="B148">
            <v>2029</v>
          </cell>
          <cell r="C148" t="str">
            <v>wbsp_pop_1564_to</v>
          </cell>
          <cell r="D148">
            <v>27830298</v>
          </cell>
          <cell r="F148" t="str">
            <v>16 Sep 2024</v>
          </cell>
        </row>
        <row r="149">
          <cell r="A149" t="str">
            <v>AFG</v>
          </cell>
          <cell r="B149">
            <v>2029</v>
          </cell>
          <cell r="C149" t="str">
            <v>wbsp_pop_15up_to</v>
          </cell>
          <cell r="D149">
            <v>29103240</v>
          </cell>
          <cell r="F149" t="str">
            <v>16 Sep 2024</v>
          </cell>
        </row>
        <row r="150">
          <cell r="A150" t="str">
            <v>AFG</v>
          </cell>
          <cell r="B150">
            <v>2029</v>
          </cell>
          <cell r="C150" t="str">
            <v>wbsp_pop_65up_to</v>
          </cell>
          <cell r="D150">
            <v>1272942</v>
          </cell>
          <cell r="F150" t="str">
            <v>16 Sep 2024</v>
          </cell>
        </row>
        <row r="151">
          <cell r="A151" t="str">
            <v>AFG</v>
          </cell>
          <cell r="B151">
            <v>2029</v>
          </cell>
          <cell r="C151" t="str">
            <v>wbsp_pop_totl</v>
          </cell>
          <cell r="D151">
            <v>49158072</v>
          </cell>
          <cell r="F151" t="str">
            <v>16 Sep 2024</v>
          </cell>
        </row>
        <row r="152">
          <cell r="A152" t="str">
            <v>AFG</v>
          </cell>
          <cell r="B152">
            <v>2030</v>
          </cell>
          <cell r="C152" t="str">
            <v>wbsp_pop_0014_to</v>
          </cell>
          <cell r="D152">
            <v>20302099</v>
          </cell>
          <cell r="F152" t="str">
            <v>16 Sep 2024</v>
          </cell>
        </row>
        <row r="153">
          <cell r="A153" t="str">
            <v>AFG</v>
          </cell>
          <cell r="B153">
            <v>2030</v>
          </cell>
          <cell r="C153" t="str">
            <v>wbsp_pop_1564_to</v>
          </cell>
          <cell r="D153">
            <v>28701566</v>
          </cell>
          <cell r="F153" t="str">
            <v>16 Sep 2024</v>
          </cell>
        </row>
        <row r="154">
          <cell r="A154" t="str">
            <v>AFG</v>
          </cell>
          <cell r="B154">
            <v>2030</v>
          </cell>
          <cell r="C154" t="str">
            <v>wbsp_pop_15up_to</v>
          </cell>
          <cell r="D154">
            <v>30028738</v>
          </cell>
          <cell r="F154" t="str">
            <v>16 Sep 2024</v>
          </cell>
        </row>
        <row r="155">
          <cell r="A155" t="str">
            <v>AFG</v>
          </cell>
          <cell r="B155">
            <v>2030</v>
          </cell>
          <cell r="C155" t="str">
            <v>wbsp_pop_65up_to</v>
          </cell>
          <cell r="D155">
            <v>1327172</v>
          </cell>
          <cell r="F155" t="str">
            <v>16 Sep 2024</v>
          </cell>
        </row>
        <row r="156">
          <cell r="A156" t="str">
            <v>AFG</v>
          </cell>
          <cell r="B156">
            <v>2030</v>
          </cell>
          <cell r="C156" t="str">
            <v>wbsp_pop_totl</v>
          </cell>
          <cell r="D156">
            <v>50330837</v>
          </cell>
          <cell r="F156" t="str">
            <v>16 Sep 2024</v>
          </cell>
        </row>
        <row r="157">
          <cell r="A157" t="str">
            <v>BGD</v>
          </cell>
          <cell r="B157">
            <v>2000</v>
          </cell>
          <cell r="C157" t="str">
            <v>wbsp_pop_0014_to</v>
          </cell>
          <cell r="D157">
            <v>48200365</v>
          </cell>
          <cell r="F157" t="str">
            <v>16 Sep 2024</v>
          </cell>
        </row>
        <row r="158">
          <cell r="A158" t="str">
            <v>BGD</v>
          </cell>
          <cell r="B158">
            <v>2000</v>
          </cell>
          <cell r="C158" t="str">
            <v>wbsp_pop_1564_to</v>
          </cell>
          <cell r="D158">
            <v>76134099</v>
          </cell>
          <cell r="F158" t="str">
            <v>16 Sep 2024</v>
          </cell>
        </row>
        <row r="159">
          <cell r="A159" t="str">
            <v>BGD</v>
          </cell>
          <cell r="B159">
            <v>2000</v>
          </cell>
          <cell r="C159" t="str">
            <v>wbsp_pop_15up_to</v>
          </cell>
          <cell r="D159">
            <v>80992962</v>
          </cell>
          <cell r="F159" t="str">
            <v>16 Sep 2024</v>
          </cell>
        </row>
        <row r="160">
          <cell r="A160" t="str">
            <v>BGD</v>
          </cell>
          <cell r="B160">
            <v>2000</v>
          </cell>
          <cell r="C160" t="str">
            <v>wbsp_pop_65up_to</v>
          </cell>
          <cell r="D160">
            <v>4858863</v>
          </cell>
          <cell r="F160" t="str">
            <v>16 Sep 2024</v>
          </cell>
        </row>
        <row r="161">
          <cell r="A161" t="str">
            <v>BGD</v>
          </cell>
          <cell r="B161">
            <v>2000</v>
          </cell>
          <cell r="C161" t="str">
            <v>wbsp_pop_totl</v>
          </cell>
          <cell r="D161">
            <v>129193327</v>
          </cell>
          <cell r="F161" t="str">
            <v>16 Sep 2024</v>
          </cell>
        </row>
        <row r="162">
          <cell r="A162" t="str">
            <v>BGD</v>
          </cell>
          <cell r="B162">
            <v>2001</v>
          </cell>
          <cell r="C162" t="str">
            <v>wbsp_pop_0014_to</v>
          </cell>
          <cell r="D162">
            <v>48483067</v>
          </cell>
          <cell r="F162" t="str">
            <v>16 Sep 2024</v>
          </cell>
        </row>
        <row r="163">
          <cell r="A163" t="str">
            <v>BGD</v>
          </cell>
          <cell r="B163">
            <v>2001</v>
          </cell>
          <cell r="C163" t="str">
            <v>wbsp_pop_1564_to</v>
          </cell>
          <cell r="D163">
            <v>78139758</v>
          </cell>
          <cell r="F163" t="str">
            <v>16 Sep 2024</v>
          </cell>
        </row>
        <row r="164">
          <cell r="A164" t="str">
            <v>BGD</v>
          </cell>
          <cell r="B164">
            <v>2001</v>
          </cell>
          <cell r="C164" t="str">
            <v>wbsp_pop_15up_to</v>
          </cell>
          <cell r="D164">
            <v>83187417</v>
          </cell>
          <cell r="F164" t="str">
            <v>16 Sep 2024</v>
          </cell>
        </row>
        <row r="165">
          <cell r="A165" t="str">
            <v>BGD</v>
          </cell>
          <cell r="B165">
            <v>2001</v>
          </cell>
          <cell r="C165" t="str">
            <v>wbsp_pop_65up_to</v>
          </cell>
          <cell r="D165">
            <v>5047659</v>
          </cell>
          <cell r="F165" t="str">
            <v>16 Sep 2024</v>
          </cell>
        </row>
        <row r="166">
          <cell r="A166" t="str">
            <v>BGD</v>
          </cell>
          <cell r="B166">
            <v>2001</v>
          </cell>
          <cell r="C166" t="str">
            <v>wbsp_pop_totl</v>
          </cell>
          <cell r="D166">
            <v>131670484</v>
          </cell>
          <cell r="F166" t="str">
            <v>16 Sep 2024</v>
          </cell>
        </row>
        <row r="167">
          <cell r="A167" t="str">
            <v>BGD</v>
          </cell>
          <cell r="B167">
            <v>2002</v>
          </cell>
          <cell r="C167" t="str">
            <v>wbsp_pop_0014_to</v>
          </cell>
          <cell r="D167">
            <v>48829061</v>
          </cell>
          <cell r="F167" t="str">
            <v>16 Sep 2024</v>
          </cell>
        </row>
        <row r="168">
          <cell r="A168" t="str">
            <v>BGD</v>
          </cell>
          <cell r="B168">
            <v>2002</v>
          </cell>
          <cell r="C168" t="str">
            <v>wbsp_pop_1564_to</v>
          </cell>
          <cell r="D168">
            <v>80071880</v>
          </cell>
          <cell r="F168" t="str">
            <v>16 Sep 2024</v>
          </cell>
        </row>
        <row r="169">
          <cell r="A169" t="str">
            <v>BGD</v>
          </cell>
          <cell r="B169">
            <v>2002</v>
          </cell>
          <cell r="C169" t="str">
            <v>wbsp_pop_15up_to</v>
          </cell>
          <cell r="D169">
            <v>85310765</v>
          </cell>
          <cell r="F169" t="str">
            <v>16 Sep 2024</v>
          </cell>
        </row>
        <row r="170">
          <cell r="A170" t="str">
            <v>BGD</v>
          </cell>
          <cell r="B170">
            <v>2002</v>
          </cell>
          <cell r="C170" t="str">
            <v>wbsp_pop_65up_to</v>
          </cell>
          <cell r="D170">
            <v>5238885</v>
          </cell>
          <cell r="F170" t="str">
            <v>16 Sep 2024</v>
          </cell>
        </row>
        <row r="171">
          <cell r="A171" t="str">
            <v>BGD</v>
          </cell>
          <cell r="B171">
            <v>2002</v>
          </cell>
          <cell r="C171" t="str">
            <v>wbsp_pop_totl</v>
          </cell>
          <cell r="D171">
            <v>134139826</v>
          </cell>
          <cell r="F171" t="str">
            <v>16 Sep 2024</v>
          </cell>
        </row>
        <row r="172">
          <cell r="A172" t="str">
            <v>BGD</v>
          </cell>
          <cell r="B172">
            <v>2003</v>
          </cell>
          <cell r="C172" t="str">
            <v>wbsp_pop_0014_to</v>
          </cell>
          <cell r="D172">
            <v>49150927</v>
          </cell>
          <cell r="F172" t="str">
            <v>16 Sep 2024</v>
          </cell>
        </row>
        <row r="173">
          <cell r="A173" t="str">
            <v>BGD</v>
          </cell>
          <cell r="B173">
            <v>2003</v>
          </cell>
          <cell r="C173" t="str">
            <v>wbsp_pop_1564_to</v>
          </cell>
          <cell r="D173">
            <v>81921372</v>
          </cell>
          <cell r="F173" t="str">
            <v>16 Sep 2024</v>
          </cell>
        </row>
        <row r="174">
          <cell r="A174" t="str">
            <v>BGD</v>
          </cell>
          <cell r="B174">
            <v>2003</v>
          </cell>
          <cell r="C174" t="str">
            <v>wbsp_pop_15up_to</v>
          </cell>
          <cell r="D174">
            <v>87352279</v>
          </cell>
          <cell r="F174" t="str">
            <v>16 Sep 2024</v>
          </cell>
        </row>
        <row r="175">
          <cell r="A175" t="str">
            <v>BGD</v>
          </cell>
          <cell r="B175">
            <v>2003</v>
          </cell>
          <cell r="C175" t="str">
            <v>wbsp_pop_65up_to</v>
          </cell>
          <cell r="D175">
            <v>5430907</v>
          </cell>
          <cell r="F175" t="str">
            <v>16 Sep 2024</v>
          </cell>
        </row>
        <row r="176">
          <cell r="A176" t="str">
            <v>BGD</v>
          </cell>
          <cell r="B176">
            <v>2003</v>
          </cell>
          <cell r="C176" t="str">
            <v>wbsp_pop_totl</v>
          </cell>
          <cell r="D176">
            <v>136503206</v>
          </cell>
          <cell r="F176" t="str">
            <v>16 Sep 2024</v>
          </cell>
        </row>
        <row r="177">
          <cell r="A177" t="str">
            <v>BGD</v>
          </cell>
          <cell r="B177">
            <v>2004</v>
          </cell>
          <cell r="C177" t="str">
            <v>wbsp_pop_0014_to</v>
          </cell>
          <cell r="D177">
            <v>49424493</v>
          </cell>
          <cell r="F177" t="str">
            <v>16 Sep 2024</v>
          </cell>
        </row>
        <row r="178">
          <cell r="A178" t="str">
            <v>BGD</v>
          </cell>
          <cell r="B178">
            <v>2004</v>
          </cell>
          <cell r="C178" t="str">
            <v>wbsp_pop_1564_to</v>
          </cell>
          <cell r="D178">
            <v>83745577</v>
          </cell>
          <cell r="F178" t="str">
            <v>16 Sep 2024</v>
          </cell>
        </row>
        <row r="179">
          <cell r="A179" t="str">
            <v>BGD</v>
          </cell>
          <cell r="B179">
            <v>2004</v>
          </cell>
          <cell r="C179" t="str">
            <v>wbsp_pop_15up_to</v>
          </cell>
          <cell r="D179">
            <v>89365231</v>
          </cell>
          <cell r="F179" t="str">
            <v>16 Sep 2024</v>
          </cell>
        </row>
        <row r="180">
          <cell r="A180" t="str">
            <v>BGD</v>
          </cell>
          <cell r="B180">
            <v>2004</v>
          </cell>
          <cell r="C180" t="str">
            <v>wbsp_pop_65up_to</v>
          </cell>
          <cell r="D180">
            <v>5619654</v>
          </cell>
          <cell r="F180" t="str">
            <v>16 Sep 2024</v>
          </cell>
        </row>
        <row r="181">
          <cell r="A181" t="str">
            <v>BGD</v>
          </cell>
          <cell r="B181">
            <v>2004</v>
          </cell>
          <cell r="C181" t="str">
            <v>wbsp_pop_totl</v>
          </cell>
          <cell r="D181">
            <v>138789725</v>
          </cell>
          <cell r="F181" t="str">
            <v>16 Sep 2024</v>
          </cell>
        </row>
        <row r="182">
          <cell r="A182" t="str">
            <v>BGD</v>
          </cell>
          <cell r="B182">
            <v>2005</v>
          </cell>
          <cell r="C182" t="str">
            <v>wbsp_pop_0014_to</v>
          </cell>
          <cell r="D182">
            <v>49613868</v>
          </cell>
          <cell r="F182" t="str">
            <v>16 Sep 2024</v>
          </cell>
        </row>
        <row r="183">
          <cell r="A183" t="str">
            <v>BGD</v>
          </cell>
          <cell r="B183">
            <v>2005</v>
          </cell>
          <cell r="C183" t="str">
            <v>wbsp_pop_1564_to</v>
          </cell>
          <cell r="D183">
            <v>85497651</v>
          </cell>
          <cell r="F183" t="str">
            <v>16 Sep 2024</v>
          </cell>
        </row>
        <row r="184">
          <cell r="A184" t="str">
            <v>BGD</v>
          </cell>
          <cell r="B184">
            <v>2005</v>
          </cell>
          <cell r="C184" t="str">
            <v>wbsp_pop_15up_to</v>
          </cell>
          <cell r="D184">
            <v>91298722</v>
          </cell>
          <cell r="F184" t="str">
            <v>16 Sep 2024</v>
          </cell>
        </row>
        <row r="185">
          <cell r="A185" t="str">
            <v>BGD</v>
          </cell>
          <cell r="B185">
            <v>2005</v>
          </cell>
          <cell r="C185" t="str">
            <v>wbsp_pop_65up_to</v>
          </cell>
          <cell r="D185">
            <v>5801071</v>
          </cell>
          <cell r="F185" t="str">
            <v>16 Sep 2024</v>
          </cell>
        </row>
        <row r="186">
          <cell r="A186" t="str">
            <v>BGD</v>
          </cell>
          <cell r="B186">
            <v>2005</v>
          </cell>
          <cell r="C186" t="str">
            <v>wbsp_pop_totl</v>
          </cell>
          <cell r="D186">
            <v>140912590</v>
          </cell>
          <cell r="F186" t="str">
            <v>16 Sep 2024</v>
          </cell>
        </row>
        <row r="187">
          <cell r="A187" t="str">
            <v>BGD</v>
          </cell>
          <cell r="B187">
            <v>2006</v>
          </cell>
          <cell r="C187" t="str">
            <v>wbsp_pop_0014_to</v>
          </cell>
          <cell r="D187">
            <v>49723388</v>
          </cell>
          <cell r="F187" t="str">
            <v>16 Sep 2024</v>
          </cell>
        </row>
        <row r="188">
          <cell r="A188" t="str">
            <v>BGD</v>
          </cell>
          <cell r="B188">
            <v>2006</v>
          </cell>
          <cell r="C188" t="str">
            <v>wbsp_pop_1564_to</v>
          </cell>
          <cell r="D188">
            <v>86933413</v>
          </cell>
          <cell r="F188" t="str">
            <v>16 Sep 2024</v>
          </cell>
        </row>
        <row r="189">
          <cell r="A189" t="str">
            <v>BGD</v>
          </cell>
          <cell r="B189">
            <v>2006</v>
          </cell>
          <cell r="C189" t="str">
            <v>wbsp_pop_15up_to</v>
          </cell>
          <cell r="D189">
            <v>92905444</v>
          </cell>
          <cell r="F189" t="str">
            <v>16 Sep 2024</v>
          </cell>
        </row>
        <row r="190">
          <cell r="A190" t="str">
            <v>BGD</v>
          </cell>
          <cell r="B190">
            <v>2006</v>
          </cell>
          <cell r="C190" t="str">
            <v>wbsp_pop_65up_to</v>
          </cell>
          <cell r="D190">
            <v>5972031</v>
          </cell>
          <cell r="F190" t="str">
            <v>16 Sep 2024</v>
          </cell>
        </row>
        <row r="191">
          <cell r="A191" t="str">
            <v>BGD</v>
          </cell>
          <cell r="B191">
            <v>2006</v>
          </cell>
          <cell r="C191" t="str">
            <v>wbsp_pop_totl</v>
          </cell>
          <cell r="D191">
            <v>142628831</v>
          </cell>
          <cell r="F191" t="str">
            <v>16 Sep 2024</v>
          </cell>
        </row>
        <row r="192">
          <cell r="A192" t="str">
            <v>BGD</v>
          </cell>
          <cell r="B192">
            <v>2007</v>
          </cell>
          <cell r="C192" t="str">
            <v>wbsp_pop_0014_to</v>
          </cell>
          <cell r="D192">
            <v>49792760</v>
          </cell>
          <cell r="F192" t="str">
            <v>16 Sep 2024</v>
          </cell>
        </row>
        <row r="193">
          <cell r="A193" t="str">
            <v>BGD</v>
          </cell>
          <cell r="B193">
            <v>2007</v>
          </cell>
          <cell r="C193" t="str">
            <v>wbsp_pop_1564_to</v>
          </cell>
          <cell r="D193">
            <v>88216600</v>
          </cell>
          <cell r="F193" t="str">
            <v>16 Sep 2024</v>
          </cell>
        </row>
        <row r="194">
          <cell r="A194" t="str">
            <v>BGD</v>
          </cell>
          <cell r="B194">
            <v>2007</v>
          </cell>
          <cell r="C194" t="str">
            <v>wbsp_pop_15up_to</v>
          </cell>
          <cell r="D194">
            <v>94343174</v>
          </cell>
          <cell r="F194" t="str">
            <v>16 Sep 2024</v>
          </cell>
        </row>
        <row r="195">
          <cell r="A195" t="str">
            <v>BGD</v>
          </cell>
          <cell r="B195">
            <v>2007</v>
          </cell>
          <cell r="C195" t="str">
            <v>wbsp_pop_65up_to</v>
          </cell>
          <cell r="D195">
            <v>6126574</v>
          </cell>
          <cell r="F195" t="str">
            <v>16 Sep 2024</v>
          </cell>
        </row>
        <row r="196">
          <cell r="A196" t="str">
            <v>BGD</v>
          </cell>
          <cell r="B196">
            <v>2007</v>
          </cell>
          <cell r="C196" t="str">
            <v>wbsp_pop_totl</v>
          </cell>
          <cell r="D196">
            <v>144135934</v>
          </cell>
          <cell r="F196" t="str">
            <v>16 Sep 2024</v>
          </cell>
        </row>
        <row r="197">
          <cell r="A197" t="str">
            <v>BGD</v>
          </cell>
          <cell r="B197">
            <v>2008</v>
          </cell>
          <cell r="C197" t="str">
            <v>wbsp_pop_0014_to</v>
          </cell>
          <cell r="D197">
            <v>49798436</v>
          </cell>
          <cell r="F197" t="str">
            <v>16 Sep 2024</v>
          </cell>
        </row>
        <row r="198">
          <cell r="A198" t="str">
            <v>BGD</v>
          </cell>
          <cell r="B198">
            <v>2008</v>
          </cell>
          <cell r="C198" t="str">
            <v>wbsp_pop_1564_to</v>
          </cell>
          <cell r="D198">
            <v>89351100</v>
          </cell>
          <cell r="F198" t="str">
            <v>16 Sep 2024</v>
          </cell>
        </row>
        <row r="199">
          <cell r="A199" t="str">
            <v>BGD</v>
          </cell>
          <cell r="B199">
            <v>2008</v>
          </cell>
          <cell r="C199" t="str">
            <v>wbsp_pop_15up_to</v>
          </cell>
          <cell r="D199">
            <v>95622881</v>
          </cell>
          <cell r="F199" t="str">
            <v>16 Sep 2024</v>
          </cell>
        </row>
        <row r="200">
          <cell r="A200" t="str">
            <v>BGD</v>
          </cell>
          <cell r="B200">
            <v>2008</v>
          </cell>
          <cell r="C200" t="str">
            <v>wbsp_pop_65up_to</v>
          </cell>
          <cell r="D200">
            <v>6271781</v>
          </cell>
          <cell r="F200" t="str">
            <v>16 Sep 2024</v>
          </cell>
        </row>
        <row r="201">
          <cell r="A201" t="str">
            <v>BGD</v>
          </cell>
          <cell r="B201">
            <v>2008</v>
          </cell>
          <cell r="C201" t="str">
            <v>wbsp_pop_totl</v>
          </cell>
          <cell r="D201">
            <v>145421318</v>
          </cell>
          <cell r="F201" t="str">
            <v>16 Sep 2024</v>
          </cell>
        </row>
        <row r="202">
          <cell r="A202" t="str">
            <v>BGD</v>
          </cell>
          <cell r="B202">
            <v>2009</v>
          </cell>
          <cell r="C202" t="str">
            <v>wbsp_pop_0014_to</v>
          </cell>
          <cell r="D202">
            <v>49703118</v>
          </cell>
          <cell r="F202" t="str">
            <v>16 Sep 2024</v>
          </cell>
        </row>
        <row r="203">
          <cell r="A203" t="str">
            <v>BGD</v>
          </cell>
          <cell r="B203">
            <v>2009</v>
          </cell>
          <cell r="C203" t="str">
            <v>wbsp_pop_1564_to</v>
          </cell>
          <cell r="D203">
            <v>90580787</v>
          </cell>
          <cell r="F203" t="str">
            <v>16 Sep 2024</v>
          </cell>
        </row>
        <row r="204">
          <cell r="A204" t="str">
            <v>BGD</v>
          </cell>
          <cell r="B204">
            <v>2009</v>
          </cell>
          <cell r="C204" t="str">
            <v>wbsp_pop_15up_to</v>
          </cell>
          <cell r="D204">
            <v>97003692</v>
          </cell>
          <cell r="F204" t="str">
            <v>16 Sep 2024</v>
          </cell>
        </row>
        <row r="205">
          <cell r="A205" t="str">
            <v>BGD</v>
          </cell>
          <cell r="B205">
            <v>2009</v>
          </cell>
          <cell r="C205" t="str">
            <v>wbsp_pop_65up_to</v>
          </cell>
          <cell r="D205">
            <v>6422905</v>
          </cell>
          <cell r="F205" t="str">
            <v>16 Sep 2024</v>
          </cell>
        </row>
        <row r="206">
          <cell r="A206" t="str">
            <v>BGD</v>
          </cell>
          <cell r="B206">
            <v>2009</v>
          </cell>
          <cell r="C206" t="str">
            <v>wbsp_pop_totl</v>
          </cell>
          <cell r="D206">
            <v>146706810</v>
          </cell>
          <cell r="F206" t="str">
            <v>16 Sep 2024</v>
          </cell>
        </row>
        <row r="207">
          <cell r="A207" t="str">
            <v>BGD</v>
          </cell>
          <cell r="B207">
            <v>2010</v>
          </cell>
          <cell r="C207" t="str">
            <v>wbsp_pop_0014_to</v>
          </cell>
          <cell r="D207">
            <v>49535964</v>
          </cell>
          <cell r="F207" t="str">
            <v>16 Sep 2024</v>
          </cell>
        </row>
        <row r="208">
          <cell r="A208" t="str">
            <v>BGD</v>
          </cell>
          <cell r="B208">
            <v>2010</v>
          </cell>
          <cell r="C208" t="str">
            <v>wbsp_pop_1564_to</v>
          </cell>
          <cell r="D208">
            <v>92256484</v>
          </cell>
          <cell r="F208" t="str">
            <v>16 Sep 2024</v>
          </cell>
        </row>
        <row r="209">
          <cell r="A209" t="str">
            <v>BGD</v>
          </cell>
          <cell r="B209">
            <v>2010</v>
          </cell>
          <cell r="C209" t="str">
            <v>wbsp_pop_15up_to</v>
          </cell>
          <cell r="D209">
            <v>98855174</v>
          </cell>
          <cell r="F209" t="str">
            <v>16 Sep 2024</v>
          </cell>
        </row>
        <row r="210">
          <cell r="A210" t="str">
            <v>BGD</v>
          </cell>
          <cell r="B210">
            <v>2010</v>
          </cell>
          <cell r="C210" t="str">
            <v>wbsp_pop_65up_to</v>
          </cell>
          <cell r="D210">
            <v>6598690</v>
          </cell>
          <cell r="F210" t="str">
            <v>16 Sep 2024</v>
          </cell>
        </row>
        <row r="211">
          <cell r="A211" t="str">
            <v>BGD</v>
          </cell>
          <cell r="B211">
            <v>2010</v>
          </cell>
          <cell r="C211" t="str">
            <v>wbsp_pop_totl</v>
          </cell>
          <cell r="D211">
            <v>148391139</v>
          </cell>
          <cell r="F211" t="str">
            <v>16 Sep 2024</v>
          </cell>
        </row>
        <row r="212">
          <cell r="A212" t="str">
            <v>BGD</v>
          </cell>
          <cell r="B212">
            <v>2011</v>
          </cell>
          <cell r="C212" t="str">
            <v>wbsp_pop_0014_to</v>
          </cell>
          <cell r="D212">
            <v>49300535</v>
          </cell>
          <cell r="F212" t="str">
            <v>16 Sep 2024</v>
          </cell>
        </row>
        <row r="213">
          <cell r="A213" t="str">
            <v>BGD</v>
          </cell>
          <cell r="B213">
            <v>2011</v>
          </cell>
          <cell r="C213" t="str">
            <v>wbsp_pop_1564_to</v>
          </cell>
          <cell r="D213">
            <v>94116706</v>
          </cell>
          <cell r="F213" t="str">
            <v>16 Sep 2024</v>
          </cell>
        </row>
        <row r="214">
          <cell r="A214" t="str">
            <v>BGD</v>
          </cell>
          <cell r="B214">
            <v>2011</v>
          </cell>
          <cell r="C214" t="str">
            <v>wbsp_pop_15up_to</v>
          </cell>
          <cell r="D214">
            <v>100910470</v>
          </cell>
          <cell r="F214" t="str">
            <v>16 Sep 2024</v>
          </cell>
        </row>
        <row r="215">
          <cell r="A215" t="str">
            <v>BGD</v>
          </cell>
          <cell r="B215">
            <v>2011</v>
          </cell>
          <cell r="C215" t="str">
            <v>wbsp_pop_65up_to</v>
          </cell>
          <cell r="D215">
            <v>6793764</v>
          </cell>
          <cell r="F215" t="str">
            <v>16 Sep 2024</v>
          </cell>
        </row>
        <row r="216">
          <cell r="A216" t="str">
            <v>BGD</v>
          </cell>
          <cell r="B216">
            <v>2011</v>
          </cell>
          <cell r="C216" t="str">
            <v>wbsp_pop_totl</v>
          </cell>
          <cell r="D216">
            <v>150211005</v>
          </cell>
          <cell r="F216" t="str">
            <v>16 Sep 2024</v>
          </cell>
        </row>
        <row r="217">
          <cell r="A217" t="str">
            <v>BGD</v>
          </cell>
          <cell r="B217">
            <v>2012</v>
          </cell>
          <cell r="C217" t="str">
            <v>wbsp_pop_0014_to</v>
          </cell>
          <cell r="D217">
            <v>48966075</v>
          </cell>
          <cell r="F217" t="str">
            <v>16 Sep 2024</v>
          </cell>
        </row>
        <row r="218">
          <cell r="A218" t="str">
            <v>BGD</v>
          </cell>
          <cell r="B218">
            <v>2012</v>
          </cell>
          <cell r="C218" t="str">
            <v>wbsp_pop_1564_to</v>
          </cell>
          <cell r="D218">
            <v>96129495</v>
          </cell>
          <cell r="F218" t="str">
            <v>16 Sep 2024</v>
          </cell>
        </row>
        <row r="219">
          <cell r="A219" t="str">
            <v>BGD</v>
          </cell>
          <cell r="B219">
            <v>2012</v>
          </cell>
          <cell r="C219" t="str">
            <v>wbsp_pop_15up_to</v>
          </cell>
          <cell r="D219">
            <v>103124573</v>
          </cell>
          <cell r="F219" t="str">
            <v>16 Sep 2024</v>
          </cell>
        </row>
        <row r="220">
          <cell r="A220" t="str">
            <v>BGD</v>
          </cell>
          <cell r="B220">
            <v>2012</v>
          </cell>
          <cell r="C220" t="str">
            <v>wbsp_pop_65up_to</v>
          </cell>
          <cell r="D220">
            <v>6995078</v>
          </cell>
          <cell r="F220" t="str">
            <v>16 Sep 2024</v>
          </cell>
        </row>
        <row r="221">
          <cell r="A221" t="str">
            <v>BGD</v>
          </cell>
          <cell r="B221">
            <v>2012</v>
          </cell>
          <cell r="C221" t="str">
            <v>wbsp_pop_totl</v>
          </cell>
          <cell r="D221">
            <v>152090649</v>
          </cell>
          <cell r="F221" t="str">
            <v>16 Sep 2024</v>
          </cell>
        </row>
        <row r="222">
          <cell r="A222" t="str">
            <v>BGD</v>
          </cell>
          <cell r="B222">
            <v>2013</v>
          </cell>
          <cell r="C222" t="str">
            <v>wbsp_pop_0014_to</v>
          </cell>
          <cell r="D222">
            <v>48568871</v>
          </cell>
          <cell r="F222" t="str">
            <v>16 Sep 2024</v>
          </cell>
        </row>
        <row r="223">
          <cell r="A223" t="str">
            <v>BGD</v>
          </cell>
          <cell r="B223">
            <v>2013</v>
          </cell>
          <cell r="C223" t="str">
            <v>wbsp_pop_1564_to</v>
          </cell>
          <cell r="D223">
            <v>98276729</v>
          </cell>
          <cell r="F223" t="str">
            <v>16 Sep 2024</v>
          </cell>
        </row>
        <row r="224">
          <cell r="A224" t="str">
            <v>BGD</v>
          </cell>
          <cell r="B224">
            <v>2013</v>
          </cell>
          <cell r="C224" t="str">
            <v>wbsp_pop_15up_to</v>
          </cell>
          <cell r="D224">
            <v>105461268</v>
          </cell>
          <cell r="F224" t="str">
            <v>16 Sep 2024</v>
          </cell>
        </row>
        <row r="225">
          <cell r="A225" t="str">
            <v>BGD</v>
          </cell>
          <cell r="B225">
            <v>2013</v>
          </cell>
          <cell r="C225" t="str">
            <v>wbsp_pop_65up_to</v>
          </cell>
          <cell r="D225">
            <v>7184539</v>
          </cell>
          <cell r="F225" t="str">
            <v>16 Sep 2024</v>
          </cell>
        </row>
        <row r="226">
          <cell r="A226" t="str">
            <v>BGD</v>
          </cell>
          <cell r="B226">
            <v>2013</v>
          </cell>
          <cell r="C226" t="str">
            <v>wbsp_pop_totl</v>
          </cell>
          <cell r="D226">
            <v>154030139</v>
          </cell>
          <cell r="F226" t="str">
            <v>16 Sep 2024</v>
          </cell>
        </row>
        <row r="227">
          <cell r="A227" t="str">
            <v>BGD</v>
          </cell>
          <cell r="B227">
            <v>2014</v>
          </cell>
          <cell r="C227" t="str">
            <v>wbsp_pop_0014_to</v>
          </cell>
          <cell r="D227">
            <v>48143480</v>
          </cell>
          <cell r="F227" t="str">
            <v>16 Sep 2024</v>
          </cell>
        </row>
        <row r="228">
          <cell r="A228" t="str">
            <v>BGD</v>
          </cell>
          <cell r="B228">
            <v>2014</v>
          </cell>
          <cell r="C228" t="str">
            <v>wbsp_pop_1564_to</v>
          </cell>
          <cell r="D228">
            <v>100454049</v>
          </cell>
          <cell r="F228" t="str">
            <v>16 Sep 2024</v>
          </cell>
        </row>
        <row r="229">
          <cell r="A229" t="str">
            <v>BGD</v>
          </cell>
          <cell r="B229">
            <v>2014</v>
          </cell>
          <cell r="C229" t="str">
            <v>wbsp_pop_15up_to</v>
          </cell>
          <cell r="D229">
            <v>107817819</v>
          </cell>
          <cell r="F229" t="str">
            <v>16 Sep 2024</v>
          </cell>
        </row>
        <row r="230">
          <cell r="A230" t="str">
            <v>BGD</v>
          </cell>
          <cell r="B230">
            <v>2014</v>
          </cell>
          <cell r="C230" t="str">
            <v>wbsp_pop_65up_to</v>
          </cell>
          <cell r="D230">
            <v>7363770</v>
          </cell>
          <cell r="F230" t="str">
            <v>16 Sep 2024</v>
          </cell>
        </row>
        <row r="231">
          <cell r="A231" t="str">
            <v>BGD</v>
          </cell>
          <cell r="B231">
            <v>2014</v>
          </cell>
          <cell r="C231" t="str">
            <v>wbsp_pop_totl</v>
          </cell>
          <cell r="D231">
            <v>155961299</v>
          </cell>
          <cell r="F231" t="str">
            <v>16 Sep 2024</v>
          </cell>
        </row>
        <row r="232">
          <cell r="A232" t="str">
            <v>BGD</v>
          </cell>
          <cell r="B232">
            <v>2015</v>
          </cell>
          <cell r="C232" t="str">
            <v>wbsp_pop_0014_to</v>
          </cell>
          <cell r="D232">
            <v>47666620</v>
          </cell>
          <cell r="F232" t="str">
            <v>16 Sep 2024</v>
          </cell>
        </row>
        <row r="233">
          <cell r="A233" t="str">
            <v>BGD</v>
          </cell>
          <cell r="B233">
            <v>2015</v>
          </cell>
          <cell r="C233" t="str">
            <v>wbsp_pop_1564_to</v>
          </cell>
          <cell r="D233">
            <v>102575958</v>
          </cell>
          <cell r="F233" t="str">
            <v>16 Sep 2024</v>
          </cell>
        </row>
        <row r="234">
          <cell r="A234" t="str">
            <v>BGD</v>
          </cell>
          <cell r="B234">
            <v>2015</v>
          </cell>
          <cell r="C234" t="str">
            <v>wbsp_pop_15up_to</v>
          </cell>
          <cell r="D234">
            <v>110163381</v>
          </cell>
          <cell r="F234" t="str">
            <v>16 Sep 2024</v>
          </cell>
        </row>
        <row r="235">
          <cell r="A235" t="str">
            <v>BGD</v>
          </cell>
          <cell r="B235">
            <v>2015</v>
          </cell>
          <cell r="C235" t="str">
            <v>wbsp_pop_65up_to</v>
          </cell>
          <cell r="D235">
            <v>7587423</v>
          </cell>
          <cell r="F235" t="str">
            <v>16 Sep 2024</v>
          </cell>
        </row>
        <row r="236">
          <cell r="A236" t="str">
            <v>BGD</v>
          </cell>
          <cell r="B236">
            <v>2015</v>
          </cell>
          <cell r="C236" t="str">
            <v>wbsp_pop_totl</v>
          </cell>
          <cell r="D236">
            <v>157830000</v>
          </cell>
          <cell r="F236" t="str">
            <v>16 Sep 2024</v>
          </cell>
        </row>
        <row r="237">
          <cell r="A237" t="str">
            <v>BGD</v>
          </cell>
          <cell r="B237">
            <v>2016</v>
          </cell>
          <cell r="C237" t="str">
            <v>wbsp_pop_0014_to</v>
          </cell>
          <cell r="D237">
            <v>47168634</v>
          </cell>
          <cell r="F237" t="str">
            <v>16 Sep 2024</v>
          </cell>
        </row>
        <row r="238">
          <cell r="A238" t="str">
            <v>BGD</v>
          </cell>
          <cell r="B238">
            <v>2016</v>
          </cell>
          <cell r="C238" t="str">
            <v>wbsp_pop_1564_to</v>
          </cell>
          <cell r="D238">
            <v>104744797</v>
          </cell>
          <cell r="F238" t="str">
            <v>16 Sep 2024</v>
          </cell>
        </row>
        <row r="239">
          <cell r="A239" t="str">
            <v>BGD</v>
          </cell>
          <cell r="B239">
            <v>2016</v>
          </cell>
          <cell r="C239" t="str">
            <v>wbsp_pop_15up_to</v>
          </cell>
          <cell r="D239">
            <v>112615934</v>
          </cell>
          <cell r="F239" t="str">
            <v>16 Sep 2024</v>
          </cell>
        </row>
        <row r="240">
          <cell r="A240" t="str">
            <v>BGD</v>
          </cell>
          <cell r="B240">
            <v>2016</v>
          </cell>
          <cell r="C240" t="str">
            <v>wbsp_pop_65up_to</v>
          </cell>
          <cell r="D240">
            <v>7871137</v>
          </cell>
          <cell r="F240" t="str">
            <v>16 Sep 2024</v>
          </cell>
        </row>
        <row r="241">
          <cell r="A241" t="str">
            <v>BGD</v>
          </cell>
          <cell r="B241">
            <v>2016</v>
          </cell>
          <cell r="C241" t="str">
            <v>wbsp_pop_totl</v>
          </cell>
          <cell r="D241">
            <v>159784568</v>
          </cell>
          <cell r="F241" t="str">
            <v>16 Sep 2024</v>
          </cell>
        </row>
        <row r="242">
          <cell r="A242" t="str">
            <v>BGD</v>
          </cell>
          <cell r="B242">
            <v>2017</v>
          </cell>
          <cell r="C242" t="str">
            <v>wbsp_pop_0014_to</v>
          </cell>
          <cell r="D242">
            <v>46647833</v>
          </cell>
          <cell r="F242" t="str">
            <v>16 Sep 2024</v>
          </cell>
        </row>
        <row r="243">
          <cell r="A243" t="str">
            <v>BGD</v>
          </cell>
          <cell r="B243">
            <v>2017</v>
          </cell>
          <cell r="C243" t="str">
            <v>wbsp_pop_1564_to</v>
          </cell>
          <cell r="D243">
            <v>106941690</v>
          </cell>
          <cell r="F243" t="str">
            <v>16 Sep 2024</v>
          </cell>
        </row>
        <row r="244">
          <cell r="A244" t="str">
            <v>BGD</v>
          </cell>
          <cell r="B244">
            <v>2017</v>
          </cell>
          <cell r="C244" t="str">
            <v>wbsp_pop_15up_to</v>
          </cell>
          <cell r="D244">
            <v>115146131</v>
          </cell>
          <cell r="F244" t="str">
            <v>16 Sep 2024</v>
          </cell>
        </row>
        <row r="245">
          <cell r="A245" t="str">
            <v>BGD</v>
          </cell>
          <cell r="B245">
            <v>2017</v>
          </cell>
          <cell r="C245" t="str">
            <v>wbsp_pop_65up_to</v>
          </cell>
          <cell r="D245">
            <v>8204441</v>
          </cell>
          <cell r="F245" t="str">
            <v>16 Sep 2024</v>
          </cell>
        </row>
        <row r="246">
          <cell r="A246" t="str">
            <v>BGD</v>
          </cell>
          <cell r="B246">
            <v>2017</v>
          </cell>
          <cell r="C246" t="str">
            <v>wbsp_pop_totl</v>
          </cell>
          <cell r="D246">
            <v>161793964</v>
          </cell>
          <cell r="F246" t="str">
            <v>16 Sep 2024</v>
          </cell>
        </row>
        <row r="247">
          <cell r="A247" t="str">
            <v>BGD</v>
          </cell>
          <cell r="B247">
            <v>2018</v>
          </cell>
          <cell r="C247" t="str">
            <v>wbsp_pop_0014_to</v>
          </cell>
          <cell r="D247">
            <v>46111201</v>
          </cell>
          <cell r="F247" t="str">
            <v>16 Sep 2024</v>
          </cell>
        </row>
        <row r="248">
          <cell r="A248" t="str">
            <v>BGD</v>
          </cell>
          <cell r="B248">
            <v>2018</v>
          </cell>
          <cell r="C248" t="str">
            <v>wbsp_pop_1564_to</v>
          </cell>
          <cell r="D248">
            <v>108985072</v>
          </cell>
          <cell r="F248" t="str">
            <v>16 Sep 2024</v>
          </cell>
        </row>
        <row r="249">
          <cell r="A249" t="str">
            <v>BGD</v>
          </cell>
          <cell r="B249">
            <v>2018</v>
          </cell>
          <cell r="C249" t="str">
            <v>wbsp_pop_15up_to</v>
          </cell>
          <cell r="D249">
            <v>117572756</v>
          </cell>
          <cell r="F249" t="str">
            <v>16 Sep 2024</v>
          </cell>
        </row>
        <row r="250">
          <cell r="A250" t="str">
            <v>BGD</v>
          </cell>
          <cell r="B250">
            <v>2018</v>
          </cell>
          <cell r="C250" t="str">
            <v>wbsp_pop_65up_to</v>
          </cell>
          <cell r="D250">
            <v>8587684</v>
          </cell>
          <cell r="F250" t="str">
            <v>16 Sep 2024</v>
          </cell>
        </row>
        <row r="251">
          <cell r="A251" t="str">
            <v>BGD</v>
          </cell>
          <cell r="B251">
            <v>2018</v>
          </cell>
          <cell r="C251" t="str">
            <v>wbsp_pop_totl</v>
          </cell>
          <cell r="D251">
            <v>163683958</v>
          </cell>
          <cell r="F251" t="str">
            <v>16 Sep 2024</v>
          </cell>
        </row>
        <row r="252">
          <cell r="A252" t="str">
            <v>BGD</v>
          </cell>
          <cell r="B252">
            <v>2019</v>
          </cell>
          <cell r="C252" t="str">
            <v>wbsp_pop_0014_to</v>
          </cell>
          <cell r="D252">
            <v>45611014</v>
          </cell>
          <cell r="F252" t="str">
            <v>16 Sep 2024</v>
          </cell>
        </row>
        <row r="253">
          <cell r="A253" t="str">
            <v>BGD</v>
          </cell>
          <cell r="B253">
            <v>2019</v>
          </cell>
          <cell r="C253" t="str">
            <v>wbsp_pop_1564_to</v>
          </cell>
          <cell r="D253">
            <v>110894720</v>
          </cell>
          <cell r="F253" t="str">
            <v>16 Sep 2024</v>
          </cell>
        </row>
        <row r="254">
          <cell r="A254" t="str">
            <v>BGD</v>
          </cell>
          <cell r="B254">
            <v>2019</v>
          </cell>
          <cell r="C254" t="str">
            <v>wbsp_pop_15up_to</v>
          </cell>
          <cell r="D254">
            <v>119905208</v>
          </cell>
          <cell r="F254" t="str">
            <v>16 Sep 2024</v>
          </cell>
        </row>
        <row r="255">
          <cell r="A255" t="str">
            <v>BGD</v>
          </cell>
          <cell r="B255">
            <v>2019</v>
          </cell>
          <cell r="C255" t="str">
            <v>wbsp_pop_65up_to</v>
          </cell>
          <cell r="D255">
            <v>9010488</v>
          </cell>
          <cell r="F255" t="str">
            <v>16 Sep 2024</v>
          </cell>
        </row>
        <row r="256">
          <cell r="A256" t="str">
            <v>BGD</v>
          </cell>
          <cell r="B256">
            <v>2019</v>
          </cell>
          <cell r="C256" t="str">
            <v>wbsp_pop_totl</v>
          </cell>
          <cell r="D256">
            <v>165516222</v>
          </cell>
          <cell r="F256" t="str">
            <v>16 Sep 2024</v>
          </cell>
        </row>
        <row r="257">
          <cell r="A257" t="str">
            <v>BGD</v>
          </cell>
          <cell r="B257">
            <v>2020</v>
          </cell>
          <cell r="C257" t="str">
            <v>wbsp_pop_0014_to</v>
          </cell>
          <cell r="D257">
            <v>45173820</v>
          </cell>
          <cell r="F257" t="str">
            <v>16 Sep 2024</v>
          </cell>
        </row>
        <row r="258">
          <cell r="A258" t="str">
            <v>BGD</v>
          </cell>
          <cell r="B258">
            <v>2020</v>
          </cell>
          <cell r="C258" t="str">
            <v>wbsp_pop_1564_to</v>
          </cell>
          <cell r="D258">
            <v>112816371</v>
          </cell>
          <cell r="F258" t="str">
            <v>16 Sep 2024</v>
          </cell>
        </row>
        <row r="259">
          <cell r="A259" t="str">
            <v>BGD</v>
          </cell>
          <cell r="B259">
            <v>2020</v>
          </cell>
          <cell r="C259" t="str">
            <v>wbsp_pop_15up_to</v>
          </cell>
          <cell r="D259">
            <v>122247131</v>
          </cell>
          <cell r="F259" t="str">
            <v>16 Sep 2024</v>
          </cell>
        </row>
        <row r="260">
          <cell r="A260" t="str">
            <v>BGD</v>
          </cell>
          <cell r="B260">
            <v>2020</v>
          </cell>
          <cell r="C260" t="str">
            <v>wbsp_pop_65up_to</v>
          </cell>
          <cell r="D260">
            <v>9430760</v>
          </cell>
          <cell r="F260" t="str">
            <v>16 Sep 2024</v>
          </cell>
        </row>
        <row r="261">
          <cell r="A261" t="str">
            <v>BGD</v>
          </cell>
          <cell r="B261">
            <v>2020</v>
          </cell>
          <cell r="C261" t="str">
            <v>wbsp_pop_totl</v>
          </cell>
          <cell r="D261">
            <v>167420951</v>
          </cell>
          <cell r="F261" t="str">
            <v>16 Sep 2024</v>
          </cell>
        </row>
        <row r="262">
          <cell r="A262" t="str">
            <v>BGD</v>
          </cell>
          <cell r="B262">
            <v>2021</v>
          </cell>
          <cell r="C262" t="str">
            <v>wbsp_pop_0014_to</v>
          </cell>
          <cell r="D262">
            <v>44799782</v>
          </cell>
          <cell r="F262" t="str">
            <v>16 Sep 2024</v>
          </cell>
        </row>
        <row r="263">
          <cell r="A263" t="str">
            <v>BGD</v>
          </cell>
          <cell r="B263">
            <v>2021</v>
          </cell>
          <cell r="C263" t="str">
            <v>wbsp_pop_1564_to</v>
          </cell>
          <cell r="D263">
            <v>114687891</v>
          </cell>
          <cell r="F263" t="str">
            <v>16 Sep 2024</v>
          </cell>
        </row>
        <row r="264">
          <cell r="A264" t="str">
            <v>BGD</v>
          </cell>
          <cell r="B264">
            <v>2021</v>
          </cell>
          <cell r="C264" t="str">
            <v>wbsp_pop_15up_to</v>
          </cell>
          <cell r="D264">
            <v>124556469</v>
          </cell>
          <cell r="F264" t="str">
            <v>16 Sep 2024</v>
          </cell>
        </row>
        <row r="265">
          <cell r="A265" t="str">
            <v>BGD</v>
          </cell>
          <cell r="B265">
            <v>2021</v>
          </cell>
          <cell r="C265" t="str">
            <v>wbsp_pop_65up_to</v>
          </cell>
          <cell r="D265">
            <v>9868578</v>
          </cell>
          <cell r="F265" t="str">
            <v>16 Sep 2024</v>
          </cell>
        </row>
        <row r="266">
          <cell r="A266" t="str">
            <v>BGD</v>
          </cell>
          <cell r="B266">
            <v>2021</v>
          </cell>
          <cell r="C266" t="str">
            <v>wbsp_pop_totl</v>
          </cell>
          <cell r="D266">
            <v>169356251</v>
          </cell>
          <cell r="F266" t="str">
            <v>16 Sep 2024</v>
          </cell>
        </row>
        <row r="267">
          <cell r="A267" t="str">
            <v>BGD</v>
          </cell>
          <cell r="B267">
            <v>2022</v>
          </cell>
          <cell r="C267" t="str">
            <v>wbsp_pop_0014_to</v>
          </cell>
          <cell r="D267">
            <v>44455660</v>
          </cell>
          <cell r="F267" t="str">
            <v>16 Sep 2024</v>
          </cell>
        </row>
        <row r="268">
          <cell r="A268" t="str">
            <v>BGD</v>
          </cell>
          <cell r="B268">
            <v>2022</v>
          </cell>
          <cell r="C268" t="str">
            <v>wbsp_pop_1564_to</v>
          </cell>
          <cell r="D268">
            <v>116383491</v>
          </cell>
          <cell r="F268" t="str">
            <v>16 Sep 2024</v>
          </cell>
        </row>
        <row r="269">
          <cell r="A269" t="str">
            <v>BGD</v>
          </cell>
          <cell r="B269">
            <v>2022</v>
          </cell>
          <cell r="C269" t="str">
            <v>wbsp_pop_15up_to</v>
          </cell>
          <cell r="D269">
            <v>126730711</v>
          </cell>
          <cell r="F269" t="str">
            <v>16 Sep 2024</v>
          </cell>
        </row>
        <row r="270">
          <cell r="A270" t="str">
            <v>BGD</v>
          </cell>
          <cell r="B270">
            <v>2022</v>
          </cell>
          <cell r="C270" t="str">
            <v>wbsp_pop_65up_to</v>
          </cell>
          <cell r="D270">
            <v>10347220</v>
          </cell>
          <cell r="F270" t="str">
            <v>16 Sep 2024</v>
          </cell>
        </row>
        <row r="271">
          <cell r="A271" t="str">
            <v>BGD</v>
          </cell>
          <cell r="B271">
            <v>2022</v>
          </cell>
          <cell r="C271" t="str">
            <v>wbsp_pop_totl</v>
          </cell>
          <cell r="D271">
            <v>171186372</v>
          </cell>
          <cell r="F271" t="str">
            <v>16 Sep 2024</v>
          </cell>
        </row>
        <row r="272">
          <cell r="A272" t="str">
            <v>BGD</v>
          </cell>
          <cell r="B272">
            <v>2023</v>
          </cell>
          <cell r="C272" t="str">
            <v>wbsp_pop_0014_to</v>
          </cell>
          <cell r="D272">
            <v>44152676</v>
          </cell>
          <cell r="F272" t="str">
            <v>16 Sep 2024</v>
          </cell>
        </row>
        <row r="273">
          <cell r="A273" t="str">
            <v>BGD</v>
          </cell>
          <cell r="B273">
            <v>2023</v>
          </cell>
          <cell r="C273" t="str">
            <v>wbsp_pop_1564_to</v>
          </cell>
          <cell r="D273">
            <v>117964397</v>
          </cell>
          <cell r="F273" t="str">
            <v>16 Sep 2024</v>
          </cell>
        </row>
        <row r="274">
          <cell r="A274" t="str">
            <v>BGD</v>
          </cell>
          <cell r="B274">
            <v>2023</v>
          </cell>
          <cell r="C274" t="str">
            <v>wbsp_pop_15up_to</v>
          </cell>
          <cell r="D274">
            <v>128801643</v>
          </cell>
          <cell r="F274" t="str">
            <v>16 Sep 2024</v>
          </cell>
        </row>
        <row r="275">
          <cell r="A275" t="str">
            <v>BGD</v>
          </cell>
          <cell r="B275">
            <v>2023</v>
          </cell>
          <cell r="C275" t="str">
            <v>wbsp_pop_65up_to</v>
          </cell>
          <cell r="D275">
            <v>10837246</v>
          </cell>
          <cell r="F275" t="str">
            <v>16 Sep 2024</v>
          </cell>
        </row>
        <row r="276">
          <cell r="A276" t="str">
            <v>BGD</v>
          </cell>
          <cell r="B276">
            <v>2023</v>
          </cell>
          <cell r="C276" t="str">
            <v>wbsp_pop_totl</v>
          </cell>
          <cell r="D276">
            <v>172954319</v>
          </cell>
          <cell r="F276" t="str">
            <v>16 Sep 2024</v>
          </cell>
        </row>
        <row r="277">
          <cell r="A277" t="str">
            <v>BGD</v>
          </cell>
          <cell r="B277">
            <v>2024</v>
          </cell>
          <cell r="C277" t="str">
            <v>wbsp_pop_0014_to</v>
          </cell>
          <cell r="D277">
            <v>43918912</v>
          </cell>
          <cell r="F277" t="str">
            <v>16 Sep 2024</v>
          </cell>
        </row>
        <row r="278">
          <cell r="A278" t="str">
            <v>BGD</v>
          </cell>
          <cell r="B278">
            <v>2024</v>
          </cell>
          <cell r="C278" t="str">
            <v>wbsp_pop_1564_to</v>
          </cell>
          <cell r="D278">
            <v>119444877</v>
          </cell>
          <cell r="F278" t="str">
            <v>16 Sep 2024</v>
          </cell>
        </row>
        <row r="279">
          <cell r="A279" t="str">
            <v>BGD</v>
          </cell>
          <cell r="B279">
            <v>2024</v>
          </cell>
          <cell r="C279" t="str">
            <v>wbsp_pop_15up_to</v>
          </cell>
          <cell r="D279">
            <v>130782300</v>
          </cell>
          <cell r="F279" t="str">
            <v>16 Sep 2024</v>
          </cell>
        </row>
        <row r="280">
          <cell r="A280" t="str">
            <v>BGD</v>
          </cell>
          <cell r="B280">
            <v>2024</v>
          </cell>
          <cell r="C280" t="str">
            <v>wbsp_pop_65up_to</v>
          </cell>
          <cell r="D280">
            <v>11337423</v>
          </cell>
          <cell r="F280" t="str">
            <v>16 Sep 2024</v>
          </cell>
        </row>
        <row r="281">
          <cell r="A281" t="str">
            <v>BGD</v>
          </cell>
          <cell r="B281">
            <v>2024</v>
          </cell>
          <cell r="C281" t="str">
            <v>wbsp_pop_totl</v>
          </cell>
          <cell r="D281">
            <v>174701211</v>
          </cell>
          <cell r="F281" t="str">
            <v>16 Sep 2024</v>
          </cell>
        </row>
        <row r="282">
          <cell r="A282" t="str">
            <v>BGD</v>
          </cell>
          <cell r="B282">
            <v>2025</v>
          </cell>
          <cell r="C282" t="str">
            <v>wbsp_pop_0014_to</v>
          </cell>
          <cell r="D282">
            <v>43755264</v>
          </cell>
          <cell r="F282" t="str">
            <v>16 Sep 2024</v>
          </cell>
        </row>
        <row r="283">
          <cell r="A283" t="str">
            <v>BGD</v>
          </cell>
          <cell r="B283">
            <v>2025</v>
          </cell>
          <cell r="C283" t="str">
            <v>wbsp_pop_1564_to</v>
          </cell>
          <cell r="D283">
            <v>120816547</v>
          </cell>
          <cell r="F283" t="str">
            <v>16 Sep 2024</v>
          </cell>
        </row>
        <row r="284">
          <cell r="A284" t="str">
            <v>BGD</v>
          </cell>
          <cell r="B284">
            <v>2025</v>
          </cell>
          <cell r="C284" t="str">
            <v>wbsp_pop_15up_to</v>
          </cell>
          <cell r="D284">
            <v>132666245</v>
          </cell>
          <cell r="F284" t="str">
            <v>16 Sep 2024</v>
          </cell>
        </row>
        <row r="285">
          <cell r="A285" t="str">
            <v>BGD</v>
          </cell>
          <cell r="B285">
            <v>2025</v>
          </cell>
          <cell r="C285" t="str">
            <v>wbsp_pop_65up_to</v>
          </cell>
          <cell r="D285">
            <v>11849698</v>
          </cell>
          <cell r="F285" t="str">
            <v>16 Sep 2024</v>
          </cell>
        </row>
        <row r="286">
          <cell r="A286" t="str">
            <v>BGD</v>
          </cell>
          <cell r="B286">
            <v>2025</v>
          </cell>
          <cell r="C286" t="str">
            <v>wbsp_pop_totl</v>
          </cell>
          <cell r="D286">
            <v>176421509</v>
          </cell>
          <cell r="F286" t="str">
            <v>16 Sep 2024</v>
          </cell>
        </row>
        <row r="287">
          <cell r="A287" t="str">
            <v>BGD</v>
          </cell>
          <cell r="B287">
            <v>2026</v>
          </cell>
          <cell r="C287" t="str">
            <v>wbsp_pop_0014_to</v>
          </cell>
          <cell r="D287">
            <v>43648632</v>
          </cell>
          <cell r="F287" t="str">
            <v>16 Sep 2024</v>
          </cell>
        </row>
        <row r="288">
          <cell r="A288" t="str">
            <v>BGD</v>
          </cell>
          <cell r="B288">
            <v>2026</v>
          </cell>
          <cell r="C288" t="str">
            <v>wbsp_pop_1564_to</v>
          </cell>
          <cell r="D288">
            <v>122083260</v>
          </cell>
          <cell r="F288" t="str">
            <v>16 Sep 2024</v>
          </cell>
        </row>
        <row r="289">
          <cell r="A289" t="str">
            <v>BGD</v>
          </cell>
          <cell r="B289">
            <v>2026</v>
          </cell>
          <cell r="C289" t="str">
            <v>wbsp_pop_15up_to</v>
          </cell>
          <cell r="D289">
            <v>134457504</v>
          </cell>
          <cell r="F289" t="str">
            <v>16 Sep 2024</v>
          </cell>
        </row>
        <row r="290">
          <cell r="A290" t="str">
            <v>BGD</v>
          </cell>
          <cell r="B290">
            <v>2026</v>
          </cell>
          <cell r="C290" t="str">
            <v>wbsp_pop_65up_to</v>
          </cell>
          <cell r="D290">
            <v>12374244</v>
          </cell>
          <cell r="F290" t="str">
            <v>16 Sep 2024</v>
          </cell>
        </row>
        <row r="291">
          <cell r="A291" t="str">
            <v>BGD</v>
          </cell>
          <cell r="B291">
            <v>2026</v>
          </cell>
          <cell r="C291" t="str">
            <v>wbsp_pop_totl</v>
          </cell>
          <cell r="D291">
            <v>178106136</v>
          </cell>
          <cell r="F291" t="str">
            <v>16 Sep 2024</v>
          </cell>
        </row>
        <row r="292">
          <cell r="A292" t="str">
            <v>BGD</v>
          </cell>
          <cell r="B292">
            <v>2027</v>
          </cell>
          <cell r="C292" t="str">
            <v>wbsp_pop_0014_to</v>
          </cell>
          <cell r="D292">
            <v>43567371</v>
          </cell>
          <cell r="F292" t="str">
            <v>16 Sep 2024</v>
          </cell>
        </row>
        <row r="293">
          <cell r="A293" t="str">
            <v>BGD</v>
          </cell>
          <cell r="B293">
            <v>2027</v>
          </cell>
          <cell r="C293" t="str">
            <v>wbsp_pop_1564_to</v>
          </cell>
          <cell r="D293">
            <v>123275540</v>
          </cell>
          <cell r="F293" t="str">
            <v>16 Sep 2024</v>
          </cell>
        </row>
        <row r="294">
          <cell r="A294" t="str">
            <v>BGD</v>
          </cell>
          <cell r="B294">
            <v>2027</v>
          </cell>
          <cell r="C294" t="str">
            <v>wbsp_pop_15up_to</v>
          </cell>
          <cell r="D294">
            <v>136184593</v>
          </cell>
          <cell r="F294" t="str">
            <v>16 Sep 2024</v>
          </cell>
        </row>
        <row r="295">
          <cell r="A295" t="str">
            <v>BGD</v>
          </cell>
          <cell r="B295">
            <v>2027</v>
          </cell>
          <cell r="C295" t="str">
            <v>wbsp_pop_65up_to</v>
          </cell>
          <cell r="D295">
            <v>12909053</v>
          </cell>
          <cell r="F295" t="str">
            <v>16 Sep 2024</v>
          </cell>
        </row>
        <row r="296">
          <cell r="A296" t="str">
            <v>BGD</v>
          </cell>
          <cell r="B296">
            <v>2027</v>
          </cell>
          <cell r="C296" t="str">
            <v>wbsp_pop_totl</v>
          </cell>
          <cell r="D296">
            <v>179751964</v>
          </cell>
          <cell r="F296" t="str">
            <v>16 Sep 2024</v>
          </cell>
        </row>
        <row r="297">
          <cell r="A297" t="str">
            <v>BGD</v>
          </cell>
          <cell r="B297">
            <v>2028</v>
          </cell>
          <cell r="C297" t="str">
            <v>wbsp_pop_0014_to</v>
          </cell>
          <cell r="D297">
            <v>43468675</v>
          </cell>
          <cell r="F297" t="str">
            <v>16 Sep 2024</v>
          </cell>
        </row>
        <row r="298">
          <cell r="A298" t="str">
            <v>BGD</v>
          </cell>
          <cell r="B298">
            <v>2028</v>
          </cell>
          <cell r="C298" t="str">
            <v>wbsp_pop_1564_to</v>
          </cell>
          <cell r="D298">
            <v>124437473</v>
          </cell>
          <cell r="F298" t="str">
            <v>16 Sep 2024</v>
          </cell>
        </row>
        <row r="299">
          <cell r="A299" t="str">
            <v>BGD</v>
          </cell>
          <cell r="B299">
            <v>2028</v>
          </cell>
          <cell r="C299" t="str">
            <v>wbsp_pop_15up_to</v>
          </cell>
          <cell r="D299">
            <v>137887410</v>
          </cell>
          <cell r="F299" t="str">
            <v>16 Sep 2024</v>
          </cell>
        </row>
        <row r="300">
          <cell r="A300" t="str">
            <v>BGD</v>
          </cell>
          <cell r="B300">
            <v>2028</v>
          </cell>
          <cell r="C300" t="str">
            <v>wbsp_pop_65up_to</v>
          </cell>
          <cell r="D300">
            <v>13449937</v>
          </cell>
          <cell r="F300" t="str">
            <v>16 Sep 2024</v>
          </cell>
        </row>
        <row r="301">
          <cell r="A301" t="str">
            <v>BGD</v>
          </cell>
          <cell r="B301">
            <v>2028</v>
          </cell>
          <cell r="C301" t="str">
            <v>wbsp_pop_totl</v>
          </cell>
          <cell r="D301">
            <v>181356085</v>
          </cell>
          <cell r="F301" t="str">
            <v>16 Sep 2024</v>
          </cell>
        </row>
        <row r="302">
          <cell r="A302" t="str">
            <v>BGD</v>
          </cell>
          <cell r="B302">
            <v>2029</v>
          </cell>
          <cell r="C302" t="str">
            <v>wbsp_pop_0014_to</v>
          </cell>
          <cell r="D302">
            <v>43345784</v>
          </cell>
          <cell r="F302" t="str">
            <v>16 Sep 2024</v>
          </cell>
        </row>
        <row r="303">
          <cell r="A303" t="str">
            <v>BGD</v>
          </cell>
          <cell r="B303">
            <v>2029</v>
          </cell>
          <cell r="C303" t="str">
            <v>wbsp_pop_1564_to</v>
          </cell>
          <cell r="D303">
            <v>125571567</v>
          </cell>
          <cell r="F303" t="str">
            <v>16 Sep 2024</v>
          </cell>
        </row>
        <row r="304">
          <cell r="A304" t="str">
            <v>BGD</v>
          </cell>
          <cell r="B304">
            <v>2029</v>
          </cell>
          <cell r="C304" t="str">
            <v>wbsp_pop_15up_to</v>
          </cell>
          <cell r="D304">
            <v>139569795</v>
          </cell>
          <cell r="F304" t="str">
            <v>16 Sep 2024</v>
          </cell>
        </row>
        <row r="305">
          <cell r="A305" t="str">
            <v>BGD</v>
          </cell>
          <cell r="B305">
            <v>2029</v>
          </cell>
          <cell r="C305" t="str">
            <v>wbsp_pop_65up_to</v>
          </cell>
          <cell r="D305">
            <v>13998228</v>
          </cell>
          <cell r="F305" t="str">
            <v>16 Sep 2024</v>
          </cell>
        </row>
        <row r="306">
          <cell r="A306" t="str">
            <v>BGD</v>
          </cell>
          <cell r="B306">
            <v>2029</v>
          </cell>
          <cell r="C306" t="str">
            <v>wbsp_pop_totl</v>
          </cell>
          <cell r="D306">
            <v>182915579</v>
          </cell>
          <cell r="F306" t="str">
            <v>16 Sep 2024</v>
          </cell>
        </row>
        <row r="307">
          <cell r="A307" t="str">
            <v>BGD</v>
          </cell>
          <cell r="B307">
            <v>2030</v>
          </cell>
          <cell r="C307" t="str">
            <v>wbsp_pop_0014_to</v>
          </cell>
          <cell r="D307">
            <v>43206624</v>
          </cell>
          <cell r="F307" t="str">
            <v>16 Sep 2024</v>
          </cell>
        </row>
        <row r="308">
          <cell r="A308" t="str">
            <v>BGD</v>
          </cell>
          <cell r="B308">
            <v>2030</v>
          </cell>
          <cell r="C308" t="str">
            <v>wbsp_pop_1564_to</v>
          </cell>
          <cell r="D308">
            <v>126656017</v>
          </cell>
          <cell r="F308" t="str">
            <v>16 Sep 2024</v>
          </cell>
        </row>
        <row r="309">
          <cell r="A309" t="str">
            <v>BGD</v>
          </cell>
          <cell r="B309">
            <v>2030</v>
          </cell>
          <cell r="C309" t="str">
            <v>wbsp_pop_15up_to</v>
          </cell>
          <cell r="D309">
            <v>141217520</v>
          </cell>
          <cell r="F309" t="str">
            <v>16 Sep 2024</v>
          </cell>
        </row>
        <row r="310">
          <cell r="A310" t="str">
            <v>BGD</v>
          </cell>
          <cell r="B310">
            <v>2030</v>
          </cell>
          <cell r="C310" t="str">
            <v>wbsp_pop_65up_to</v>
          </cell>
          <cell r="D310">
            <v>14561503</v>
          </cell>
          <cell r="F310" t="str">
            <v>16 Sep 2024</v>
          </cell>
        </row>
        <row r="311">
          <cell r="A311" t="str">
            <v>BGD</v>
          </cell>
          <cell r="B311">
            <v>2030</v>
          </cell>
          <cell r="C311" t="str">
            <v>wbsp_pop_totl</v>
          </cell>
          <cell r="D311">
            <v>184424144</v>
          </cell>
          <cell r="F311" t="str">
            <v>16 Sep 2024</v>
          </cell>
        </row>
        <row r="312">
          <cell r="A312" t="str">
            <v>BTN</v>
          </cell>
          <cell r="B312">
            <v>2000</v>
          </cell>
          <cell r="C312" t="str">
            <v>wbsp_pop_0014_to</v>
          </cell>
          <cell r="D312">
            <v>223660</v>
          </cell>
          <cell r="F312" t="str">
            <v>16 Sep 2024</v>
          </cell>
        </row>
        <row r="313">
          <cell r="A313" t="str">
            <v>BTN</v>
          </cell>
          <cell r="B313">
            <v>2000</v>
          </cell>
          <cell r="C313" t="str">
            <v>wbsp_pop_1564_to</v>
          </cell>
          <cell r="D313">
            <v>340261</v>
          </cell>
          <cell r="F313" t="str">
            <v>16 Sep 2024</v>
          </cell>
        </row>
        <row r="314">
          <cell r="A314" t="str">
            <v>BTN</v>
          </cell>
          <cell r="B314">
            <v>2000</v>
          </cell>
          <cell r="C314" t="str">
            <v>wbsp_pop_15up_to</v>
          </cell>
          <cell r="D314">
            <v>363546</v>
          </cell>
          <cell r="F314" t="str">
            <v>16 Sep 2024</v>
          </cell>
        </row>
        <row r="315">
          <cell r="A315" t="str">
            <v>BTN</v>
          </cell>
          <cell r="B315">
            <v>2000</v>
          </cell>
          <cell r="C315" t="str">
            <v>wbsp_pop_65up_to</v>
          </cell>
          <cell r="D315">
            <v>23285</v>
          </cell>
          <cell r="F315" t="str">
            <v>16 Sep 2024</v>
          </cell>
        </row>
        <row r="316">
          <cell r="A316" t="str">
            <v>BTN</v>
          </cell>
          <cell r="B316">
            <v>2000</v>
          </cell>
          <cell r="C316" t="str">
            <v>wbsp_pop_totl</v>
          </cell>
          <cell r="D316">
            <v>587207</v>
          </cell>
          <cell r="F316" t="str">
            <v>16 Sep 2024</v>
          </cell>
        </row>
        <row r="317">
          <cell r="A317" t="str">
            <v>BTN</v>
          </cell>
          <cell r="B317">
            <v>2001</v>
          </cell>
          <cell r="C317" t="str">
            <v>wbsp_pop_0014_to</v>
          </cell>
          <cell r="D317">
            <v>224924</v>
          </cell>
          <cell r="F317" t="str">
            <v>16 Sep 2024</v>
          </cell>
        </row>
        <row r="318">
          <cell r="A318" t="str">
            <v>BTN</v>
          </cell>
          <cell r="B318">
            <v>2001</v>
          </cell>
          <cell r="C318" t="str">
            <v>wbsp_pop_1564_to</v>
          </cell>
          <cell r="D318">
            <v>353335</v>
          </cell>
          <cell r="F318" t="str">
            <v>16 Sep 2024</v>
          </cell>
        </row>
        <row r="319">
          <cell r="A319" t="str">
            <v>BTN</v>
          </cell>
          <cell r="B319">
            <v>2001</v>
          </cell>
          <cell r="C319" t="str">
            <v>wbsp_pop_15up_to</v>
          </cell>
          <cell r="D319">
            <v>378310</v>
          </cell>
          <cell r="F319" t="str">
            <v>16 Sep 2024</v>
          </cell>
        </row>
        <row r="320">
          <cell r="A320" t="str">
            <v>BTN</v>
          </cell>
          <cell r="B320">
            <v>2001</v>
          </cell>
          <cell r="C320" t="str">
            <v>wbsp_pop_65up_to</v>
          </cell>
          <cell r="D320">
            <v>24975</v>
          </cell>
          <cell r="F320" t="str">
            <v>16 Sep 2024</v>
          </cell>
        </row>
        <row r="321">
          <cell r="A321" t="str">
            <v>BTN</v>
          </cell>
          <cell r="B321">
            <v>2001</v>
          </cell>
          <cell r="C321" t="str">
            <v>wbsp_pop_totl</v>
          </cell>
          <cell r="D321">
            <v>603234</v>
          </cell>
          <cell r="F321" t="str">
            <v>16 Sep 2024</v>
          </cell>
        </row>
        <row r="322">
          <cell r="A322" t="str">
            <v>BTN</v>
          </cell>
          <cell r="B322">
            <v>2002</v>
          </cell>
          <cell r="C322" t="str">
            <v>wbsp_pop_0014_to</v>
          </cell>
          <cell r="D322">
            <v>225184</v>
          </cell>
          <cell r="F322" t="str">
            <v>16 Sep 2024</v>
          </cell>
        </row>
        <row r="323">
          <cell r="A323" t="str">
            <v>BTN</v>
          </cell>
          <cell r="B323">
            <v>2002</v>
          </cell>
          <cell r="C323" t="str">
            <v>wbsp_pop_1564_to</v>
          </cell>
          <cell r="D323">
            <v>367183</v>
          </cell>
          <cell r="F323" t="str">
            <v>16 Sep 2024</v>
          </cell>
        </row>
        <row r="324">
          <cell r="A324" t="str">
            <v>BTN</v>
          </cell>
          <cell r="B324">
            <v>2002</v>
          </cell>
          <cell r="C324" t="str">
            <v>wbsp_pop_15up_to</v>
          </cell>
          <cell r="D324">
            <v>393864</v>
          </cell>
          <cell r="F324" t="str">
            <v>16 Sep 2024</v>
          </cell>
        </row>
        <row r="325">
          <cell r="A325" t="str">
            <v>BTN</v>
          </cell>
          <cell r="B325">
            <v>2002</v>
          </cell>
          <cell r="C325" t="str">
            <v>wbsp_pop_65up_to</v>
          </cell>
          <cell r="D325">
            <v>26681</v>
          </cell>
          <cell r="F325" t="str">
            <v>16 Sep 2024</v>
          </cell>
        </row>
        <row r="326">
          <cell r="A326" t="str">
            <v>BTN</v>
          </cell>
          <cell r="B326">
            <v>2002</v>
          </cell>
          <cell r="C326" t="str">
            <v>wbsp_pop_totl</v>
          </cell>
          <cell r="D326">
            <v>619048</v>
          </cell>
          <cell r="F326" t="str">
            <v>16 Sep 2024</v>
          </cell>
        </row>
        <row r="327">
          <cell r="A327" t="str">
            <v>BTN</v>
          </cell>
          <cell r="B327">
            <v>2003</v>
          </cell>
          <cell r="C327" t="str">
            <v>wbsp_pop_0014_to</v>
          </cell>
          <cell r="D327">
            <v>224456</v>
          </cell>
          <cell r="F327" t="str">
            <v>16 Sep 2024</v>
          </cell>
        </row>
        <row r="328">
          <cell r="A328" t="str">
            <v>BTN</v>
          </cell>
          <cell r="B328">
            <v>2003</v>
          </cell>
          <cell r="C328" t="str">
            <v>wbsp_pop_1564_to</v>
          </cell>
          <cell r="D328">
            <v>381792</v>
          </cell>
          <cell r="F328" t="str">
            <v>16 Sep 2024</v>
          </cell>
        </row>
        <row r="329">
          <cell r="A329" t="str">
            <v>BTN</v>
          </cell>
          <cell r="B329">
            <v>2003</v>
          </cell>
          <cell r="C329" t="str">
            <v>wbsp_pop_15up_to</v>
          </cell>
          <cell r="D329">
            <v>410171</v>
          </cell>
          <cell r="F329" t="str">
            <v>16 Sep 2024</v>
          </cell>
        </row>
        <row r="330">
          <cell r="A330" t="str">
            <v>BTN</v>
          </cell>
          <cell r="B330">
            <v>2003</v>
          </cell>
          <cell r="C330" t="str">
            <v>wbsp_pop_65up_to</v>
          </cell>
          <cell r="D330">
            <v>28379</v>
          </cell>
          <cell r="F330" t="str">
            <v>16 Sep 2024</v>
          </cell>
        </row>
        <row r="331">
          <cell r="A331" t="str">
            <v>BTN</v>
          </cell>
          <cell r="B331">
            <v>2003</v>
          </cell>
          <cell r="C331" t="str">
            <v>wbsp_pop_totl</v>
          </cell>
          <cell r="D331">
            <v>634627</v>
          </cell>
          <cell r="F331" t="str">
            <v>16 Sep 2024</v>
          </cell>
        </row>
        <row r="332">
          <cell r="A332" t="str">
            <v>BTN</v>
          </cell>
          <cell r="B332">
            <v>2004</v>
          </cell>
          <cell r="C332" t="str">
            <v>wbsp_pop_0014_to</v>
          </cell>
          <cell r="D332">
            <v>222755</v>
          </cell>
          <cell r="F332" t="str">
            <v>16 Sep 2024</v>
          </cell>
        </row>
        <row r="333">
          <cell r="A333" t="str">
            <v>BTN</v>
          </cell>
          <cell r="B333">
            <v>2004</v>
          </cell>
          <cell r="C333" t="str">
            <v>wbsp_pop_1564_to</v>
          </cell>
          <cell r="D333">
            <v>397204</v>
          </cell>
          <cell r="F333" t="str">
            <v>16 Sep 2024</v>
          </cell>
        </row>
        <row r="334">
          <cell r="A334" t="str">
            <v>BTN</v>
          </cell>
          <cell r="B334">
            <v>2004</v>
          </cell>
          <cell r="C334" t="str">
            <v>wbsp_pop_15up_to</v>
          </cell>
          <cell r="D334">
            <v>427236</v>
          </cell>
          <cell r="F334" t="str">
            <v>16 Sep 2024</v>
          </cell>
        </row>
        <row r="335">
          <cell r="A335" t="str">
            <v>BTN</v>
          </cell>
          <cell r="B335">
            <v>2004</v>
          </cell>
          <cell r="C335" t="str">
            <v>wbsp_pop_65up_to</v>
          </cell>
          <cell r="D335">
            <v>30032</v>
          </cell>
          <cell r="F335" t="str">
            <v>16 Sep 2024</v>
          </cell>
        </row>
        <row r="336">
          <cell r="A336" t="str">
            <v>BTN</v>
          </cell>
          <cell r="B336">
            <v>2004</v>
          </cell>
          <cell r="C336" t="str">
            <v>wbsp_pop_totl</v>
          </cell>
          <cell r="D336">
            <v>649991</v>
          </cell>
          <cell r="F336" t="str">
            <v>16 Sep 2024</v>
          </cell>
        </row>
        <row r="337">
          <cell r="A337" t="str">
            <v>BTN</v>
          </cell>
          <cell r="B337">
            <v>2005</v>
          </cell>
          <cell r="C337" t="str">
            <v>wbsp_pop_0014_to</v>
          </cell>
          <cell r="D337">
            <v>220607</v>
          </cell>
          <cell r="F337" t="str">
            <v>16 Sep 2024</v>
          </cell>
        </row>
        <row r="338">
          <cell r="A338" t="str">
            <v>BTN</v>
          </cell>
          <cell r="B338">
            <v>2005</v>
          </cell>
          <cell r="C338" t="str">
            <v>wbsp_pop_1564_to</v>
          </cell>
          <cell r="D338">
            <v>411314</v>
          </cell>
          <cell r="F338" t="str">
            <v>16 Sep 2024</v>
          </cell>
        </row>
        <row r="339">
          <cell r="A339" t="str">
            <v>BTN</v>
          </cell>
          <cell r="B339">
            <v>2005</v>
          </cell>
          <cell r="C339" t="str">
            <v>wbsp_pop_15up_to</v>
          </cell>
          <cell r="D339">
            <v>442717</v>
          </cell>
          <cell r="F339" t="str">
            <v>16 Sep 2024</v>
          </cell>
        </row>
        <row r="340">
          <cell r="A340" t="str">
            <v>BTN</v>
          </cell>
          <cell r="B340">
            <v>2005</v>
          </cell>
          <cell r="C340" t="str">
            <v>wbsp_pop_65up_to</v>
          </cell>
          <cell r="D340">
            <v>31403</v>
          </cell>
          <cell r="F340" t="str">
            <v>16 Sep 2024</v>
          </cell>
        </row>
        <row r="341">
          <cell r="A341" t="str">
            <v>BTN</v>
          </cell>
          <cell r="B341">
            <v>2005</v>
          </cell>
          <cell r="C341" t="str">
            <v>wbsp_pop_totl</v>
          </cell>
          <cell r="D341">
            <v>663323</v>
          </cell>
          <cell r="F341" t="str">
            <v>16 Sep 2024</v>
          </cell>
        </row>
        <row r="342">
          <cell r="A342" t="str">
            <v>BTN</v>
          </cell>
          <cell r="B342">
            <v>2006</v>
          </cell>
          <cell r="C342" t="str">
            <v>wbsp_pop_0014_to</v>
          </cell>
          <cell r="D342">
            <v>218509</v>
          </cell>
          <cell r="F342" t="str">
            <v>16 Sep 2024</v>
          </cell>
        </row>
        <row r="343">
          <cell r="A343" t="str">
            <v>BTN</v>
          </cell>
          <cell r="B343">
            <v>2006</v>
          </cell>
          <cell r="C343" t="str">
            <v>wbsp_pop_1564_to</v>
          </cell>
          <cell r="D343">
            <v>422358</v>
          </cell>
          <cell r="F343" t="str">
            <v>16 Sep 2024</v>
          </cell>
        </row>
        <row r="344">
          <cell r="A344" t="str">
            <v>BTN</v>
          </cell>
          <cell r="B344">
            <v>2006</v>
          </cell>
          <cell r="C344" t="str">
            <v>wbsp_pop_15up_to</v>
          </cell>
          <cell r="D344">
            <v>454751</v>
          </cell>
          <cell r="F344" t="str">
            <v>16 Sep 2024</v>
          </cell>
        </row>
        <row r="345">
          <cell r="A345" t="str">
            <v>BTN</v>
          </cell>
          <cell r="B345">
            <v>2006</v>
          </cell>
          <cell r="C345" t="str">
            <v>wbsp_pop_65up_to</v>
          </cell>
          <cell r="D345">
            <v>32393</v>
          </cell>
          <cell r="F345" t="str">
            <v>16 Sep 2024</v>
          </cell>
        </row>
        <row r="346">
          <cell r="A346" t="str">
            <v>BTN</v>
          </cell>
          <cell r="B346">
            <v>2006</v>
          </cell>
          <cell r="C346" t="str">
            <v>wbsp_pop_totl</v>
          </cell>
          <cell r="D346">
            <v>673260</v>
          </cell>
          <cell r="F346" t="str">
            <v>16 Sep 2024</v>
          </cell>
        </row>
        <row r="347">
          <cell r="A347" t="str">
            <v>BTN</v>
          </cell>
          <cell r="B347">
            <v>2007</v>
          </cell>
          <cell r="C347" t="str">
            <v>wbsp_pop_0014_to</v>
          </cell>
          <cell r="D347">
            <v>216247</v>
          </cell>
          <cell r="F347" t="str">
            <v>16 Sep 2024</v>
          </cell>
        </row>
        <row r="348">
          <cell r="A348" t="str">
            <v>BTN</v>
          </cell>
          <cell r="B348">
            <v>2007</v>
          </cell>
          <cell r="C348" t="str">
            <v>wbsp_pop_1564_to</v>
          </cell>
          <cell r="D348">
            <v>432094</v>
          </cell>
          <cell r="F348" t="str">
            <v>16 Sep 2024</v>
          </cell>
        </row>
        <row r="349">
          <cell r="A349" t="str">
            <v>BTN</v>
          </cell>
          <cell r="B349">
            <v>2007</v>
          </cell>
          <cell r="C349" t="str">
            <v>wbsp_pop_15up_to</v>
          </cell>
          <cell r="D349">
            <v>465368</v>
          </cell>
          <cell r="F349" t="str">
            <v>16 Sep 2024</v>
          </cell>
        </row>
        <row r="350">
          <cell r="A350" t="str">
            <v>BTN</v>
          </cell>
          <cell r="B350">
            <v>2007</v>
          </cell>
          <cell r="C350" t="str">
            <v>wbsp_pop_65up_to</v>
          </cell>
          <cell r="D350">
            <v>33274</v>
          </cell>
          <cell r="F350" t="str">
            <v>16 Sep 2024</v>
          </cell>
        </row>
        <row r="351">
          <cell r="A351" t="str">
            <v>BTN</v>
          </cell>
          <cell r="B351">
            <v>2007</v>
          </cell>
          <cell r="C351" t="str">
            <v>wbsp_pop_totl</v>
          </cell>
          <cell r="D351">
            <v>681614</v>
          </cell>
          <cell r="F351" t="str">
            <v>16 Sep 2024</v>
          </cell>
        </row>
        <row r="352">
          <cell r="A352" t="str">
            <v>BTN</v>
          </cell>
          <cell r="B352">
            <v>2008</v>
          </cell>
          <cell r="C352" t="str">
            <v>wbsp_pop_0014_to</v>
          </cell>
          <cell r="D352">
            <v>213775</v>
          </cell>
          <cell r="F352" t="str">
            <v>16 Sep 2024</v>
          </cell>
        </row>
        <row r="353">
          <cell r="A353" t="str">
            <v>BTN</v>
          </cell>
          <cell r="B353">
            <v>2008</v>
          </cell>
          <cell r="C353" t="str">
            <v>wbsp_pop_1564_to</v>
          </cell>
          <cell r="D353">
            <v>441750</v>
          </cell>
          <cell r="F353" t="str">
            <v>16 Sep 2024</v>
          </cell>
        </row>
        <row r="354">
          <cell r="A354" t="str">
            <v>BTN</v>
          </cell>
          <cell r="B354">
            <v>2008</v>
          </cell>
          <cell r="C354" t="str">
            <v>wbsp_pop_15up_to</v>
          </cell>
          <cell r="D354">
            <v>475962</v>
          </cell>
          <cell r="F354" t="str">
            <v>16 Sep 2024</v>
          </cell>
        </row>
        <row r="355">
          <cell r="A355" t="str">
            <v>BTN</v>
          </cell>
          <cell r="B355">
            <v>2008</v>
          </cell>
          <cell r="C355" t="str">
            <v>wbsp_pop_65up_to</v>
          </cell>
          <cell r="D355">
            <v>34212</v>
          </cell>
          <cell r="F355" t="str">
            <v>16 Sep 2024</v>
          </cell>
        </row>
        <row r="356">
          <cell r="A356" t="str">
            <v>BTN</v>
          </cell>
          <cell r="B356">
            <v>2008</v>
          </cell>
          <cell r="C356" t="str">
            <v>wbsp_pop_totl</v>
          </cell>
          <cell r="D356">
            <v>689737</v>
          </cell>
          <cell r="F356" t="str">
            <v>16 Sep 2024</v>
          </cell>
        </row>
        <row r="357">
          <cell r="A357" t="str">
            <v>BTN</v>
          </cell>
          <cell r="B357">
            <v>2009</v>
          </cell>
          <cell r="C357" t="str">
            <v>wbsp_pop_0014_to</v>
          </cell>
          <cell r="D357">
            <v>211353</v>
          </cell>
          <cell r="F357" t="str">
            <v>16 Sep 2024</v>
          </cell>
        </row>
        <row r="358">
          <cell r="A358" t="str">
            <v>BTN</v>
          </cell>
          <cell r="B358">
            <v>2009</v>
          </cell>
          <cell r="C358" t="str">
            <v>wbsp_pop_1564_to</v>
          </cell>
          <cell r="D358">
            <v>451111</v>
          </cell>
          <cell r="F358" t="str">
            <v>16 Sep 2024</v>
          </cell>
        </row>
        <row r="359">
          <cell r="A359" t="str">
            <v>BTN</v>
          </cell>
          <cell r="B359">
            <v>2009</v>
          </cell>
          <cell r="C359" t="str">
            <v>wbsp_pop_15up_to</v>
          </cell>
          <cell r="D359">
            <v>486325</v>
          </cell>
          <cell r="F359" t="str">
            <v>16 Sep 2024</v>
          </cell>
        </row>
        <row r="360">
          <cell r="A360" t="str">
            <v>BTN</v>
          </cell>
          <cell r="B360">
            <v>2009</v>
          </cell>
          <cell r="C360" t="str">
            <v>wbsp_pop_65up_to</v>
          </cell>
          <cell r="D360">
            <v>35214</v>
          </cell>
          <cell r="F360" t="str">
            <v>16 Sep 2024</v>
          </cell>
        </row>
        <row r="361">
          <cell r="A361" t="str">
            <v>BTN</v>
          </cell>
          <cell r="B361">
            <v>2009</v>
          </cell>
          <cell r="C361" t="str">
            <v>wbsp_pop_totl</v>
          </cell>
          <cell r="D361">
            <v>697678</v>
          </cell>
          <cell r="F361" t="str">
            <v>16 Sep 2024</v>
          </cell>
        </row>
        <row r="362">
          <cell r="A362" t="str">
            <v>BTN</v>
          </cell>
          <cell r="B362">
            <v>2010</v>
          </cell>
          <cell r="C362" t="str">
            <v>wbsp_pop_0014_to</v>
          </cell>
          <cell r="D362">
            <v>209107</v>
          </cell>
          <cell r="F362" t="str">
            <v>16 Sep 2024</v>
          </cell>
        </row>
        <row r="363">
          <cell r="A363" t="str">
            <v>BTN</v>
          </cell>
          <cell r="B363">
            <v>2010</v>
          </cell>
          <cell r="C363" t="str">
            <v>wbsp_pop_1564_to</v>
          </cell>
          <cell r="D363">
            <v>460133</v>
          </cell>
          <cell r="F363" t="str">
            <v>16 Sep 2024</v>
          </cell>
        </row>
        <row r="364">
          <cell r="A364" t="str">
            <v>BTN</v>
          </cell>
          <cell r="B364">
            <v>2010</v>
          </cell>
          <cell r="C364" t="str">
            <v>wbsp_pop_15up_to</v>
          </cell>
          <cell r="D364">
            <v>496409</v>
          </cell>
          <cell r="F364" t="str">
            <v>16 Sep 2024</v>
          </cell>
        </row>
        <row r="365">
          <cell r="A365" t="str">
            <v>BTN</v>
          </cell>
          <cell r="B365">
            <v>2010</v>
          </cell>
          <cell r="C365" t="str">
            <v>wbsp_pop_65up_to</v>
          </cell>
          <cell r="D365">
            <v>36276</v>
          </cell>
          <cell r="F365" t="str">
            <v>16 Sep 2024</v>
          </cell>
        </row>
        <row r="366">
          <cell r="A366" t="str">
            <v>BTN</v>
          </cell>
          <cell r="B366">
            <v>2010</v>
          </cell>
          <cell r="C366" t="str">
            <v>wbsp_pop_totl</v>
          </cell>
          <cell r="D366">
            <v>705516</v>
          </cell>
          <cell r="F366" t="str">
            <v>16 Sep 2024</v>
          </cell>
        </row>
        <row r="367">
          <cell r="A367" t="str">
            <v>BTN</v>
          </cell>
          <cell r="B367">
            <v>2011</v>
          </cell>
          <cell r="C367" t="str">
            <v>wbsp_pop_0014_to</v>
          </cell>
          <cell r="D367">
            <v>207124</v>
          </cell>
          <cell r="F367" t="str">
            <v>16 Sep 2024</v>
          </cell>
        </row>
        <row r="368">
          <cell r="A368" t="str">
            <v>BTN</v>
          </cell>
          <cell r="B368">
            <v>2011</v>
          </cell>
          <cell r="C368" t="str">
            <v>wbsp_pop_1564_to</v>
          </cell>
          <cell r="D368">
            <v>468827</v>
          </cell>
          <cell r="F368" t="str">
            <v>16 Sep 2024</v>
          </cell>
        </row>
        <row r="369">
          <cell r="A369" t="str">
            <v>BTN</v>
          </cell>
          <cell r="B369">
            <v>2011</v>
          </cell>
          <cell r="C369" t="str">
            <v>wbsp_pop_15up_to</v>
          </cell>
          <cell r="D369">
            <v>506208</v>
          </cell>
          <cell r="F369" t="str">
            <v>16 Sep 2024</v>
          </cell>
        </row>
        <row r="370">
          <cell r="A370" t="str">
            <v>BTN</v>
          </cell>
          <cell r="B370">
            <v>2011</v>
          </cell>
          <cell r="C370" t="str">
            <v>wbsp_pop_65up_to</v>
          </cell>
          <cell r="D370">
            <v>37381</v>
          </cell>
          <cell r="F370" t="str">
            <v>16 Sep 2024</v>
          </cell>
        </row>
        <row r="371">
          <cell r="A371" t="str">
            <v>BTN</v>
          </cell>
          <cell r="B371">
            <v>2011</v>
          </cell>
          <cell r="C371" t="str">
            <v>wbsp_pop_totl</v>
          </cell>
          <cell r="D371">
            <v>713331</v>
          </cell>
          <cell r="F371" t="str">
            <v>16 Sep 2024</v>
          </cell>
        </row>
        <row r="372">
          <cell r="A372" t="str">
            <v>BTN</v>
          </cell>
          <cell r="B372">
            <v>2012</v>
          </cell>
          <cell r="C372" t="str">
            <v>wbsp_pop_0014_to</v>
          </cell>
          <cell r="D372">
            <v>205526</v>
          </cell>
          <cell r="F372" t="str">
            <v>16 Sep 2024</v>
          </cell>
        </row>
        <row r="373">
          <cell r="A373" t="str">
            <v>BTN</v>
          </cell>
          <cell r="B373">
            <v>2012</v>
          </cell>
          <cell r="C373" t="str">
            <v>wbsp_pop_1564_to</v>
          </cell>
          <cell r="D373">
            <v>477108</v>
          </cell>
          <cell r="F373" t="str">
            <v>16 Sep 2024</v>
          </cell>
        </row>
        <row r="374">
          <cell r="A374" t="str">
            <v>BTN</v>
          </cell>
          <cell r="B374">
            <v>2012</v>
          </cell>
          <cell r="C374" t="str">
            <v>wbsp_pop_15up_to</v>
          </cell>
          <cell r="D374">
            <v>515618</v>
          </cell>
          <cell r="F374" t="str">
            <v>16 Sep 2024</v>
          </cell>
        </row>
        <row r="375">
          <cell r="A375" t="str">
            <v>BTN</v>
          </cell>
          <cell r="B375">
            <v>2012</v>
          </cell>
          <cell r="C375" t="str">
            <v>wbsp_pop_65up_to</v>
          </cell>
          <cell r="D375">
            <v>38510</v>
          </cell>
          <cell r="F375" t="str">
            <v>16 Sep 2024</v>
          </cell>
        </row>
        <row r="376">
          <cell r="A376" t="str">
            <v>BTN</v>
          </cell>
          <cell r="B376">
            <v>2012</v>
          </cell>
          <cell r="C376" t="str">
            <v>wbsp_pop_totl</v>
          </cell>
          <cell r="D376">
            <v>721145</v>
          </cell>
          <cell r="F376" t="str">
            <v>16 Sep 2024</v>
          </cell>
        </row>
        <row r="377">
          <cell r="A377" t="str">
            <v>BTN</v>
          </cell>
          <cell r="B377">
            <v>2013</v>
          </cell>
          <cell r="C377" t="str">
            <v>wbsp_pop_0014_to</v>
          </cell>
          <cell r="D377">
            <v>204247</v>
          </cell>
          <cell r="F377" t="str">
            <v>16 Sep 2024</v>
          </cell>
        </row>
        <row r="378">
          <cell r="A378" t="str">
            <v>BTN</v>
          </cell>
          <cell r="B378">
            <v>2013</v>
          </cell>
          <cell r="C378" t="str">
            <v>wbsp_pop_1564_to</v>
          </cell>
          <cell r="D378">
            <v>484970</v>
          </cell>
          <cell r="F378" t="str">
            <v>16 Sep 2024</v>
          </cell>
        </row>
        <row r="379">
          <cell r="A379" t="str">
            <v>BTN</v>
          </cell>
          <cell r="B379">
            <v>2013</v>
          </cell>
          <cell r="C379" t="str">
            <v>wbsp_pop_15up_to</v>
          </cell>
          <cell r="D379">
            <v>524642</v>
          </cell>
          <cell r="F379" t="str">
            <v>16 Sep 2024</v>
          </cell>
        </row>
        <row r="380">
          <cell r="A380" t="str">
            <v>BTN</v>
          </cell>
          <cell r="B380">
            <v>2013</v>
          </cell>
          <cell r="C380" t="str">
            <v>wbsp_pop_65up_to</v>
          </cell>
          <cell r="D380">
            <v>39672</v>
          </cell>
          <cell r="F380" t="str">
            <v>16 Sep 2024</v>
          </cell>
        </row>
        <row r="381">
          <cell r="A381" t="str">
            <v>BTN</v>
          </cell>
          <cell r="B381">
            <v>2013</v>
          </cell>
          <cell r="C381" t="str">
            <v>wbsp_pop_totl</v>
          </cell>
          <cell r="D381">
            <v>728889</v>
          </cell>
          <cell r="F381" t="str">
            <v>16 Sep 2024</v>
          </cell>
        </row>
        <row r="382">
          <cell r="A382" t="str">
            <v>BTN</v>
          </cell>
          <cell r="B382">
            <v>2014</v>
          </cell>
          <cell r="C382" t="str">
            <v>wbsp_pop_0014_to</v>
          </cell>
          <cell r="D382">
            <v>202857</v>
          </cell>
          <cell r="F382" t="str">
            <v>16 Sep 2024</v>
          </cell>
        </row>
        <row r="383">
          <cell r="A383" t="str">
            <v>BTN</v>
          </cell>
          <cell r="B383">
            <v>2014</v>
          </cell>
          <cell r="C383" t="str">
            <v>wbsp_pop_1564_to</v>
          </cell>
          <cell r="D383">
            <v>492615</v>
          </cell>
          <cell r="F383" t="str">
            <v>16 Sep 2024</v>
          </cell>
        </row>
        <row r="384">
          <cell r="A384" t="str">
            <v>BTN</v>
          </cell>
          <cell r="B384">
            <v>2014</v>
          </cell>
          <cell r="C384" t="str">
            <v>wbsp_pop_15up_to</v>
          </cell>
          <cell r="D384">
            <v>533500</v>
          </cell>
          <cell r="F384" t="str">
            <v>16 Sep 2024</v>
          </cell>
        </row>
        <row r="385">
          <cell r="A385" t="str">
            <v>BTN</v>
          </cell>
          <cell r="B385">
            <v>2014</v>
          </cell>
          <cell r="C385" t="str">
            <v>wbsp_pop_65up_to</v>
          </cell>
          <cell r="D385">
            <v>40885</v>
          </cell>
          <cell r="F385" t="str">
            <v>16 Sep 2024</v>
          </cell>
        </row>
        <row r="386">
          <cell r="A386" t="str">
            <v>BTN</v>
          </cell>
          <cell r="B386">
            <v>2014</v>
          </cell>
          <cell r="C386" t="str">
            <v>wbsp_pop_totl</v>
          </cell>
          <cell r="D386">
            <v>736357</v>
          </cell>
          <cell r="F386" t="str">
            <v>16 Sep 2024</v>
          </cell>
        </row>
        <row r="387">
          <cell r="A387" t="str">
            <v>BTN</v>
          </cell>
          <cell r="B387">
            <v>2015</v>
          </cell>
          <cell r="C387" t="str">
            <v>wbsp_pop_0014_to</v>
          </cell>
          <cell r="D387">
            <v>200882</v>
          </cell>
          <cell r="F387" t="str">
            <v>16 Sep 2024</v>
          </cell>
        </row>
        <row r="388">
          <cell r="A388" t="str">
            <v>BTN</v>
          </cell>
          <cell r="B388">
            <v>2015</v>
          </cell>
          <cell r="C388" t="str">
            <v>wbsp_pop_1564_to</v>
          </cell>
          <cell r="D388">
            <v>500206</v>
          </cell>
          <cell r="F388" t="str">
            <v>16 Sep 2024</v>
          </cell>
        </row>
        <row r="389">
          <cell r="A389" t="str">
            <v>BTN</v>
          </cell>
          <cell r="B389">
            <v>2015</v>
          </cell>
          <cell r="C389" t="str">
            <v>wbsp_pop_15up_to</v>
          </cell>
          <cell r="D389">
            <v>542392</v>
          </cell>
          <cell r="F389" t="str">
            <v>16 Sep 2024</v>
          </cell>
        </row>
        <row r="390">
          <cell r="A390" t="str">
            <v>BTN</v>
          </cell>
          <cell r="B390">
            <v>2015</v>
          </cell>
          <cell r="C390" t="str">
            <v>wbsp_pop_65up_to</v>
          </cell>
          <cell r="D390">
            <v>42186</v>
          </cell>
          <cell r="F390" t="str">
            <v>16 Sep 2024</v>
          </cell>
        </row>
        <row r="391">
          <cell r="A391" t="str">
            <v>BTN</v>
          </cell>
          <cell r="B391">
            <v>2015</v>
          </cell>
          <cell r="C391" t="str">
            <v>wbsp_pop_totl</v>
          </cell>
          <cell r="D391">
            <v>743274</v>
          </cell>
          <cell r="F391" t="str">
            <v>16 Sep 2024</v>
          </cell>
        </row>
        <row r="392">
          <cell r="A392" t="str">
            <v>BTN</v>
          </cell>
          <cell r="B392">
            <v>2016</v>
          </cell>
          <cell r="C392" t="str">
            <v>wbsp_pop_0014_to</v>
          </cell>
          <cell r="D392">
            <v>198388</v>
          </cell>
          <cell r="F392" t="str">
            <v>16 Sep 2024</v>
          </cell>
        </row>
        <row r="393">
          <cell r="A393" t="str">
            <v>BTN</v>
          </cell>
          <cell r="B393">
            <v>2016</v>
          </cell>
          <cell r="C393" t="str">
            <v>wbsp_pop_1564_to</v>
          </cell>
          <cell r="D393">
            <v>507791</v>
          </cell>
          <cell r="F393" t="str">
            <v>16 Sep 2024</v>
          </cell>
        </row>
        <row r="394">
          <cell r="A394" t="str">
            <v>BTN</v>
          </cell>
          <cell r="B394">
            <v>2016</v>
          </cell>
          <cell r="C394" t="str">
            <v>wbsp_pop_15up_to</v>
          </cell>
          <cell r="D394">
            <v>551373</v>
          </cell>
          <cell r="F394" t="str">
            <v>16 Sep 2024</v>
          </cell>
        </row>
        <row r="395">
          <cell r="A395" t="str">
            <v>BTN</v>
          </cell>
          <cell r="B395">
            <v>2016</v>
          </cell>
          <cell r="C395" t="str">
            <v>wbsp_pop_65up_to</v>
          </cell>
          <cell r="D395">
            <v>43582</v>
          </cell>
          <cell r="F395" t="str">
            <v>16 Sep 2024</v>
          </cell>
        </row>
        <row r="396">
          <cell r="A396" t="str">
            <v>BTN</v>
          </cell>
          <cell r="B396">
            <v>2016</v>
          </cell>
          <cell r="C396" t="str">
            <v>wbsp_pop_totl</v>
          </cell>
          <cell r="D396">
            <v>749761</v>
          </cell>
          <cell r="F396" t="str">
            <v>16 Sep 2024</v>
          </cell>
        </row>
        <row r="397">
          <cell r="A397" t="str">
            <v>BTN</v>
          </cell>
          <cell r="B397">
            <v>2017</v>
          </cell>
          <cell r="C397" t="str">
            <v>wbsp_pop_0014_to</v>
          </cell>
          <cell r="D397">
            <v>195236</v>
          </cell>
          <cell r="F397" t="str">
            <v>16 Sep 2024</v>
          </cell>
        </row>
        <row r="398">
          <cell r="A398" t="str">
            <v>BTN</v>
          </cell>
          <cell r="B398">
            <v>2017</v>
          </cell>
          <cell r="C398" t="str">
            <v>wbsp_pop_1564_to</v>
          </cell>
          <cell r="D398">
            <v>516402</v>
          </cell>
          <cell r="F398" t="str">
            <v>16 Sep 2024</v>
          </cell>
        </row>
        <row r="399">
          <cell r="A399" t="str">
            <v>BTN</v>
          </cell>
          <cell r="B399">
            <v>2017</v>
          </cell>
          <cell r="C399" t="str">
            <v>wbsp_pop_15up_to</v>
          </cell>
          <cell r="D399">
            <v>560885</v>
          </cell>
          <cell r="F399" t="str">
            <v>16 Sep 2024</v>
          </cell>
        </row>
        <row r="400">
          <cell r="A400" t="str">
            <v>BTN</v>
          </cell>
          <cell r="B400">
            <v>2017</v>
          </cell>
          <cell r="C400" t="str">
            <v>wbsp_pop_65up_to</v>
          </cell>
          <cell r="D400">
            <v>44483</v>
          </cell>
          <cell r="F400" t="str">
            <v>16 Sep 2024</v>
          </cell>
        </row>
        <row r="401">
          <cell r="A401" t="str">
            <v>BTN</v>
          </cell>
          <cell r="B401">
            <v>2017</v>
          </cell>
          <cell r="C401" t="str">
            <v>wbsp_pop_totl</v>
          </cell>
          <cell r="D401">
            <v>756121</v>
          </cell>
          <cell r="F401" t="str">
            <v>16 Sep 2024</v>
          </cell>
        </row>
        <row r="402">
          <cell r="A402" t="str">
            <v>BTN</v>
          </cell>
          <cell r="B402">
            <v>2018</v>
          </cell>
          <cell r="C402" t="str">
            <v>wbsp_pop_0014_to</v>
          </cell>
          <cell r="D402">
            <v>191177</v>
          </cell>
          <cell r="F402" t="str">
            <v>16 Sep 2024</v>
          </cell>
        </row>
        <row r="403">
          <cell r="A403" t="str">
            <v>BTN</v>
          </cell>
          <cell r="B403">
            <v>2018</v>
          </cell>
          <cell r="C403" t="str">
            <v>wbsp_pop_1564_to</v>
          </cell>
          <cell r="D403">
            <v>525958</v>
          </cell>
          <cell r="F403" t="str">
            <v>16 Sep 2024</v>
          </cell>
        </row>
        <row r="404">
          <cell r="A404" t="str">
            <v>BTN</v>
          </cell>
          <cell r="B404">
            <v>2018</v>
          </cell>
          <cell r="C404" t="str">
            <v>wbsp_pop_15up_to</v>
          </cell>
          <cell r="D404">
            <v>570919</v>
          </cell>
          <cell r="F404" t="str">
            <v>16 Sep 2024</v>
          </cell>
        </row>
        <row r="405">
          <cell r="A405" t="str">
            <v>BTN</v>
          </cell>
          <cell r="B405">
            <v>2018</v>
          </cell>
          <cell r="C405" t="str">
            <v>wbsp_pop_65up_to</v>
          </cell>
          <cell r="D405">
            <v>44961</v>
          </cell>
          <cell r="F405" t="str">
            <v>16 Sep 2024</v>
          </cell>
        </row>
        <row r="406">
          <cell r="A406" t="str">
            <v>BTN</v>
          </cell>
          <cell r="B406">
            <v>2018</v>
          </cell>
          <cell r="C406" t="str">
            <v>wbsp_pop_totl</v>
          </cell>
          <cell r="D406">
            <v>762096</v>
          </cell>
          <cell r="F406" t="str">
            <v>16 Sep 2024</v>
          </cell>
        </row>
        <row r="407">
          <cell r="A407" t="str">
            <v>BTN</v>
          </cell>
          <cell r="B407">
            <v>2019</v>
          </cell>
          <cell r="C407" t="str">
            <v>wbsp_pop_0014_to</v>
          </cell>
          <cell r="D407">
            <v>186517</v>
          </cell>
          <cell r="F407" t="str">
            <v>16 Sep 2024</v>
          </cell>
        </row>
        <row r="408">
          <cell r="A408" t="str">
            <v>BTN</v>
          </cell>
          <cell r="B408">
            <v>2019</v>
          </cell>
          <cell r="C408" t="str">
            <v>wbsp_pop_1564_to</v>
          </cell>
          <cell r="D408">
            <v>535278</v>
          </cell>
          <cell r="F408" t="str">
            <v>16 Sep 2024</v>
          </cell>
        </row>
        <row r="409">
          <cell r="A409" t="str">
            <v>BTN</v>
          </cell>
          <cell r="B409">
            <v>2019</v>
          </cell>
          <cell r="C409" t="str">
            <v>wbsp_pop_15up_to</v>
          </cell>
          <cell r="D409">
            <v>580942</v>
          </cell>
          <cell r="F409" t="str">
            <v>16 Sep 2024</v>
          </cell>
        </row>
        <row r="410">
          <cell r="A410" t="str">
            <v>BTN</v>
          </cell>
          <cell r="B410">
            <v>2019</v>
          </cell>
          <cell r="C410" t="str">
            <v>wbsp_pop_65up_to</v>
          </cell>
          <cell r="D410">
            <v>45664</v>
          </cell>
          <cell r="F410" t="str">
            <v>16 Sep 2024</v>
          </cell>
        </row>
        <row r="411">
          <cell r="A411" t="str">
            <v>BTN</v>
          </cell>
          <cell r="B411">
            <v>2019</v>
          </cell>
          <cell r="C411" t="str">
            <v>wbsp_pop_totl</v>
          </cell>
          <cell r="D411">
            <v>767459</v>
          </cell>
          <cell r="F411" t="str">
            <v>16 Sep 2024</v>
          </cell>
        </row>
        <row r="412">
          <cell r="A412" t="str">
            <v>BTN</v>
          </cell>
          <cell r="B412">
            <v>2020</v>
          </cell>
          <cell r="C412" t="str">
            <v>wbsp_pop_0014_to</v>
          </cell>
          <cell r="D412">
            <v>181742</v>
          </cell>
          <cell r="F412" t="str">
            <v>16 Sep 2024</v>
          </cell>
        </row>
        <row r="413">
          <cell r="A413" t="str">
            <v>BTN</v>
          </cell>
          <cell r="B413">
            <v>2020</v>
          </cell>
          <cell r="C413" t="str">
            <v>wbsp_pop_1564_to</v>
          </cell>
          <cell r="D413">
            <v>544166</v>
          </cell>
          <cell r="F413" t="str">
            <v>16 Sep 2024</v>
          </cell>
        </row>
        <row r="414">
          <cell r="A414" t="str">
            <v>BTN</v>
          </cell>
          <cell r="B414">
            <v>2020</v>
          </cell>
          <cell r="C414" t="str">
            <v>wbsp_pop_15up_to</v>
          </cell>
          <cell r="D414">
            <v>590764</v>
          </cell>
          <cell r="F414" t="str">
            <v>16 Sep 2024</v>
          </cell>
        </row>
        <row r="415">
          <cell r="A415" t="str">
            <v>BTN</v>
          </cell>
          <cell r="B415">
            <v>2020</v>
          </cell>
          <cell r="C415" t="str">
            <v>wbsp_pop_65up_to</v>
          </cell>
          <cell r="D415">
            <v>46598</v>
          </cell>
          <cell r="F415" t="str">
            <v>16 Sep 2024</v>
          </cell>
        </row>
        <row r="416">
          <cell r="A416" t="str">
            <v>BTN</v>
          </cell>
          <cell r="B416">
            <v>2020</v>
          </cell>
          <cell r="C416" t="str">
            <v>wbsp_pop_totl</v>
          </cell>
          <cell r="D416">
            <v>772506</v>
          </cell>
          <cell r="F416" t="str">
            <v>16 Sep 2024</v>
          </cell>
        </row>
        <row r="417">
          <cell r="A417" t="str">
            <v>BTN</v>
          </cell>
          <cell r="B417">
            <v>2021</v>
          </cell>
          <cell r="C417" t="str">
            <v>wbsp_pop_0014_to</v>
          </cell>
          <cell r="D417">
            <v>177288</v>
          </cell>
          <cell r="F417" t="str">
            <v>16 Sep 2024</v>
          </cell>
        </row>
        <row r="418">
          <cell r="A418" t="str">
            <v>BTN</v>
          </cell>
          <cell r="B418">
            <v>2021</v>
          </cell>
          <cell r="C418" t="str">
            <v>wbsp_pop_1564_to</v>
          </cell>
          <cell r="D418">
            <v>552490</v>
          </cell>
          <cell r="F418" t="str">
            <v>16 Sep 2024</v>
          </cell>
        </row>
        <row r="419">
          <cell r="A419" t="str">
            <v>BTN</v>
          </cell>
          <cell r="B419">
            <v>2021</v>
          </cell>
          <cell r="C419" t="str">
            <v>wbsp_pop_15up_to</v>
          </cell>
          <cell r="D419">
            <v>600198</v>
          </cell>
          <cell r="F419" t="str">
            <v>16 Sep 2024</v>
          </cell>
        </row>
        <row r="420">
          <cell r="A420" t="str">
            <v>BTN</v>
          </cell>
          <cell r="B420">
            <v>2021</v>
          </cell>
          <cell r="C420" t="str">
            <v>wbsp_pop_65up_to</v>
          </cell>
          <cell r="D420">
            <v>47708</v>
          </cell>
          <cell r="F420" t="str">
            <v>16 Sep 2024</v>
          </cell>
        </row>
        <row r="421">
          <cell r="A421" t="str">
            <v>BTN</v>
          </cell>
          <cell r="B421">
            <v>2021</v>
          </cell>
          <cell r="C421" t="str">
            <v>wbsp_pop_totl</v>
          </cell>
          <cell r="D421">
            <v>777486</v>
          </cell>
          <cell r="F421" t="str">
            <v>16 Sep 2024</v>
          </cell>
        </row>
        <row r="422">
          <cell r="A422" t="str">
            <v>BTN</v>
          </cell>
          <cell r="B422">
            <v>2022</v>
          </cell>
          <cell r="C422" t="str">
            <v>wbsp_pop_0014_to</v>
          </cell>
          <cell r="D422">
            <v>173260</v>
          </cell>
          <cell r="F422" t="str">
            <v>16 Sep 2024</v>
          </cell>
        </row>
        <row r="423">
          <cell r="A423" t="str">
            <v>BTN</v>
          </cell>
          <cell r="B423">
            <v>2022</v>
          </cell>
          <cell r="C423" t="str">
            <v>wbsp_pop_1564_to</v>
          </cell>
          <cell r="D423">
            <v>560261</v>
          </cell>
          <cell r="F423" t="str">
            <v>16 Sep 2024</v>
          </cell>
        </row>
        <row r="424">
          <cell r="A424" t="str">
            <v>BTN</v>
          </cell>
          <cell r="B424">
            <v>2022</v>
          </cell>
          <cell r="C424" t="str">
            <v>wbsp_pop_15up_to</v>
          </cell>
          <cell r="D424">
            <v>609195</v>
          </cell>
          <cell r="F424" t="str">
            <v>16 Sep 2024</v>
          </cell>
        </row>
        <row r="425">
          <cell r="A425" t="str">
            <v>BTN</v>
          </cell>
          <cell r="B425">
            <v>2022</v>
          </cell>
          <cell r="C425" t="str">
            <v>wbsp_pop_65up_to</v>
          </cell>
          <cell r="D425">
            <v>48934</v>
          </cell>
          <cell r="F425" t="str">
            <v>16 Sep 2024</v>
          </cell>
        </row>
        <row r="426">
          <cell r="A426" t="str">
            <v>BTN</v>
          </cell>
          <cell r="B426">
            <v>2022</v>
          </cell>
          <cell r="C426" t="str">
            <v>wbsp_pop_totl</v>
          </cell>
          <cell r="D426">
            <v>782455</v>
          </cell>
          <cell r="F426" t="str">
            <v>16 Sep 2024</v>
          </cell>
        </row>
        <row r="427">
          <cell r="A427" t="str">
            <v>BTN</v>
          </cell>
          <cell r="B427">
            <v>2023</v>
          </cell>
          <cell r="C427" t="str">
            <v>wbsp_pop_0014_to</v>
          </cell>
          <cell r="D427">
            <v>169573</v>
          </cell>
          <cell r="F427" t="str">
            <v>16 Sep 2024</v>
          </cell>
        </row>
        <row r="428">
          <cell r="A428" t="str">
            <v>BTN</v>
          </cell>
          <cell r="B428">
            <v>2023</v>
          </cell>
          <cell r="C428" t="str">
            <v>wbsp_pop_1564_to</v>
          </cell>
          <cell r="D428">
            <v>567633</v>
          </cell>
          <cell r="F428" t="str">
            <v>16 Sep 2024</v>
          </cell>
        </row>
        <row r="429">
          <cell r="A429" t="str">
            <v>BTN</v>
          </cell>
          <cell r="B429">
            <v>2023</v>
          </cell>
          <cell r="C429" t="str">
            <v>wbsp_pop_15up_to</v>
          </cell>
          <cell r="D429">
            <v>617851</v>
          </cell>
          <cell r="F429" t="str">
            <v>16 Sep 2024</v>
          </cell>
        </row>
        <row r="430">
          <cell r="A430" t="str">
            <v>BTN</v>
          </cell>
          <cell r="B430">
            <v>2023</v>
          </cell>
          <cell r="C430" t="str">
            <v>wbsp_pop_65up_to</v>
          </cell>
          <cell r="D430">
            <v>50218</v>
          </cell>
          <cell r="F430" t="str">
            <v>16 Sep 2024</v>
          </cell>
        </row>
        <row r="431">
          <cell r="A431" t="str">
            <v>BTN</v>
          </cell>
          <cell r="B431">
            <v>2023</v>
          </cell>
          <cell r="C431" t="str">
            <v>wbsp_pop_totl</v>
          </cell>
          <cell r="D431">
            <v>787424</v>
          </cell>
          <cell r="F431" t="str">
            <v>16 Sep 2024</v>
          </cell>
        </row>
        <row r="432">
          <cell r="A432" t="str">
            <v>BTN</v>
          </cell>
          <cell r="B432">
            <v>2024</v>
          </cell>
          <cell r="C432" t="str">
            <v>wbsp_pop_0014_to</v>
          </cell>
          <cell r="D432">
            <v>166036</v>
          </cell>
          <cell r="F432" t="str">
            <v>16 Sep 2024</v>
          </cell>
        </row>
        <row r="433">
          <cell r="A433" t="str">
            <v>BTN</v>
          </cell>
          <cell r="B433">
            <v>2024</v>
          </cell>
          <cell r="C433" t="str">
            <v>wbsp_pop_1564_to</v>
          </cell>
          <cell r="D433">
            <v>574819</v>
          </cell>
          <cell r="F433" t="str">
            <v>16 Sep 2024</v>
          </cell>
        </row>
        <row r="434">
          <cell r="A434" t="str">
            <v>BTN</v>
          </cell>
          <cell r="B434">
            <v>2024</v>
          </cell>
          <cell r="C434" t="str">
            <v>wbsp_pop_15up_to</v>
          </cell>
          <cell r="D434">
            <v>626347</v>
          </cell>
          <cell r="F434" t="str">
            <v>16 Sep 2024</v>
          </cell>
        </row>
        <row r="435">
          <cell r="A435" t="str">
            <v>BTN</v>
          </cell>
          <cell r="B435">
            <v>2024</v>
          </cell>
          <cell r="C435" t="str">
            <v>wbsp_pop_65up_to</v>
          </cell>
          <cell r="D435">
            <v>51528</v>
          </cell>
          <cell r="F435" t="str">
            <v>16 Sep 2024</v>
          </cell>
        </row>
        <row r="436">
          <cell r="A436" t="str">
            <v>BTN</v>
          </cell>
          <cell r="B436">
            <v>2024</v>
          </cell>
          <cell r="C436" t="str">
            <v>wbsp_pop_totl</v>
          </cell>
          <cell r="D436">
            <v>792382</v>
          </cell>
          <cell r="F436" t="str">
            <v>16 Sep 2024</v>
          </cell>
        </row>
        <row r="437">
          <cell r="A437" t="str">
            <v>BTN</v>
          </cell>
          <cell r="B437">
            <v>2025</v>
          </cell>
          <cell r="C437" t="str">
            <v>wbsp_pop_0014_to</v>
          </cell>
          <cell r="D437">
            <v>162514</v>
          </cell>
          <cell r="F437" t="str">
            <v>16 Sep 2024</v>
          </cell>
        </row>
        <row r="438">
          <cell r="A438" t="str">
            <v>BTN</v>
          </cell>
          <cell r="B438">
            <v>2025</v>
          </cell>
          <cell r="C438" t="str">
            <v>wbsp_pop_1564_to</v>
          </cell>
          <cell r="D438">
            <v>581917</v>
          </cell>
          <cell r="F438" t="str">
            <v>16 Sep 2024</v>
          </cell>
        </row>
        <row r="439">
          <cell r="A439" t="str">
            <v>BTN</v>
          </cell>
          <cell r="B439">
            <v>2025</v>
          </cell>
          <cell r="C439" t="str">
            <v>wbsp_pop_15up_to</v>
          </cell>
          <cell r="D439">
            <v>634822</v>
          </cell>
          <cell r="F439" t="str">
            <v>16 Sep 2024</v>
          </cell>
        </row>
        <row r="440">
          <cell r="A440" t="str">
            <v>BTN</v>
          </cell>
          <cell r="B440">
            <v>2025</v>
          </cell>
          <cell r="C440" t="str">
            <v>wbsp_pop_65up_to</v>
          </cell>
          <cell r="D440">
            <v>52905</v>
          </cell>
          <cell r="F440" t="str">
            <v>16 Sep 2024</v>
          </cell>
        </row>
        <row r="441">
          <cell r="A441" t="str">
            <v>BTN</v>
          </cell>
          <cell r="B441">
            <v>2025</v>
          </cell>
          <cell r="C441" t="str">
            <v>wbsp_pop_totl</v>
          </cell>
          <cell r="D441">
            <v>797335</v>
          </cell>
          <cell r="F441" t="str">
            <v>16 Sep 2024</v>
          </cell>
        </row>
        <row r="442">
          <cell r="A442" t="str">
            <v>BTN</v>
          </cell>
          <cell r="B442">
            <v>2026</v>
          </cell>
          <cell r="C442" t="str">
            <v>wbsp_pop_0014_to</v>
          </cell>
          <cell r="D442">
            <v>158962</v>
          </cell>
          <cell r="F442" t="str">
            <v>16 Sep 2024</v>
          </cell>
        </row>
        <row r="443">
          <cell r="A443" t="str">
            <v>BTN</v>
          </cell>
          <cell r="B443">
            <v>2026</v>
          </cell>
          <cell r="C443" t="str">
            <v>wbsp_pop_1564_to</v>
          </cell>
          <cell r="D443">
            <v>588919</v>
          </cell>
          <cell r="F443" t="str">
            <v>16 Sep 2024</v>
          </cell>
        </row>
        <row r="444">
          <cell r="A444" t="str">
            <v>BTN</v>
          </cell>
          <cell r="B444">
            <v>2026</v>
          </cell>
          <cell r="C444" t="str">
            <v>wbsp_pop_15up_to</v>
          </cell>
          <cell r="D444">
            <v>643297</v>
          </cell>
          <cell r="F444" t="str">
            <v>16 Sep 2024</v>
          </cell>
        </row>
        <row r="445">
          <cell r="A445" t="str">
            <v>BTN</v>
          </cell>
          <cell r="B445">
            <v>2026</v>
          </cell>
          <cell r="C445" t="str">
            <v>wbsp_pop_65up_to</v>
          </cell>
          <cell r="D445">
            <v>54378</v>
          </cell>
          <cell r="F445" t="str">
            <v>16 Sep 2024</v>
          </cell>
        </row>
        <row r="446">
          <cell r="A446" t="str">
            <v>BTN</v>
          </cell>
          <cell r="B446">
            <v>2026</v>
          </cell>
          <cell r="C446" t="str">
            <v>wbsp_pop_totl</v>
          </cell>
          <cell r="D446">
            <v>802260</v>
          </cell>
          <cell r="F446" t="str">
            <v>16 Sep 2024</v>
          </cell>
        </row>
        <row r="447">
          <cell r="A447" t="str">
            <v>BTN</v>
          </cell>
          <cell r="B447">
            <v>2027</v>
          </cell>
          <cell r="C447" t="str">
            <v>wbsp_pop_0014_to</v>
          </cell>
          <cell r="D447">
            <v>155428</v>
          </cell>
          <cell r="F447" t="str">
            <v>16 Sep 2024</v>
          </cell>
        </row>
        <row r="448">
          <cell r="A448" t="str">
            <v>BTN</v>
          </cell>
          <cell r="B448">
            <v>2027</v>
          </cell>
          <cell r="C448" t="str">
            <v>wbsp_pop_1564_to</v>
          </cell>
          <cell r="D448">
            <v>595776</v>
          </cell>
          <cell r="F448" t="str">
            <v>16 Sep 2024</v>
          </cell>
        </row>
        <row r="449">
          <cell r="A449" t="str">
            <v>BTN</v>
          </cell>
          <cell r="B449">
            <v>2027</v>
          </cell>
          <cell r="C449" t="str">
            <v>wbsp_pop_15up_to</v>
          </cell>
          <cell r="D449">
            <v>651724</v>
          </cell>
          <cell r="F449" t="str">
            <v>16 Sep 2024</v>
          </cell>
        </row>
        <row r="450">
          <cell r="A450" t="str">
            <v>BTN</v>
          </cell>
          <cell r="B450">
            <v>2027</v>
          </cell>
          <cell r="C450" t="str">
            <v>wbsp_pop_65up_to</v>
          </cell>
          <cell r="D450">
            <v>55948</v>
          </cell>
          <cell r="F450" t="str">
            <v>16 Sep 2024</v>
          </cell>
        </row>
        <row r="451">
          <cell r="A451" t="str">
            <v>BTN</v>
          </cell>
          <cell r="B451">
            <v>2027</v>
          </cell>
          <cell r="C451" t="str">
            <v>wbsp_pop_totl</v>
          </cell>
          <cell r="D451">
            <v>807152</v>
          </cell>
          <cell r="F451" t="str">
            <v>16 Sep 2024</v>
          </cell>
        </row>
        <row r="452">
          <cell r="A452" t="str">
            <v>BTN</v>
          </cell>
          <cell r="B452">
            <v>2028</v>
          </cell>
          <cell r="C452" t="str">
            <v>wbsp_pop_0014_to</v>
          </cell>
          <cell r="D452">
            <v>152080</v>
          </cell>
          <cell r="F452" t="str">
            <v>16 Sep 2024</v>
          </cell>
        </row>
        <row r="453">
          <cell r="A453" t="str">
            <v>BTN</v>
          </cell>
          <cell r="B453">
            <v>2028</v>
          </cell>
          <cell r="C453" t="str">
            <v>wbsp_pop_1564_to</v>
          </cell>
          <cell r="D453">
            <v>602297</v>
          </cell>
          <cell r="F453" t="str">
            <v>16 Sep 2024</v>
          </cell>
        </row>
        <row r="454">
          <cell r="A454" t="str">
            <v>BTN</v>
          </cell>
          <cell r="B454">
            <v>2028</v>
          </cell>
          <cell r="C454" t="str">
            <v>wbsp_pop_15up_to</v>
          </cell>
          <cell r="D454">
            <v>659918</v>
          </cell>
          <cell r="F454" t="str">
            <v>16 Sep 2024</v>
          </cell>
        </row>
        <row r="455">
          <cell r="A455" t="str">
            <v>BTN</v>
          </cell>
          <cell r="B455">
            <v>2028</v>
          </cell>
          <cell r="C455" t="str">
            <v>wbsp_pop_65up_to</v>
          </cell>
          <cell r="D455">
            <v>57621</v>
          </cell>
          <cell r="F455" t="str">
            <v>16 Sep 2024</v>
          </cell>
        </row>
        <row r="456">
          <cell r="A456" t="str">
            <v>BTN</v>
          </cell>
          <cell r="B456">
            <v>2028</v>
          </cell>
          <cell r="C456" t="str">
            <v>wbsp_pop_totl</v>
          </cell>
          <cell r="D456">
            <v>811997</v>
          </cell>
          <cell r="F456" t="str">
            <v>16 Sep 2024</v>
          </cell>
        </row>
        <row r="457">
          <cell r="A457" t="str">
            <v>BTN</v>
          </cell>
          <cell r="B457">
            <v>2029</v>
          </cell>
          <cell r="C457" t="str">
            <v>wbsp_pop_0014_to</v>
          </cell>
          <cell r="D457">
            <v>149194</v>
          </cell>
          <cell r="F457" t="str">
            <v>16 Sep 2024</v>
          </cell>
        </row>
        <row r="458">
          <cell r="A458" t="str">
            <v>BTN</v>
          </cell>
          <cell r="B458">
            <v>2029</v>
          </cell>
          <cell r="C458" t="str">
            <v>wbsp_pop_1564_to</v>
          </cell>
          <cell r="D458">
            <v>608173</v>
          </cell>
          <cell r="F458" t="str">
            <v>16 Sep 2024</v>
          </cell>
        </row>
        <row r="459">
          <cell r="A459" t="str">
            <v>BTN</v>
          </cell>
          <cell r="B459">
            <v>2029</v>
          </cell>
          <cell r="C459" t="str">
            <v>wbsp_pop_15up_to</v>
          </cell>
          <cell r="D459">
            <v>667586</v>
          </cell>
          <cell r="F459" t="str">
            <v>16 Sep 2024</v>
          </cell>
        </row>
        <row r="460">
          <cell r="A460" t="str">
            <v>BTN</v>
          </cell>
          <cell r="B460">
            <v>2029</v>
          </cell>
          <cell r="C460" t="str">
            <v>wbsp_pop_65up_to</v>
          </cell>
          <cell r="D460">
            <v>59413</v>
          </cell>
          <cell r="F460" t="str">
            <v>16 Sep 2024</v>
          </cell>
        </row>
        <row r="461">
          <cell r="A461" t="str">
            <v>BTN</v>
          </cell>
          <cell r="B461">
            <v>2029</v>
          </cell>
          <cell r="C461" t="str">
            <v>wbsp_pop_totl</v>
          </cell>
          <cell r="D461">
            <v>816780</v>
          </cell>
          <cell r="F461" t="str">
            <v>16 Sep 2024</v>
          </cell>
        </row>
        <row r="462">
          <cell r="A462" t="str">
            <v>BTN</v>
          </cell>
          <cell r="B462">
            <v>2030</v>
          </cell>
          <cell r="C462" t="str">
            <v>wbsp_pop_0014_to</v>
          </cell>
          <cell r="D462">
            <v>146994</v>
          </cell>
          <cell r="F462" t="str">
            <v>16 Sep 2024</v>
          </cell>
        </row>
        <row r="463">
          <cell r="A463" t="str">
            <v>BTN</v>
          </cell>
          <cell r="B463">
            <v>2030</v>
          </cell>
          <cell r="C463" t="str">
            <v>wbsp_pop_1564_to</v>
          </cell>
          <cell r="D463">
            <v>613095</v>
          </cell>
          <cell r="F463" t="str">
            <v>16 Sep 2024</v>
          </cell>
        </row>
        <row r="464">
          <cell r="A464" t="str">
            <v>BTN</v>
          </cell>
          <cell r="B464">
            <v>2030</v>
          </cell>
          <cell r="C464" t="str">
            <v>wbsp_pop_15up_to</v>
          </cell>
          <cell r="D464">
            <v>674503</v>
          </cell>
          <cell r="F464" t="str">
            <v>16 Sep 2024</v>
          </cell>
        </row>
        <row r="465">
          <cell r="A465" t="str">
            <v>BTN</v>
          </cell>
          <cell r="B465">
            <v>2030</v>
          </cell>
          <cell r="C465" t="str">
            <v>wbsp_pop_65up_to</v>
          </cell>
          <cell r="D465">
            <v>61408</v>
          </cell>
          <cell r="F465" t="str">
            <v>16 Sep 2024</v>
          </cell>
        </row>
        <row r="466">
          <cell r="A466" t="str">
            <v>BTN</v>
          </cell>
          <cell r="B466">
            <v>2030</v>
          </cell>
          <cell r="C466" t="str">
            <v>wbsp_pop_totl</v>
          </cell>
          <cell r="D466">
            <v>821498</v>
          </cell>
          <cell r="F466" t="str">
            <v>16 Sep 2024</v>
          </cell>
        </row>
        <row r="467">
          <cell r="A467" t="str">
            <v>IND</v>
          </cell>
          <cell r="B467">
            <v>2000</v>
          </cell>
          <cell r="C467" t="str">
            <v>wbsp_pop_0014_to</v>
          </cell>
          <cell r="D467">
            <v>371399589</v>
          </cell>
          <cell r="F467" t="str">
            <v>16 Sep 2024</v>
          </cell>
        </row>
        <row r="468">
          <cell r="A468" t="str">
            <v>IND</v>
          </cell>
          <cell r="B468">
            <v>2000</v>
          </cell>
          <cell r="C468" t="str">
            <v>wbsp_pop_1564_to</v>
          </cell>
          <cell r="D468">
            <v>640617507</v>
          </cell>
          <cell r="F468" t="str">
            <v>16 Sep 2024</v>
          </cell>
        </row>
        <row r="469">
          <cell r="A469" t="str">
            <v>IND</v>
          </cell>
          <cell r="B469">
            <v>2000</v>
          </cell>
          <cell r="C469" t="str">
            <v>wbsp_pop_15up_to</v>
          </cell>
          <cell r="D469">
            <v>688234086</v>
          </cell>
          <cell r="F469" t="str">
            <v>16 Sep 2024</v>
          </cell>
        </row>
        <row r="470">
          <cell r="A470" t="str">
            <v>IND</v>
          </cell>
          <cell r="B470">
            <v>2000</v>
          </cell>
          <cell r="C470" t="str">
            <v>wbsp_pop_65up_to</v>
          </cell>
          <cell r="D470">
            <v>47616579</v>
          </cell>
          <cell r="F470" t="str">
            <v>16 Sep 2024</v>
          </cell>
        </row>
        <row r="471">
          <cell r="A471" t="str">
            <v>IND</v>
          </cell>
          <cell r="B471">
            <v>2000</v>
          </cell>
          <cell r="C471" t="str">
            <v>wbsp_pop_totl</v>
          </cell>
          <cell r="D471">
            <v>1059633675</v>
          </cell>
          <cell r="F471" t="str">
            <v>16 Sep 2024</v>
          </cell>
        </row>
        <row r="472">
          <cell r="A472" t="str">
            <v>IND</v>
          </cell>
          <cell r="B472">
            <v>2001</v>
          </cell>
          <cell r="C472" t="str">
            <v>wbsp_pop_0014_to</v>
          </cell>
          <cell r="D472">
            <v>374160274</v>
          </cell>
          <cell r="F472" t="str">
            <v>16 Sep 2024</v>
          </cell>
        </row>
        <row r="473">
          <cell r="A473" t="str">
            <v>IND</v>
          </cell>
          <cell r="B473">
            <v>2001</v>
          </cell>
          <cell r="C473" t="str">
            <v>wbsp_pop_1564_to</v>
          </cell>
          <cell r="D473">
            <v>655697139</v>
          </cell>
          <cell r="F473" t="str">
            <v>16 Sep 2024</v>
          </cell>
        </row>
        <row r="474">
          <cell r="A474" t="str">
            <v>IND</v>
          </cell>
          <cell r="B474">
            <v>2001</v>
          </cell>
          <cell r="C474" t="str">
            <v>wbsp_pop_15up_to</v>
          </cell>
          <cell r="D474">
            <v>704810634</v>
          </cell>
          <cell r="F474" t="str">
            <v>16 Sep 2024</v>
          </cell>
        </row>
        <row r="475">
          <cell r="A475" t="str">
            <v>IND</v>
          </cell>
          <cell r="B475">
            <v>2001</v>
          </cell>
          <cell r="C475" t="str">
            <v>wbsp_pop_65up_to</v>
          </cell>
          <cell r="D475">
            <v>49113495</v>
          </cell>
          <cell r="F475" t="str">
            <v>16 Sep 2024</v>
          </cell>
        </row>
        <row r="476">
          <cell r="A476" t="str">
            <v>IND</v>
          </cell>
          <cell r="B476">
            <v>2001</v>
          </cell>
          <cell r="C476" t="str">
            <v>wbsp_pop_totl</v>
          </cell>
          <cell r="D476">
            <v>1078970907</v>
          </cell>
          <cell r="F476" t="str">
            <v>16 Sep 2024</v>
          </cell>
        </row>
        <row r="477">
          <cell r="A477" t="str">
            <v>IND</v>
          </cell>
          <cell r="B477">
            <v>2002</v>
          </cell>
          <cell r="C477" t="str">
            <v>wbsp_pop_0014_to</v>
          </cell>
          <cell r="D477">
            <v>376722116</v>
          </cell>
          <cell r="F477" t="str">
            <v>16 Sep 2024</v>
          </cell>
        </row>
        <row r="478">
          <cell r="A478" t="str">
            <v>IND</v>
          </cell>
          <cell r="B478">
            <v>2002</v>
          </cell>
          <cell r="C478" t="str">
            <v>wbsp_pop_1564_to</v>
          </cell>
          <cell r="D478">
            <v>670914857</v>
          </cell>
          <cell r="F478" t="str">
            <v>16 Sep 2024</v>
          </cell>
        </row>
        <row r="479">
          <cell r="A479" t="str">
            <v>IND</v>
          </cell>
          <cell r="B479">
            <v>2002</v>
          </cell>
          <cell r="C479" t="str">
            <v>wbsp_pop_15up_to</v>
          </cell>
          <cell r="D479">
            <v>721590924</v>
          </cell>
          <cell r="F479" t="str">
            <v>16 Sep 2024</v>
          </cell>
        </row>
        <row r="480">
          <cell r="A480" t="str">
            <v>IND</v>
          </cell>
          <cell r="B480">
            <v>2002</v>
          </cell>
          <cell r="C480" t="str">
            <v>wbsp_pop_65up_to</v>
          </cell>
          <cell r="D480">
            <v>50676067</v>
          </cell>
          <cell r="F480" t="str">
            <v>16 Sep 2024</v>
          </cell>
        </row>
        <row r="481">
          <cell r="A481" t="str">
            <v>IND</v>
          </cell>
          <cell r="B481">
            <v>2002</v>
          </cell>
          <cell r="C481" t="str">
            <v>wbsp_pop_totl</v>
          </cell>
          <cell r="D481">
            <v>1098313039</v>
          </cell>
          <cell r="F481" t="str">
            <v>16 Sep 2024</v>
          </cell>
        </row>
        <row r="482">
          <cell r="A482" t="str">
            <v>IND</v>
          </cell>
          <cell r="B482">
            <v>2003</v>
          </cell>
          <cell r="C482" t="str">
            <v>wbsp_pop_0014_to</v>
          </cell>
          <cell r="D482">
            <v>378985211</v>
          </cell>
          <cell r="F482" t="str">
            <v>16 Sep 2024</v>
          </cell>
        </row>
        <row r="483">
          <cell r="A483" t="str">
            <v>IND</v>
          </cell>
          <cell r="B483">
            <v>2003</v>
          </cell>
          <cell r="C483" t="str">
            <v>wbsp_pop_1564_to</v>
          </cell>
          <cell r="D483">
            <v>686160442</v>
          </cell>
          <cell r="F483" t="str">
            <v>16 Sep 2024</v>
          </cell>
        </row>
        <row r="484">
          <cell r="A484" t="str">
            <v>IND</v>
          </cell>
          <cell r="B484">
            <v>2003</v>
          </cell>
          <cell r="C484" t="str">
            <v>wbsp_pop_15up_to</v>
          </cell>
          <cell r="D484">
            <v>738429912</v>
          </cell>
          <cell r="F484" t="str">
            <v>16 Sep 2024</v>
          </cell>
        </row>
        <row r="485">
          <cell r="A485" t="str">
            <v>IND</v>
          </cell>
          <cell r="B485">
            <v>2003</v>
          </cell>
          <cell r="C485" t="str">
            <v>wbsp_pop_65up_to</v>
          </cell>
          <cell r="D485">
            <v>52269470</v>
          </cell>
          <cell r="F485" t="str">
            <v>16 Sep 2024</v>
          </cell>
        </row>
        <row r="486">
          <cell r="A486" t="str">
            <v>IND</v>
          </cell>
          <cell r="B486">
            <v>2003</v>
          </cell>
          <cell r="C486" t="str">
            <v>wbsp_pop_totl</v>
          </cell>
          <cell r="D486">
            <v>1117415123</v>
          </cell>
          <cell r="F486" t="str">
            <v>16 Sep 2024</v>
          </cell>
        </row>
        <row r="487">
          <cell r="A487" t="str">
            <v>IND</v>
          </cell>
          <cell r="B487">
            <v>2004</v>
          </cell>
          <cell r="C487" t="str">
            <v>wbsp_pop_0014_to</v>
          </cell>
          <cell r="D487">
            <v>380871016</v>
          </cell>
          <cell r="F487" t="str">
            <v>16 Sep 2024</v>
          </cell>
        </row>
        <row r="488">
          <cell r="A488" t="str">
            <v>IND</v>
          </cell>
          <cell r="B488">
            <v>2004</v>
          </cell>
          <cell r="C488" t="str">
            <v>wbsp_pop_1564_to</v>
          </cell>
          <cell r="D488">
            <v>701561063</v>
          </cell>
          <cell r="F488" t="str">
            <v>16 Sep 2024</v>
          </cell>
        </row>
        <row r="489">
          <cell r="A489" t="str">
            <v>IND</v>
          </cell>
          <cell r="B489">
            <v>2004</v>
          </cell>
          <cell r="C489" t="str">
            <v>wbsp_pop_15up_to</v>
          </cell>
          <cell r="D489">
            <v>755393568</v>
          </cell>
          <cell r="F489" t="str">
            <v>16 Sep 2024</v>
          </cell>
        </row>
        <row r="490">
          <cell r="A490" t="str">
            <v>IND</v>
          </cell>
          <cell r="B490">
            <v>2004</v>
          </cell>
          <cell r="C490" t="str">
            <v>wbsp_pop_65up_to</v>
          </cell>
          <cell r="D490">
            <v>53832505</v>
          </cell>
          <cell r="F490" t="str">
            <v>16 Sep 2024</v>
          </cell>
        </row>
        <row r="491">
          <cell r="A491" t="str">
            <v>IND</v>
          </cell>
          <cell r="B491">
            <v>2004</v>
          </cell>
          <cell r="C491" t="str">
            <v>wbsp_pop_totl</v>
          </cell>
          <cell r="D491">
            <v>1136264583</v>
          </cell>
          <cell r="F491" t="str">
            <v>16 Sep 2024</v>
          </cell>
        </row>
        <row r="492">
          <cell r="A492" t="str">
            <v>IND</v>
          </cell>
          <cell r="B492">
            <v>2005</v>
          </cell>
          <cell r="C492" t="str">
            <v>wbsp_pop_0014_to</v>
          </cell>
          <cell r="D492">
            <v>382384784</v>
          </cell>
          <cell r="F492" t="str">
            <v>16 Sep 2024</v>
          </cell>
        </row>
        <row r="493">
          <cell r="A493" t="str">
            <v>IND</v>
          </cell>
          <cell r="B493">
            <v>2005</v>
          </cell>
          <cell r="C493" t="str">
            <v>wbsp_pop_1564_to</v>
          </cell>
          <cell r="D493">
            <v>716911600</v>
          </cell>
          <cell r="F493" t="str">
            <v>16 Sep 2024</v>
          </cell>
        </row>
        <row r="494">
          <cell r="A494" t="str">
            <v>IND</v>
          </cell>
          <cell r="B494">
            <v>2005</v>
          </cell>
          <cell r="C494" t="str">
            <v>wbsp_pop_15up_to</v>
          </cell>
          <cell r="D494">
            <v>772253930</v>
          </cell>
          <cell r="F494" t="str">
            <v>16 Sep 2024</v>
          </cell>
        </row>
        <row r="495">
          <cell r="A495" t="str">
            <v>IND</v>
          </cell>
          <cell r="B495">
            <v>2005</v>
          </cell>
          <cell r="C495" t="str">
            <v>wbsp_pop_65up_to</v>
          </cell>
          <cell r="D495">
            <v>55342330</v>
          </cell>
          <cell r="F495" t="str">
            <v>16 Sep 2024</v>
          </cell>
        </row>
        <row r="496">
          <cell r="A496" t="str">
            <v>IND</v>
          </cell>
          <cell r="B496">
            <v>2005</v>
          </cell>
          <cell r="C496" t="str">
            <v>wbsp_pop_totl</v>
          </cell>
          <cell r="D496">
            <v>1154638713</v>
          </cell>
          <cell r="F496" t="str">
            <v>16 Sep 2024</v>
          </cell>
        </row>
        <row r="497">
          <cell r="A497" t="str">
            <v>IND</v>
          </cell>
          <cell r="B497">
            <v>2006</v>
          </cell>
          <cell r="C497" t="str">
            <v>wbsp_pop_0014_to</v>
          </cell>
          <cell r="D497">
            <v>383376618</v>
          </cell>
          <cell r="F497" t="str">
            <v>16 Sep 2024</v>
          </cell>
        </row>
        <row r="498">
          <cell r="A498" t="str">
            <v>IND</v>
          </cell>
          <cell r="B498">
            <v>2006</v>
          </cell>
          <cell r="C498" t="str">
            <v>wbsp_pop_1564_to</v>
          </cell>
          <cell r="D498">
            <v>732180068</v>
          </cell>
          <cell r="F498" t="str">
            <v>16 Sep 2024</v>
          </cell>
        </row>
        <row r="499">
          <cell r="A499" t="str">
            <v>IND</v>
          </cell>
          <cell r="B499">
            <v>2006</v>
          </cell>
          <cell r="C499" t="str">
            <v>wbsp_pop_15up_to</v>
          </cell>
          <cell r="D499">
            <v>788997170</v>
          </cell>
          <cell r="F499" t="str">
            <v>16 Sep 2024</v>
          </cell>
        </row>
        <row r="500">
          <cell r="A500" t="str">
            <v>IND</v>
          </cell>
          <cell r="B500">
            <v>2006</v>
          </cell>
          <cell r="C500" t="str">
            <v>wbsp_pop_65up_to</v>
          </cell>
          <cell r="D500">
            <v>56817102</v>
          </cell>
          <cell r="F500" t="str">
            <v>16 Sep 2024</v>
          </cell>
        </row>
        <row r="501">
          <cell r="A501" t="str">
            <v>IND</v>
          </cell>
          <cell r="B501">
            <v>2006</v>
          </cell>
          <cell r="C501" t="str">
            <v>wbsp_pop_totl</v>
          </cell>
          <cell r="D501">
            <v>1172373788</v>
          </cell>
          <cell r="F501" t="str">
            <v>16 Sep 2024</v>
          </cell>
        </row>
        <row r="502">
          <cell r="A502" t="str">
            <v>IND</v>
          </cell>
          <cell r="B502">
            <v>2007</v>
          </cell>
          <cell r="C502" t="str">
            <v>wbsp_pop_0014_to</v>
          </cell>
          <cell r="D502">
            <v>383911555</v>
          </cell>
          <cell r="F502" t="str">
            <v>16 Sep 2024</v>
          </cell>
        </row>
        <row r="503">
          <cell r="A503" t="str">
            <v>IND</v>
          </cell>
          <cell r="B503">
            <v>2007</v>
          </cell>
          <cell r="C503" t="str">
            <v>wbsp_pop_1564_to</v>
          </cell>
          <cell r="D503">
            <v>747505065</v>
          </cell>
          <cell r="F503" t="str">
            <v>16 Sep 2024</v>
          </cell>
        </row>
        <row r="504">
          <cell r="A504" t="str">
            <v>IND</v>
          </cell>
          <cell r="B504">
            <v>2007</v>
          </cell>
          <cell r="C504" t="str">
            <v>wbsp_pop_15up_to</v>
          </cell>
          <cell r="D504">
            <v>805780254</v>
          </cell>
          <cell r="F504" t="str">
            <v>16 Sep 2024</v>
          </cell>
        </row>
        <row r="505">
          <cell r="A505" t="str">
            <v>IND</v>
          </cell>
          <cell r="B505">
            <v>2007</v>
          </cell>
          <cell r="C505" t="str">
            <v>wbsp_pop_65up_to</v>
          </cell>
          <cell r="D505">
            <v>58275189</v>
          </cell>
          <cell r="F505" t="str">
            <v>16 Sep 2024</v>
          </cell>
        </row>
        <row r="506">
          <cell r="A506" t="str">
            <v>IND</v>
          </cell>
          <cell r="B506">
            <v>2007</v>
          </cell>
          <cell r="C506" t="str">
            <v>wbsp_pop_totl</v>
          </cell>
          <cell r="D506">
            <v>1189691809</v>
          </cell>
          <cell r="F506" t="str">
            <v>16 Sep 2024</v>
          </cell>
        </row>
        <row r="507">
          <cell r="A507" t="str">
            <v>IND</v>
          </cell>
          <cell r="B507">
            <v>2008</v>
          </cell>
          <cell r="C507" t="str">
            <v>wbsp_pop_0014_to</v>
          </cell>
          <cell r="D507">
            <v>384229660</v>
          </cell>
          <cell r="F507" t="str">
            <v>16 Sep 2024</v>
          </cell>
        </row>
        <row r="508">
          <cell r="A508" t="str">
            <v>IND</v>
          </cell>
          <cell r="B508">
            <v>2008</v>
          </cell>
          <cell r="C508" t="str">
            <v>wbsp_pop_1564_to</v>
          </cell>
          <cell r="D508">
            <v>762763594</v>
          </cell>
          <cell r="F508" t="str">
            <v>16 Sep 2024</v>
          </cell>
        </row>
        <row r="509">
          <cell r="A509" t="str">
            <v>IND</v>
          </cell>
          <cell r="B509">
            <v>2008</v>
          </cell>
          <cell r="C509" t="str">
            <v>wbsp_pop_15up_to</v>
          </cell>
          <cell r="D509">
            <v>822505146</v>
          </cell>
          <cell r="F509" t="str">
            <v>16 Sep 2024</v>
          </cell>
        </row>
        <row r="510">
          <cell r="A510" t="str">
            <v>IND</v>
          </cell>
          <cell r="B510">
            <v>2008</v>
          </cell>
          <cell r="C510" t="str">
            <v>wbsp_pop_65up_to</v>
          </cell>
          <cell r="D510">
            <v>59741552</v>
          </cell>
          <cell r="F510" t="str">
            <v>16 Sep 2024</v>
          </cell>
        </row>
        <row r="511">
          <cell r="A511" t="str">
            <v>IND</v>
          </cell>
          <cell r="B511">
            <v>2008</v>
          </cell>
          <cell r="C511" t="str">
            <v>wbsp_pop_totl</v>
          </cell>
          <cell r="D511">
            <v>1206734806</v>
          </cell>
          <cell r="F511" t="str">
            <v>16 Sep 2024</v>
          </cell>
        </row>
        <row r="512">
          <cell r="A512" t="str">
            <v>IND</v>
          </cell>
          <cell r="B512">
            <v>2009</v>
          </cell>
          <cell r="C512" t="str">
            <v>wbsp_pop_0014_to</v>
          </cell>
          <cell r="D512">
            <v>384392935</v>
          </cell>
          <cell r="F512" t="str">
            <v>16 Sep 2024</v>
          </cell>
        </row>
        <row r="513">
          <cell r="A513" t="str">
            <v>IND</v>
          </cell>
          <cell r="B513">
            <v>2009</v>
          </cell>
          <cell r="C513" t="str">
            <v>wbsp_pop_1564_to</v>
          </cell>
          <cell r="D513">
            <v>777995638</v>
          </cell>
          <cell r="F513" t="str">
            <v>16 Sep 2024</v>
          </cell>
        </row>
        <row r="514">
          <cell r="A514" t="str">
            <v>IND</v>
          </cell>
          <cell r="B514">
            <v>2009</v>
          </cell>
          <cell r="C514" t="str">
            <v>wbsp_pop_15up_to</v>
          </cell>
          <cell r="D514">
            <v>839247226</v>
          </cell>
          <cell r="F514" t="str">
            <v>16 Sep 2024</v>
          </cell>
        </row>
        <row r="515">
          <cell r="A515" t="str">
            <v>IND</v>
          </cell>
          <cell r="B515">
            <v>2009</v>
          </cell>
          <cell r="C515" t="str">
            <v>wbsp_pop_65up_to</v>
          </cell>
          <cell r="D515">
            <v>61251588</v>
          </cell>
          <cell r="F515" t="str">
            <v>16 Sep 2024</v>
          </cell>
        </row>
        <row r="516">
          <cell r="A516" t="str">
            <v>IND</v>
          </cell>
          <cell r="B516">
            <v>2009</v>
          </cell>
          <cell r="C516" t="str">
            <v>wbsp_pop_totl</v>
          </cell>
          <cell r="D516">
            <v>1223640160</v>
          </cell>
          <cell r="F516" t="str">
            <v>16 Sep 2024</v>
          </cell>
        </row>
        <row r="517">
          <cell r="A517" t="str">
            <v>IND</v>
          </cell>
          <cell r="B517">
            <v>2010</v>
          </cell>
          <cell r="C517" t="str">
            <v>wbsp_pop_0014_to</v>
          </cell>
          <cell r="D517">
            <v>384325879</v>
          </cell>
          <cell r="F517" t="str">
            <v>16 Sep 2024</v>
          </cell>
        </row>
        <row r="518">
          <cell r="A518" t="str">
            <v>IND</v>
          </cell>
          <cell r="B518">
            <v>2010</v>
          </cell>
          <cell r="C518" t="str">
            <v>wbsp_pop_1564_to</v>
          </cell>
          <cell r="D518">
            <v>793438411</v>
          </cell>
          <cell r="F518" t="str">
            <v>16 Sep 2024</v>
          </cell>
        </row>
        <row r="519">
          <cell r="A519" t="str">
            <v>IND</v>
          </cell>
          <cell r="B519">
            <v>2010</v>
          </cell>
          <cell r="C519" t="str">
            <v>wbsp_pop_15up_to</v>
          </cell>
          <cell r="D519">
            <v>856287741</v>
          </cell>
          <cell r="F519" t="str">
            <v>16 Sep 2024</v>
          </cell>
        </row>
        <row r="520">
          <cell r="A520" t="str">
            <v>IND</v>
          </cell>
          <cell r="B520">
            <v>2010</v>
          </cell>
          <cell r="C520" t="str">
            <v>wbsp_pop_65up_to</v>
          </cell>
          <cell r="D520">
            <v>62849330</v>
          </cell>
          <cell r="F520" t="str">
            <v>16 Sep 2024</v>
          </cell>
        </row>
        <row r="521">
          <cell r="A521" t="str">
            <v>IND</v>
          </cell>
          <cell r="B521">
            <v>2010</v>
          </cell>
          <cell r="C521" t="str">
            <v>wbsp_pop_totl</v>
          </cell>
          <cell r="D521">
            <v>1240613620</v>
          </cell>
          <cell r="F521" t="str">
            <v>16 Sep 2024</v>
          </cell>
        </row>
        <row r="522">
          <cell r="A522" t="str">
            <v>IND</v>
          </cell>
          <cell r="B522">
            <v>2011</v>
          </cell>
          <cell r="C522" t="str">
            <v>wbsp_pop_0014_to</v>
          </cell>
          <cell r="D522">
            <v>383999879</v>
          </cell>
          <cell r="F522" t="str">
            <v>16 Sep 2024</v>
          </cell>
        </row>
        <row r="523">
          <cell r="A523" t="str">
            <v>IND</v>
          </cell>
          <cell r="B523">
            <v>2011</v>
          </cell>
          <cell r="C523" t="str">
            <v>wbsp_pop_1564_to</v>
          </cell>
          <cell r="D523">
            <v>809037482</v>
          </cell>
          <cell r="F523" t="str">
            <v>16 Sep 2024</v>
          </cell>
        </row>
        <row r="524">
          <cell r="A524" t="str">
            <v>IND</v>
          </cell>
          <cell r="B524">
            <v>2011</v>
          </cell>
          <cell r="C524" t="str">
            <v>wbsp_pop_15up_to</v>
          </cell>
          <cell r="D524">
            <v>873621313</v>
          </cell>
          <cell r="F524" t="str">
            <v>16 Sep 2024</v>
          </cell>
        </row>
        <row r="525">
          <cell r="A525" t="str">
            <v>IND</v>
          </cell>
          <cell r="B525">
            <v>2011</v>
          </cell>
          <cell r="C525" t="str">
            <v>wbsp_pop_65up_to</v>
          </cell>
          <cell r="D525">
            <v>64583831</v>
          </cell>
          <cell r="F525" t="str">
            <v>16 Sep 2024</v>
          </cell>
        </row>
        <row r="526">
          <cell r="A526" t="str">
            <v>IND</v>
          </cell>
          <cell r="B526">
            <v>2011</v>
          </cell>
          <cell r="C526" t="str">
            <v>wbsp_pop_totl</v>
          </cell>
          <cell r="D526">
            <v>1257621191</v>
          </cell>
          <cell r="F526" t="str">
            <v>16 Sep 2024</v>
          </cell>
        </row>
        <row r="527">
          <cell r="A527" t="str">
            <v>IND</v>
          </cell>
          <cell r="B527">
            <v>2012</v>
          </cell>
          <cell r="C527" t="str">
            <v>wbsp_pop_0014_to</v>
          </cell>
          <cell r="D527">
            <v>383387682</v>
          </cell>
          <cell r="F527" t="str">
            <v>16 Sep 2024</v>
          </cell>
        </row>
        <row r="528">
          <cell r="A528" t="str">
            <v>IND</v>
          </cell>
          <cell r="B528">
            <v>2012</v>
          </cell>
          <cell r="C528" t="str">
            <v>wbsp_pop_1564_to</v>
          </cell>
          <cell r="D528">
            <v>824603950</v>
          </cell>
          <cell r="F528" t="str">
            <v>16 Sep 2024</v>
          </cell>
        </row>
        <row r="529">
          <cell r="A529" t="str">
            <v>IND</v>
          </cell>
          <cell r="B529">
            <v>2012</v>
          </cell>
          <cell r="C529" t="str">
            <v>wbsp_pop_15up_to</v>
          </cell>
          <cell r="D529">
            <v>891099534</v>
          </cell>
          <cell r="F529" t="str">
            <v>16 Sep 2024</v>
          </cell>
        </row>
        <row r="530">
          <cell r="A530" t="str">
            <v>IND</v>
          </cell>
          <cell r="B530">
            <v>2012</v>
          </cell>
          <cell r="C530" t="str">
            <v>wbsp_pop_65up_to</v>
          </cell>
          <cell r="D530">
            <v>66495584</v>
          </cell>
          <cell r="F530" t="str">
            <v>16 Sep 2024</v>
          </cell>
        </row>
        <row r="531">
          <cell r="A531" t="str">
            <v>IND</v>
          </cell>
          <cell r="B531">
            <v>2012</v>
          </cell>
          <cell r="C531" t="str">
            <v>wbsp_pop_totl</v>
          </cell>
          <cell r="D531">
            <v>1274487215</v>
          </cell>
          <cell r="F531" t="str">
            <v>16 Sep 2024</v>
          </cell>
        </row>
        <row r="532">
          <cell r="A532" t="str">
            <v>IND</v>
          </cell>
          <cell r="B532">
            <v>2013</v>
          </cell>
          <cell r="C532" t="str">
            <v>wbsp_pop_0014_to</v>
          </cell>
          <cell r="D532">
            <v>382437090</v>
          </cell>
          <cell r="F532" t="str">
            <v>16 Sep 2024</v>
          </cell>
        </row>
        <row r="533">
          <cell r="A533" t="str">
            <v>IND</v>
          </cell>
          <cell r="B533">
            <v>2013</v>
          </cell>
          <cell r="C533" t="str">
            <v>wbsp_pop_1564_to</v>
          </cell>
          <cell r="D533">
            <v>840060464</v>
          </cell>
          <cell r="F533" t="str">
            <v>16 Sep 2024</v>
          </cell>
        </row>
        <row r="534">
          <cell r="A534" t="str">
            <v>IND</v>
          </cell>
          <cell r="B534">
            <v>2013</v>
          </cell>
          <cell r="C534" t="str">
            <v>wbsp_pop_15up_to</v>
          </cell>
          <cell r="D534">
            <v>908694973</v>
          </cell>
          <cell r="F534" t="str">
            <v>16 Sep 2024</v>
          </cell>
        </row>
        <row r="535">
          <cell r="A535" t="str">
            <v>IND</v>
          </cell>
          <cell r="B535">
            <v>2013</v>
          </cell>
          <cell r="C535" t="str">
            <v>wbsp_pop_65up_to</v>
          </cell>
          <cell r="D535">
            <v>68634509</v>
          </cell>
          <cell r="F535" t="str">
            <v>16 Sep 2024</v>
          </cell>
        </row>
        <row r="536">
          <cell r="A536" t="str">
            <v>IND</v>
          </cell>
          <cell r="B536">
            <v>2013</v>
          </cell>
          <cell r="C536" t="str">
            <v>wbsp_pop_totl</v>
          </cell>
          <cell r="D536">
            <v>1291132063</v>
          </cell>
          <cell r="F536" t="str">
            <v>16 Sep 2024</v>
          </cell>
        </row>
        <row r="537">
          <cell r="A537" t="str">
            <v>IND</v>
          </cell>
          <cell r="B537">
            <v>2014</v>
          </cell>
          <cell r="C537" t="str">
            <v>wbsp_pop_0014_to</v>
          </cell>
          <cell r="D537">
            <v>380905172</v>
          </cell>
          <cell r="F537" t="str">
            <v>16 Sep 2024</v>
          </cell>
        </row>
        <row r="538">
          <cell r="A538" t="str">
            <v>IND</v>
          </cell>
          <cell r="B538">
            <v>2014</v>
          </cell>
          <cell r="C538" t="str">
            <v>wbsp_pop_1564_to</v>
          </cell>
          <cell r="D538">
            <v>854999441</v>
          </cell>
          <cell r="F538" t="str">
            <v>16 Sep 2024</v>
          </cell>
        </row>
        <row r="539">
          <cell r="A539" t="str">
            <v>IND</v>
          </cell>
          <cell r="B539">
            <v>2014</v>
          </cell>
          <cell r="C539" t="str">
            <v>wbsp_pop_15up_to</v>
          </cell>
          <cell r="D539">
            <v>926341338</v>
          </cell>
          <cell r="F539" t="str">
            <v>16 Sep 2024</v>
          </cell>
        </row>
        <row r="540">
          <cell r="A540" t="str">
            <v>IND</v>
          </cell>
          <cell r="B540">
            <v>2014</v>
          </cell>
          <cell r="C540" t="str">
            <v>wbsp_pop_65up_to</v>
          </cell>
          <cell r="D540">
            <v>71341897</v>
          </cell>
          <cell r="F540" t="str">
            <v>16 Sep 2024</v>
          </cell>
        </row>
        <row r="541">
          <cell r="A541" t="str">
            <v>IND</v>
          </cell>
          <cell r="B541">
            <v>2014</v>
          </cell>
          <cell r="C541" t="str">
            <v>wbsp_pop_totl</v>
          </cell>
          <cell r="D541">
            <v>1307246509</v>
          </cell>
          <cell r="F541" t="str">
            <v>16 Sep 2024</v>
          </cell>
        </row>
        <row r="542">
          <cell r="A542" t="str">
            <v>IND</v>
          </cell>
          <cell r="B542">
            <v>2015</v>
          </cell>
          <cell r="C542" t="str">
            <v>wbsp_pop_0014_to</v>
          </cell>
          <cell r="D542">
            <v>378793176</v>
          </cell>
          <cell r="F542" t="str">
            <v>16 Sep 2024</v>
          </cell>
        </row>
        <row r="543">
          <cell r="A543" t="str">
            <v>IND</v>
          </cell>
          <cell r="B543">
            <v>2015</v>
          </cell>
          <cell r="C543" t="str">
            <v>wbsp_pop_1564_to</v>
          </cell>
          <cell r="D543">
            <v>869459756</v>
          </cell>
          <cell r="F543" t="str">
            <v>16 Sep 2024</v>
          </cell>
        </row>
        <row r="544">
          <cell r="A544" t="str">
            <v>IND</v>
          </cell>
          <cell r="B544">
            <v>2015</v>
          </cell>
          <cell r="C544" t="str">
            <v>wbsp_pop_15up_to</v>
          </cell>
          <cell r="D544">
            <v>944073329</v>
          </cell>
          <cell r="F544" t="str">
            <v>16 Sep 2024</v>
          </cell>
        </row>
        <row r="545">
          <cell r="A545" t="str">
            <v>IND</v>
          </cell>
          <cell r="B545">
            <v>2015</v>
          </cell>
          <cell r="C545" t="str">
            <v>wbsp_pop_65up_to</v>
          </cell>
          <cell r="D545">
            <v>74613573</v>
          </cell>
          <cell r="F545" t="str">
            <v>16 Sep 2024</v>
          </cell>
        </row>
        <row r="546">
          <cell r="A546" t="str">
            <v>IND</v>
          </cell>
          <cell r="B546">
            <v>2015</v>
          </cell>
          <cell r="C546" t="str">
            <v>wbsp_pop_totl</v>
          </cell>
          <cell r="D546">
            <v>1322866505</v>
          </cell>
          <cell r="F546" t="str">
            <v>16 Sep 2024</v>
          </cell>
        </row>
        <row r="547">
          <cell r="A547" t="str">
            <v>IND</v>
          </cell>
          <cell r="B547">
            <v>2016</v>
          </cell>
          <cell r="C547" t="str">
            <v>wbsp_pop_0014_to</v>
          </cell>
          <cell r="D547">
            <v>376404880</v>
          </cell>
          <cell r="F547" t="str">
            <v>16 Sep 2024</v>
          </cell>
        </row>
        <row r="548">
          <cell r="A548" t="str">
            <v>IND</v>
          </cell>
          <cell r="B548">
            <v>2016</v>
          </cell>
          <cell r="C548" t="str">
            <v>wbsp_pop_1564_to</v>
          </cell>
          <cell r="D548">
            <v>884115112</v>
          </cell>
          <cell r="F548" t="str">
            <v>16 Sep 2024</v>
          </cell>
        </row>
        <row r="549">
          <cell r="A549" t="str">
            <v>IND</v>
          </cell>
          <cell r="B549">
            <v>2016</v>
          </cell>
          <cell r="C549" t="str">
            <v>wbsp_pop_15up_to</v>
          </cell>
          <cell r="D549">
            <v>962231460</v>
          </cell>
          <cell r="F549" t="str">
            <v>16 Sep 2024</v>
          </cell>
        </row>
        <row r="550">
          <cell r="A550" t="str">
            <v>IND</v>
          </cell>
          <cell r="B550">
            <v>2016</v>
          </cell>
          <cell r="C550" t="str">
            <v>wbsp_pop_65up_to</v>
          </cell>
          <cell r="D550">
            <v>78116348</v>
          </cell>
          <cell r="F550" t="str">
            <v>16 Sep 2024</v>
          </cell>
        </row>
        <row r="551">
          <cell r="A551" t="str">
            <v>IND</v>
          </cell>
          <cell r="B551">
            <v>2016</v>
          </cell>
          <cell r="C551" t="str">
            <v>wbsp_pop_totl</v>
          </cell>
          <cell r="D551">
            <v>1338636340</v>
          </cell>
          <cell r="F551" t="str">
            <v>16 Sep 2024</v>
          </cell>
        </row>
        <row r="552">
          <cell r="A552" t="str">
            <v>IND</v>
          </cell>
          <cell r="B552">
            <v>2017</v>
          </cell>
          <cell r="C552" t="str">
            <v>wbsp_pop_0014_to</v>
          </cell>
          <cell r="D552">
            <v>373697370</v>
          </cell>
          <cell r="F552" t="str">
            <v>16 Sep 2024</v>
          </cell>
        </row>
        <row r="553">
          <cell r="A553" t="str">
            <v>IND</v>
          </cell>
          <cell r="B553">
            <v>2017</v>
          </cell>
          <cell r="C553" t="str">
            <v>wbsp_pop_1564_to</v>
          </cell>
          <cell r="D553">
            <v>898694113</v>
          </cell>
          <cell r="F553" t="str">
            <v>16 Sep 2024</v>
          </cell>
        </row>
        <row r="554">
          <cell r="A554" t="str">
            <v>IND</v>
          </cell>
          <cell r="B554">
            <v>2017</v>
          </cell>
          <cell r="C554" t="str">
            <v>wbsp_pop_15up_to</v>
          </cell>
          <cell r="D554">
            <v>980498310</v>
          </cell>
          <cell r="F554" t="str">
            <v>16 Sep 2024</v>
          </cell>
        </row>
        <row r="555">
          <cell r="A555" t="str">
            <v>IND</v>
          </cell>
          <cell r="B555">
            <v>2017</v>
          </cell>
          <cell r="C555" t="str">
            <v>wbsp_pop_65up_to</v>
          </cell>
          <cell r="D555">
            <v>81804197</v>
          </cell>
          <cell r="F555" t="str">
            <v>16 Sep 2024</v>
          </cell>
        </row>
        <row r="556">
          <cell r="A556" t="str">
            <v>IND</v>
          </cell>
          <cell r="B556">
            <v>2017</v>
          </cell>
          <cell r="C556" t="str">
            <v>wbsp_pop_totl</v>
          </cell>
          <cell r="D556">
            <v>1354195680</v>
          </cell>
          <cell r="F556" t="str">
            <v>16 Sep 2024</v>
          </cell>
        </row>
        <row r="557">
          <cell r="A557" t="str">
            <v>IND</v>
          </cell>
          <cell r="B557">
            <v>2018</v>
          </cell>
          <cell r="C557" t="str">
            <v>wbsp_pop_0014_to</v>
          </cell>
          <cell r="D557">
            <v>370831170</v>
          </cell>
          <cell r="F557" t="str">
            <v>16 Sep 2024</v>
          </cell>
        </row>
        <row r="558">
          <cell r="A558" t="str">
            <v>IND</v>
          </cell>
          <cell r="B558">
            <v>2018</v>
          </cell>
          <cell r="C558" t="str">
            <v>wbsp_pop_1564_to</v>
          </cell>
          <cell r="D558">
            <v>912553718</v>
          </cell>
          <cell r="F558" t="str">
            <v>16 Sep 2024</v>
          </cell>
        </row>
        <row r="559">
          <cell r="A559" t="str">
            <v>IND</v>
          </cell>
          <cell r="B559">
            <v>2018</v>
          </cell>
          <cell r="C559" t="str">
            <v>wbsp_pop_15up_to</v>
          </cell>
          <cell r="D559">
            <v>998172135</v>
          </cell>
          <cell r="F559" t="str">
            <v>16 Sep 2024</v>
          </cell>
        </row>
        <row r="560">
          <cell r="A560" t="str">
            <v>IND</v>
          </cell>
          <cell r="B560">
            <v>2018</v>
          </cell>
          <cell r="C560" t="str">
            <v>wbsp_pop_65up_to</v>
          </cell>
          <cell r="D560">
            <v>85618417</v>
          </cell>
          <cell r="F560" t="str">
            <v>16 Sep 2024</v>
          </cell>
        </row>
        <row r="561">
          <cell r="A561" t="str">
            <v>IND</v>
          </cell>
          <cell r="B561">
            <v>2018</v>
          </cell>
          <cell r="C561" t="str">
            <v>wbsp_pop_totl</v>
          </cell>
          <cell r="D561">
            <v>1369003306</v>
          </cell>
          <cell r="F561" t="str">
            <v>16 Sep 2024</v>
          </cell>
        </row>
        <row r="562">
          <cell r="A562" t="str">
            <v>IND</v>
          </cell>
          <cell r="B562">
            <v>2019</v>
          </cell>
          <cell r="C562" t="str">
            <v>wbsp_pop_0014_to</v>
          </cell>
          <cell r="D562">
            <v>367825260</v>
          </cell>
          <cell r="F562" t="str">
            <v>16 Sep 2024</v>
          </cell>
        </row>
        <row r="563">
          <cell r="A563" t="str">
            <v>IND</v>
          </cell>
          <cell r="B563">
            <v>2019</v>
          </cell>
          <cell r="C563" t="str">
            <v>wbsp_pop_1564_to</v>
          </cell>
          <cell r="D563">
            <v>925771433</v>
          </cell>
          <cell r="F563" t="str">
            <v>16 Sep 2024</v>
          </cell>
        </row>
        <row r="564">
          <cell r="A564" t="str">
            <v>IND</v>
          </cell>
          <cell r="B564">
            <v>2019</v>
          </cell>
          <cell r="C564" t="str">
            <v>wbsp_pop_15up_to</v>
          </cell>
          <cell r="D564">
            <v>1015286790</v>
          </cell>
          <cell r="F564" t="str">
            <v>16 Sep 2024</v>
          </cell>
        </row>
        <row r="565">
          <cell r="A565" t="str">
            <v>IND</v>
          </cell>
          <cell r="B565">
            <v>2019</v>
          </cell>
          <cell r="C565" t="str">
            <v>wbsp_pop_65up_to</v>
          </cell>
          <cell r="D565">
            <v>89515357</v>
          </cell>
          <cell r="F565" t="str">
            <v>16 Sep 2024</v>
          </cell>
        </row>
        <row r="566">
          <cell r="A566" t="str">
            <v>IND</v>
          </cell>
          <cell r="B566">
            <v>2019</v>
          </cell>
          <cell r="C566" t="str">
            <v>wbsp_pop_totl</v>
          </cell>
          <cell r="D566">
            <v>1383112050</v>
          </cell>
          <cell r="F566" t="str">
            <v>16 Sep 2024</v>
          </cell>
        </row>
        <row r="567">
          <cell r="A567" t="str">
            <v>IND</v>
          </cell>
          <cell r="B567">
            <v>2020</v>
          </cell>
          <cell r="C567" t="str">
            <v>wbsp_pop_0014_to</v>
          </cell>
          <cell r="D567">
            <v>364629264</v>
          </cell>
          <cell r="F567" t="str">
            <v>16 Sep 2024</v>
          </cell>
        </row>
        <row r="568">
          <cell r="A568" t="str">
            <v>IND</v>
          </cell>
          <cell r="B568">
            <v>2020</v>
          </cell>
          <cell r="C568" t="str">
            <v>wbsp_pop_1564_to</v>
          </cell>
          <cell r="D568">
            <v>938586445</v>
          </cell>
          <cell r="F568" t="str">
            <v>16 Sep 2024</v>
          </cell>
        </row>
        <row r="569">
          <cell r="A569" t="str">
            <v>IND</v>
          </cell>
          <cell r="B569">
            <v>2020</v>
          </cell>
          <cell r="C569" t="str">
            <v>wbsp_pop_15up_to</v>
          </cell>
          <cell r="D569">
            <v>1031757864</v>
          </cell>
          <cell r="F569" t="str">
            <v>16 Sep 2024</v>
          </cell>
        </row>
        <row r="570">
          <cell r="A570" t="str">
            <v>IND</v>
          </cell>
          <cell r="B570">
            <v>2020</v>
          </cell>
          <cell r="C570" t="str">
            <v>wbsp_pop_65up_to</v>
          </cell>
          <cell r="D570">
            <v>93171419</v>
          </cell>
          <cell r="F570" t="str">
            <v>16 Sep 2024</v>
          </cell>
        </row>
        <row r="571">
          <cell r="A571" t="str">
            <v>IND</v>
          </cell>
          <cell r="B571">
            <v>2020</v>
          </cell>
          <cell r="C571" t="str">
            <v>wbsp_pop_totl</v>
          </cell>
          <cell r="D571">
            <v>1396387127</v>
          </cell>
          <cell r="F571" t="str">
            <v>16 Sep 2024</v>
          </cell>
        </row>
        <row r="572">
          <cell r="A572" t="str">
            <v>IND</v>
          </cell>
          <cell r="B572">
            <v>2021</v>
          </cell>
          <cell r="C572" t="str">
            <v>wbsp_pop_0014_to</v>
          </cell>
          <cell r="D572">
            <v>361569242</v>
          </cell>
          <cell r="F572" t="str">
            <v>16 Sep 2024</v>
          </cell>
        </row>
        <row r="573">
          <cell r="A573" t="str">
            <v>IND</v>
          </cell>
          <cell r="B573">
            <v>2021</v>
          </cell>
          <cell r="C573" t="str">
            <v>wbsp_pop_1564_to</v>
          </cell>
          <cell r="D573">
            <v>950245567</v>
          </cell>
          <cell r="F573" t="str">
            <v>16 Sep 2024</v>
          </cell>
        </row>
        <row r="574">
          <cell r="A574" t="str">
            <v>IND</v>
          </cell>
          <cell r="B574">
            <v>2021</v>
          </cell>
          <cell r="C574" t="str">
            <v>wbsp_pop_15up_to</v>
          </cell>
          <cell r="D574">
            <v>1045994599</v>
          </cell>
          <cell r="F574" t="str">
            <v>16 Sep 2024</v>
          </cell>
        </row>
        <row r="575">
          <cell r="A575" t="str">
            <v>IND</v>
          </cell>
          <cell r="B575">
            <v>2021</v>
          </cell>
          <cell r="C575" t="str">
            <v>wbsp_pop_65up_to</v>
          </cell>
          <cell r="D575">
            <v>95749032</v>
          </cell>
          <cell r="F575" t="str">
            <v>16 Sep 2024</v>
          </cell>
        </row>
        <row r="576">
          <cell r="A576" t="str">
            <v>IND</v>
          </cell>
          <cell r="B576">
            <v>2021</v>
          </cell>
          <cell r="C576" t="str">
            <v>wbsp_pop_totl</v>
          </cell>
          <cell r="D576">
            <v>1407563842</v>
          </cell>
          <cell r="F576" t="str">
            <v>16 Sep 2024</v>
          </cell>
        </row>
        <row r="577">
          <cell r="A577" t="str">
            <v>IND</v>
          </cell>
          <cell r="B577">
            <v>2022</v>
          </cell>
          <cell r="C577" t="str">
            <v>wbsp_pop_0014_to</v>
          </cell>
          <cell r="D577">
            <v>358634249</v>
          </cell>
          <cell r="F577" t="str">
            <v>16 Sep 2024</v>
          </cell>
        </row>
        <row r="578">
          <cell r="A578" t="str">
            <v>IND</v>
          </cell>
          <cell r="B578">
            <v>2022</v>
          </cell>
          <cell r="C578" t="str">
            <v>wbsp_pop_1564_to</v>
          </cell>
          <cell r="D578">
            <v>960804385</v>
          </cell>
          <cell r="F578" t="str">
            <v>16 Sep 2024</v>
          </cell>
        </row>
        <row r="579">
          <cell r="A579" t="str">
            <v>IND</v>
          </cell>
          <cell r="B579">
            <v>2022</v>
          </cell>
          <cell r="C579" t="str">
            <v>wbsp_pop_15up_to</v>
          </cell>
          <cell r="D579">
            <v>1058538925</v>
          </cell>
          <cell r="F579" t="str">
            <v>16 Sep 2024</v>
          </cell>
        </row>
        <row r="580">
          <cell r="A580" t="str">
            <v>IND</v>
          </cell>
          <cell r="B580">
            <v>2022</v>
          </cell>
          <cell r="C580" t="str">
            <v>wbsp_pop_65up_to</v>
          </cell>
          <cell r="D580">
            <v>97734540</v>
          </cell>
          <cell r="F580" t="str">
            <v>16 Sep 2024</v>
          </cell>
        </row>
        <row r="581">
          <cell r="A581" t="str">
            <v>IND</v>
          </cell>
          <cell r="B581">
            <v>2022</v>
          </cell>
          <cell r="C581" t="str">
            <v>wbsp_pop_totl</v>
          </cell>
          <cell r="D581">
            <v>1417173173</v>
          </cell>
          <cell r="F581" t="str">
            <v>16 Sep 2024</v>
          </cell>
        </row>
        <row r="582">
          <cell r="A582" t="str">
            <v>IND</v>
          </cell>
          <cell r="B582">
            <v>2023</v>
          </cell>
          <cell r="C582" t="str">
            <v>wbsp_pop_0014_to</v>
          </cell>
          <cell r="D582">
            <v>355733024</v>
          </cell>
          <cell r="F582" t="str">
            <v>16 Sep 2024</v>
          </cell>
        </row>
        <row r="583">
          <cell r="A583" t="str">
            <v>IND</v>
          </cell>
          <cell r="B583">
            <v>2023</v>
          </cell>
          <cell r="C583" t="str">
            <v>wbsp_pop_1564_to</v>
          </cell>
          <cell r="D583">
            <v>971860527</v>
          </cell>
          <cell r="F583" t="str">
            <v>16 Sep 2024</v>
          </cell>
        </row>
        <row r="584">
          <cell r="A584" t="str">
            <v>IND</v>
          </cell>
          <cell r="B584">
            <v>2023</v>
          </cell>
          <cell r="C584" t="str">
            <v>wbsp_pop_15up_to</v>
          </cell>
          <cell r="D584">
            <v>1072894639</v>
          </cell>
          <cell r="F584" t="str">
            <v>16 Sep 2024</v>
          </cell>
        </row>
        <row r="585">
          <cell r="A585" t="str">
            <v>IND</v>
          </cell>
          <cell r="B585">
            <v>2023</v>
          </cell>
          <cell r="C585" t="str">
            <v>wbsp_pop_65up_to</v>
          </cell>
          <cell r="D585">
            <v>101034112</v>
          </cell>
          <cell r="F585" t="str">
            <v>16 Sep 2024</v>
          </cell>
        </row>
        <row r="586">
          <cell r="A586" t="str">
            <v>IND</v>
          </cell>
          <cell r="B586">
            <v>2023</v>
          </cell>
          <cell r="C586" t="str">
            <v>wbsp_pop_totl</v>
          </cell>
          <cell r="D586">
            <v>1428627663</v>
          </cell>
          <cell r="F586" t="str">
            <v>16 Sep 2024</v>
          </cell>
        </row>
        <row r="587">
          <cell r="A587" t="str">
            <v>IND</v>
          </cell>
          <cell r="B587">
            <v>2024</v>
          </cell>
          <cell r="C587" t="str">
            <v>wbsp_pop_0014_to</v>
          </cell>
          <cell r="D587">
            <v>352835082</v>
          </cell>
          <cell r="F587" t="str">
            <v>16 Sep 2024</v>
          </cell>
        </row>
        <row r="588">
          <cell r="A588" t="str">
            <v>IND</v>
          </cell>
          <cell r="B588">
            <v>2024</v>
          </cell>
          <cell r="C588" t="str">
            <v>wbsp_pop_1564_to</v>
          </cell>
          <cell r="D588">
            <v>983428760</v>
          </cell>
          <cell r="F588" t="str">
            <v>16 Sep 2024</v>
          </cell>
        </row>
        <row r="589">
          <cell r="A589" t="str">
            <v>IND</v>
          </cell>
          <cell r="B589">
            <v>2024</v>
          </cell>
          <cell r="C589" t="str">
            <v>wbsp_pop_15up_to</v>
          </cell>
          <cell r="D589">
            <v>1088884770</v>
          </cell>
          <cell r="F589" t="str">
            <v>16 Sep 2024</v>
          </cell>
        </row>
        <row r="590">
          <cell r="A590" t="str">
            <v>IND</v>
          </cell>
          <cell r="B590">
            <v>2024</v>
          </cell>
          <cell r="C590" t="str">
            <v>wbsp_pop_65up_to</v>
          </cell>
          <cell r="D590">
            <v>105456010</v>
          </cell>
          <cell r="F590" t="str">
            <v>16 Sep 2024</v>
          </cell>
        </row>
        <row r="591">
          <cell r="A591" t="str">
            <v>IND</v>
          </cell>
          <cell r="B591">
            <v>2024</v>
          </cell>
          <cell r="C591" t="str">
            <v>wbsp_pop_totl</v>
          </cell>
          <cell r="D591">
            <v>1441719852</v>
          </cell>
          <cell r="F591" t="str">
            <v>16 Sep 2024</v>
          </cell>
        </row>
        <row r="592">
          <cell r="A592" t="str">
            <v>IND</v>
          </cell>
          <cell r="B592">
            <v>2025</v>
          </cell>
          <cell r="C592" t="str">
            <v>wbsp_pop_0014_to</v>
          </cell>
          <cell r="D592">
            <v>349971842</v>
          </cell>
          <cell r="F592" t="str">
            <v>16 Sep 2024</v>
          </cell>
        </row>
        <row r="593">
          <cell r="A593" t="str">
            <v>IND</v>
          </cell>
          <cell r="B593">
            <v>2025</v>
          </cell>
          <cell r="C593" t="str">
            <v>wbsp_pop_1564_to</v>
          </cell>
          <cell r="D593">
            <v>994692506</v>
          </cell>
          <cell r="F593" t="str">
            <v>16 Sep 2024</v>
          </cell>
        </row>
        <row r="594">
          <cell r="A594" t="str">
            <v>IND</v>
          </cell>
          <cell r="B594">
            <v>2025</v>
          </cell>
          <cell r="C594" t="str">
            <v>wbsp_pop_15up_to</v>
          </cell>
          <cell r="D594">
            <v>1104634881</v>
          </cell>
          <cell r="F594" t="str">
            <v>16 Sep 2024</v>
          </cell>
        </row>
        <row r="595">
          <cell r="A595" t="str">
            <v>IND</v>
          </cell>
          <cell r="B595">
            <v>2025</v>
          </cell>
          <cell r="C595" t="str">
            <v>wbsp_pop_65up_to</v>
          </cell>
          <cell r="D595">
            <v>109942375</v>
          </cell>
          <cell r="F595" t="str">
            <v>16 Sep 2024</v>
          </cell>
        </row>
        <row r="596">
          <cell r="A596" t="str">
            <v>IND</v>
          </cell>
          <cell r="B596">
            <v>2025</v>
          </cell>
          <cell r="C596" t="str">
            <v>wbsp_pop_totl</v>
          </cell>
          <cell r="D596">
            <v>1454606724</v>
          </cell>
          <cell r="F596" t="str">
            <v>16 Sep 2024</v>
          </cell>
        </row>
        <row r="597">
          <cell r="A597" t="str">
            <v>IND</v>
          </cell>
          <cell r="B597">
            <v>2026</v>
          </cell>
          <cell r="C597" t="str">
            <v>wbsp_pop_0014_to</v>
          </cell>
          <cell r="D597">
            <v>347198944</v>
          </cell>
          <cell r="F597" t="str">
            <v>16 Sep 2024</v>
          </cell>
        </row>
        <row r="598">
          <cell r="A598" t="str">
            <v>IND</v>
          </cell>
          <cell r="B598">
            <v>2026</v>
          </cell>
          <cell r="C598" t="str">
            <v>wbsp_pop_1564_to</v>
          </cell>
          <cell r="D598">
            <v>1005517822</v>
          </cell>
          <cell r="F598" t="str">
            <v>16 Sep 2024</v>
          </cell>
        </row>
        <row r="599">
          <cell r="A599" t="str">
            <v>IND</v>
          </cell>
          <cell r="B599">
            <v>2026</v>
          </cell>
          <cell r="C599" t="str">
            <v>wbsp_pop_15up_to</v>
          </cell>
          <cell r="D599">
            <v>1120032267</v>
          </cell>
          <cell r="F599" t="str">
            <v>16 Sep 2024</v>
          </cell>
        </row>
        <row r="600">
          <cell r="A600" t="str">
            <v>IND</v>
          </cell>
          <cell r="B600">
            <v>2026</v>
          </cell>
          <cell r="C600" t="str">
            <v>wbsp_pop_65up_to</v>
          </cell>
          <cell r="D600">
            <v>114514445</v>
          </cell>
          <cell r="F600" t="str">
            <v>16 Sep 2024</v>
          </cell>
        </row>
        <row r="601">
          <cell r="A601" t="str">
            <v>IND</v>
          </cell>
          <cell r="B601">
            <v>2026</v>
          </cell>
          <cell r="C601" t="str">
            <v>wbsp_pop_totl</v>
          </cell>
          <cell r="D601">
            <v>1467231210</v>
          </cell>
          <cell r="F601" t="str">
            <v>16 Sep 2024</v>
          </cell>
        </row>
        <row r="602">
          <cell r="A602" t="str">
            <v>IND</v>
          </cell>
          <cell r="B602">
            <v>2027</v>
          </cell>
          <cell r="C602" t="str">
            <v>wbsp_pop_0014_to</v>
          </cell>
          <cell r="D602">
            <v>344545301</v>
          </cell>
          <cell r="F602" t="str">
            <v>16 Sep 2024</v>
          </cell>
        </row>
        <row r="603">
          <cell r="A603" t="str">
            <v>IND</v>
          </cell>
          <cell r="B603">
            <v>2027</v>
          </cell>
          <cell r="C603" t="str">
            <v>wbsp_pop_1564_to</v>
          </cell>
          <cell r="D603">
            <v>1015869751</v>
          </cell>
          <cell r="F603" t="str">
            <v>16 Sep 2024</v>
          </cell>
        </row>
        <row r="604">
          <cell r="A604" t="str">
            <v>IND</v>
          </cell>
          <cell r="B604">
            <v>2027</v>
          </cell>
          <cell r="C604" t="str">
            <v>wbsp_pop_15up_to</v>
          </cell>
          <cell r="D604">
            <v>1135033221</v>
          </cell>
          <cell r="F604" t="str">
            <v>16 Sep 2024</v>
          </cell>
        </row>
        <row r="605">
          <cell r="A605" t="str">
            <v>IND</v>
          </cell>
          <cell r="B605">
            <v>2027</v>
          </cell>
          <cell r="C605" t="str">
            <v>wbsp_pop_65up_to</v>
          </cell>
          <cell r="D605">
            <v>119163470</v>
          </cell>
          <cell r="F605" t="str">
            <v>16 Sep 2024</v>
          </cell>
        </row>
        <row r="606">
          <cell r="A606" t="str">
            <v>IND</v>
          </cell>
          <cell r="B606">
            <v>2027</v>
          </cell>
          <cell r="C606" t="str">
            <v>wbsp_pop_totl</v>
          </cell>
          <cell r="D606">
            <v>1479578522</v>
          </cell>
          <cell r="F606" t="str">
            <v>16 Sep 2024</v>
          </cell>
        </row>
        <row r="607">
          <cell r="A607" t="str">
            <v>IND</v>
          </cell>
          <cell r="B607">
            <v>2028</v>
          </cell>
          <cell r="C607" t="str">
            <v>wbsp_pop_0014_to</v>
          </cell>
          <cell r="D607">
            <v>342052631</v>
          </cell>
          <cell r="F607" t="str">
            <v>16 Sep 2024</v>
          </cell>
        </row>
        <row r="608">
          <cell r="A608" t="str">
            <v>IND</v>
          </cell>
          <cell r="B608">
            <v>2028</v>
          </cell>
          <cell r="C608" t="str">
            <v>wbsp_pop_1564_to</v>
          </cell>
          <cell r="D608">
            <v>1025732699</v>
          </cell>
          <cell r="F608" t="str">
            <v>16 Sep 2024</v>
          </cell>
        </row>
        <row r="609">
          <cell r="A609" t="str">
            <v>IND</v>
          </cell>
          <cell r="B609">
            <v>2028</v>
          </cell>
          <cell r="C609" t="str">
            <v>wbsp_pop_15up_to</v>
          </cell>
          <cell r="D609">
            <v>1149618418</v>
          </cell>
          <cell r="F609" t="str">
            <v>16 Sep 2024</v>
          </cell>
        </row>
        <row r="610">
          <cell r="A610" t="str">
            <v>IND</v>
          </cell>
          <cell r="B610">
            <v>2028</v>
          </cell>
          <cell r="C610" t="str">
            <v>wbsp_pop_65up_to</v>
          </cell>
          <cell r="D610">
            <v>123885719</v>
          </cell>
          <cell r="F610" t="str">
            <v>16 Sep 2024</v>
          </cell>
        </row>
        <row r="611">
          <cell r="A611" t="str">
            <v>IND</v>
          </cell>
          <cell r="B611">
            <v>2028</v>
          </cell>
          <cell r="C611" t="str">
            <v>wbsp_pop_totl</v>
          </cell>
          <cell r="D611">
            <v>1491671049</v>
          </cell>
          <cell r="F611" t="str">
            <v>16 Sep 2024</v>
          </cell>
        </row>
        <row r="612">
          <cell r="A612" t="str">
            <v>IND</v>
          </cell>
          <cell r="B612">
            <v>2029</v>
          </cell>
          <cell r="C612" t="str">
            <v>wbsp_pop_0014_to</v>
          </cell>
          <cell r="D612">
            <v>339938944</v>
          </cell>
          <cell r="F612" t="str">
            <v>16 Sep 2024</v>
          </cell>
        </row>
        <row r="613">
          <cell r="A613" t="str">
            <v>IND</v>
          </cell>
          <cell r="B613">
            <v>2029</v>
          </cell>
          <cell r="C613" t="str">
            <v>wbsp_pop_1564_to</v>
          </cell>
          <cell r="D613">
            <v>1034862010</v>
          </cell>
          <cell r="F613" t="str">
            <v>16 Sep 2024</v>
          </cell>
        </row>
        <row r="614">
          <cell r="A614" t="str">
            <v>IND</v>
          </cell>
          <cell r="B614">
            <v>2029</v>
          </cell>
          <cell r="C614" t="str">
            <v>wbsp_pop_15up_to</v>
          </cell>
          <cell r="D614">
            <v>1163531652</v>
          </cell>
          <cell r="F614" t="str">
            <v>16 Sep 2024</v>
          </cell>
        </row>
        <row r="615">
          <cell r="A615" t="str">
            <v>IND</v>
          </cell>
          <cell r="B615">
            <v>2029</v>
          </cell>
          <cell r="C615" t="str">
            <v>wbsp_pop_65up_to</v>
          </cell>
          <cell r="D615">
            <v>128669642</v>
          </cell>
          <cell r="F615" t="str">
            <v>16 Sep 2024</v>
          </cell>
        </row>
        <row r="616">
          <cell r="A616" t="str">
            <v>IND</v>
          </cell>
          <cell r="B616">
            <v>2029</v>
          </cell>
          <cell r="C616" t="str">
            <v>wbsp_pop_totl</v>
          </cell>
          <cell r="D616">
            <v>1503470597</v>
          </cell>
          <cell r="F616" t="str">
            <v>16 Sep 2024</v>
          </cell>
        </row>
        <row r="617">
          <cell r="A617" t="str">
            <v>IND</v>
          </cell>
          <cell r="B617">
            <v>2030</v>
          </cell>
          <cell r="C617" t="str">
            <v>wbsp_pop_0014_to</v>
          </cell>
          <cell r="D617">
            <v>338124484</v>
          </cell>
          <cell r="F617" t="str">
            <v>16 Sep 2024</v>
          </cell>
        </row>
        <row r="618">
          <cell r="A618" t="str">
            <v>IND</v>
          </cell>
          <cell r="B618">
            <v>2030</v>
          </cell>
          <cell r="C618" t="str">
            <v>wbsp_pop_1564_to</v>
          </cell>
          <cell r="D618">
            <v>1043385192</v>
          </cell>
          <cell r="F618" t="str">
            <v>16 Sep 2024</v>
          </cell>
        </row>
        <row r="619">
          <cell r="A619" t="str">
            <v>IND</v>
          </cell>
          <cell r="B619">
            <v>2030</v>
          </cell>
          <cell r="C619" t="str">
            <v>wbsp_pop_15up_to</v>
          </cell>
          <cell r="D619">
            <v>1176869596</v>
          </cell>
          <cell r="F619" t="str">
            <v>16 Sep 2024</v>
          </cell>
        </row>
        <row r="620">
          <cell r="A620" t="str">
            <v>IND</v>
          </cell>
          <cell r="B620">
            <v>2030</v>
          </cell>
          <cell r="C620" t="str">
            <v>wbsp_pop_65up_to</v>
          </cell>
          <cell r="D620">
            <v>133484404</v>
          </cell>
          <cell r="F620" t="str">
            <v>16 Sep 2024</v>
          </cell>
        </row>
        <row r="621">
          <cell r="A621" t="str">
            <v>IND</v>
          </cell>
          <cell r="B621">
            <v>2030</v>
          </cell>
          <cell r="C621" t="str">
            <v>wbsp_pop_totl</v>
          </cell>
          <cell r="D621">
            <v>1514994080</v>
          </cell>
          <cell r="F621" t="str">
            <v>16 Sep 2024</v>
          </cell>
        </row>
        <row r="622">
          <cell r="A622" t="str">
            <v>LKA</v>
          </cell>
          <cell r="B622">
            <v>2000</v>
          </cell>
          <cell r="C622" t="str">
            <v>wbsp_pop_0014_to</v>
          </cell>
          <cell r="D622">
            <v>5030539</v>
          </cell>
          <cell r="F622" t="str">
            <v>16 Sep 2024</v>
          </cell>
        </row>
        <row r="623">
          <cell r="A623" t="str">
            <v>LKA</v>
          </cell>
          <cell r="B623">
            <v>2000</v>
          </cell>
          <cell r="C623" t="str">
            <v>wbsp_pop_1564_to</v>
          </cell>
          <cell r="D623">
            <v>12404117</v>
          </cell>
          <cell r="F623" t="str">
            <v>16 Sep 2024</v>
          </cell>
        </row>
        <row r="624">
          <cell r="A624" t="str">
            <v>LKA</v>
          </cell>
          <cell r="B624">
            <v>2000</v>
          </cell>
          <cell r="C624" t="str">
            <v>wbsp_pop_15up_to</v>
          </cell>
          <cell r="D624">
            <v>13745832</v>
          </cell>
          <cell r="F624" t="str">
            <v>16 Sep 2024</v>
          </cell>
        </row>
        <row r="625">
          <cell r="A625" t="str">
            <v>LKA</v>
          </cell>
          <cell r="B625">
            <v>2000</v>
          </cell>
          <cell r="C625" t="str">
            <v>wbsp_pop_65up_to</v>
          </cell>
          <cell r="D625">
            <v>1341715</v>
          </cell>
          <cell r="F625" t="str">
            <v>16 Sep 2024</v>
          </cell>
        </row>
        <row r="626">
          <cell r="A626" t="str">
            <v>LKA</v>
          </cell>
          <cell r="B626">
            <v>2000</v>
          </cell>
          <cell r="C626" t="str">
            <v>wbsp_pop_totl</v>
          </cell>
          <cell r="D626">
            <v>18776371</v>
          </cell>
          <cell r="F626" t="str">
            <v>16 Sep 2024</v>
          </cell>
        </row>
        <row r="627">
          <cell r="A627" t="str">
            <v>LKA</v>
          </cell>
          <cell r="B627">
            <v>2001</v>
          </cell>
          <cell r="C627" t="str">
            <v>wbsp_pop_0014_to</v>
          </cell>
          <cell r="D627">
            <v>5019334</v>
          </cell>
          <cell r="F627" t="str">
            <v>16 Sep 2024</v>
          </cell>
        </row>
        <row r="628">
          <cell r="A628" t="str">
            <v>LKA</v>
          </cell>
          <cell r="B628">
            <v>2001</v>
          </cell>
          <cell r="C628" t="str">
            <v>wbsp_pop_1564_to</v>
          </cell>
          <cell r="D628">
            <v>12548060</v>
          </cell>
          <cell r="F628" t="str">
            <v>16 Sep 2024</v>
          </cell>
        </row>
        <row r="629">
          <cell r="A629" t="str">
            <v>LKA</v>
          </cell>
          <cell r="B629">
            <v>2001</v>
          </cell>
          <cell r="C629" t="str">
            <v>wbsp_pop_15up_to</v>
          </cell>
          <cell r="D629">
            <v>13900941</v>
          </cell>
          <cell r="F629" t="str">
            <v>16 Sep 2024</v>
          </cell>
        </row>
        <row r="630">
          <cell r="A630" t="str">
            <v>LKA</v>
          </cell>
          <cell r="B630">
            <v>2001</v>
          </cell>
          <cell r="C630" t="str">
            <v>wbsp_pop_65up_to</v>
          </cell>
          <cell r="D630">
            <v>1352881</v>
          </cell>
          <cell r="F630" t="str">
            <v>16 Sep 2024</v>
          </cell>
        </row>
        <row r="631">
          <cell r="A631" t="str">
            <v>LKA</v>
          </cell>
          <cell r="B631">
            <v>2001</v>
          </cell>
          <cell r="C631" t="str">
            <v>wbsp_pop_totl</v>
          </cell>
          <cell r="D631">
            <v>18920275</v>
          </cell>
          <cell r="F631" t="str">
            <v>16 Sep 2024</v>
          </cell>
        </row>
        <row r="632">
          <cell r="A632" t="str">
            <v>LKA</v>
          </cell>
          <cell r="B632">
            <v>2002</v>
          </cell>
          <cell r="C632" t="str">
            <v>wbsp_pop_0014_to</v>
          </cell>
          <cell r="D632">
            <v>5029619</v>
          </cell>
          <cell r="F632" t="str">
            <v>16 Sep 2024</v>
          </cell>
        </row>
        <row r="633">
          <cell r="A633" t="str">
            <v>LKA</v>
          </cell>
          <cell r="B633">
            <v>2002</v>
          </cell>
          <cell r="C633" t="str">
            <v>wbsp_pop_1564_to</v>
          </cell>
          <cell r="D633">
            <v>12713085</v>
          </cell>
          <cell r="F633" t="str">
            <v>16 Sep 2024</v>
          </cell>
        </row>
        <row r="634">
          <cell r="A634" t="str">
            <v>LKA</v>
          </cell>
          <cell r="B634">
            <v>2002</v>
          </cell>
          <cell r="C634" t="str">
            <v>wbsp_pop_15up_to</v>
          </cell>
          <cell r="D634">
            <v>14081088</v>
          </cell>
          <cell r="F634" t="str">
            <v>16 Sep 2024</v>
          </cell>
        </row>
        <row r="635">
          <cell r="A635" t="str">
            <v>LKA</v>
          </cell>
          <cell r="B635">
            <v>2002</v>
          </cell>
          <cell r="C635" t="str">
            <v>wbsp_pop_65up_to</v>
          </cell>
          <cell r="D635">
            <v>1368003</v>
          </cell>
          <cell r="F635" t="str">
            <v>16 Sep 2024</v>
          </cell>
        </row>
        <row r="636">
          <cell r="A636" t="str">
            <v>LKA</v>
          </cell>
          <cell r="B636">
            <v>2002</v>
          </cell>
          <cell r="C636" t="str">
            <v>wbsp_pop_totl</v>
          </cell>
          <cell r="D636">
            <v>19110707</v>
          </cell>
          <cell r="F636" t="str">
            <v>16 Sep 2024</v>
          </cell>
        </row>
        <row r="637">
          <cell r="A637" t="str">
            <v>LKA</v>
          </cell>
          <cell r="B637">
            <v>2003</v>
          </cell>
          <cell r="C637" t="str">
            <v>wbsp_pop_0014_to</v>
          </cell>
          <cell r="D637">
            <v>5050341</v>
          </cell>
          <cell r="F637" t="str">
            <v>16 Sep 2024</v>
          </cell>
        </row>
        <row r="638">
          <cell r="A638" t="str">
            <v>LKA</v>
          </cell>
          <cell r="B638">
            <v>2003</v>
          </cell>
          <cell r="C638" t="str">
            <v>wbsp_pop_1564_to</v>
          </cell>
          <cell r="D638">
            <v>12868311</v>
          </cell>
          <cell r="F638" t="str">
            <v>16 Sep 2024</v>
          </cell>
        </row>
        <row r="639">
          <cell r="A639" t="str">
            <v>LKA</v>
          </cell>
          <cell r="B639">
            <v>2003</v>
          </cell>
          <cell r="C639" t="str">
            <v>wbsp_pop_15up_to</v>
          </cell>
          <cell r="D639">
            <v>14252839</v>
          </cell>
          <cell r="F639" t="str">
            <v>16 Sep 2024</v>
          </cell>
        </row>
        <row r="640">
          <cell r="A640" t="str">
            <v>LKA</v>
          </cell>
          <cell r="B640">
            <v>2003</v>
          </cell>
          <cell r="C640" t="str">
            <v>wbsp_pop_65up_to</v>
          </cell>
          <cell r="D640">
            <v>1384528</v>
          </cell>
          <cell r="F640" t="str">
            <v>16 Sep 2024</v>
          </cell>
        </row>
        <row r="641">
          <cell r="A641" t="str">
            <v>LKA</v>
          </cell>
          <cell r="B641">
            <v>2003</v>
          </cell>
          <cell r="C641" t="str">
            <v>wbsp_pop_totl</v>
          </cell>
          <cell r="D641">
            <v>19303180</v>
          </cell>
          <cell r="F641" t="str">
            <v>16 Sep 2024</v>
          </cell>
        </row>
        <row r="642">
          <cell r="A642" t="str">
            <v>LKA</v>
          </cell>
          <cell r="B642">
            <v>2004</v>
          </cell>
          <cell r="C642" t="str">
            <v>wbsp_pop_0014_to</v>
          </cell>
          <cell r="D642">
            <v>5074249</v>
          </cell>
          <cell r="F642" t="str">
            <v>16 Sep 2024</v>
          </cell>
        </row>
        <row r="643">
          <cell r="A643" t="str">
            <v>LKA</v>
          </cell>
          <cell r="B643">
            <v>2004</v>
          </cell>
          <cell r="C643" t="str">
            <v>wbsp_pop_1564_to</v>
          </cell>
          <cell r="D643">
            <v>13015289</v>
          </cell>
          <cell r="F643" t="str">
            <v>16 Sep 2024</v>
          </cell>
        </row>
        <row r="644">
          <cell r="A644" t="str">
            <v>LKA</v>
          </cell>
          <cell r="B644">
            <v>2004</v>
          </cell>
          <cell r="C644" t="str">
            <v>wbsp_pop_15up_to</v>
          </cell>
          <cell r="D644">
            <v>14416182</v>
          </cell>
          <cell r="F644" t="str">
            <v>16 Sep 2024</v>
          </cell>
        </row>
        <row r="645">
          <cell r="A645" t="str">
            <v>LKA</v>
          </cell>
          <cell r="B645">
            <v>2004</v>
          </cell>
          <cell r="C645" t="str">
            <v>wbsp_pop_65up_to</v>
          </cell>
          <cell r="D645">
            <v>1400893</v>
          </cell>
          <cell r="F645" t="str">
            <v>16 Sep 2024</v>
          </cell>
        </row>
        <row r="646">
          <cell r="A646" t="str">
            <v>LKA</v>
          </cell>
          <cell r="B646">
            <v>2004</v>
          </cell>
          <cell r="C646" t="str">
            <v>wbsp_pop_totl</v>
          </cell>
          <cell r="D646">
            <v>19490431</v>
          </cell>
          <cell r="F646" t="str">
            <v>16 Sep 2024</v>
          </cell>
        </row>
        <row r="647">
          <cell r="A647" t="str">
            <v>LKA</v>
          </cell>
          <cell r="B647">
            <v>2005</v>
          </cell>
          <cell r="C647" t="str">
            <v>wbsp_pop_0014_to</v>
          </cell>
          <cell r="D647">
            <v>5100110</v>
          </cell>
          <cell r="F647" t="str">
            <v>16 Sep 2024</v>
          </cell>
        </row>
        <row r="648">
          <cell r="A648" t="str">
            <v>LKA</v>
          </cell>
          <cell r="B648">
            <v>2005</v>
          </cell>
          <cell r="C648" t="str">
            <v>wbsp_pop_1564_to</v>
          </cell>
          <cell r="D648">
            <v>13155533</v>
          </cell>
          <cell r="F648" t="str">
            <v>16 Sep 2024</v>
          </cell>
        </row>
        <row r="649">
          <cell r="A649" t="str">
            <v>LKA</v>
          </cell>
          <cell r="B649">
            <v>2005</v>
          </cell>
          <cell r="C649" t="str">
            <v>wbsp_pop_15up_to</v>
          </cell>
          <cell r="D649">
            <v>14573756</v>
          </cell>
          <cell r="F649" t="str">
            <v>16 Sep 2024</v>
          </cell>
        </row>
        <row r="650">
          <cell r="A650" t="str">
            <v>LKA</v>
          </cell>
          <cell r="B650">
            <v>2005</v>
          </cell>
          <cell r="C650" t="str">
            <v>wbsp_pop_65up_to</v>
          </cell>
          <cell r="D650">
            <v>1418223</v>
          </cell>
          <cell r="F650" t="str">
            <v>16 Sep 2024</v>
          </cell>
        </row>
        <row r="651">
          <cell r="A651" t="str">
            <v>LKA</v>
          </cell>
          <cell r="B651">
            <v>2005</v>
          </cell>
          <cell r="C651" t="str">
            <v>wbsp_pop_totl</v>
          </cell>
          <cell r="D651">
            <v>19673866</v>
          </cell>
          <cell r="F651" t="str">
            <v>16 Sep 2024</v>
          </cell>
        </row>
        <row r="652">
          <cell r="A652" t="str">
            <v>LKA</v>
          </cell>
          <cell r="B652">
            <v>2006</v>
          </cell>
          <cell r="C652" t="str">
            <v>wbsp_pop_0014_to</v>
          </cell>
          <cell r="D652">
            <v>5132124</v>
          </cell>
          <cell r="F652" t="str">
            <v>16 Sep 2024</v>
          </cell>
        </row>
        <row r="653">
          <cell r="A653" t="str">
            <v>LKA</v>
          </cell>
          <cell r="B653">
            <v>2006</v>
          </cell>
          <cell r="C653" t="str">
            <v>wbsp_pop_1564_to</v>
          </cell>
          <cell r="D653">
            <v>13299704</v>
          </cell>
          <cell r="F653" t="str">
            <v>16 Sep 2024</v>
          </cell>
        </row>
        <row r="654">
          <cell r="A654" t="str">
            <v>LKA</v>
          </cell>
          <cell r="B654">
            <v>2006</v>
          </cell>
          <cell r="C654" t="str">
            <v>wbsp_pop_15up_to</v>
          </cell>
          <cell r="D654">
            <v>14738583</v>
          </cell>
          <cell r="F654" t="str">
            <v>16 Sep 2024</v>
          </cell>
        </row>
        <row r="655">
          <cell r="A655" t="str">
            <v>LKA</v>
          </cell>
          <cell r="B655">
            <v>2006</v>
          </cell>
          <cell r="C655" t="str">
            <v>wbsp_pop_65up_to</v>
          </cell>
          <cell r="D655">
            <v>1438879</v>
          </cell>
          <cell r="F655" t="str">
            <v>16 Sep 2024</v>
          </cell>
        </row>
        <row r="656">
          <cell r="A656" t="str">
            <v>LKA</v>
          </cell>
          <cell r="B656">
            <v>2006</v>
          </cell>
          <cell r="C656" t="str">
            <v>wbsp_pop_totl</v>
          </cell>
          <cell r="D656">
            <v>19870706</v>
          </cell>
          <cell r="F656" t="str">
            <v>16 Sep 2024</v>
          </cell>
        </row>
        <row r="657">
          <cell r="A657" t="str">
            <v>LKA</v>
          </cell>
          <cell r="B657">
            <v>2007</v>
          </cell>
          <cell r="C657" t="str">
            <v>wbsp_pop_0014_to</v>
          </cell>
          <cell r="D657">
            <v>5167067</v>
          </cell>
          <cell r="F657" t="str">
            <v>16 Sep 2024</v>
          </cell>
        </row>
        <row r="658">
          <cell r="A658" t="str">
            <v>LKA</v>
          </cell>
          <cell r="B658">
            <v>2007</v>
          </cell>
          <cell r="C658" t="str">
            <v>wbsp_pop_1564_to</v>
          </cell>
          <cell r="D658">
            <v>13442994</v>
          </cell>
          <cell r="F658" t="str">
            <v>16 Sep 2024</v>
          </cell>
        </row>
        <row r="659">
          <cell r="A659" t="str">
            <v>LKA</v>
          </cell>
          <cell r="B659">
            <v>2007</v>
          </cell>
          <cell r="C659" t="str">
            <v>wbsp_pop_15up_to</v>
          </cell>
          <cell r="D659">
            <v>14911589</v>
          </cell>
          <cell r="F659" t="str">
            <v>16 Sep 2024</v>
          </cell>
        </row>
        <row r="660">
          <cell r="A660" t="str">
            <v>LKA</v>
          </cell>
          <cell r="B660">
            <v>2007</v>
          </cell>
          <cell r="C660" t="str">
            <v>wbsp_pop_65up_to</v>
          </cell>
          <cell r="D660">
            <v>1468595</v>
          </cell>
          <cell r="F660" t="str">
            <v>16 Sep 2024</v>
          </cell>
        </row>
        <row r="661">
          <cell r="A661" t="str">
            <v>LKA</v>
          </cell>
          <cell r="B661">
            <v>2007</v>
          </cell>
          <cell r="C661" t="str">
            <v>wbsp_pop_totl</v>
          </cell>
          <cell r="D661">
            <v>20078655</v>
          </cell>
          <cell r="F661" t="str">
            <v>16 Sep 2024</v>
          </cell>
        </row>
        <row r="662">
          <cell r="A662" t="str">
            <v>LKA</v>
          </cell>
          <cell r="B662">
            <v>2008</v>
          </cell>
          <cell r="C662" t="str">
            <v>wbsp_pop_0014_to</v>
          </cell>
          <cell r="D662">
            <v>5204872</v>
          </cell>
          <cell r="F662" t="str">
            <v>16 Sep 2024</v>
          </cell>
        </row>
        <row r="663">
          <cell r="A663" t="str">
            <v>LKA</v>
          </cell>
          <cell r="B663">
            <v>2008</v>
          </cell>
          <cell r="C663" t="str">
            <v>wbsp_pop_1564_to</v>
          </cell>
          <cell r="D663">
            <v>13577592</v>
          </cell>
          <cell r="F663" t="str">
            <v>16 Sep 2024</v>
          </cell>
        </row>
        <row r="664">
          <cell r="A664" t="str">
            <v>LKA</v>
          </cell>
          <cell r="B664">
            <v>2008</v>
          </cell>
          <cell r="C664" t="str">
            <v>wbsp_pop_15up_to</v>
          </cell>
          <cell r="D664">
            <v>15080771</v>
          </cell>
          <cell r="F664" t="str">
            <v>16 Sep 2024</v>
          </cell>
        </row>
        <row r="665">
          <cell r="A665" t="str">
            <v>LKA</v>
          </cell>
          <cell r="B665">
            <v>2008</v>
          </cell>
          <cell r="C665" t="str">
            <v>wbsp_pop_65up_to</v>
          </cell>
          <cell r="D665">
            <v>1503179</v>
          </cell>
          <cell r="F665" t="str">
            <v>16 Sep 2024</v>
          </cell>
        </row>
        <row r="666">
          <cell r="A666" t="str">
            <v>LKA</v>
          </cell>
          <cell r="B666">
            <v>2008</v>
          </cell>
          <cell r="C666" t="str">
            <v>wbsp_pop_totl</v>
          </cell>
          <cell r="D666">
            <v>20285643</v>
          </cell>
          <cell r="F666" t="str">
            <v>16 Sep 2024</v>
          </cell>
        </row>
        <row r="667">
          <cell r="A667" t="str">
            <v>LKA</v>
          </cell>
          <cell r="B667">
            <v>2009</v>
          </cell>
          <cell r="C667" t="str">
            <v>wbsp_pop_0014_to</v>
          </cell>
          <cell r="D667">
            <v>5242679</v>
          </cell>
          <cell r="F667" t="str">
            <v>16 Sep 2024</v>
          </cell>
        </row>
        <row r="668">
          <cell r="A668" t="str">
            <v>LKA</v>
          </cell>
          <cell r="B668">
            <v>2009</v>
          </cell>
          <cell r="C668" t="str">
            <v>wbsp_pop_1564_to</v>
          </cell>
          <cell r="D668">
            <v>13700003</v>
          </cell>
          <cell r="F668" t="str">
            <v>16 Sep 2024</v>
          </cell>
        </row>
        <row r="669">
          <cell r="A669" t="str">
            <v>LKA</v>
          </cell>
          <cell r="B669">
            <v>2009</v>
          </cell>
          <cell r="C669" t="str">
            <v>wbsp_pop_15up_to</v>
          </cell>
          <cell r="D669">
            <v>15239798</v>
          </cell>
          <cell r="F669" t="str">
            <v>16 Sep 2024</v>
          </cell>
        </row>
        <row r="670">
          <cell r="A670" t="str">
            <v>LKA</v>
          </cell>
          <cell r="B670">
            <v>2009</v>
          </cell>
          <cell r="C670" t="str">
            <v>wbsp_pop_65up_to</v>
          </cell>
          <cell r="D670">
            <v>1539795</v>
          </cell>
          <cell r="F670" t="str">
            <v>16 Sep 2024</v>
          </cell>
        </row>
        <row r="671">
          <cell r="A671" t="str">
            <v>LKA</v>
          </cell>
          <cell r="B671">
            <v>2009</v>
          </cell>
          <cell r="C671" t="str">
            <v>wbsp_pop_totl</v>
          </cell>
          <cell r="D671">
            <v>20482477</v>
          </cell>
          <cell r="F671" t="str">
            <v>16 Sep 2024</v>
          </cell>
        </row>
        <row r="672">
          <cell r="A672" t="str">
            <v>LKA</v>
          </cell>
          <cell r="B672">
            <v>2010</v>
          </cell>
          <cell r="C672" t="str">
            <v>wbsp_pop_0014_to</v>
          </cell>
          <cell r="D672">
            <v>5274245</v>
          </cell>
          <cell r="F672" t="str">
            <v>16 Sep 2024</v>
          </cell>
        </row>
        <row r="673">
          <cell r="A673" t="str">
            <v>LKA</v>
          </cell>
          <cell r="B673">
            <v>2010</v>
          </cell>
          <cell r="C673" t="str">
            <v>wbsp_pop_1564_to</v>
          </cell>
          <cell r="D673">
            <v>13814694</v>
          </cell>
          <cell r="F673" t="str">
            <v>16 Sep 2024</v>
          </cell>
        </row>
        <row r="674">
          <cell r="A674" t="str">
            <v>LKA</v>
          </cell>
          <cell r="B674">
            <v>2010</v>
          </cell>
          <cell r="C674" t="str">
            <v>wbsp_pop_15up_to</v>
          </cell>
          <cell r="D674">
            <v>15394311</v>
          </cell>
          <cell r="F674" t="str">
            <v>16 Sep 2024</v>
          </cell>
        </row>
        <row r="675">
          <cell r="A675" t="str">
            <v>LKA</v>
          </cell>
          <cell r="B675">
            <v>2010</v>
          </cell>
          <cell r="C675" t="str">
            <v>wbsp_pop_65up_to</v>
          </cell>
          <cell r="D675">
            <v>1579617</v>
          </cell>
          <cell r="F675" t="str">
            <v>16 Sep 2024</v>
          </cell>
        </row>
        <row r="676">
          <cell r="A676" t="str">
            <v>LKA</v>
          </cell>
          <cell r="B676">
            <v>2010</v>
          </cell>
          <cell r="C676" t="str">
            <v>wbsp_pop_totl</v>
          </cell>
          <cell r="D676">
            <v>20668557</v>
          </cell>
          <cell r="F676" t="str">
            <v>16 Sep 2024</v>
          </cell>
        </row>
        <row r="677">
          <cell r="A677" t="str">
            <v>LKA</v>
          </cell>
          <cell r="B677">
            <v>2011</v>
          </cell>
          <cell r="C677" t="str">
            <v>wbsp_pop_0014_to</v>
          </cell>
          <cell r="D677">
            <v>5303245</v>
          </cell>
          <cell r="F677" t="str">
            <v>16 Sep 2024</v>
          </cell>
        </row>
        <row r="678">
          <cell r="A678" t="str">
            <v>LKA</v>
          </cell>
          <cell r="B678">
            <v>2011</v>
          </cell>
          <cell r="C678" t="str">
            <v>wbsp_pop_1564_to</v>
          </cell>
          <cell r="D678">
            <v>13932867</v>
          </cell>
          <cell r="F678" t="str">
            <v>16 Sep 2024</v>
          </cell>
        </row>
        <row r="679">
          <cell r="A679" t="str">
            <v>LKA</v>
          </cell>
          <cell r="B679">
            <v>2011</v>
          </cell>
          <cell r="C679" t="str">
            <v>wbsp_pop_15up_to</v>
          </cell>
          <cell r="D679">
            <v>15556498</v>
          </cell>
          <cell r="F679" t="str">
            <v>16 Sep 2024</v>
          </cell>
        </row>
        <row r="680">
          <cell r="A680" t="str">
            <v>LKA</v>
          </cell>
          <cell r="B680">
            <v>2011</v>
          </cell>
          <cell r="C680" t="str">
            <v>wbsp_pop_65up_to</v>
          </cell>
          <cell r="D680">
            <v>1623631</v>
          </cell>
          <cell r="F680" t="str">
            <v>16 Sep 2024</v>
          </cell>
        </row>
        <row r="681">
          <cell r="A681" t="str">
            <v>LKA</v>
          </cell>
          <cell r="B681">
            <v>2011</v>
          </cell>
          <cell r="C681" t="str">
            <v>wbsp_pop_totl</v>
          </cell>
          <cell r="D681">
            <v>20859743</v>
          </cell>
          <cell r="F681" t="str">
            <v>16 Sep 2024</v>
          </cell>
        </row>
        <row r="682">
          <cell r="A682" t="str">
            <v>LKA</v>
          </cell>
          <cell r="B682">
            <v>2012</v>
          </cell>
          <cell r="C682" t="str">
            <v>wbsp_pop_0014_to</v>
          </cell>
          <cell r="D682">
            <v>5325723</v>
          </cell>
          <cell r="F682" t="str">
            <v>16 Sep 2024</v>
          </cell>
        </row>
        <row r="683">
          <cell r="A683" t="str">
            <v>LKA</v>
          </cell>
          <cell r="B683">
            <v>2012</v>
          </cell>
          <cell r="C683" t="str">
            <v>wbsp_pop_1564_to</v>
          </cell>
          <cell r="D683">
            <v>14009180</v>
          </cell>
          <cell r="F683" t="str">
            <v>16 Sep 2024</v>
          </cell>
        </row>
        <row r="684">
          <cell r="A684" t="str">
            <v>LKA</v>
          </cell>
          <cell r="B684">
            <v>2012</v>
          </cell>
          <cell r="C684" t="str">
            <v>wbsp_pop_15up_to</v>
          </cell>
          <cell r="D684">
            <v>15691424</v>
          </cell>
          <cell r="F684" t="str">
            <v>16 Sep 2024</v>
          </cell>
        </row>
        <row r="685">
          <cell r="A685" t="str">
            <v>LKA</v>
          </cell>
          <cell r="B685">
            <v>2012</v>
          </cell>
          <cell r="C685" t="str">
            <v>wbsp_pop_65up_to</v>
          </cell>
          <cell r="D685">
            <v>1682244</v>
          </cell>
          <cell r="F685" t="str">
            <v>16 Sep 2024</v>
          </cell>
        </row>
        <row r="686">
          <cell r="A686" t="str">
            <v>LKA</v>
          </cell>
          <cell r="B686">
            <v>2012</v>
          </cell>
          <cell r="C686" t="str">
            <v>wbsp_pop_totl</v>
          </cell>
          <cell r="D686">
            <v>21017147</v>
          </cell>
          <cell r="F686" t="str">
            <v>16 Sep 2024</v>
          </cell>
        </row>
        <row r="687">
          <cell r="A687" t="str">
            <v>LKA</v>
          </cell>
          <cell r="B687">
            <v>2013</v>
          </cell>
          <cell r="C687" t="str">
            <v>wbsp_pop_0014_to</v>
          </cell>
          <cell r="D687">
            <v>5338135</v>
          </cell>
          <cell r="F687" t="str">
            <v>16 Sep 2024</v>
          </cell>
        </row>
        <row r="688">
          <cell r="A688" t="str">
            <v>LKA</v>
          </cell>
          <cell r="B688">
            <v>2013</v>
          </cell>
          <cell r="C688" t="str">
            <v>wbsp_pop_1564_to</v>
          </cell>
          <cell r="D688">
            <v>14039031</v>
          </cell>
          <cell r="F688" t="str">
            <v>16 Sep 2024</v>
          </cell>
        </row>
        <row r="689">
          <cell r="A689" t="str">
            <v>LKA</v>
          </cell>
          <cell r="B689">
            <v>2013</v>
          </cell>
          <cell r="C689" t="str">
            <v>wbsp_pop_15up_to</v>
          </cell>
          <cell r="D689">
            <v>15793621</v>
          </cell>
          <cell r="F689" t="str">
            <v>16 Sep 2024</v>
          </cell>
        </row>
        <row r="690">
          <cell r="A690" t="str">
            <v>LKA</v>
          </cell>
          <cell r="B690">
            <v>2013</v>
          </cell>
          <cell r="C690" t="str">
            <v>wbsp_pop_65up_to</v>
          </cell>
          <cell r="D690">
            <v>1754590</v>
          </cell>
          <cell r="F690" t="str">
            <v>16 Sep 2024</v>
          </cell>
        </row>
        <row r="691">
          <cell r="A691" t="str">
            <v>LKA</v>
          </cell>
          <cell r="B691">
            <v>2013</v>
          </cell>
          <cell r="C691" t="str">
            <v>wbsp_pop_totl</v>
          </cell>
          <cell r="D691">
            <v>21131756</v>
          </cell>
          <cell r="F691" t="str">
            <v>16 Sep 2024</v>
          </cell>
        </row>
        <row r="692">
          <cell r="A692" t="str">
            <v>LKA</v>
          </cell>
          <cell r="B692">
            <v>2014</v>
          </cell>
          <cell r="C692" t="str">
            <v>wbsp_pop_0014_to</v>
          </cell>
          <cell r="D692">
            <v>5342030</v>
          </cell>
          <cell r="F692" t="str">
            <v>16 Sep 2024</v>
          </cell>
        </row>
        <row r="693">
          <cell r="A693" t="str">
            <v>LKA</v>
          </cell>
          <cell r="B693">
            <v>2014</v>
          </cell>
          <cell r="C693" t="str">
            <v>wbsp_pop_1564_to</v>
          </cell>
          <cell r="D693">
            <v>14063554</v>
          </cell>
          <cell r="F693" t="str">
            <v>16 Sep 2024</v>
          </cell>
        </row>
        <row r="694">
          <cell r="A694" t="str">
            <v>LKA</v>
          </cell>
          <cell r="B694">
            <v>2014</v>
          </cell>
          <cell r="C694" t="str">
            <v>wbsp_pop_15up_to</v>
          </cell>
          <cell r="D694">
            <v>15897427</v>
          </cell>
          <cell r="F694" t="str">
            <v>16 Sep 2024</v>
          </cell>
        </row>
        <row r="695">
          <cell r="A695" t="str">
            <v>LKA</v>
          </cell>
          <cell r="B695">
            <v>2014</v>
          </cell>
          <cell r="C695" t="str">
            <v>wbsp_pop_65up_to</v>
          </cell>
          <cell r="D695">
            <v>1833873</v>
          </cell>
          <cell r="F695" t="str">
            <v>16 Sep 2024</v>
          </cell>
        </row>
        <row r="696">
          <cell r="A696" t="str">
            <v>LKA</v>
          </cell>
          <cell r="B696">
            <v>2014</v>
          </cell>
          <cell r="C696" t="str">
            <v>wbsp_pop_totl</v>
          </cell>
          <cell r="D696">
            <v>21239457</v>
          </cell>
          <cell r="F696" t="str">
            <v>16 Sep 2024</v>
          </cell>
        </row>
        <row r="697">
          <cell r="A697" t="str">
            <v>LKA</v>
          </cell>
          <cell r="B697">
            <v>2015</v>
          </cell>
          <cell r="C697" t="str">
            <v>wbsp_pop_0014_to</v>
          </cell>
          <cell r="D697">
            <v>5331526</v>
          </cell>
          <cell r="F697" t="str">
            <v>16 Sep 2024</v>
          </cell>
        </row>
        <row r="698">
          <cell r="A698" t="str">
            <v>LKA</v>
          </cell>
          <cell r="B698">
            <v>2015</v>
          </cell>
          <cell r="C698" t="str">
            <v>wbsp_pop_1564_to</v>
          </cell>
          <cell r="D698">
            <v>14087748</v>
          </cell>
          <cell r="F698" t="str">
            <v>16 Sep 2024</v>
          </cell>
        </row>
        <row r="699">
          <cell r="A699" t="str">
            <v>LKA</v>
          </cell>
          <cell r="B699">
            <v>2015</v>
          </cell>
          <cell r="C699" t="str">
            <v>wbsp_pop_15up_to</v>
          </cell>
          <cell r="D699">
            <v>16005171</v>
          </cell>
          <cell r="F699" t="str">
            <v>16 Sep 2024</v>
          </cell>
        </row>
        <row r="700">
          <cell r="A700" t="str">
            <v>LKA</v>
          </cell>
          <cell r="B700">
            <v>2015</v>
          </cell>
          <cell r="C700" t="str">
            <v>wbsp_pop_65up_to</v>
          </cell>
          <cell r="D700">
            <v>1917423</v>
          </cell>
          <cell r="F700" t="str">
            <v>16 Sep 2024</v>
          </cell>
        </row>
        <row r="701">
          <cell r="A701" t="str">
            <v>LKA</v>
          </cell>
          <cell r="B701">
            <v>2015</v>
          </cell>
          <cell r="C701" t="str">
            <v>wbsp_pop_totl</v>
          </cell>
          <cell r="D701">
            <v>21336697</v>
          </cell>
          <cell r="F701" t="str">
            <v>16 Sep 2024</v>
          </cell>
        </row>
        <row r="702">
          <cell r="A702" t="str">
            <v>LKA</v>
          </cell>
          <cell r="B702">
            <v>2016</v>
          </cell>
          <cell r="C702" t="str">
            <v>wbsp_pop_0014_to</v>
          </cell>
          <cell r="D702">
            <v>5307103</v>
          </cell>
          <cell r="F702" t="str">
            <v>16 Sep 2024</v>
          </cell>
        </row>
        <row r="703">
          <cell r="A703" t="str">
            <v>LKA</v>
          </cell>
          <cell r="B703">
            <v>2016</v>
          </cell>
          <cell r="C703" t="str">
            <v>wbsp_pop_1564_to</v>
          </cell>
          <cell r="D703">
            <v>14117896</v>
          </cell>
          <cell r="F703" t="str">
            <v>16 Sep 2024</v>
          </cell>
        </row>
        <row r="704">
          <cell r="A704" t="str">
            <v>LKA</v>
          </cell>
          <cell r="B704">
            <v>2016</v>
          </cell>
          <cell r="C704" t="str">
            <v>wbsp_pop_15up_to</v>
          </cell>
          <cell r="D704">
            <v>16118390</v>
          </cell>
          <cell r="F704" t="str">
            <v>16 Sep 2024</v>
          </cell>
        </row>
        <row r="705">
          <cell r="A705" t="str">
            <v>LKA</v>
          </cell>
          <cell r="B705">
            <v>2016</v>
          </cell>
          <cell r="C705" t="str">
            <v>wbsp_pop_65up_to</v>
          </cell>
          <cell r="D705">
            <v>2000494</v>
          </cell>
          <cell r="F705" t="str">
            <v>16 Sep 2024</v>
          </cell>
        </row>
        <row r="706">
          <cell r="A706" t="str">
            <v>LKA</v>
          </cell>
          <cell r="B706">
            <v>2016</v>
          </cell>
          <cell r="C706" t="str">
            <v>wbsp_pop_totl</v>
          </cell>
          <cell r="D706">
            <v>21425494</v>
          </cell>
          <cell r="F706" t="str">
            <v>16 Sep 2024</v>
          </cell>
        </row>
        <row r="707">
          <cell r="A707" t="str">
            <v>LKA</v>
          </cell>
          <cell r="B707">
            <v>2017</v>
          </cell>
          <cell r="C707" t="str">
            <v>wbsp_pop_0014_to</v>
          </cell>
          <cell r="D707">
            <v>5272688</v>
          </cell>
          <cell r="F707" t="str">
            <v>16 Sep 2024</v>
          </cell>
        </row>
        <row r="708">
          <cell r="A708" t="str">
            <v>LKA</v>
          </cell>
          <cell r="B708">
            <v>2017</v>
          </cell>
          <cell r="C708" t="str">
            <v>wbsp_pop_1564_to</v>
          </cell>
          <cell r="D708">
            <v>14148610</v>
          </cell>
          <cell r="F708" t="str">
            <v>16 Sep 2024</v>
          </cell>
        </row>
        <row r="709">
          <cell r="A709" t="str">
            <v>LKA</v>
          </cell>
          <cell r="B709">
            <v>2017</v>
          </cell>
          <cell r="C709" t="str">
            <v>wbsp_pop_15up_to</v>
          </cell>
          <cell r="D709">
            <v>16234125</v>
          </cell>
          <cell r="F709" t="str">
            <v>16 Sep 2024</v>
          </cell>
        </row>
        <row r="710">
          <cell r="A710" t="str">
            <v>LKA</v>
          </cell>
          <cell r="B710">
            <v>2017</v>
          </cell>
          <cell r="C710" t="str">
            <v>wbsp_pop_65up_to</v>
          </cell>
          <cell r="D710">
            <v>2085515</v>
          </cell>
          <cell r="F710" t="str">
            <v>16 Sep 2024</v>
          </cell>
        </row>
        <row r="711">
          <cell r="A711" t="str">
            <v>LKA</v>
          </cell>
          <cell r="B711">
            <v>2017</v>
          </cell>
          <cell r="C711" t="str">
            <v>wbsp_pop_totl</v>
          </cell>
          <cell r="D711">
            <v>21506813</v>
          </cell>
          <cell r="F711" t="str">
            <v>16 Sep 2024</v>
          </cell>
        </row>
        <row r="712">
          <cell r="A712" t="str">
            <v>LKA</v>
          </cell>
          <cell r="B712">
            <v>2018</v>
          </cell>
          <cell r="C712" t="str">
            <v>wbsp_pop_0014_to</v>
          </cell>
          <cell r="D712">
            <v>5252066</v>
          </cell>
          <cell r="F712" t="str">
            <v>16 Sep 2024</v>
          </cell>
        </row>
        <row r="713">
          <cell r="A713" t="str">
            <v>LKA</v>
          </cell>
          <cell r="B713">
            <v>2018</v>
          </cell>
          <cell r="C713" t="str">
            <v>wbsp_pop_1564_to</v>
          </cell>
          <cell r="D713">
            <v>14234737</v>
          </cell>
          <cell r="F713" t="str">
            <v>16 Sep 2024</v>
          </cell>
        </row>
        <row r="714">
          <cell r="A714" t="str">
            <v>LKA</v>
          </cell>
          <cell r="B714">
            <v>2018</v>
          </cell>
          <cell r="C714" t="str">
            <v>wbsp_pop_15up_to</v>
          </cell>
          <cell r="D714">
            <v>16417934</v>
          </cell>
          <cell r="F714" t="str">
            <v>16 Sep 2024</v>
          </cell>
        </row>
        <row r="715">
          <cell r="A715" t="str">
            <v>LKA</v>
          </cell>
          <cell r="B715">
            <v>2018</v>
          </cell>
          <cell r="C715" t="str">
            <v>wbsp_pop_65up_to</v>
          </cell>
          <cell r="D715">
            <v>2183197</v>
          </cell>
          <cell r="F715" t="str">
            <v>16 Sep 2024</v>
          </cell>
        </row>
        <row r="716">
          <cell r="A716" t="str">
            <v>LKA</v>
          </cell>
          <cell r="B716">
            <v>2018</v>
          </cell>
          <cell r="C716" t="str">
            <v>wbsp_pop_totl</v>
          </cell>
          <cell r="D716">
            <v>21670000</v>
          </cell>
          <cell r="F716" t="str">
            <v>16 Sep 2024</v>
          </cell>
        </row>
        <row r="717">
          <cell r="A717" t="str">
            <v>LKA</v>
          </cell>
          <cell r="B717">
            <v>2019</v>
          </cell>
          <cell r="C717" t="str">
            <v>wbsp_pop_0014_to</v>
          </cell>
          <cell r="D717">
            <v>5217171</v>
          </cell>
          <cell r="F717" t="str">
            <v>16 Sep 2024</v>
          </cell>
        </row>
        <row r="718">
          <cell r="A718" t="str">
            <v>LKA</v>
          </cell>
          <cell r="B718">
            <v>2019</v>
          </cell>
          <cell r="C718" t="str">
            <v>wbsp_pop_1564_to</v>
          </cell>
          <cell r="D718">
            <v>14307585</v>
          </cell>
          <cell r="F718" t="str">
            <v>16 Sep 2024</v>
          </cell>
        </row>
        <row r="719">
          <cell r="A719" t="str">
            <v>LKA</v>
          </cell>
          <cell r="B719">
            <v>2019</v>
          </cell>
          <cell r="C719" t="str">
            <v>wbsp_pop_15up_to</v>
          </cell>
          <cell r="D719">
            <v>16585829</v>
          </cell>
          <cell r="F719" t="str">
            <v>16 Sep 2024</v>
          </cell>
        </row>
        <row r="720">
          <cell r="A720" t="str">
            <v>LKA</v>
          </cell>
          <cell r="B720">
            <v>2019</v>
          </cell>
          <cell r="C720" t="str">
            <v>wbsp_pop_65up_to</v>
          </cell>
          <cell r="D720">
            <v>2278244</v>
          </cell>
          <cell r="F720" t="str">
            <v>16 Sep 2024</v>
          </cell>
        </row>
        <row r="721">
          <cell r="A721" t="str">
            <v>LKA</v>
          </cell>
          <cell r="B721">
            <v>2019</v>
          </cell>
          <cell r="C721" t="str">
            <v>wbsp_pop_totl</v>
          </cell>
          <cell r="D721">
            <v>21803000</v>
          </cell>
          <cell r="F721" t="str">
            <v>16 Sep 2024</v>
          </cell>
        </row>
        <row r="722">
          <cell r="A722" t="str">
            <v>LKA</v>
          </cell>
          <cell r="B722">
            <v>2020</v>
          </cell>
          <cell r="C722" t="str">
            <v>wbsp_pop_0014_to</v>
          </cell>
          <cell r="D722">
            <v>5170081</v>
          </cell>
          <cell r="F722" t="str">
            <v>16 Sep 2024</v>
          </cell>
        </row>
        <row r="723">
          <cell r="A723" t="str">
            <v>LKA</v>
          </cell>
          <cell r="B723">
            <v>2020</v>
          </cell>
          <cell r="C723" t="str">
            <v>wbsp_pop_1564_to</v>
          </cell>
          <cell r="D723">
            <v>14381014</v>
          </cell>
          <cell r="F723" t="str">
            <v>16 Sep 2024</v>
          </cell>
        </row>
        <row r="724">
          <cell r="A724" t="str">
            <v>LKA</v>
          </cell>
          <cell r="B724">
            <v>2020</v>
          </cell>
          <cell r="C724" t="str">
            <v>wbsp_pop_15up_to</v>
          </cell>
          <cell r="D724">
            <v>16748919</v>
          </cell>
          <cell r="F724" t="str">
            <v>16 Sep 2024</v>
          </cell>
        </row>
        <row r="725">
          <cell r="A725" t="str">
            <v>LKA</v>
          </cell>
          <cell r="B725">
            <v>2020</v>
          </cell>
          <cell r="C725" t="str">
            <v>wbsp_pop_65up_to</v>
          </cell>
          <cell r="D725">
            <v>2367905</v>
          </cell>
          <cell r="F725" t="str">
            <v>16 Sep 2024</v>
          </cell>
        </row>
        <row r="726">
          <cell r="A726" t="str">
            <v>LKA</v>
          </cell>
          <cell r="B726">
            <v>2020</v>
          </cell>
          <cell r="C726" t="str">
            <v>wbsp_pop_totl</v>
          </cell>
          <cell r="D726">
            <v>21919000</v>
          </cell>
          <cell r="F726" t="str">
            <v>16 Sep 2024</v>
          </cell>
        </row>
        <row r="727">
          <cell r="A727" t="str">
            <v>LKA</v>
          </cell>
          <cell r="B727">
            <v>2021</v>
          </cell>
          <cell r="C727" t="str">
            <v>wbsp_pop_0014_to</v>
          </cell>
          <cell r="D727">
            <v>5143439</v>
          </cell>
          <cell r="F727" t="str">
            <v>16 Sep 2024</v>
          </cell>
        </row>
        <row r="728">
          <cell r="A728" t="str">
            <v>LKA</v>
          </cell>
          <cell r="B728">
            <v>2021</v>
          </cell>
          <cell r="C728" t="str">
            <v>wbsp_pop_1564_to</v>
          </cell>
          <cell r="D728">
            <v>14540694</v>
          </cell>
          <cell r="F728" t="str">
            <v>16 Sep 2024</v>
          </cell>
        </row>
        <row r="729">
          <cell r="A729" t="str">
            <v>LKA</v>
          </cell>
          <cell r="B729">
            <v>2021</v>
          </cell>
          <cell r="C729" t="str">
            <v>wbsp_pop_15up_to</v>
          </cell>
          <cell r="D729">
            <v>17012561</v>
          </cell>
          <cell r="F729" t="str">
            <v>16 Sep 2024</v>
          </cell>
        </row>
        <row r="730">
          <cell r="A730" t="str">
            <v>LKA</v>
          </cell>
          <cell r="B730">
            <v>2021</v>
          </cell>
          <cell r="C730" t="str">
            <v>wbsp_pop_65up_to</v>
          </cell>
          <cell r="D730">
            <v>2471867</v>
          </cell>
          <cell r="F730" t="str">
            <v>16 Sep 2024</v>
          </cell>
        </row>
        <row r="731">
          <cell r="A731" t="str">
            <v>LKA</v>
          </cell>
          <cell r="B731">
            <v>2021</v>
          </cell>
          <cell r="C731" t="str">
            <v>wbsp_pop_totl</v>
          </cell>
          <cell r="D731">
            <v>22156000</v>
          </cell>
          <cell r="F731" t="str">
            <v>16 Sep 2024</v>
          </cell>
        </row>
        <row r="732">
          <cell r="A732" t="str">
            <v>LKA</v>
          </cell>
          <cell r="B732">
            <v>2022</v>
          </cell>
          <cell r="C732" t="str">
            <v>wbsp_pop_0014_to</v>
          </cell>
          <cell r="D732">
            <v>5061219</v>
          </cell>
          <cell r="F732" t="str">
            <v>16 Sep 2024</v>
          </cell>
        </row>
        <row r="733">
          <cell r="A733" t="str">
            <v>LKA</v>
          </cell>
          <cell r="B733">
            <v>2022</v>
          </cell>
          <cell r="C733" t="str">
            <v>wbsp_pop_1564_to</v>
          </cell>
          <cell r="D733">
            <v>14560801</v>
          </cell>
          <cell r="F733" t="str">
            <v>16 Sep 2024</v>
          </cell>
        </row>
        <row r="734">
          <cell r="A734" t="str">
            <v>LKA</v>
          </cell>
          <cell r="B734">
            <v>2022</v>
          </cell>
          <cell r="C734" t="str">
            <v>wbsp_pop_15up_to</v>
          </cell>
          <cell r="D734">
            <v>17119781</v>
          </cell>
          <cell r="F734" t="str">
            <v>16 Sep 2024</v>
          </cell>
        </row>
        <row r="735">
          <cell r="A735" t="str">
            <v>LKA</v>
          </cell>
          <cell r="B735">
            <v>2022</v>
          </cell>
          <cell r="C735" t="str">
            <v>wbsp_pop_65up_to</v>
          </cell>
          <cell r="D735">
            <v>2558980</v>
          </cell>
          <cell r="F735" t="str">
            <v>16 Sep 2024</v>
          </cell>
        </row>
        <row r="736">
          <cell r="A736" t="str">
            <v>LKA</v>
          </cell>
          <cell r="B736">
            <v>2022</v>
          </cell>
          <cell r="C736" t="str">
            <v>wbsp_pop_totl</v>
          </cell>
          <cell r="D736">
            <v>22181000</v>
          </cell>
          <cell r="F736" t="str">
            <v>16 Sep 2024</v>
          </cell>
        </row>
        <row r="737">
          <cell r="A737" t="str">
            <v>LKA</v>
          </cell>
          <cell r="B737">
            <v>2023</v>
          </cell>
          <cell r="C737" t="str">
            <v>wbsp_pop_0014_to</v>
          </cell>
          <cell r="D737">
            <v>4939502</v>
          </cell>
          <cell r="F737" t="str">
            <v>16 Sep 2024</v>
          </cell>
        </row>
        <row r="738">
          <cell r="A738" t="str">
            <v>LKA</v>
          </cell>
          <cell r="B738">
            <v>2023</v>
          </cell>
          <cell r="C738" t="str">
            <v>wbsp_pop_1564_to</v>
          </cell>
          <cell r="D738">
            <v>14471414</v>
          </cell>
          <cell r="F738" t="str">
            <v>16 Sep 2024</v>
          </cell>
        </row>
        <row r="739">
          <cell r="A739" t="str">
            <v>LKA</v>
          </cell>
          <cell r="B739">
            <v>2023</v>
          </cell>
          <cell r="C739" t="str">
            <v>wbsp_pop_15up_to</v>
          </cell>
          <cell r="D739">
            <v>17097499</v>
          </cell>
          <cell r="F739" t="str">
            <v>16 Sep 2024</v>
          </cell>
        </row>
        <row r="740">
          <cell r="A740" t="str">
            <v>LKA</v>
          </cell>
          <cell r="B740">
            <v>2023</v>
          </cell>
          <cell r="C740" t="str">
            <v>wbsp_pop_65up_to</v>
          </cell>
          <cell r="D740">
            <v>2626085</v>
          </cell>
          <cell r="F740" t="str">
            <v>16 Sep 2024</v>
          </cell>
        </row>
        <row r="741">
          <cell r="A741" t="str">
            <v>LKA</v>
          </cell>
          <cell r="B741">
            <v>2023</v>
          </cell>
          <cell r="C741" t="str">
            <v>wbsp_pop_totl</v>
          </cell>
          <cell r="D741">
            <v>22037000</v>
          </cell>
          <cell r="F741" t="str">
            <v>16 Sep 2024</v>
          </cell>
        </row>
        <row r="742">
          <cell r="A742" t="str">
            <v>LKA</v>
          </cell>
          <cell r="B742">
            <v>2024</v>
          </cell>
          <cell r="C742" t="str">
            <v>wbsp_pop_0014_to</v>
          </cell>
          <cell r="D742">
            <v>4866365</v>
          </cell>
          <cell r="F742" t="str">
            <v>16 Sep 2024</v>
          </cell>
        </row>
        <row r="743">
          <cell r="A743" t="str">
            <v>LKA</v>
          </cell>
          <cell r="B743">
            <v>2024</v>
          </cell>
          <cell r="C743" t="str">
            <v>wbsp_pop_1564_to</v>
          </cell>
          <cell r="D743">
            <v>14501631</v>
          </cell>
          <cell r="F743" t="str">
            <v>16 Sep 2024</v>
          </cell>
        </row>
        <row r="744">
          <cell r="A744" t="str">
            <v>LKA</v>
          </cell>
          <cell r="B744">
            <v>2024</v>
          </cell>
          <cell r="C744" t="str">
            <v>wbsp_pop_15up_to</v>
          </cell>
          <cell r="D744">
            <v>17223447</v>
          </cell>
          <cell r="F744" t="str">
            <v>16 Sep 2024</v>
          </cell>
        </row>
        <row r="745">
          <cell r="A745" t="str">
            <v>LKA</v>
          </cell>
          <cell r="B745">
            <v>2024</v>
          </cell>
          <cell r="C745" t="str">
            <v>wbsp_pop_65up_to</v>
          </cell>
          <cell r="D745">
            <v>2721816</v>
          </cell>
          <cell r="F745" t="str">
            <v>16 Sep 2024</v>
          </cell>
        </row>
        <row r="746">
          <cell r="A746" t="str">
            <v>LKA</v>
          </cell>
          <cell r="B746">
            <v>2024</v>
          </cell>
          <cell r="C746" t="str">
            <v>wbsp_pop_totl</v>
          </cell>
          <cell r="D746">
            <v>22089812</v>
          </cell>
          <cell r="F746" t="str">
            <v>16 Sep 2024</v>
          </cell>
        </row>
        <row r="747">
          <cell r="A747" t="str">
            <v>LKA</v>
          </cell>
          <cell r="B747">
            <v>2025</v>
          </cell>
          <cell r="C747" t="str">
            <v>wbsp_pop_0014_to</v>
          </cell>
          <cell r="D747">
            <v>4799403</v>
          </cell>
          <cell r="F747" t="str">
            <v>16 Sep 2024</v>
          </cell>
        </row>
        <row r="748">
          <cell r="A748" t="str">
            <v>LKA</v>
          </cell>
          <cell r="B748">
            <v>2025</v>
          </cell>
          <cell r="C748" t="str">
            <v>wbsp_pop_1564_to</v>
          </cell>
          <cell r="D748">
            <v>14516397</v>
          </cell>
          <cell r="F748" t="str">
            <v>16 Sep 2024</v>
          </cell>
        </row>
        <row r="749">
          <cell r="A749" t="str">
            <v>LKA</v>
          </cell>
          <cell r="B749">
            <v>2025</v>
          </cell>
          <cell r="C749" t="str">
            <v>wbsp_pop_15up_to</v>
          </cell>
          <cell r="D749">
            <v>17339038</v>
          </cell>
          <cell r="F749" t="str">
            <v>16 Sep 2024</v>
          </cell>
        </row>
        <row r="750">
          <cell r="A750" t="str">
            <v>LKA</v>
          </cell>
          <cell r="B750">
            <v>2025</v>
          </cell>
          <cell r="C750" t="str">
            <v>wbsp_pop_65up_to</v>
          </cell>
          <cell r="D750">
            <v>2822641</v>
          </cell>
          <cell r="F750" t="str">
            <v>16 Sep 2024</v>
          </cell>
        </row>
        <row r="751">
          <cell r="A751" t="str">
            <v>LKA</v>
          </cell>
          <cell r="B751">
            <v>2025</v>
          </cell>
          <cell r="C751" t="str">
            <v>wbsp_pop_totl</v>
          </cell>
          <cell r="D751">
            <v>22138442</v>
          </cell>
          <cell r="F751" t="str">
            <v>16 Sep 2024</v>
          </cell>
        </row>
        <row r="752">
          <cell r="A752" t="str">
            <v>LKA</v>
          </cell>
          <cell r="B752">
            <v>2026</v>
          </cell>
          <cell r="C752" t="str">
            <v>wbsp_pop_0014_to</v>
          </cell>
          <cell r="D752">
            <v>4734688</v>
          </cell>
          <cell r="F752" t="str">
            <v>16 Sep 2024</v>
          </cell>
        </row>
        <row r="753">
          <cell r="A753" t="str">
            <v>LKA</v>
          </cell>
          <cell r="B753">
            <v>2026</v>
          </cell>
          <cell r="C753" t="str">
            <v>wbsp_pop_1564_to</v>
          </cell>
          <cell r="D753">
            <v>14526014</v>
          </cell>
          <cell r="F753" t="str">
            <v>16 Sep 2024</v>
          </cell>
        </row>
        <row r="754">
          <cell r="A754" t="str">
            <v>LKA</v>
          </cell>
          <cell r="B754">
            <v>2026</v>
          </cell>
          <cell r="C754" t="str">
            <v>wbsp_pop_15up_to</v>
          </cell>
          <cell r="D754">
            <v>17446573</v>
          </cell>
          <cell r="F754" t="str">
            <v>16 Sep 2024</v>
          </cell>
        </row>
        <row r="755">
          <cell r="A755" t="str">
            <v>LKA</v>
          </cell>
          <cell r="B755">
            <v>2026</v>
          </cell>
          <cell r="C755" t="str">
            <v>wbsp_pop_65up_to</v>
          </cell>
          <cell r="D755">
            <v>2920559</v>
          </cell>
          <cell r="F755" t="str">
            <v>16 Sep 2024</v>
          </cell>
        </row>
        <row r="756">
          <cell r="A756" t="str">
            <v>LKA</v>
          </cell>
          <cell r="B756">
            <v>2026</v>
          </cell>
          <cell r="C756" t="str">
            <v>wbsp_pop_totl</v>
          </cell>
          <cell r="D756">
            <v>22181262</v>
          </cell>
          <cell r="F756" t="str">
            <v>16 Sep 2024</v>
          </cell>
        </row>
        <row r="757">
          <cell r="A757" t="str">
            <v>LKA</v>
          </cell>
          <cell r="B757">
            <v>2027</v>
          </cell>
          <cell r="C757" t="str">
            <v>wbsp_pop_0014_to</v>
          </cell>
          <cell r="D757">
            <v>4665540</v>
          </cell>
          <cell r="F757" t="str">
            <v>16 Sep 2024</v>
          </cell>
        </row>
        <row r="758">
          <cell r="A758" t="str">
            <v>LKA</v>
          </cell>
          <cell r="B758">
            <v>2027</v>
          </cell>
          <cell r="C758" t="str">
            <v>wbsp_pop_1564_to</v>
          </cell>
          <cell r="D758">
            <v>14536435</v>
          </cell>
          <cell r="F758" t="str">
            <v>16 Sep 2024</v>
          </cell>
        </row>
        <row r="759">
          <cell r="A759" t="str">
            <v>LKA</v>
          </cell>
          <cell r="B759">
            <v>2027</v>
          </cell>
          <cell r="C759" t="str">
            <v>wbsp_pop_15up_to</v>
          </cell>
          <cell r="D759">
            <v>17553764</v>
          </cell>
          <cell r="F759" t="str">
            <v>16 Sep 2024</v>
          </cell>
        </row>
        <row r="760">
          <cell r="A760" t="str">
            <v>LKA</v>
          </cell>
          <cell r="B760">
            <v>2027</v>
          </cell>
          <cell r="C760" t="str">
            <v>wbsp_pop_65up_to</v>
          </cell>
          <cell r="D760">
            <v>3017329</v>
          </cell>
          <cell r="F760" t="str">
            <v>16 Sep 2024</v>
          </cell>
        </row>
        <row r="761">
          <cell r="A761" t="str">
            <v>LKA</v>
          </cell>
          <cell r="B761">
            <v>2027</v>
          </cell>
          <cell r="C761" t="str">
            <v>wbsp_pop_totl</v>
          </cell>
          <cell r="D761">
            <v>22219304</v>
          </cell>
          <cell r="F761" t="str">
            <v>16 Sep 2024</v>
          </cell>
        </row>
        <row r="762">
          <cell r="A762" t="str">
            <v>LKA</v>
          </cell>
          <cell r="B762">
            <v>2028</v>
          </cell>
          <cell r="C762" t="str">
            <v>wbsp_pop_0014_to</v>
          </cell>
          <cell r="D762">
            <v>4595166</v>
          </cell>
          <cell r="F762" t="str">
            <v>16 Sep 2024</v>
          </cell>
        </row>
        <row r="763">
          <cell r="A763" t="str">
            <v>LKA</v>
          </cell>
          <cell r="B763">
            <v>2028</v>
          </cell>
          <cell r="C763" t="str">
            <v>wbsp_pop_1564_to</v>
          </cell>
          <cell r="D763">
            <v>14548552</v>
          </cell>
          <cell r="F763" t="str">
            <v>16 Sep 2024</v>
          </cell>
        </row>
        <row r="764">
          <cell r="A764" t="str">
            <v>LKA</v>
          </cell>
          <cell r="B764">
            <v>2028</v>
          </cell>
          <cell r="C764" t="str">
            <v>wbsp_pop_15up_to</v>
          </cell>
          <cell r="D764">
            <v>17657522</v>
          </cell>
          <cell r="F764" t="str">
            <v>16 Sep 2024</v>
          </cell>
        </row>
        <row r="765">
          <cell r="A765" t="str">
            <v>LKA</v>
          </cell>
          <cell r="B765">
            <v>2028</v>
          </cell>
          <cell r="C765" t="str">
            <v>wbsp_pop_65up_to</v>
          </cell>
          <cell r="D765">
            <v>3108970</v>
          </cell>
          <cell r="F765" t="str">
            <v>16 Sep 2024</v>
          </cell>
        </row>
        <row r="766">
          <cell r="A766" t="str">
            <v>LKA</v>
          </cell>
          <cell r="B766">
            <v>2028</v>
          </cell>
          <cell r="C766" t="str">
            <v>wbsp_pop_totl</v>
          </cell>
          <cell r="D766">
            <v>22252688</v>
          </cell>
          <cell r="F766" t="str">
            <v>16 Sep 2024</v>
          </cell>
        </row>
        <row r="767">
          <cell r="A767" t="str">
            <v>LKA</v>
          </cell>
          <cell r="B767">
            <v>2029</v>
          </cell>
          <cell r="C767" t="str">
            <v>wbsp_pop_0014_to</v>
          </cell>
          <cell r="D767">
            <v>4531999</v>
          </cell>
          <cell r="F767" t="str">
            <v>16 Sep 2024</v>
          </cell>
        </row>
        <row r="768">
          <cell r="A768" t="str">
            <v>LKA</v>
          </cell>
          <cell r="B768">
            <v>2029</v>
          </cell>
          <cell r="C768" t="str">
            <v>wbsp_pop_1564_to</v>
          </cell>
          <cell r="D768">
            <v>14555900</v>
          </cell>
          <cell r="F768" t="str">
            <v>16 Sep 2024</v>
          </cell>
        </row>
        <row r="769">
          <cell r="A769" t="str">
            <v>LKA</v>
          </cell>
          <cell r="B769">
            <v>2029</v>
          </cell>
          <cell r="C769" t="str">
            <v>wbsp_pop_15up_to</v>
          </cell>
          <cell r="D769">
            <v>17750651</v>
          </cell>
          <cell r="F769" t="str">
            <v>16 Sep 2024</v>
          </cell>
        </row>
        <row r="770">
          <cell r="A770" t="str">
            <v>LKA</v>
          </cell>
          <cell r="B770">
            <v>2029</v>
          </cell>
          <cell r="C770" t="str">
            <v>wbsp_pop_65up_to</v>
          </cell>
          <cell r="D770">
            <v>3194751</v>
          </cell>
          <cell r="F770" t="str">
            <v>16 Sep 2024</v>
          </cell>
        </row>
        <row r="771">
          <cell r="A771" t="str">
            <v>LKA</v>
          </cell>
          <cell r="B771">
            <v>2029</v>
          </cell>
          <cell r="C771" t="str">
            <v>wbsp_pop_totl</v>
          </cell>
          <cell r="D771">
            <v>22282650</v>
          </cell>
          <cell r="F771" t="str">
            <v>16 Sep 2024</v>
          </cell>
        </row>
        <row r="772">
          <cell r="A772" t="str">
            <v>LKA</v>
          </cell>
          <cell r="B772">
            <v>2030</v>
          </cell>
          <cell r="C772" t="str">
            <v>wbsp_pop_0014_to</v>
          </cell>
          <cell r="D772">
            <v>4478083</v>
          </cell>
          <cell r="F772" t="str">
            <v>16 Sep 2024</v>
          </cell>
        </row>
        <row r="773">
          <cell r="A773" t="str">
            <v>LKA</v>
          </cell>
          <cell r="B773">
            <v>2030</v>
          </cell>
          <cell r="C773" t="str">
            <v>wbsp_pop_1564_to</v>
          </cell>
          <cell r="D773">
            <v>14550269</v>
          </cell>
          <cell r="F773" t="str">
            <v>16 Sep 2024</v>
          </cell>
        </row>
        <row r="774">
          <cell r="A774" t="str">
            <v>LKA</v>
          </cell>
          <cell r="B774">
            <v>2030</v>
          </cell>
          <cell r="C774" t="str">
            <v>wbsp_pop_15up_to</v>
          </cell>
          <cell r="D774">
            <v>17829809</v>
          </cell>
          <cell r="F774" t="str">
            <v>16 Sep 2024</v>
          </cell>
        </row>
        <row r="775">
          <cell r="A775" t="str">
            <v>LKA</v>
          </cell>
          <cell r="B775">
            <v>2030</v>
          </cell>
          <cell r="C775" t="str">
            <v>wbsp_pop_65up_to</v>
          </cell>
          <cell r="D775">
            <v>3279540</v>
          </cell>
          <cell r="F775" t="str">
            <v>16 Sep 2024</v>
          </cell>
        </row>
        <row r="776">
          <cell r="A776" t="str">
            <v>LKA</v>
          </cell>
          <cell r="B776">
            <v>2030</v>
          </cell>
          <cell r="C776" t="str">
            <v>wbsp_pop_totl</v>
          </cell>
          <cell r="D776">
            <v>22307892</v>
          </cell>
          <cell r="F776" t="str">
            <v>16 Sep 2024</v>
          </cell>
        </row>
        <row r="777">
          <cell r="A777" t="str">
            <v>MDV</v>
          </cell>
          <cell r="B777">
            <v>2000</v>
          </cell>
          <cell r="C777" t="str">
            <v>wbsp_pop_0014_to</v>
          </cell>
          <cell r="D777">
            <v>113166</v>
          </cell>
          <cell r="F777" t="str">
            <v>16 Sep 2024</v>
          </cell>
        </row>
        <row r="778">
          <cell r="A778" t="str">
            <v>MDV</v>
          </cell>
          <cell r="B778">
            <v>2000</v>
          </cell>
          <cell r="C778" t="str">
            <v>wbsp_pop_1564_to</v>
          </cell>
          <cell r="D778">
            <v>158661</v>
          </cell>
          <cell r="F778" t="str">
            <v>16 Sep 2024</v>
          </cell>
        </row>
        <row r="779">
          <cell r="A779" t="str">
            <v>MDV</v>
          </cell>
          <cell r="B779">
            <v>2000</v>
          </cell>
          <cell r="C779" t="str">
            <v>wbsp_pop_15up_to</v>
          </cell>
          <cell r="D779">
            <v>169341</v>
          </cell>
          <cell r="F779" t="str">
            <v>16 Sep 2024</v>
          </cell>
        </row>
        <row r="780">
          <cell r="A780" t="str">
            <v>MDV</v>
          </cell>
          <cell r="B780">
            <v>2000</v>
          </cell>
          <cell r="C780" t="str">
            <v>wbsp_pop_65up_to</v>
          </cell>
          <cell r="D780">
            <v>10680</v>
          </cell>
          <cell r="F780" t="str">
            <v>16 Sep 2024</v>
          </cell>
        </row>
        <row r="781">
          <cell r="A781" t="str">
            <v>MDV</v>
          </cell>
          <cell r="B781">
            <v>2000</v>
          </cell>
          <cell r="C781" t="str">
            <v>wbsp_pop_totl</v>
          </cell>
          <cell r="D781">
            <v>282507</v>
          </cell>
          <cell r="F781" t="str">
            <v>16 Sep 2024</v>
          </cell>
        </row>
        <row r="782">
          <cell r="A782" t="str">
            <v>MDV</v>
          </cell>
          <cell r="B782">
            <v>2001</v>
          </cell>
          <cell r="C782" t="str">
            <v>wbsp_pop_0014_to</v>
          </cell>
          <cell r="D782">
            <v>110754</v>
          </cell>
          <cell r="F782" t="str">
            <v>16 Sep 2024</v>
          </cell>
        </row>
        <row r="783">
          <cell r="A783" t="str">
            <v>MDV</v>
          </cell>
          <cell r="B783">
            <v>2001</v>
          </cell>
          <cell r="C783" t="str">
            <v>wbsp_pop_1564_to</v>
          </cell>
          <cell r="D783">
            <v>165232</v>
          </cell>
          <cell r="F783" t="str">
            <v>16 Sep 2024</v>
          </cell>
        </row>
        <row r="784">
          <cell r="A784" t="str">
            <v>MDV</v>
          </cell>
          <cell r="B784">
            <v>2001</v>
          </cell>
          <cell r="C784" t="str">
            <v>wbsp_pop_15up_to</v>
          </cell>
          <cell r="D784">
            <v>176570</v>
          </cell>
          <cell r="F784" t="str">
            <v>16 Sep 2024</v>
          </cell>
        </row>
        <row r="785">
          <cell r="A785" t="str">
            <v>MDV</v>
          </cell>
          <cell r="B785">
            <v>2001</v>
          </cell>
          <cell r="C785" t="str">
            <v>wbsp_pop_65up_to</v>
          </cell>
          <cell r="D785">
            <v>11338</v>
          </cell>
          <cell r="F785" t="str">
            <v>16 Sep 2024</v>
          </cell>
        </row>
        <row r="786">
          <cell r="A786" t="str">
            <v>MDV</v>
          </cell>
          <cell r="B786">
            <v>2001</v>
          </cell>
          <cell r="C786" t="str">
            <v>wbsp_pop_totl</v>
          </cell>
          <cell r="D786">
            <v>287324</v>
          </cell>
          <cell r="F786" t="str">
            <v>16 Sep 2024</v>
          </cell>
        </row>
        <row r="787">
          <cell r="A787" t="str">
            <v>MDV</v>
          </cell>
          <cell r="B787">
            <v>2002</v>
          </cell>
          <cell r="C787" t="str">
            <v>wbsp_pop_0014_to</v>
          </cell>
          <cell r="D787">
            <v>108271</v>
          </cell>
          <cell r="F787" t="str">
            <v>16 Sep 2024</v>
          </cell>
        </row>
        <row r="788">
          <cell r="A788" t="str">
            <v>MDV</v>
          </cell>
          <cell r="B788">
            <v>2002</v>
          </cell>
          <cell r="C788" t="str">
            <v>wbsp_pop_1564_to</v>
          </cell>
          <cell r="D788">
            <v>171964</v>
          </cell>
          <cell r="F788" t="str">
            <v>16 Sep 2024</v>
          </cell>
        </row>
        <row r="789">
          <cell r="A789" t="str">
            <v>MDV</v>
          </cell>
          <cell r="B789">
            <v>2002</v>
          </cell>
          <cell r="C789" t="str">
            <v>wbsp_pop_15up_to</v>
          </cell>
          <cell r="D789">
            <v>184013</v>
          </cell>
          <cell r="F789" t="str">
            <v>16 Sep 2024</v>
          </cell>
        </row>
        <row r="790">
          <cell r="A790" t="str">
            <v>MDV</v>
          </cell>
          <cell r="B790">
            <v>2002</v>
          </cell>
          <cell r="C790" t="str">
            <v>wbsp_pop_65up_to</v>
          </cell>
          <cell r="D790">
            <v>12049</v>
          </cell>
          <cell r="F790" t="str">
            <v>16 Sep 2024</v>
          </cell>
        </row>
        <row r="791">
          <cell r="A791" t="str">
            <v>MDV</v>
          </cell>
          <cell r="B791">
            <v>2002</v>
          </cell>
          <cell r="C791" t="str">
            <v>wbsp_pop_totl</v>
          </cell>
          <cell r="D791">
            <v>292284</v>
          </cell>
          <cell r="F791" t="str">
            <v>16 Sep 2024</v>
          </cell>
        </row>
        <row r="792">
          <cell r="A792" t="str">
            <v>MDV</v>
          </cell>
          <cell r="B792">
            <v>2003</v>
          </cell>
          <cell r="C792" t="str">
            <v>wbsp_pop_0014_to</v>
          </cell>
          <cell r="D792">
            <v>105687</v>
          </cell>
          <cell r="F792" t="str">
            <v>16 Sep 2024</v>
          </cell>
        </row>
        <row r="793">
          <cell r="A793" t="str">
            <v>MDV</v>
          </cell>
          <cell r="B793">
            <v>2003</v>
          </cell>
          <cell r="C793" t="str">
            <v>wbsp_pop_1564_to</v>
          </cell>
          <cell r="D793">
            <v>178749</v>
          </cell>
          <cell r="F793" t="str">
            <v>16 Sep 2024</v>
          </cell>
        </row>
        <row r="794">
          <cell r="A794" t="str">
            <v>MDV</v>
          </cell>
          <cell r="B794">
            <v>2003</v>
          </cell>
          <cell r="C794" t="str">
            <v>wbsp_pop_15up_to</v>
          </cell>
          <cell r="D794">
            <v>191539</v>
          </cell>
          <cell r="F794" t="str">
            <v>16 Sep 2024</v>
          </cell>
        </row>
        <row r="795">
          <cell r="A795" t="str">
            <v>MDV</v>
          </cell>
          <cell r="B795">
            <v>2003</v>
          </cell>
          <cell r="C795" t="str">
            <v>wbsp_pop_65up_to</v>
          </cell>
          <cell r="D795">
            <v>12790</v>
          </cell>
          <cell r="F795" t="str">
            <v>16 Sep 2024</v>
          </cell>
        </row>
        <row r="796">
          <cell r="A796" t="str">
            <v>MDV</v>
          </cell>
          <cell r="B796">
            <v>2003</v>
          </cell>
          <cell r="C796" t="str">
            <v>wbsp_pop_totl</v>
          </cell>
          <cell r="D796">
            <v>297226</v>
          </cell>
          <cell r="F796" t="str">
            <v>16 Sep 2024</v>
          </cell>
        </row>
        <row r="797">
          <cell r="A797" t="str">
            <v>MDV</v>
          </cell>
          <cell r="B797">
            <v>2004</v>
          </cell>
          <cell r="C797" t="str">
            <v>wbsp_pop_0014_to</v>
          </cell>
          <cell r="D797">
            <v>102967</v>
          </cell>
          <cell r="F797" t="str">
            <v>16 Sep 2024</v>
          </cell>
        </row>
        <row r="798">
          <cell r="A798" t="str">
            <v>MDV</v>
          </cell>
          <cell r="B798">
            <v>2004</v>
          </cell>
          <cell r="C798" t="str">
            <v>wbsp_pop_1564_to</v>
          </cell>
          <cell r="D798">
            <v>185640</v>
          </cell>
          <cell r="F798" t="str">
            <v>16 Sep 2024</v>
          </cell>
        </row>
        <row r="799">
          <cell r="A799" t="str">
            <v>MDV</v>
          </cell>
          <cell r="B799">
            <v>2004</v>
          </cell>
          <cell r="C799" t="str">
            <v>wbsp_pop_15up_to</v>
          </cell>
          <cell r="D799">
            <v>199168</v>
          </cell>
          <cell r="F799" t="str">
            <v>16 Sep 2024</v>
          </cell>
        </row>
        <row r="800">
          <cell r="A800" t="str">
            <v>MDV</v>
          </cell>
          <cell r="B800">
            <v>2004</v>
          </cell>
          <cell r="C800" t="str">
            <v>wbsp_pop_65up_to</v>
          </cell>
          <cell r="D800">
            <v>13528</v>
          </cell>
          <cell r="F800" t="str">
            <v>16 Sep 2024</v>
          </cell>
        </row>
        <row r="801">
          <cell r="A801" t="str">
            <v>MDV</v>
          </cell>
          <cell r="B801">
            <v>2004</v>
          </cell>
          <cell r="C801" t="str">
            <v>wbsp_pop_totl</v>
          </cell>
          <cell r="D801">
            <v>302135</v>
          </cell>
          <cell r="F801" t="str">
            <v>16 Sep 2024</v>
          </cell>
        </row>
        <row r="802">
          <cell r="A802" t="str">
            <v>MDV</v>
          </cell>
          <cell r="B802">
            <v>2005</v>
          </cell>
          <cell r="C802" t="str">
            <v>wbsp_pop_0014_to</v>
          </cell>
          <cell r="D802">
            <v>100161</v>
          </cell>
          <cell r="F802" t="str">
            <v>16 Sep 2024</v>
          </cell>
        </row>
        <row r="803">
          <cell r="A803" t="str">
            <v>MDV</v>
          </cell>
          <cell r="B803">
            <v>2005</v>
          </cell>
          <cell r="C803" t="str">
            <v>wbsp_pop_1564_to</v>
          </cell>
          <cell r="D803">
            <v>192620</v>
          </cell>
          <cell r="F803" t="str">
            <v>16 Sep 2024</v>
          </cell>
        </row>
        <row r="804">
          <cell r="A804" t="str">
            <v>MDV</v>
          </cell>
          <cell r="B804">
            <v>2005</v>
          </cell>
          <cell r="C804" t="str">
            <v>wbsp_pop_15up_to</v>
          </cell>
          <cell r="D804">
            <v>206858</v>
          </cell>
          <cell r="F804" t="str">
            <v>16 Sep 2024</v>
          </cell>
        </row>
        <row r="805">
          <cell r="A805" t="str">
            <v>MDV</v>
          </cell>
          <cell r="B805">
            <v>2005</v>
          </cell>
          <cell r="C805" t="str">
            <v>wbsp_pop_65up_to</v>
          </cell>
          <cell r="D805">
            <v>14238</v>
          </cell>
          <cell r="F805" t="str">
            <v>16 Sep 2024</v>
          </cell>
        </row>
        <row r="806">
          <cell r="A806" t="str">
            <v>MDV</v>
          </cell>
          <cell r="B806">
            <v>2005</v>
          </cell>
          <cell r="C806" t="str">
            <v>wbsp_pop_totl</v>
          </cell>
          <cell r="D806">
            <v>307018</v>
          </cell>
          <cell r="F806" t="str">
            <v>16 Sep 2024</v>
          </cell>
        </row>
        <row r="807">
          <cell r="A807" t="str">
            <v>MDV</v>
          </cell>
          <cell r="B807">
            <v>2006</v>
          </cell>
          <cell r="C807" t="str">
            <v>wbsp_pop_0014_to</v>
          </cell>
          <cell r="D807">
            <v>97705</v>
          </cell>
          <cell r="F807" t="str">
            <v>16 Sep 2024</v>
          </cell>
        </row>
        <row r="808">
          <cell r="A808" t="str">
            <v>MDV</v>
          </cell>
          <cell r="B808">
            <v>2006</v>
          </cell>
          <cell r="C808" t="str">
            <v>wbsp_pop_1564_to</v>
          </cell>
          <cell r="D808">
            <v>201869</v>
          </cell>
          <cell r="F808" t="str">
            <v>16 Sep 2024</v>
          </cell>
        </row>
        <row r="809">
          <cell r="A809" t="str">
            <v>MDV</v>
          </cell>
          <cell r="B809">
            <v>2006</v>
          </cell>
          <cell r="C809" t="str">
            <v>wbsp_pop_15up_to</v>
          </cell>
          <cell r="D809">
            <v>216696</v>
          </cell>
          <cell r="F809" t="str">
            <v>16 Sep 2024</v>
          </cell>
        </row>
        <row r="810">
          <cell r="A810" t="str">
            <v>MDV</v>
          </cell>
          <cell r="B810">
            <v>2006</v>
          </cell>
          <cell r="C810" t="str">
            <v>wbsp_pop_65up_to</v>
          </cell>
          <cell r="D810">
            <v>14827</v>
          </cell>
          <cell r="F810" t="str">
            <v>16 Sep 2024</v>
          </cell>
        </row>
        <row r="811">
          <cell r="A811" t="str">
            <v>MDV</v>
          </cell>
          <cell r="B811">
            <v>2006</v>
          </cell>
          <cell r="C811" t="str">
            <v>wbsp_pop_totl</v>
          </cell>
          <cell r="D811">
            <v>314401</v>
          </cell>
          <cell r="F811" t="str">
            <v>16 Sep 2024</v>
          </cell>
        </row>
        <row r="812">
          <cell r="A812" t="str">
            <v>MDV</v>
          </cell>
          <cell r="B812">
            <v>2007</v>
          </cell>
          <cell r="C812" t="str">
            <v>wbsp_pop_0014_to</v>
          </cell>
          <cell r="D812">
            <v>95769</v>
          </cell>
          <cell r="F812" t="str">
            <v>16 Sep 2024</v>
          </cell>
        </row>
        <row r="813">
          <cell r="A813" t="str">
            <v>MDV</v>
          </cell>
          <cell r="B813">
            <v>2007</v>
          </cell>
          <cell r="C813" t="str">
            <v>wbsp_pop_1564_to</v>
          </cell>
          <cell r="D813">
            <v>214109</v>
          </cell>
          <cell r="F813" t="str">
            <v>16 Sep 2024</v>
          </cell>
        </row>
        <row r="814">
          <cell r="A814" t="str">
            <v>MDV</v>
          </cell>
          <cell r="B814">
            <v>2007</v>
          </cell>
          <cell r="C814" t="str">
            <v>wbsp_pop_15up_to</v>
          </cell>
          <cell r="D814">
            <v>229358</v>
          </cell>
          <cell r="F814" t="str">
            <v>16 Sep 2024</v>
          </cell>
        </row>
        <row r="815">
          <cell r="A815" t="str">
            <v>MDV</v>
          </cell>
          <cell r="B815">
            <v>2007</v>
          </cell>
          <cell r="C815" t="str">
            <v>wbsp_pop_65up_to</v>
          </cell>
          <cell r="D815">
            <v>15249</v>
          </cell>
          <cell r="F815" t="str">
            <v>16 Sep 2024</v>
          </cell>
        </row>
        <row r="816">
          <cell r="A816" t="str">
            <v>MDV</v>
          </cell>
          <cell r="B816">
            <v>2007</v>
          </cell>
          <cell r="C816" t="str">
            <v>wbsp_pop_totl</v>
          </cell>
          <cell r="D816">
            <v>325126</v>
          </cell>
          <cell r="F816" t="str">
            <v>16 Sep 2024</v>
          </cell>
        </row>
        <row r="817">
          <cell r="A817" t="str">
            <v>MDV</v>
          </cell>
          <cell r="B817">
            <v>2008</v>
          </cell>
          <cell r="C817" t="str">
            <v>wbsp_pop_0014_to</v>
          </cell>
          <cell r="D817">
            <v>94214</v>
          </cell>
          <cell r="F817" t="str">
            <v>16 Sep 2024</v>
          </cell>
        </row>
        <row r="818">
          <cell r="A818" t="str">
            <v>MDV</v>
          </cell>
          <cell r="B818">
            <v>2008</v>
          </cell>
          <cell r="C818" t="str">
            <v>wbsp_pop_1564_to</v>
          </cell>
          <cell r="D818">
            <v>227081</v>
          </cell>
          <cell r="F818" t="str">
            <v>16 Sep 2024</v>
          </cell>
        </row>
        <row r="819">
          <cell r="A819" t="str">
            <v>MDV</v>
          </cell>
          <cell r="B819">
            <v>2008</v>
          </cell>
          <cell r="C819" t="str">
            <v>wbsp_pop_15up_to</v>
          </cell>
          <cell r="D819">
            <v>242670</v>
          </cell>
          <cell r="F819" t="str">
            <v>16 Sep 2024</v>
          </cell>
        </row>
        <row r="820">
          <cell r="A820" t="str">
            <v>MDV</v>
          </cell>
          <cell r="B820">
            <v>2008</v>
          </cell>
          <cell r="C820" t="str">
            <v>wbsp_pop_65up_to</v>
          </cell>
          <cell r="D820">
            <v>15589</v>
          </cell>
          <cell r="F820" t="str">
            <v>16 Sep 2024</v>
          </cell>
        </row>
        <row r="821">
          <cell r="A821" t="str">
            <v>MDV</v>
          </cell>
          <cell r="B821">
            <v>2008</v>
          </cell>
          <cell r="C821" t="str">
            <v>wbsp_pop_totl</v>
          </cell>
          <cell r="D821">
            <v>336883</v>
          </cell>
          <cell r="F821" t="str">
            <v>16 Sep 2024</v>
          </cell>
        </row>
        <row r="822">
          <cell r="A822" t="str">
            <v>MDV</v>
          </cell>
          <cell r="B822">
            <v>2009</v>
          </cell>
          <cell r="C822" t="str">
            <v>wbsp_pop_0014_to</v>
          </cell>
          <cell r="D822">
            <v>93206</v>
          </cell>
          <cell r="F822" t="str">
            <v>16 Sep 2024</v>
          </cell>
        </row>
        <row r="823">
          <cell r="A823" t="str">
            <v>MDV</v>
          </cell>
          <cell r="B823">
            <v>2009</v>
          </cell>
          <cell r="C823" t="str">
            <v>wbsp_pop_1564_to</v>
          </cell>
          <cell r="D823">
            <v>239929</v>
          </cell>
          <cell r="F823" t="str">
            <v>16 Sep 2024</v>
          </cell>
        </row>
        <row r="824">
          <cell r="A824" t="str">
            <v>MDV</v>
          </cell>
          <cell r="B824">
            <v>2009</v>
          </cell>
          <cell r="C824" t="str">
            <v>wbsp_pop_15up_to</v>
          </cell>
          <cell r="D824">
            <v>255831</v>
          </cell>
          <cell r="F824" t="str">
            <v>16 Sep 2024</v>
          </cell>
        </row>
        <row r="825">
          <cell r="A825" t="str">
            <v>MDV</v>
          </cell>
          <cell r="B825">
            <v>2009</v>
          </cell>
          <cell r="C825" t="str">
            <v>wbsp_pop_65up_to</v>
          </cell>
          <cell r="D825">
            <v>15902</v>
          </cell>
          <cell r="F825" t="str">
            <v>16 Sep 2024</v>
          </cell>
        </row>
        <row r="826">
          <cell r="A826" t="str">
            <v>MDV</v>
          </cell>
          <cell r="B826">
            <v>2009</v>
          </cell>
          <cell r="C826" t="str">
            <v>wbsp_pop_totl</v>
          </cell>
          <cell r="D826">
            <v>349037</v>
          </cell>
          <cell r="F826" t="str">
            <v>16 Sep 2024</v>
          </cell>
        </row>
        <row r="827">
          <cell r="A827" t="str">
            <v>MDV</v>
          </cell>
          <cell r="B827">
            <v>2010</v>
          </cell>
          <cell r="C827" t="str">
            <v>wbsp_pop_0014_to</v>
          </cell>
          <cell r="D827">
            <v>92844</v>
          </cell>
          <cell r="F827" t="str">
            <v>16 Sep 2024</v>
          </cell>
        </row>
        <row r="828">
          <cell r="A828" t="str">
            <v>MDV</v>
          </cell>
          <cell r="B828">
            <v>2010</v>
          </cell>
          <cell r="C828" t="str">
            <v>wbsp_pop_1564_to</v>
          </cell>
          <cell r="D828">
            <v>252544</v>
          </cell>
          <cell r="F828" t="str">
            <v>16 Sep 2024</v>
          </cell>
        </row>
        <row r="829">
          <cell r="A829" t="str">
            <v>MDV</v>
          </cell>
          <cell r="B829">
            <v>2010</v>
          </cell>
          <cell r="C829" t="str">
            <v>wbsp_pop_15up_to</v>
          </cell>
          <cell r="D829">
            <v>268731</v>
          </cell>
          <cell r="F829" t="str">
            <v>16 Sep 2024</v>
          </cell>
        </row>
        <row r="830">
          <cell r="A830" t="str">
            <v>MDV</v>
          </cell>
          <cell r="B830">
            <v>2010</v>
          </cell>
          <cell r="C830" t="str">
            <v>wbsp_pop_65up_to</v>
          </cell>
          <cell r="D830">
            <v>16187</v>
          </cell>
          <cell r="F830" t="str">
            <v>16 Sep 2024</v>
          </cell>
        </row>
        <row r="831">
          <cell r="A831" t="str">
            <v>MDV</v>
          </cell>
          <cell r="B831">
            <v>2010</v>
          </cell>
          <cell r="C831" t="str">
            <v>wbsp_pop_totl</v>
          </cell>
          <cell r="D831">
            <v>361575</v>
          </cell>
          <cell r="F831" t="str">
            <v>16 Sep 2024</v>
          </cell>
        </row>
        <row r="832">
          <cell r="A832" t="str">
            <v>MDV</v>
          </cell>
          <cell r="B832">
            <v>2011</v>
          </cell>
          <cell r="C832" t="str">
            <v>wbsp_pop_0014_to</v>
          </cell>
          <cell r="D832">
            <v>93129</v>
          </cell>
          <cell r="F832" t="str">
            <v>16 Sep 2024</v>
          </cell>
        </row>
        <row r="833">
          <cell r="A833" t="str">
            <v>MDV</v>
          </cell>
          <cell r="B833">
            <v>2011</v>
          </cell>
          <cell r="C833" t="str">
            <v>wbsp_pop_1564_to</v>
          </cell>
          <cell r="D833">
            <v>264867</v>
          </cell>
          <cell r="F833" t="str">
            <v>16 Sep 2024</v>
          </cell>
        </row>
        <row r="834">
          <cell r="A834" t="str">
            <v>MDV</v>
          </cell>
          <cell r="B834">
            <v>2011</v>
          </cell>
          <cell r="C834" t="str">
            <v>wbsp_pop_15up_to</v>
          </cell>
          <cell r="D834">
            <v>281310</v>
          </cell>
          <cell r="F834" t="str">
            <v>16 Sep 2024</v>
          </cell>
        </row>
        <row r="835">
          <cell r="A835" t="str">
            <v>MDV</v>
          </cell>
          <cell r="B835">
            <v>2011</v>
          </cell>
          <cell r="C835" t="str">
            <v>wbsp_pop_65up_to</v>
          </cell>
          <cell r="D835">
            <v>16443</v>
          </cell>
          <cell r="F835" t="str">
            <v>16 Sep 2024</v>
          </cell>
        </row>
        <row r="836">
          <cell r="A836" t="str">
            <v>MDV</v>
          </cell>
          <cell r="B836">
            <v>2011</v>
          </cell>
          <cell r="C836" t="str">
            <v>wbsp_pop_totl</v>
          </cell>
          <cell r="D836">
            <v>374440</v>
          </cell>
          <cell r="F836" t="str">
            <v>16 Sep 2024</v>
          </cell>
        </row>
        <row r="837">
          <cell r="A837" t="str">
            <v>MDV</v>
          </cell>
          <cell r="B837">
            <v>2012</v>
          </cell>
          <cell r="C837" t="str">
            <v>wbsp_pop_0014_to</v>
          </cell>
          <cell r="D837">
            <v>94049</v>
          </cell>
          <cell r="F837" t="str">
            <v>16 Sep 2024</v>
          </cell>
        </row>
        <row r="838">
          <cell r="A838" t="str">
            <v>MDV</v>
          </cell>
          <cell r="B838">
            <v>2012</v>
          </cell>
          <cell r="C838" t="str">
            <v>wbsp_pop_1564_to</v>
          </cell>
          <cell r="D838">
            <v>276800</v>
          </cell>
          <cell r="F838" t="str">
            <v>16 Sep 2024</v>
          </cell>
        </row>
        <row r="839">
          <cell r="A839" t="str">
            <v>MDV</v>
          </cell>
          <cell r="B839">
            <v>2012</v>
          </cell>
          <cell r="C839" t="str">
            <v>wbsp_pop_15up_to</v>
          </cell>
          <cell r="D839">
            <v>293490</v>
          </cell>
          <cell r="F839" t="str">
            <v>16 Sep 2024</v>
          </cell>
        </row>
        <row r="840">
          <cell r="A840" t="str">
            <v>MDV</v>
          </cell>
          <cell r="B840">
            <v>2012</v>
          </cell>
          <cell r="C840" t="str">
            <v>wbsp_pop_65up_to</v>
          </cell>
          <cell r="D840">
            <v>16690</v>
          </cell>
          <cell r="F840" t="str">
            <v>16 Sep 2024</v>
          </cell>
        </row>
        <row r="841">
          <cell r="A841" t="str">
            <v>MDV</v>
          </cell>
          <cell r="B841">
            <v>2012</v>
          </cell>
          <cell r="C841" t="str">
            <v>wbsp_pop_totl</v>
          </cell>
          <cell r="D841">
            <v>387539</v>
          </cell>
          <cell r="F841" t="str">
            <v>16 Sep 2024</v>
          </cell>
        </row>
        <row r="842">
          <cell r="A842" t="str">
            <v>MDV</v>
          </cell>
          <cell r="B842">
            <v>2013</v>
          </cell>
          <cell r="C842" t="str">
            <v>wbsp_pop_0014_to</v>
          </cell>
          <cell r="D842">
            <v>95465</v>
          </cell>
          <cell r="F842" t="str">
            <v>16 Sep 2024</v>
          </cell>
        </row>
        <row r="843">
          <cell r="A843" t="str">
            <v>MDV</v>
          </cell>
          <cell r="B843">
            <v>2013</v>
          </cell>
          <cell r="C843" t="str">
            <v>wbsp_pop_1564_to</v>
          </cell>
          <cell r="D843">
            <v>288316</v>
          </cell>
          <cell r="F843" t="str">
            <v>16 Sep 2024</v>
          </cell>
        </row>
        <row r="844">
          <cell r="A844" t="str">
            <v>MDV</v>
          </cell>
          <cell r="B844">
            <v>2013</v>
          </cell>
          <cell r="C844" t="str">
            <v>wbsp_pop_15up_to</v>
          </cell>
          <cell r="D844">
            <v>305264</v>
          </cell>
          <cell r="F844" t="str">
            <v>16 Sep 2024</v>
          </cell>
        </row>
        <row r="845">
          <cell r="A845" t="str">
            <v>MDV</v>
          </cell>
          <cell r="B845">
            <v>2013</v>
          </cell>
          <cell r="C845" t="str">
            <v>wbsp_pop_65up_to</v>
          </cell>
          <cell r="D845">
            <v>16948</v>
          </cell>
          <cell r="F845" t="str">
            <v>16 Sep 2024</v>
          </cell>
        </row>
        <row r="846">
          <cell r="A846" t="str">
            <v>MDV</v>
          </cell>
          <cell r="B846">
            <v>2013</v>
          </cell>
          <cell r="C846" t="str">
            <v>wbsp_pop_totl</v>
          </cell>
          <cell r="D846">
            <v>400728</v>
          </cell>
          <cell r="F846" t="str">
            <v>16 Sep 2024</v>
          </cell>
        </row>
        <row r="847">
          <cell r="A847" t="str">
            <v>MDV</v>
          </cell>
          <cell r="B847">
            <v>2014</v>
          </cell>
          <cell r="C847" t="str">
            <v>wbsp_pop_0014_to</v>
          </cell>
          <cell r="D847">
            <v>97443</v>
          </cell>
          <cell r="F847" t="str">
            <v>16 Sep 2024</v>
          </cell>
        </row>
        <row r="848">
          <cell r="A848" t="str">
            <v>MDV</v>
          </cell>
          <cell r="B848">
            <v>2014</v>
          </cell>
          <cell r="C848" t="str">
            <v>wbsp_pop_1564_to</v>
          </cell>
          <cell r="D848">
            <v>301838</v>
          </cell>
          <cell r="F848" t="str">
            <v>16 Sep 2024</v>
          </cell>
        </row>
        <row r="849">
          <cell r="A849" t="str">
            <v>MDV</v>
          </cell>
          <cell r="B849">
            <v>2014</v>
          </cell>
          <cell r="C849" t="str">
            <v>wbsp_pop_15up_to</v>
          </cell>
          <cell r="D849">
            <v>319294</v>
          </cell>
          <cell r="F849" t="str">
            <v>16 Sep 2024</v>
          </cell>
        </row>
        <row r="850">
          <cell r="A850" t="str">
            <v>MDV</v>
          </cell>
          <cell r="B850">
            <v>2014</v>
          </cell>
          <cell r="C850" t="str">
            <v>wbsp_pop_65up_to</v>
          </cell>
          <cell r="D850">
            <v>17456</v>
          </cell>
          <cell r="F850" t="str">
            <v>16 Sep 2024</v>
          </cell>
        </row>
        <row r="851">
          <cell r="A851" t="str">
            <v>MDV</v>
          </cell>
          <cell r="B851">
            <v>2014</v>
          </cell>
          <cell r="C851" t="str">
            <v>wbsp_pop_totl</v>
          </cell>
          <cell r="D851">
            <v>416738</v>
          </cell>
          <cell r="F851" t="str">
            <v>16 Sep 2024</v>
          </cell>
        </row>
        <row r="852">
          <cell r="A852" t="str">
            <v>MDV</v>
          </cell>
          <cell r="B852">
            <v>2015</v>
          </cell>
          <cell r="C852" t="str">
            <v>wbsp_pop_0014_to</v>
          </cell>
          <cell r="D852">
            <v>99934</v>
          </cell>
          <cell r="F852" t="str">
            <v>16 Sep 2024</v>
          </cell>
        </row>
        <row r="853">
          <cell r="A853" t="str">
            <v>MDV</v>
          </cell>
          <cell r="B853">
            <v>2015</v>
          </cell>
          <cell r="C853" t="str">
            <v>wbsp_pop_1564_to</v>
          </cell>
          <cell r="D853">
            <v>317435</v>
          </cell>
          <cell r="F853" t="str">
            <v>16 Sep 2024</v>
          </cell>
        </row>
        <row r="854">
          <cell r="A854" t="str">
            <v>MDV</v>
          </cell>
          <cell r="B854">
            <v>2015</v>
          </cell>
          <cell r="C854" t="str">
            <v>wbsp_pop_15up_to</v>
          </cell>
          <cell r="D854">
            <v>335648</v>
          </cell>
          <cell r="F854" t="str">
            <v>16 Sep 2024</v>
          </cell>
        </row>
        <row r="855">
          <cell r="A855" t="str">
            <v>MDV</v>
          </cell>
          <cell r="B855">
            <v>2015</v>
          </cell>
          <cell r="C855" t="str">
            <v>wbsp_pop_65up_to</v>
          </cell>
          <cell r="D855">
            <v>18213</v>
          </cell>
          <cell r="F855" t="str">
            <v>16 Sep 2024</v>
          </cell>
        </row>
        <row r="856">
          <cell r="A856" t="str">
            <v>MDV</v>
          </cell>
          <cell r="B856">
            <v>2015</v>
          </cell>
          <cell r="C856" t="str">
            <v>wbsp_pop_totl</v>
          </cell>
          <cell r="D856">
            <v>435582</v>
          </cell>
          <cell r="F856" t="str">
            <v>16 Sep 2024</v>
          </cell>
        </row>
        <row r="857">
          <cell r="A857" t="str">
            <v>MDV</v>
          </cell>
          <cell r="B857">
            <v>2016</v>
          </cell>
          <cell r="C857" t="str">
            <v>wbsp_pop_0014_to</v>
          </cell>
          <cell r="D857">
            <v>102616</v>
          </cell>
          <cell r="F857" t="str">
            <v>16 Sep 2024</v>
          </cell>
        </row>
        <row r="858">
          <cell r="A858" t="str">
            <v>MDV</v>
          </cell>
          <cell r="B858">
            <v>2016</v>
          </cell>
          <cell r="C858" t="str">
            <v>wbsp_pop_1564_to</v>
          </cell>
          <cell r="D858">
            <v>332645</v>
          </cell>
          <cell r="F858" t="str">
            <v>16 Sep 2024</v>
          </cell>
        </row>
        <row r="859">
          <cell r="A859" t="str">
            <v>MDV</v>
          </cell>
          <cell r="B859">
            <v>2016</v>
          </cell>
          <cell r="C859" t="str">
            <v>wbsp_pop_15up_to</v>
          </cell>
          <cell r="D859">
            <v>351635</v>
          </cell>
          <cell r="F859" t="str">
            <v>16 Sep 2024</v>
          </cell>
        </row>
        <row r="860">
          <cell r="A860" t="str">
            <v>MDV</v>
          </cell>
          <cell r="B860">
            <v>2016</v>
          </cell>
          <cell r="C860" t="str">
            <v>wbsp_pop_65up_to</v>
          </cell>
          <cell r="D860">
            <v>18990</v>
          </cell>
          <cell r="F860" t="str">
            <v>16 Sep 2024</v>
          </cell>
        </row>
        <row r="861">
          <cell r="A861" t="str">
            <v>MDV</v>
          </cell>
          <cell r="B861">
            <v>2016</v>
          </cell>
          <cell r="C861" t="str">
            <v>wbsp_pop_totl</v>
          </cell>
          <cell r="D861">
            <v>454252</v>
          </cell>
          <cell r="F861" t="str">
            <v>16 Sep 2024</v>
          </cell>
        </row>
        <row r="862">
          <cell r="A862" t="str">
            <v>MDV</v>
          </cell>
          <cell r="B862">
            <v>2017</v>
          </cell>
          <cell r="C862" t="str">
            <v>wbsp_pop_0014_to</v>
          </cell>
          <cell r="D862">
            <v>105350</v>
          </cell>
          <cell r="F862" t="str">
            <v>16 Sep 2024</v>
          </cell>
        </row>
        <row r="863">
          <cell r="A863" t="str">
            <v>MDV</v>
          </cell>
          <cell r="B863">
            <v>2017</v>
          </cell>
          <cell r="C863" t="str">
            <v>wbsp_pop_1564_to</v>
          </cell>
          <cell r="D863">
            <v>347307</v>
          </cell>
          <cell r="F863" t="str">
            <v>16 Sep 2024</v>
          </cell>
        </row>
        <row r="864">
          <cell r="A864" t="str">
            <v>MDV</v>
          </cell>
          <cell r="B864">
            <v>2017</v>
          </cell>
          <cell r="C864" t="str">
            <v>wbsp_pop_15up_to</v>
          </cell>
          <cell r="D864">
            <v>367093</v>
          </cell>
          <cell r="F864" t="str">
            <v>16 Sep 2024</v>
          </cell>
        </row>
        <row r="865">
          <cell r="A865" t="str">
            <v>MDV</v>
          </cell>
          <cell r="B865">
            <v>2017</v>
          </cell>
          <cell r="C865" t="str">
            <v>wbsp_pop_65up_to</v>
          </cell>
          <cell r="D865">
            <v>19786</v>
          </cell>
          <cell r="F865" t="str">
            <v>16 Sep 2024</v>
          </cell>
        </row>
        <row r="866">
          <cell r="A866" t="str">
            <v>MDV</v>
          </cell>
          <cell r="B866">
            <v>2017</v>
          </cell>
          <cell r="C866" t="str">
            <v>wbsp_pop_totl</v>
          </cell>
          <cell r="D866">
            <v>472442</v>
          </cell>
          <cell r="F866" t="str">
            <v>16 Sep 2024</v>
          </cell>
        </row>
        <row r="867">
          <cell r="A867" t="str">
            <v>MDV</v>
          </cell>
          <cell r="B867">
            <v>2018</v>
          </cell>
          <cell r="C867" t="str">
            <v>wbsp_pop_0014_to</v>
          </cell>
          <cell r="D867">
            <v>108005</v>
          </cell>
          <cell r="F867" t="str">
            <v>16 Sep 2024</v>
          </cell>
        </row>
        <row r="868">
          <cell r="A868" t="str">
            <v>MDV</v>
          </cell>
          <cell r="B868">
            <v>2018</v>
          </cell>
          <cell r="C868" t="str">
            <v>wbsp_pop_1564_to</v>
          </cell>
          <cell r="D868">
            <v>361126</v>
          </cell>
          <cell r="F868" t="str">
            <v>16 Sep 2024</v>
          </cell>
        </row>
        <row r="869">
          <cell r="A869" t="str">
            <v>MDV</v>
          </cell>
          <cell r="B869">
            <v>2018</v>
          </cell>
          <cell r="C869" t="str">
            <v>wbsp_pop_15up_to</v>
          </cell>
          <cell r="D869">
            <v>381753</v>
          </cell>
          <cell r="F869" t="str">
            <v>16 Sep 2024</v>
          </cell>
        </row>
        <row r="870">
          <cell r="A870" t="str">
            <v>MDV</v>
          </cell>
          <cell r="B870">
            <v>2018</v>
          </cell>
          <cell r="C870" t="str">
            <v>wbsp_pop_65up_to</v>
          </cell>
          <cell r="D870">
            <v>20627</v>
          </cell>
          <cell r="F870" t="str">
            <v>16 Sep 2024</v>
          </cell>
        </row>
        <row r="871">
          <cell r="A871" t="str">
            <v>MDV</v>
          </cell>
          <cell r="B871">
            <v>2018</v>
          </cell>
          <cell r="C871" t="str">
            <v>wbsp_pop_totl</v>
          </cell>
          <cell r="D871">
            <v>489758</v>
          </cell>
          <cell r="F871" t="str">
            <v>16 Sep 2024</v>
          </cell>
        </row>
        <row r="872">
          <cell r="A872" t="str">
            <v>MDV</v>
          </cell>
          <cell r="B872">
            <v>2019</v>
          </cell>
          <cell r="C872" t="str">
            <v>wbsp_pop_0014_to</v>
          </cell>
          <cell r="D872">
            <v>110348</v>
          </cell>
          <cell r="F872" t="str">
            <v>16 Sep 2024</v>
          </cell>
        </row>
        <row r="873">
          <cell r="A873" t="str">
            <v>MDV</v>
          </cell>
          <cell r="B873">
            <v>2019</v>
          </cell>
          <cell r="C873" t="str">
            <v>wbsp_pop_1564_to</v>
          </cell>
          <cell r="D873">
            <v>372607</v>
          </cell>
          <cell r="F873" t="str">
            <v>16 Sep 2024</v>
          </cell>
        </row>
        <row r="874">
          <cell r="A874" t="str">
            <v>MDV</v>
          </cell>
          <cell r="B874">
            <v>2019</v>
          </cell>
          <cell r="C874" t="str">
            <v>wbsp_pop_15up_to</v>
          </cell>
          <cell r="D874">
            <v>394161</v>
          </cell>
          <cell r="F874" t="str">
            <v>16 Sep 2024</v>
          </cell>
        </row>
        <row r="875">
          <cell r="A875" t="str">
            <v>MDV</v>
          </cell>
          <cell r="B875">
            <v>2019</v>
          </cell>
          <cell r="C875" t="str">
            <v>wbsp_pop_65up_to</v>
          </cell>
          <cell r="D875">
            <v>21554</v>
          </cell>
          <cell r="F875" t="str">
            <v>16 Sep 2024</v>
          </cell>
        </row>
        <row r="876">
          <cell r="A876" t="str">
            <v>MDV</v>
          </cell>
          <cell r="B876">
            <v>2019</v>
          </cell>
          <cell r="C876" t="str">
            <v>wbsp_pop_totl</v>
          </cell>
          <cell r="D876">
            <v>504508</v>
          </cell>
          <cell r="F876" t="str">
            <v>16 Sep 2024</v>
          </cell>
        </row>
        <row r="877">
          <cell r="A877" t="str">
            <v>MDV</v>
          </cell>
          <cell r="B877">
            <v>2020</v>
          </cell>
          <cell r="C877" t="str">
            <v>wbsp_pop_0014_to</v>
          </cell>
          <cell r="D877">
            <v>112093</v>
          </cell>
          <cell r="F877" t="str">
            <v>16 Sep 2024</v>
          </cell>
        </row>
        <row r="878">
          <cell r="A878" t="str">
            <v>MDV</v>
          </cell>
          <cell r="B878">
            <v>2020</v>
          </cell>
          <cell r="C878" t="str">
            <v>wbsp_pop_1564_to</v>
          </cell>
          <cell r="D878">
            <v>379792</v>
          </cell>
          <cell r="F878" t="str">
            <v>16 Sep 2024</v>
          </cell>
        </row>
        <row r="879">
          <cell r="A879" t="str">
            <v>MDV</v>
          </cell>
          <cell r="B879">
            <v>2020</v>
          </cell>
          <cell r="C879" t="str">
            <v>wbsp_pop_15up_to</v>
          </cell>
          <cell r="D879">
            <v>402345</v>
          </cell>
          <cell r="F879" t="str">
            <v>16 Sep 2024</v>
          </cell>
        </row>
        <row r="880">
          <cell r="A880" t="str">
            <v>MDV</v>
          </cell>
          <cell r="B880">
            <v>2020</v>
          </cell>
          <cell r="C880" t="str">
            <v>wbsp_pop_65up_to</v>
          </cell>
          <cell r="D880">
            <v>22553</v>
          </cell>
          <cell r="F880" t="str">
            <v>16 Sep 2024</v>
          </cell>
        </row>
        <row r="881">
          <cell r="A881" t="str">
            <v>MDV</v>
          </cell>
          <cell r="B881">
            <v>2020</v>
          </cell>
          <cell r="C881" t="str">
            <v>wbsp_pop_totl</v>
          </cell>
          <cell r="D881">
            <v>514438</v>
          </cell>
          <cell r="F881" t="str">
            <v>16 Sep 2024</v>
          </cell>
        </row>
        <row r="882">
          <cell r="A882" t="str">
            <v>MDV</v>
          </cell>
          <cell r="B882">
            <v>2021</v>
          </cell>
          <cell r="C882" t="str">
            <v>wbsp_pop_0014_to</v>
          </cell>
          <cell r="D882">
            <v>113251</v>
          </cell>
          <cell r="F882" t="str">
            <v>16 Sep 2024</v>
          </cell>
        </row>
        <row r="883">
          <cell r="A883" t="str">
            <v>MDV</v>
          </cell>
          <cell r="B883">
            <v>2021</v>
          </cell>
          <cell r="C883" t="str">
            <v>wbsp_pop_1564_to</v>
          </cell>
          <cell r="D883">
            <v>384512</v>
          </cell>
          <cell r="F883" t="str">
            <v>16 Sep 2024</v>
          </cell>
        </row>
        <row r="884">
          <cell r="A884" t="str">
            <v>MDV</v>
          </cell>
          <cell r="B884">
            <v>2021</v>
          </cell>
          <cell r="C884" t="str">
            <v>wbsp_pop_15up_to</v>
          </cell>
          <cell r="D884">
            <v>408206</v>
          </cell>
          <cell r="F884" t="str">
            <v>16 Sep 2024</v>
          </cell>
        </row>
        <row r="885">
          <cell r="A885" t="str">
            <v>MDV</v>
          </cell>
          <cell r="B885">
            <v>2021</v>
          </cell>
          <cell r="C885" t="str">
            <v>wbsp_pop_65up_to</v>
          </cell>
          <cell r="D885">
            <v>23694</v>
          </cell>
          <cell r="F885" t="str">
            <v>16 Sep 2024</v>
          </cell>
        </row>
        <row r="886">
          <cell r="A886" t="str">
            <v>MDV</v>
          </cell>
          <cell r="B886">
            <v>2021</v>
          </cell>
          <cell r="C886" t="str">
            <v>wbsp_pop_totl</v>
          </cell>
          <cell r="D886">
            <v>521457</v>
          </cell>
          <cell r="F886" t="str">
            <v>16 Sep 2024</v>
          </cell>
        </row>
        <row r="887">
          <cell r="A887" t="str">
            <v>MDV</v>
          </cell>
          <cell r="B887">
            <v>2022</v>
          </cell>
          <cell r="C887" t="str">
            <v>wbsp_pop_0014_to</v>
          </cell>
          <cell r="D887">
            <v>113553</v>
          </cell>
          <cell r="F887" t="str">
            <v>16 Sep 2024</v>
          </cell>
        </row>
        <row r="888">
          <cell r="A888" t="str">
            <v>MDV</v>
          </cell>
          <cell r="B888">
            <v>2022</v>
          </cell>
          <cell r="C888" t="str">
            <v>wbsp_pop_1564_to</v>
          </cell>
          <cell r="D888">
            <v>385180</v>
          </cell>
          <cell r="F888" t="str">
            <v>16 Sep 2024</v>
          </cell>
        </row>
        <row r="889">
          <cell r="A889" t="str">
            <v>MDV</v>
          </cell>
          <cell r="B889">
            <v>2022</v>
          </cell>
          <cell r="C889" t="str">
            <v>wbsp_pop_15up_to</v>
          </cell>
          <cell r="D889">
            <v>410234</v>
          </cell>
          <cell r="F889" t="str">
            <v>16 Sep 2024</v>
          </cell>
        </row>
        <row r="890">
          <cell r="A890" t="str">
            <v>MDV</v>
          </cell>
          <cell r="B890">
            <v>2022</v>
          </cell>
          <cell r="C890" t="str">
            <v>wbsp_pop_65up_to</v>
          </cell>
          <cell r="D890">
            <v>25054</v>
          </cell>
          <cell r="F890" t="str">
            <v>16 Sep 2024</v>
          </cell>
        </row>
        <row r="891">
          <cell r="A891" t="str">
            <v>MDV</v>
          </cell>
          <cell r="B891">
            <v>2022</v>
          </cell>
          <cell r="C891" t="str">
            <v>wbsp_pop_totl</v>
          </cell>
          <cell r="D891">
            <v>523787</v>
          </cell>
          <cell r="F891" t="str">
            <v>16 Sep 2024</v>
          </cell>
        </row>
        <row r="892">
          <cell r="A892" t="str">
            <v>MDV</v>
          </cell>
          <cell r="B892">
            <v>2023</v>
          </cell>
          <cell r="C892" t="str">
            <v>wbsp_pop_0014_to</v>
          </cell>
          <cell r="D892">
            <v>112911</v>
          </cell>
          <cell r="F892" t="str">
            <v>16 Sep 2024</v>
          </cell>
        </row>
        <row r="893">
          <cell r="A893" t="str">
            <v>MDV</v>
          </cell>
          <cell r="B893">
            <v>2023</v>
          </cell>
          <cell r="C893" t="str">
            <v>wbsp_pop_1564_to</v>
          </cell>
          <cell r="D893">
            <v>381505</v>
          </cell>
          <cell r="F893" t="str">
            <v>16 Sep 2024</v>
          </cell>
        </row>
        <row r="894">
          <cell r="A894" t="str">
            <v>MDV</v>
          </cell>
          <cell r="B894">
            <v>2023</v>
          </cell>
          <cell r="C894" t="str">
            <v>wbsp_pop_15up_to</v>
          </cell>
          <cell r="D894">
            <v>408110</v>
          </cell>
          <cell r="F894" t="str">
            <v>16 Sep 2024</v>
          </cell>
        </row>
        <row r="895">
          <cell r="A895" t="str">
            <v>MDV</v>
          </cell>
          <cell r="B895">
            <v>2023</v>
          </cell>
          <cell r="C895" t="str">
            <v>wbsp_pop_65up_to</v>
          </cell>
          <cell r="D895">
            <v>26605</v>
          </cell>
          <cell r="F895" t="str">
            <v>16 Sep 2024</v>
          </cell>
        </row>
        <row r="896">
          <cell r="A896" t="str">
            <v>MDV</v>
          </cell>
          <cell r="B896">
            <v>2023</v>
          </cell>
          <cell r="C896" t="str">
            <v>wbsp_pop_totl</v>
          </cell>
          <cell r="D896">
            <v>521021</v>
          </cell>
          <cell r="F896" t="str">
            <v>16 Sep 2024</v>
          </cell>
        </row>
        <row r="897">
          <cell r="A897" t="str">
            <v>MDV</v>
          </cell>
          <cell r="B897">
            <v>2024</v>
          </cell>
          <cell r="C897" t="str">
            <v>wbsp_pop_0014_to</v>
          </cell>
          <cell r="D897">
            <v>111695</v>
          </cell>
          <cell r="F897" t="str">
            <v>16 Sep 2024</v>
          </cell>
        </row>
        <row r="898">
          <cell r="A898" t="str">
            <v>MDV</v>
          </cell>
          <cell r="B898">
            <v>2024</v>
          </cell>
          <cell r="C898" t="str">
            <v>wbsp_pop_1564_to</v>
          </cell>
          <cell r="D898">
            <v>377847</v>
          </cell>
          <cell r="F898" t="str">
            <v>16 Sep 2024</v>
          </cell>
        </row>
        <row r="899">
          <cell r="A899" t="str">
            <v>MDV</v>
          </cell>
          <cell r="B899">
            <v>2024</v>
          </cell>
          <cell r="C899" t="str">
            <v>wbsp_pop_15up_to</v>
          </cell>
          <cell r="D899">
            <v>406192</v>
          </cell>
          <cell r="F899" t="str">
            <v>16 Sep 2024</v>
          </cell>
        </row>
        <row r="900">
          <cell r="A900" t="str">
            <v>MDV</v>
          </cell>
          <cell r="B900">
            <v>2024</v>
          </cell>
          <cell r="C900" t="str">
            <v>wbsp_pop_65up_to</v>
          </cell>
          <cell r="D900">
            <v>28345</v>
          </cell>
          <cell r="F900" t="str">
            <v>16 Sep 2024</v>
          </cell>
        </row>
        <row r="901">
          <cell r="A901" t="str">
            <v>MDV</v>
          </cell>
          <cell r="B901">
            <v>2024</v>
          </cell>
          <cell r="C901" t="str">
            <v>wbsp_pop_totl</v>
          </cell>
          <cell r="D901">
            <v>517887</v>
          </cell>
          <cell r="F901" t="str">
            <v>16 Sep 2024</v>
          </cell>
        </row>
        <row r="902">
          <cell r="A902" t="str">
            <v>MDV</v>
          </cell>
          <cell r="B902">
            <v>2025</v>
          </cell>
          <cell r="C902" t="str">
            <v>wbsp_pop_0014_to</v>
          </cell>
          <cell r="D902">
            <v>110030</v>
          </cell>
          <cell r="F902" t="str">
            <v>16 Sep 2024</v>
          </cell>
        </row>
        <row r="903">
          <cell r="A903" t="str">
            <v>MDV</v>
          </cell>
          <cell r="B903">
            <v>2025</v>
          </cell>
          <cell r="C903" t="str">
            <v>wbsp_pop_1564_to</v>
          </cell>
          <cell r="D903">
            <v>374936</v>
          </cell>
          <cell r="F903" t="str">
            <v>16 Sep 2024</v>
          </cell>
        </row>
        <row r="904">
          <cell r="A904" t="str">
            <v>MDV</v>
          </cell>
          <cell r="B904">
            <v>2025</v>
          </cell>
          <cell r="C904" t="str">
            <v>wbsp_pop_15up_to</v>
          </cell>
          <cell r="D904">
            <v>405193</v>
          </cell>
          <cell r="F904" t="str">
            <v>16 Sep 2024</v>
          </cell>
        </row>
        <row r="905">
          <cell r="A905" t="str">
            <v>MDV</v>
          </cell>
          <cell r="B905">
            <v>2025</v>
          </cell>
          <cell r="C905" t="str">
            <v>wbsp_pop_65up_to</v>
          </cell>
          <cell r="D905">
            <v>30257</v>
          </cell>
          <cell r="F905" t="str">
            <v>16 Sep 2024</v>
          </cell>
        </row>
        <row r="906">
          <cell r="A906" t="str">
            <v>MDV</v>
          </cell>
          <cell r="B906">
            <v>2025</v>
          </cell>
          <cell r="C906" t="str">
            <v>wbsp_pop_totl</v>
          </cell>
          <cell r="D906">
            <v>515223</v>
          </cell>
          <cell r="F906" t="str">
            <v>16 Sep 2024</v>
          </cell>
        </row>
        <row r="907">
          <cell r="A907" t="str">
            <v>MDV</v>
          </cell>
          <cell r="B907">
            <v>2026</v>
          </cell>
          <cell r="C907" t="str">
            <v>wbsp_pop_0014_to</v>
          </cell>
          <cell r="D907">
            <v>108024</v>
          </cell>
          <cell r="F907" t="str">
            <v>16 Sep 2024</v>
          </cell>
        </row>
        <row r="908">
          <cell r="A908" t="str">
            <v>MDV</v>
          </cell>
          <cell r="B908">
            <v>2026</v>
          </cell>
          <cell r="C908" t="str">
            <v>wbsp_pop_1564_to</v>
          </cell>
          <cell r="D908">
            <v>373047</v>
          </cell>
          <cell r="F908" t="str">
            <v>16 Sep 2024</v>
          </cell>
        </row>
        <row r="909">
          <cell r="A909" t="str">
            <v>MDV</v>
          </cell>
          <cell r="B909">
            <v>2026</v>
          </cell>
          <cell r="C909" t="str">
            <v>wbsp_pop_15up_to</v>
          </cell>
          <cell r="D909">
            <v>405337</v>
          </cell>
          <cell r="F909" t="str">
            <v>16 Sep 2024</v>
          </cell>
        </row>
        <row r="910">
          <cell r="A910" t="str">
            <v>MDV</v>
          </cell>
          <cell r="B910">
            <v>2026</v>
          </cell>
          <cell r="C910" t="str">
            <v>wbsp_pop_65up_to</v>
          </cell>
          <cell r="D910">
            <v>32290</v>
          </cell>
          <cell r="F910" t="str">
            <v>16 Sep 2024</v>
          </cell>
        </row>
        <row r="911">
          <cell r="A911" t="str">
            <v>MDV</v>
          </cell>
          <cell r="B911">
            <v>2026</v>
          </cell>
          <cell r="C911" t="str">
            <v>wbsp_pop_totl</v>
          </cell>
          <cell r="D911">
            <v>513362</v>
          </cell>
          <cell r="F911" t="str">
            <v>16 Sep 2024</v>
          </cell>
        </row>
        <row r="912">
          <cell r="A912" t="str">
            <v>MDV</v>
          </cell>
          <cell r="B912">
            <v>2027</v>
          </cell>
          <cell r="C912" t="str">
            <v>wbsp_pop_0014_to</v>
          </cell>
          <cell r="D912">
            <v>105746</v>
          </cell>
          <cell r="F912" t="str">
            <v>16 Sep 2024</v>
          </cell>
        </row>
        <row r="913">
          <cell r="A913" t="str">
            <v>MDV</v>
          </cell>
          <cell r="B913">
            <v>2027</v>
          </cell>
          <cell r="C913" t="str">
            <v>wbsp_pop_1564_to</v>
          </cell>
          <cell r="D913">
            <v>372126</v>
          </cell>
          <cell r="F913" t="str">
            <v>16 Sep 2024</v>
          </cell>
        </row>
        <row r="914">
          <cell r="A914" t="str">
            <v>MDV</v>
          </cell>
          <cell r="B914">
            <v>2027</v>
          </cell>
          <cell r="C914" t="str">
            <v>wbsp_pop_15up_to</v>
          </cell>
          <cell r="D914">
            <v>406537</v>
          </cell>
          <cell r="F914" t="str">
            <v>16 Sep 2024</v>
          </cell>
        </row>
        <row r="915">
          <cell r="A915" t="str">
            <v>MDV</v>
          </cell>
          <cell r="B915">
            <v>2027</v>
          </cell>
          <cell r="C915" t="str">
            <v>wbsp_pop_65up_to</v>
          </cell>
          <cell r="D915">
            <v>34411</v>
          </cell>
          <cell r="F915" t="str">
            <v>16 Sep 2024</v>
          </cell>
        </row>
        <row r="916">
          <cell r="A916" t="str">
            <v>MDV</v>
          </cell>
          <cell r="B916">
            <v>2027</v>
          </cell>
          <cell r="C916" t="str">
            <v>wbsp_pop_totl</v>
          </cell>
          <cell r="D916">
            <v>512284</v>
          </cell>
          <cell r="F916" t="str">
            <v>16 Sep 2024</v>
          </cell>
        </row>
        <row r="917">
          <cell r="A917" t="str">
            <v>MDV</v>
          </cell>
          <cell r="B917">
            <v>2028</v>
          </cell>
          <cell r="C917" t="str">
            <v>wbsp_pop_0014_to</v>
          </cell>
          <cell r="D917">
            <v>103249</v>
          </cell>
          <cell r="F917" t="str">
            <v>16 Sep 2024</v>
          </cell>
        </row>
        <row r="918">
          <cell r="A918" t="str">
            <v>MDV</v>
          </cell>
          <cell r="B918">
            <v>2028</v>
          </cell>
          <cell r="C918" t="str">
            <v>wbsp_pop_1564_to</v>
          </cell>
          <cell r="D918">
            <v>371843</v>
          </cell>
          <cell r="F918" t="str">
            <v>16 Sep 2024</v>
          </cell>
        </row>
        <row r="919">
          <cell r="A919" t="str">
            <v>MDV</v>
          </cell>
          <cell r="B919">
            <v>2028</v>
          </cell>
          <cell r="C919" t="str">
            <v>wbsp_pop_15up_to</v>
          </cell>
          <cell r="D919">
            <v>408469</v>
          </cell>
          <cell r="F919" t="str">
            <v>16 Sep 2024</v>
          </cell>
        </row>
        <row r="920">
          <cell r="A920" t="str">
            <v>MDV</v>
          </cell>
          <cell r="B920">
            <v>2028</v>
          </cell>
          <cell r="C920" t="str">
            <v>wbsp_pop_65up_to</v>
          </cell>
          <cell r="D920">
            <v>36626</v>
          </cell>
          <cell r="F920" t="str">
            <v>16 Sep 2024</v>
          </cell>
        </row>
        <row r="921">
          <cell r="A921" t="str">
            <v>MDV</v>
          </cell>
          <cell r="B921">
            <v>2028</v>
          </cell>
          <cell r="C921" t="str">
            <v>wbsp_pop_totl</v>
          </cell>
          <cell r="D921">
            <v>511718</v>
          </cell>
          <cell r="F921" t="str">
            <v>16 Sep 2024</v>
          </cell>
        </row>
        <row r="922">
          <cell r="A922" t="str">
            <v>MDV</v>
          </cell>
          <cell r="B922">
            <v>2029</v>
          </cell>
          <cell r="C922" t="str">
            <v>wbsp_pop_0014_to</v>
          </cell>
          <cell r="D922">
            <v>100562</v>
          </cell>
          <cell r="F922" t="str">
            <v>16 Sep 2024</v>
          </cell>
        </row>
        <row r="923">
          <cell r="A923" t="str">
            <v>MDV</v>
          </cell>
          <cell r="B923">
            <v>2029</v>
          </cell>
          <cell r="C923" t="str">
            <v>wbsp_pop_1564_to</v>
          </cell>
          <cell r="D923">
            <v>372217</v>
          </cell>
          <cell r="F923" t="str">
            <v>16 Sep 2024</v>
          </cell>
        </row>
        <row r="924">
          <cell r="A924" t="str">
            <v>MDV</v>
          </cell>
          <cell r="B924">
            <v>2029</v>
          </cell>
          <cell r="C924" t="str">
            <v>wbsp_pop_15up_to</v>
          </cell>
          <cell r="D924">
            <v>411163</v>
          </cell>
          <cell r="F924" t="str">
            <v>16 Sep 2024</v>
          </cell>
        </row>
        <row r="925">
          <cell r="A925" t="str">
            <v>MDV</v>
          </cell>
          <cell r="B925">
            <v>2029</v>
          </cell>
          <cell r="C925" t="str">
            <v>wbsp_pop_65up_to</v>
          </cell>
          <cell r="D925">
            <v>38946</v>
          </cell>
          <cell r="F925" t="str">
            <v>16 Sep 2024</v>
          </cell>
        </row>
        <row r="926">
          <cell r="A926" t="str">
            <v>MDV</v>
          </cell>
          <cell r="B926">
            <v>2029</v>
          </cell>
          <cell r="C926" t="str">
            <v>wbsp_pop_totl</v>
          </cell>
          <cell r="D926">
            <v>511725</v>
          </cell>
          <cell r="F926" t="str">
            <v>16 Sep 2024</v>
          </cell>
        </row>
        <row r="927">
          <cell r="A927" t="str">
            <v>MDV</v>
          </cell>
          <cell r="B927">
            <v>2030</v>
          </cell>
          <cell r="C927" t="str">
            <v>wbsp_pop_0014_to</v>
          </cell>
          <cell r="D927">
            <v>97735</v>
          </cell>
          <cell r="F927" t="str">
            <v>16 Sep 2024</v>
          </cell>
        </row>
        <row r="928">
          <cell r="A928" t="str">
            <v>MDV</v>
          </cell>
          <cell r="B928">
            <v>2030</v>
          </cell>
          <cell r="C928" t="str">
            <v>wbsp_pop_1564_to</v>
          </cell>
          <cell r="D928">
            <v>373572</v>
          </cell>
          <cell r="F928" t="str">
            <v>16 Sep 2024</v>
          </cell>
        </row>
        <row r="929">
          <cell r="A929" t="str">
            <v>MDV</v>
          </cell>
          <cell r="B929">
            <v>2030</v>
          </cell>
          <cell r="C929" t="str">
            <v>wbsp_pop_15up_to</v>
          </cell>
          <cell r="D929">
            <v>414948</v>
          </cell>
          <cell r="F929" t="str">
            <v>16 Sep 2024</v>
          </cell>
        </row>
        <row r="930">
          <cell r="A930" t="str">
            <v>MDV</v>
          </cell>
          <cell r="B930">
            <v>2030</v>
          </cell>
          <cell r="C930" t="str">
            <v>wbsp_pop_65up_to</v>
          </cell>
          <cell r="D930">
            <v>41376</v>
          </cell>
          <cell r="F930" t="str">
            <v>16 Sep 2024</v>
          </cell>
        </row>
        <row r="931">
          <cell r="A931" t="str">
            <v>MDV</v>
          </cell>
          <cell r="B931">
            <v>2030</v>
          </cell>
          <cell r="C931" t="str">
            <v>wbsp_pop_totl</v>
          </cell>
          <cell r="D931">
            <v>512683</v>
          </cell>
          <cell r="F931" t="str">
            <v>16 Sep 2024</v>
          </cell>
        </row>
        <row r="932">
          <cell r="A932" t="str">
            <v>NPL</v>
          </cell>
          <cell r="B932">
            <v>2000</v>
          </cell>
          <cell r="C932" t="str">
            <v>wbsp_pop_0014_to</v>
          </cell>
          <cell r="D932">
            <v>9983831</v>
          </cell>
          <cell r="F932" t="str">
            <v>16 Sep 2024</v>
          </cell>
        </row>
        <row r="933">
          <cell r="A933" t="str">
            <v>NPL</v>
          </cell>
          <cell r="B933">
            <v>2000</v>
          </cell>
          <cell r="C933" t="str">
            <v>wbsp_pop_1564_to</v>
          </cell>
          <cell r="D933">
            <v>13651335</v>
          </cell>
          <cell r="F933" t="str">
            <v>16 Sep 2024</v>
          </cell>
        </row>
        <row r="934">
          <cell r="A934" t="str">
            <v>NPL</v>
          </cell>
          <cell r="B934">
            <v>2000</v>
          </cell>
          <cell r="C934" t="str">
            <v>wbsp_pop_15up_to</v>
          </cell>
          <cell r="D934">
            <v>14575669</v>
          </cell>
          <cell r="F934" t="str">
            <v>16 Sep 2024</v>
          </cell>
        </row>
        <row r="935">
          <cell r="A935" t="str">
            <v>NPL</v>
          </cell>
          <cell r="B935">
            <v>2000</v>
          </cell>
          <cell r="C935" t="str">
            <v>wbsp_pop_65up_to</v>
          </cell>
          <cell r="D935">
            <v>924334</v>
          </cell>
          <cell r="F935" t="str">
            <v>16 Sep 2024</v>
          </cell>
        </row>
        <row r="936">
          <cell r="A936" t="str">
            <v>NPL</v>
          </cell>
          <cell r="B936">
            <v>2000</v>
          </cell>
          <cell r="C936" t="str">
            <v>wbsp_pop_totl</v>
          </cell>
          <cell r="D936">
            <v>24559500</v>
          </cell>
          <cell r="F936" t="str">
            <v>16 Sep 2024</v>
          </cell>
        </row>
        <row r="937">
          <cell r="A937" t="str">
            <v>NPL</v>
          </cell>
          <cell r="B937">
            <v>2001</v>
          </cell>
          <cell r="C937" t="str">
            <v>wbsp_pop_0014_to</v>
          </cell>
          <cell r="D937">
            <v>10080350</v>
          </cell>
          <cell r="F937" t="str">
            <v>16 Sep 2024</v>
          </cell>
        </row>
        <row r="938">
          <cell r="A938" t="str">
            <v>NPL</v>
          </cell>
          <cell r="B938">
            <v>2001</v>
          </cell>
          <cell r="C938" t="str">
            <v>wbsp_pop_1564_to</v>
          </cell>
          <cell r="D938">
            <v>13926230</v>
          </cell>
          <cell r="F938" t="str">
            <v>16 Sep 2024</v>
          </cell>
        </row>
        <row r="939">
          <cell r="A939" t="str">
            <v>NPL</v>
          </cell>
          <cell r="B939">
            <v>2001</v>
          </cell>
          <cell r="C939" t="str">
            <v>wbsp_pop_15up_to</v>
          </cell>
          <cell r="D939">
            <v>14875721</v>
          </cell>
          <cell r="F939" t="str">
            <v>16 Sep 2024</v>
          </cell>
        </row>
        <row r="940">
          <cell r="A940" t="str">
            <v>NPL</v>
          </cell>
          <cell r="B940">
            <v>2001</v>
          </cell>
          <cell r="C940" t="str">
            <v>wbsp_pop_65up_to</v>
          </cell>
          <cell r="D940">
            <v>949491</v>
          </cell>
          <cell r="F940" t="str">
            <v>16 Sep 2024</v>
          </cell>
        </row>
        <row r="941">
          <cell r="A941" t="str">
            <v>NPL</v>
          </cell>
          <cell r="B941">
            <v>2001</v>
          </cell>
          <cell r="C941" t="str">
            <v>wbsp_pop_totl</v>
          </cell>
          <cell r="D941">
            <v>24956071</v>
          </cell>
          <cell r="F941" t="str">
            <v>16 Sep 2024</v>
          </cell>
        </row>
        <row r="942">
          <cell r="A942" t="str">
            <v>NPL</v>
          </cell>
          <cell r="B942">
            <v>2002</v>
          </cell>
          <cell r="C942" t="str">
            <v>wbsp_pop_0014_to</v>
          </cell>
          <cell r="D942">
            <v>10153346</v>
          </cell>
          <cell r="F942" t="str">
            <v>16 Sep 2024</v>
          </cell>
        </row>
        <row r="943">
          <cell r="A943" t="str">
            <v>NPL</v>
          </cell>
          <cell r="B943">
            <v>2002</v>
          </cell>
          <cell r="C943" t="str">
            <v>wbsp_pop_1564_to</v>
          </cell>
          <cell r="D943">
            <v>14201723</v>
          </cell>
          <cell r="F943" t="str">
            <v>16 Sep 2024</v>
          </cell>
        </row>
        <row r="944">
          <cell r="A944" t="str">
            <v>NPL</v>
          </cell>
          <cell r="B944">
            <v>2002</v>
          </cell>
          <cell r="C944" t="str">
            <v>wbsp_pop_15up_to</v>
          </cell>
          <cell r="D944">
            <v>15178832</v>
          </cell>
          <cell r="F944" t="str">
            <v>16 Sep 2024</v>
          </cell>
        </row>
        <row r="945">
          <cell r="A945" t="str">
            <v>NPL</v>
          </cell>
          <cell r="B945">
            <v>2002</v>
          </cell>
          <cell r="C945" t="str">
            <v>wbsp_pop_65up_to</v>
          </cell>
          <cell r="D945">
            <v>977109</v>
          </cell>
          <cell r="F945" t="str">
            <v>16 Sep 2024</v>
          </cell>
        </row>
        <row r="946">
          <cell r="A946" t="str">
            <v>NPL</v>
          </cell>
          <cell r="B946">
            <v>2002</v>
          </cell>
          <cell r="C946" t="str">
            <v>wbsp_pop_totl</v>
          </cell>
          <cell r="D946">
            <v>25332178</v>
          </cell>
          <cell r="F946" t="str">
            <v>16 Sep 2024</v>
          </cell>
        </row>
        <row r="947">
          <cell r="A947" t="str">
            <v>NPL</v>
          </cell>
          <cell r="B947">
            <v>2003</v>
          </cell>
          <cell r="C947" t="str">
            <v>wbsp_pop_0014_to</v>
          </cell>
          <cell r="D947">
            <v>10205862</v>
          </cell>
          <cell r="F947" t="str">
            <v>16 Sep 2024</v>
          </cell>
        </row>
        <row r="948">
          <cell r="A948" t="str">
            <v>NPL</v>
          </cell>
          <cell r="B948">
            <v>2003</v>
          </cell>
          <cell r="C948" t="str">
            <v>wbsp_pop_1564_to</v>
          </cell>
          <cell r="D948">
            <v>14469885</v>
          </cell>
          <cell r="F948" t="str">
            <v>16 Sep 2024</v>
          </cell>
        </row>
        <row r="949">
          <cell r="A949" t="str">
            <v>NPL</v>
          </cell>
          <cell r="B949">
            <v>2003</v>
          </cell>
          <cell r="C949" t="str">
            <v>wbsp_pop_15up_to</v>
          </cell>
          <cell r="D949">
            <v>15477047</v>
          </cell>
          <cell r="F949" t="str">
            <v>16 Sep 2024</v>
          </cell>
        </row>
        <row r="950">
          <cell r="A950" t="str">
            <v>NPL</v>
          </cell>
          <cell r="B950">
            <v>2003</v>
          </cell>
          <cell r="C950" t="str">
            <v>wbsp_pop_65up_to</v>
          </cell>
          <cell r="D950">
            <v>1007162</v>
          </cell>
          <cell r="F950" t="str">
            <v>16 Sep 2024</v>
          </cell>
        </row>
        <row r="951">
          <cell r="A951" t="str">
            <v>NPL</v>
          </cell>
          <cell r="B951">
            <v>2003</v>
          </cell>
          <cell r="C951" t="str">
            <v>wbsp_pop_totl</v>
          </cell>
          <cell r="D951">
            <v>25682908</v>
          </cell>
          <cell r="F951" t="str">
            <v>16 Sep 2024</v>
          </cell>
        </row>
        <row r="952">
          <cell r="A952" t="str">
            <v>NPL</v>
          </cell>
          <cell r="B952">
            <v>2004</v>
          </cell>
          <cell r="C952" t="str">
            <v>wbsp_pop_0014_to</v>
          </cell>
          <cell r="D952">
            <v>10237993</v>
          </cell>
          <cell r="F952" t="str">
            <v>16 Sep 2024</v>
          </cell>
        </row>
        <row r="953">
          <cell r="A953" t="str">
            <v>NPL</v>
          </cell>
          <cell r="B953">
            <v>2004</v>
          </cell>
          <cell r="C953" t="str">
            <v>wbsp_pop_1564_to</v>
          </cell>
          <cell r="D953">
            <v>14727925</v>
          </cell>
          <cell r="F953" t="str">
            <v>16 Sep 2024</v>
          </cell>
        </row>
        <row r="954">
          <cell r="A954" t="str">
            <v>NPL</v>
          </cell>
          <cell r="B954">
            <v>2004</v>
          </cell>
          <cell r="C954" t="str">
            <v>wbsp_pop_15up_to</v>
          </cell>
          <cell r="D954">
            <v>15765972</v>
          </cell>
          <cell r="F954" t="str">
            <v>16 Sep 2024</v>
          </cell>
        </row>
        <row r="955">
          <cell r="A955" t="str">
            <v>NPL</v>
          </cell>
          <cell r="B955">
            <v>2004</v>
          </cell>
          <cell r="C955" t="str">
            <v>wbsp_pop_65up_to</v>
          </cell>
          <cell r="D955">
            <v>1038047</v>
          </cell>
          <cell r="F955" t="str">
            <v>16 Sep 2024</v>
          </cell>
        </row>
        <row r="956">
          <cell r="A956" t="str">
            <v>NPL</v>
          </cell>
          <cell r="B956">
            <v>2004</v>
          </cell>
          <cell r="C956" t="str">
            <v>wbsp_pop_totl</v>
          </cell>
          <cell r="D956">
            <v>26003965</v>
          </cell>
          <cell r="F956" t="str">
            <v>16 Sep 2024</v>
          </cell>
        </row>
        <row r="957">
          <cell r="A957" t="str">
            <v>NPL</v>
          </cell>
          <cell r="B957">
            <v>2005</v>
          </cell>
          <cell r="C957" t="str">
            <v>wbsp_pop_0014_to</v>
          </cell>
          <cell r="D957">
            <v>10241674</v>
          </cell>
          <cell r="F957" t="str">
            <v>16 Sep 2024</v>
          </cell>
        </row>
        <row r="958">
          <cell r="A958" t="str">
            <v>NPL</v>
          </cell>
          <cell r="B958">
            <v>2005</v>
          </cell>
          <cell r="C958" t="str">
            <v>wbsp_pop_1564_to</v>
          </cell>
          <cell r="D958">
            <v>14970294</v>
          </cell>
          <cell r="F958" t="str">
            <v>16 Sep 2024</v>
          </cell>
        </row>
        <row r="959">
          <cell r="A959" t="str">
            <v>NPL</v>
          </cell>
          <cell r="B959">
            <v>2005</v>
          </cell>
          <cell r="C959" t="str">
            <v>wbsp_pop_15up_to</v>
          </cell>
          <cell r="D959">
            <v>16043436</v>
          </cell>
          <cell r="F959" t="str">
            <v>16 Sep 2024</v>
          </cell>
        </row>
        <row r="960">
          <cell r="A960" t="str">
            <v>NPL</v>
          </cell>
          <cell r="B960">
            <v>2005</v>
          </cell>
          <cell r="C960" t="str">
            <v>wbsp_pop_65up_to</v>
          </cell>
          <cell r="D960">
            <v>1073142</v>
          </cell>
          <cell r="F960" t="str">
            <v>16 Sep 2024</v>
          </cell>
        </row>
        <row r="961">
          <cell r="A961" t="str">
            <v>NPL</v>
          </cell>
          <cell r="B961">
            <v>2005</v>
          </cell>
          <cell r="C961" t="str">
            <v>wbsp_pop_totl</v>
          </cell>
          <cell r="D961">
            <v>26285110</v>
          </cell>
          <cell r="F961" t="str">
            <v>16 Sep 2024</v>
          </cell>
        </row>
        <row r="962">
          <cell r="A962" t="str">
            <v>NPL</v>
          </cell>
          <cell r="B962">
            <v>2006</v>
          </cell>
          <cell r="C962" t="str">
            <v>wbsp_pop_0014_to</v>
          </cell>
          <cell r="D962">
            <v>10212255</v>
          </cell>
          <cell r="F962" t="str">
            <v>16 Sep 2024</v>
          </cell>
        </row>
        <row r="963">
          <cell r="A963" t="str">
            <v>NPL</v>
          </cell>
          <cell r="B963">
            <v>2006</v>
          </cell>
          <cell r="C963" t="str">
            <v>wbsp_pop_1564_to</v>
          </cell>
          <cell r="D963">
            <v>15193345</v>
          </cell>
          <cell r="F963" t="str">
            <v>16 Sep 2024</v>
          </cell>
        </row>
        <row r="964">
          <cell r="A964" t="str">
            <v>NPL</v>
          </cell>
          <cell r="B964">
            <v>2006</v>
          </cell>
          <cell r="C964" t="str">
            <v>wbsp_pop_15up_to</v>
          </cell>
          <cell r="D964">
            <v>16306716</v>
          </cell>
          <cell r="F964" t="str">
            <v>16 Sep 2024</v>
          </cell>
        </row>
        <row r="965">
          <cell r="A965" t="str">
            <v>NPL</v>
          </cell>
          <cell r="B965">
            <v>2006</v>
          </cell>
          <cell r="C965" t="str">
            <v>wbsp_pop_65up_to</v>
          </cell>
          <cell r="D965">
            <v>1113371</v>
          </cell>
          <cell r="F965" t="str">
            <v>16 Sep 2024</v>
          </cell>
        </row>
        <row r="966">
          <cell r="A966" t="str">
            <v>NPL</v>
          </cell>
          <cell r="B966">
            <v>2006</v>
          </cell>
          <cell r="C966" t="str">
            <v>wbsp_pop_totl</v>
          </cell>
          <cell r="D966">
            <v>26518971</v>
          </cell>
          <cell r="F966" t="str">
            <v>16 Sep 2024</v>
          </cell>
        </row>
        <row r="967">
          <cell r="A967" t="str">
            <v>NPL</v>
          </cell>
          <cell r="B967">
            <v>2007</v>
          </cell>
          <cell r="C967" t="str">
            <v>wbsp_pop_0014_to</v>
          </cell>
          <cell r="D967">
            <v>10153334</v>
          </cell>
          <cell r="F967" t="str">
            <v>16 Sep 2024</v>
          </cell>
        </row>
        <row r="968">
          <cell r="A968" t="str">
            <v>NPL</v>
          </cell>
          <cell r="B968">
            <v>2007</v>
          </cell>
          <cell r="C968" t="str">
            <v>wbsp_pop_1564_to</v>
          </cell>
          <cell r="D968">
            <v>15404452</v>
          </cell>
          <cell r="F968" t="str">
            <v>16 Sep 2024</v>
          </cell>
        </row>
        <row r="969">
          <cell r="A969" t="str">
            <v>NPL</v>
          </cell>
          <cell r="B969">
            <v>2007</v>
          </cell>
          <cell r="C969" t="str">
            <v>wbsp_pop_15up_to</v>
          </cell>
          <cell r="D969">
            <v>16560320</v>
          </cell>
          <cell r="F969" t="str">
            <v>16 Sep 2024</v>
          </cell>
        </row>
        <row r="970">
          <cell r="A970" t="str">
            <v>NPL</v>
          </cell>
          <cell r="B970">
            <v>2007</v>
          </cell>
          <cell r="C970" t="str">
            <v>wbsp_pop_65up_to</v>
          </cell>
          <cell r="D970">
            <v>1155868</v>
          </cell>
          <cell r="F970" t="str">
            <v>16 Sep 2024</v>
          </cell>
        </row>
        <row r="971">
          <cell r="A971" t="str">
            <v>NPL</v>
          </cell>
          <cell r="B971">
            <v>2007</v>
          </cell>
          <cell r="C971" t="str">
            <v>wbsp_pop_totl</v>
          </cell>
          <cell r="D971">
            <v>26713655</v>
          </cell>
          <cell r="F971" t="str">
            <v>16 Sep 2024</v>
          </cell>
        </row>
        <row r="972">
          <cell r="A972" t="str">
            <v>NPL</v>
          </cell>
          <cell r="B972">
            <v>2008</v>
          </cell>
          <cell r="C972" t="str">
            <v>wbsp_pop_0014_to</v>
          </cell>
          <cell r="D972">
            <v>10064032</v>
          </cell>
          <cell r="F972" t="str">
            <v>16 Sep 2024</v>
          </cell>
        </row>
        <row r="973">
          <cell r="A973" t="str">
            <v>NPL</v>
          </cell>
          <cell r="B973">
            <v>2008</v>
          </cell>
          <cell r="C973" t="str">
            <v>wbsp_pop_1564_to</v>
          </cell>
          <cell r="D973">
            <v>15618218</v>
          </cell>
          <cell r="F973" t="str">
            <v>16 Sep 2024</v>
          </cell>
        </row>
        <row r="974">
          <cell r="A974" t="str">
            <v>NPL</v>
          </cell>
          <cell r="B974">
            <v>2008</v>
          </cell>
          <cell r="C974" t="str">
            <v>wbsp_pop_15up_to</v>
          </cell>
          <cell r="D974">
            <v>16817512</v>
          </cell>
          <cell r="F974" t="str">
            <v>16 Sep 2024</v>
          </cell>
        </row>
        <row r="975">
          <cell r="A975" t="str">
            <v>NPL</v>
          </cell>
          <cell r="B975">
            <v>2008</v>
          </cell>
          <cell r="C975" t="str">
            <v>wbsp_pop_65up_to</v>
          </cell>
          <cell r="D975">
            <v>1199294</v>
          </cell>
          <cell r="F975" t="str">
            <v>16 Sep 2024</v>
          </cell>
        </row>
        <row r="976">
          <cell r="A976" t="str">
            <v>NPL</v>
          </cell>
          <cell r="B976">
            <v>2008</v>
          </cell>
          <cell r="C976" t="str">
            <v>wbsp_pop_totl</v>
          </cell>
          <cell r="D976">
            <v>26881544</v>
          </cell>
          <cell r="F976" t="str">
            <v>16 Sep 2024</v>
          </cell>
        </row>
        <row r="977">
          <cell r="A977" t="str">
            <v>NPL</v>
          </cell>
          <cell r="B977">
            <v>2009</v>
          </cell>
          <cell r="C977" t="str">
            <v>wbsp_pop_0014_to</v>
          </cell>
          <cell r="D977">
            <v>9949375</v>
          </cell>
          <cell r="F977" t="str">
            <v>16 Sep 2024</v>
          </cell>
        </row>
        <row r="978">
          <cell r="A978" t="str">
            <v>NPL</v>
          </cell>
          <cell r="B978">
            <v>2009</v>
          </cell>
          <cell r="C978" t="str">
            <v>wbsp_pop_1564_to</v>
          </cell>
          <cell r="D978">
            <v>15835198</v>
          </cell>
          <cell r="F978" t="str">
            <v>16 Sep 2024</v>
          </cell>
        </row>
        <row r="979">
          <cell r="A979" t="str">
            <v>NPL</v>
          </cell>
          <cell r="B979">
            <v>2009</v>
          </cell>
          <cell r="C979" t="str">
            <v>wbsp_pop_15up_to</v>
          </cell>
          <cell r="D979">
            <v>17077566</v>
          </cell>
          <cell r="F979" t="str">
            <v>16 Sep 2024</v>
          </cell>
        </row>
        <row r="980">
          <cell r="A980" t="str">
            <v>NPL</v>
          </cell>
          <cell r="B980">
            <v>2009</v>
          </cell>
          <cell r="C980" t="str">
            <v>wbsp_pop_65up_to</v>
          </cell>
          <cell r="D980">
            <v>1242368</v>
          </cell>
          <cell r="F980" t="str">
            <v>16 Sep 2024</v>
          </cell>
        </row>
        <row r="981">
          <cell r="A981" t="str">
            <v>NPL</v>
          </cell>
          <cell r="B981">
            <v>2009</v>
          </cell>
          <cell r="C981" t="str">
            <v>wbsp_pop_totl</v>
          </cell>
          <cell r="D981">
            <v>27026941</v>
          </cell>
          <cell r="F981" t="str">
            <v>16 Sep 2024</v>
          </cell>
        </row>
        <row r="982">
          <cell r="A982" t="str">
            <v>NPL</v>
          </cell>
          <cell r="B982">
            <v>2010</v>
          </cell>
          <cell r="C982" t="str">
            <v>wbsp_pop_0014_to</v>
          </cell>
          <cell r="D982">
            <v>9821171</v>
          </cell>
          <cell r="F982" t="str">
            <v>16 Sep 2024</v>
          </cell>
        </row>
        <row r="983">
          <cell r="A983" t="str">
            <v>NPL</v>
          </cell>
          <cell r="B983">
            <v>2010</v>
          </cell>
          <cell r="C983" t="str">
            <v>wbsp_pop_1564_to</v>
          </cell>
          <cell r="D983">
            <v>16056222</v>
          </cell>
          <cell r="F983" t="str">
            <v>16 Sep 2024</v>
          </cell>
        </row>
        <row r="984">
          <cell r="A984" t="str">
            <v>NPL</v>
          </cell>
          <cell r="B984">
            <v>2010</v>
          </cell>
          <cell r="C984" t="str">
            <v>wbsp_pop_15up_to</v>
          </cell>
          <cell r="D984">
            <v>17340396</v>
          </cell>
          <cell r="F984" t="str">
            <v>16 Sep 2024</v>
          </cell>
        </row>
        <row r="985">
          <cell r="A985" t="str">
            <v>NPL</v>
          </cell>
          <cell r="B985">
            <v>2010</v>
          </cell>
          <cell r="C985" t="str">
            <v>wbsp_pop_65up_to</v>
          </cell>
          <cell r="D985">
            <v>1284174</v>
          </cell>
          <cell r="F985" t="str">
            <v>16 Sep 2024</v>
          </cell>
        </row>
        <row r="986">
          <cell r="A986" t="str">
            <v>NPL</v>
          </cell>
          <cell r="B986">
            <v>2010</v>
          </cell>
          <cell r="C986" t="str">
            <v>wbsp_pop_totl</v>
          </cell>
          <cell r="D986">
            <v>27161567</v>
          </cell>
          <cell r="F986" t="str">
            <v>16 Sep 2024</v>
          </cell>
        </row>
        <row r="987">
          <cell r="A987" t="str">
            <v>NPL</v>
          </cell>
          <cell r="B987">
            <v>2011</v>
          </cell>
          <cell r="C987" t="str">
            <v>wbsp_pop_0014_to</v>
          </cell>
          <cell r="D987">
            <v>9688354</v>
          </cell>
          <cell r="F987" t="str">
            <v>16 Sep 2024</v>
          </cell>
        </row>
        <row r="988">
          <cell r="A988" t="str">
            <v>NPL</v>
          </cell>
          <cell r="B988">
            <v>2011</v>
          </cell>
          <cell r="C988" t="str">
            <v>wbsp_pop_1564_to</v>
          </cell>
          <cell r="D988">
            <v>16251872</v>
          </cell>
          <cell r="F988" t="str">
            <v>16 Sep 2024</v>
          </cell>
        </row>
        <row r="989">
          <cell r="A989" t="str">
            <v>NPL</v>
          </cell>
          <cell r="B989">
            <v>2011</v>
          </cell>
          <cell r="C989" t="str">
            <v>wbsp_pop_15up_to</v>
          </cell>
          <cell r="D989">
            <v>17578045</v>
          </cell>
          <cell r="F989" t="str">
            <v>16 Sep 2024</v>
          </cell>
        </row>
        <row r="990">
          <cell r="A990" t="str">
            <v>NPL</v>
          </cell>
          <cell r="B990">
            <v>2011</v>
          </cell>
          <cell r="C990" t="str">
            <v>wbsp_pop_65up_to</v>
          </cell>
          <cell r="D990">
            <v>1326173</v>
          </cell>
          <cell r="F990" t="str">
            <v>16 Sep 2024</v>
          </cell>
        </row>
        <row r="991">
          <cell r="A991" t="str">
            <v>NPL</v>
          </cell>
          <cell r="B991">
            <v>2011</v>
          </cell>
          <cell r="C991" t="str">
            <v>wbsp_pop_totl</v>
          </cell>
          <cell r="D991">
            <v>27266399</v>
          </cell>
          <cell r="F991" t="str">
            <v>16 Sep 2024</v>
          </cell>
        </row>
        <row r="992">
          <cell r="A992" t="str">
            <v>NPL</v>
          </cell>
          <cell r="B992">
            <v>2012</v>
          </cell>
          <cell r="C992" t="str">
            <v>wbsp_pop_0014_to</v>
          </cell>
          <cell r="D992">
            <v>9561350</v>
          </cell>
          <cell r="F992" t="str">
            <v>16 Sep 2024</v>
          </cell>
        </row>
        <row r="993">
          <cell r="A993" t="str">
            <v>NPL</v>
          </cell>
          <cell r="B993">
            <v>2012</v>
          </cell>
          <cell r="C993" t="str">
            <v>wbsp_pop_1564_to</v>
          </cell>
          <cell r="D993">
            <v>16397960</v>
          </cell>
          <cell r="F993" t="str">
            <v>16 Sep 2024</v>
          </cell>
        </row>
        <row r="994">
          <cell r="A994" t="str">
            <v>NPL</v>
          </cell>
          <cell r="B994">
            <v>2012</v>
          </cell>
          <cell r="C994" t="str">
            <v>wbsp_pop_15up_to</v>
          </cell>
          <cell r="D994">
            <v>17769345</v>
          </cell>
          <cell r="F994" t="str">
            <v>16 Sep 2024</v>
          </cell>
        </row>
        <row r="995">
          <cell r="A995" t="str">
            <v>NPL</v>
          </cell>
          <cell r="B995">
            <v>2012</v>
          </cell>
          <cell r="C995" t="str">
            <v>wbsp_pop_65up_to</v>
          </cell>
          <cell r="D995">
            <v>1371385</v>
          </cell>
          <cell r="F995" t="str">
            <v>16 Sep 2024</v>
          </cell>
        </row>
        <row r="996">
          <cell r="A996" t="str">
            <v>NPL</v>
          </cell>
          <cell r="B996">
            <v>2012</v>
          </cell>
          <cell r="C996" t="str">
            <v>wbsp_pop_totl</v>
          </cell>
          <cell r="D996">
            <v>27330694</v>
          </cell>
          <cell r="F996" t="str">
            <v>16 Sep 2024</v>
          </cell>
        </row>
        <row r="997">
          <cell r="A997" t="str">
            <v>NPL</v>
          </cell>
          <cell r="B997">
            <v>2013</v>
          </cell>
          <cell r="C997" t="str">
            <v>wbsp_pop_0014_to</v>
          </cell>
          <cell r="D997">
            <v>9440342</v>
          </cell>
          <cell r="F997" t="str">
            <v>16 Sep 2024</v>
          </cell>
        </row>
        <row r="998">
          <cell r="A998" t="str">
            <v>NPL</v>
          </cell>
          <cell r="B998">
            <v>2013</v>
          </cell>
          <cell r="C998" t="str">
            <v>wbsp_pop_1564_to</v>
          </cell>
          <cell r="D998">
            <v>16519935</v>
          </cell>
          <cell r="F998" t="str">
            <v>16 Sep 2024</v>
          </cell>
        </row>
        <row r="999">
          <cell r="A999" t="str">
            <v>NPL</v>
          </cell>
          <cell r="B999">
            <v>2013</v>
          </cell>
          <cell r="C999" t="str">
            <v>wbsp_pop_15up_to</v>
          </cell>
          <cell r="D999">
            <v>17941213</v>
          </cell>
          <cell r="F999" t="str">
            <v>16 Sep 2024</v>
          </cell>
        </row>
        <row r="1000">
          <cell r="A1000" t="str">
            <v>NPL</v>
          </cell>
          <cell r="B1000">
            <v>2013</v>
          </cell>
          <cell r="C1000" t="str">
            <v>wbsp_pop_65up_to</v>
          </cell>
          <cell r="D1000">
            <v>1421278</v>
          </cell>
          <cell r="F1000" t="str">
            <v>16 Sep 2024</v>
          </cell>
        </row>
        <row r="1001">
          <cell r="A1001" t="str">
            <v>NPL</v>
          </cell>
          <cell r="B1001">
            <v>2013</v>
          </cell>
          <cell r="C1001" t="str">
            <v>wbsp_pop_totl</v>
          </cell>
          <cell r="D1001">
            <v>27381555</v>
          </cell>
          <cell r="F1001" t="str">
            <v>16 Sep 2024</v>
          </cell>
        </row>
        <row r="1002">
          <cell r="A1002" t="str">
            <v>NPL</v>
          </cell>
          <cell r="B1002">
            <v>2014</v>
          </cell>
          <cell r="C1002" t="str">
            <v>wbsp_pop_0014_to</v>
          </cell>
          <cell r="D1002">
            <v>9325052</v>
          </cell>
          <cell r="F1002" t="str">
            <v>16 Sep 2024</v>
          </cell>
        </row>
        <row r="1003">
          <cell r="A1003" t="str">
            <v>NPL</v>
          </cell>
          <cell r="B1003">
            <v>2014</v>
          </cell>
          <cell r="C1003" t="str">
            <v>wbsp_pop_1564_to</v>
          </cell>
          <cell r="D1003">
            <v>16665345</v>
          </cell>
          <cell r="F1003" t="str">
            <v>16 Sep 2024</v>
          </cell>
        </row>
        <row r="1004">
          <cell r="A1004" t="str">
            <v>NPL</v>
          </cell>
          <cell r="B1004">
            <v>2014</v>
          </cell>
          <cell r="C1004" t="str">
            <v>wbsp_pop_15up_to</v>
          </cell>
          <cell r="D1004">
            <v>18137054</v>
          </cell>
          <cell r="F1004" t="str">
            <v>16 Sep 2024</v>
          </cell>
        </row>
        <row r="1005">
          <cell r="A1005" t="str">
            <v>NPL</v>
          </cell>
          <cell r="B1005">
            <v>2014</v>
          </cell>
          <cell r="C1005" t="str">
            <v>wbsp_pop_65up_to</v>
          </cell>
          <cell r="D1005">
            <v>1471709</v>
          </cell>
          <cell r="F1005" t="str">
            <v>16 Sep 2024</v>
          </cell>
        </row>
        <row r="1006">
          <cell r="A1006" t="str">
            <v>NPL</v>
          </cell>
          <cell r="B1006">
            <v>2014</v>
          </cell>
          <cell r="C1006" t="str">
            <v>wbsp_pop_totl</v>
          </cell>
          <cell r="D1006">
            <v>27462106</v>
          </cell>
          <cell r="F1006" t="str">
            <v>16 Sep 2024</v>
          </cell>
        </row>
        <row r="1007">
          <cell r="A1007" t="str">
            <v>NPL</v>
          </cell>
          <cell r="B1007">
            <v>2015</v>
          </cell>
          <cell r="C1007" t="str">
            <v>wbsp_pop_0014_to</v>
          </cell>
          <cell r="D1007">
            <v>9216522</v>
          </cell>
          <cell r="F1007" t="str">
            <v>16 Sep 2024</v>
          </cell>
        </row>
        <row r="1008">
          <cell r="A1008" t="str">
            <v>NPL</v>
          </cell>
          <cell r="B1008">
            <v>2015</v>
          </cell>
          <cell r="C1008" t="str">
            <v>wbsp_pop_1564_to</v>
          </cell>
          <cell r="D1008">
            <v>16873900</v>
          </cell>
          <cell r="F1008" t="str">
            <v>16 Sep 2024</v>
          </cell>
        </row>
        <row r="1009">
          <cell r="A1009" t="str">
            <v>NPL</v>
          </cell>
          <cell r="B1009">
            <v>2015</v>
          </cell>
          <cell r="C1009" t="str">
            <v>wbsp_pop_15up_to</v>
          </cell>
          <cell r="D1009">
            <v>18393803</v>
          </cell>
          <cell r="F1009" t="str">
            <v>16 Sep 2024</v>
          </cell>
        </row>
        <row r="1010">
          <cell r="A1010" t="str">
            <v>NPL</v>
          </cell>
          <cell r="B1010">
            <v>2015</v>
          </cell>
          <cell r="C1010" t="str">
            <v>wbsp_pop_65up_to</v>
          </cell>
          <cell r="D1010">
            <v>1519903</v>
          </cell>
          <cell r="F1010" t="str">
            <v>16 Sep 2024</v>
          </cell>
        </row>
        <row r="1011">
          <cell r="A1011" t="str">
            <v>NPL</v>
          </cell>
          <cell r="B1011">
            <v>2015</v>
          </cell>
          <cell r="C1011" t="str">
            <v>wbsp_pop_totl</v>
          </cell>
          <cell r="D1011">
            <v>27610325</v>
          </cell>
          <cell r="F1011" t="str">
            <v>16 Sep 2024</v>
          </cell>
        </row>
        <row r="1012">
          <cell r="A1012" t="str">
            <v>NPL</v>
          </cell>
          <cell r="B1012">
            <v>2016</v>
          </cell>
          <cell r="C1012" t="str">
            <v>wbsp_pop_0014_to</v>
          </cell>
          <cell r="D1012">
            <v>9119303</v>
          </cell>
          <cell r="F1012" t="str">
            <v>16 Sep 2024</v>
          </cell>
        </row>
        <row r="1013">
          <cell r="A1013" t="str">
            <v>NPL</v>
          </cell>
          <cell r="B1013">
            <v>2016</v>
          </cell>
          <cell r="C1013" t="str">
            <v>wbsp_pop_1564_to</v>
          </cell>
          <cell r="D1013">
            <v>17172370</v>
          </cell>
          <cell r="F1013" t="str">
            <v>16 Sep 2024</v>
          </cell>
        </row>
        <row r="1014">
          <cell r="A1014" t="str">
            <v>NPL</v>
          </cell>
          <cell r="B1014">
            <v>2016</v>
          </cell>
          <cell r="C1014" t="str">
            <v>wbsp_pop_15up_to</v>
          </cell>
          <cell r="D1014">
            <v>18741882</v>
          </cell>
          <cell r="F1014" t="str">
            <v>16 Sep 2024</v>
          </cell>
        </row>
        <row r="1015">
          <cell r="A1015" t="str">
            <v>NPL</v>
          </cell>
          <cell r="B1015">
            <v>2016</v>
          </cell>
          <cell r="C1015" t="str">
            <v>wbsp_pop_65up_to</v>
          </cell>
          <cell r="D1015">
            <v>1569512</v>
          </cell>
          <cell r="F1015" t="str">
            <v>16 Sep 2024</v>
          </cell>
        </row>
        <row r="1016">
          <cell r="A1016" t="str">
            <v>NPL</v>
          </cell>
          <cell r="B1016">
            <v>2016</v>
          </cell>
          <cell r="C1016" t="str">
            <v>wbsp_pop_totl</v>
          </cell>
          <cell r="D1016">
            <v>27861186</v>
          </cell>
          <cell r="F1016" t="str">
            <v>16 Sep 2024</v>
          </cell>
        </row>
        <row r="1017">
          <cell r="A1017" t="str">
            <v>NPL</v>
          </cell>
          <cell r="B1017">
            <v>2017</v>
          </cell>
          <cell r="C1017" t="str">
            <v>wbsp_pop_0014_to</v>
          </cell>
          <cell r="D1017">
            <v>9035713</v>
          </cell>
          <cell r="F1017" t="str">
            <v>16 Sep 2024</v>
          </cell>
        </row>
        <row r="1018">
          <cell r="A1018" t="str">
            <v>NPL</v>
          </cell>
          <cell r="B1018">
            <v>2017</v>
          </cell>
          <cell r="C1018" t="str">
            <v>wbsp_pop_1564_to</v>
          </cell>
          <cell r="D1018">
            <v>17527080</v>
          </cell>
          <cell r="F1018" t="str">
            <v>16 Sep 2024</v>
          </cell>
        </row>
        <row r="1019">
          <cell r="A1019" t="str">
            <v>NPL</v>
          </cell>
          <cell r="B1019">
            <v>2017</v>
          </cell>
          <cell r="C1019" t="str">
            <v>wbsp_pop_15up_to</v>
          </cell>
          <cell r="D1019">
            <v>19147713</v>
          </cell>
          <cell r="F1019" t="str">
            <v>16 Sep 2024</v>
          </cell>
        </row>
        <row r="1020">
          <cell r="A1020" t="str">
            <v>NPL</v>
          </cell>
          <cell r="B1020">
            <v>2017</v>
          </cell>
          <cell r="C1020" t="str">
            <v>wbsp_pop_65up_to</v>
          </cell>
          <cell r="D1020">
            <v>1620633</v>
          </cell>
          <cell r="F1020" t="str">
            <v>16 Sep 2024</v>
          </cell>
        </row>
        <row r="1021">
          <cell r="A1021" t="str">
            <v>NPL</v>
          </cell>
          <cell r="B1021">
            <v>2017</v>
          </cell>
          <cell r="C1021" t="str">
            <v>wbsp_pop_totl</v>
          </cell>
          <cell r="D1021">
            <v>28183426</v>
          </cell>
          <cell r="F1021" t="str">
            <v>16 Sep 2024</v>
          </cell>
        </row>
        <row r="1022">
          <cell r="A1022" t="str">
            <v>NPL</v>
          </cell>
          <cell r="B1022">
            <v>2018</v>
          </cell>
          <cell r="C1022" t="str">
            <v>wbsp_pop_0014_to</v>
          </cell>
          <cell r="D1022">
            <v>8956301</v>
          </cell>
          <cell r="F1022" t="str">
            <v>16 Sep 2024</v>
          </cell>
        </row>
        <row r="1023">
          <cell r="A1023" t="str">
            <v>NPL</v>
          </cell>
          <cell r="B1023">
            <v>2018</v>
          </cell>
          <cell r="C1023" t="str">
            <v>wbsp_pop_1564_to</v>
          </cell>
          <cell r="D1023">
            <v>17879134</v>
          </cell>
          <cell r="F1023" t="str">
            <v>16 Sep 2024</v>
          </cell>
        </row>
        <row r="1024">
          <cell r="A1024" t="str">
            <v>NPL</v>
          </cell>
          <cell r="B1024">
            <v>2018</v>
          </cell>
          <cell r="C1024" t="str">
            <v>wbsp_pop_15up_to</v>
          </cell>
          <cell r="D1024">
            <v>19550412</v>
          </cell>
          <cell r="F1024" t="str">
            <v>16 Sep 2024</v>
          </cell>
        </row>
        <row r="1025">
          <cell r="A1025" t="str">
            <v>NPL</v>
          </cell>
          <cell r="B1025">
            <v>2018</v>
          </cell>
          <cell r="C1025" t="str">
            <v>wbsp_pop_65up_to</v>
          </cell>
          <cell r="D1025">
            <v>1671278</v>
          </cell>
          <cell r="F1025" t="str">
            <v>16 Sep 2024</v>
          </cell>
        </row>
        <row r="1026">
          <cell r="A1026" t="str">
            <v>NPL</v>
          </cell>
          <cell r="B1026">
            <v>2018</v>
          </cell>
          <cell r="C1026" t="str">
            <v>wbsp_pop_totl</v>
          </cell>
          <cell r="D1026">
            <v>28506712</v>
          </cell>
          <cell r="F1026" t="str">
            <v>16 Sep 2024</v>
          </cell>
        </row>
        <row r="1027">
          <cell r="A1027" t="str">
            <v>NPL</v>
          </cell>
          <cell r="B1027">
            <v>2019</v>
          </cell>
          <cell r="C1027" t="str">
            <v>wbsp_pop_0014_to</v>
          </cell>
          <cell r="D1027">
            <v>8883015</v>
          </cell>
          <cell r="F1027" t="str">
            <v>16 Sep 2024</v>
          </cell>
        </row>
        <row r="1028">
          <cell r="A1028" t="str">
            <v>NPL</v>
          </cell>
          <cell r="B1028">
            <v>2019</v>
          </cell>
          <cell r="C1028" t="str">
            <v>wbsp_pop_1564_to</v>
          </cell>
          <cell r="D1028">
            <v>18227535</v>
          </cell>
          <cell r="F1028" t="str">
            <v>16 Sep 2024</v>
          </cell>
        </row>
        <row r="1029">
          <cell r="A1029" t="str">
            <v>NPL</v>
          </cell>
          <cell r="B1029">
            <v>2019</v>
          </cell>
          <cell r="C1029" t="str">
            <v>wbsp_pop_15up_to</v>
          </cell>
          <cell r="D1029">
            <v>19949482</v>
          </cell>
          <cell r="F1029" t="str">
            <v>16 Sep 2024</v>
          </cell>
        </row>
        <row r="1030">
          <cell r="A1030" t="str">
            <v>NPL</v>
          </cell>
          <cell r="B1030">
            <v>2019</v>
          </cell>
          <cell r="C1030" t="str">
            <v>wbsp_pop_65up_to</v>
          </cell>
          <cell r="D1030">
            <v>1721947</v>
          </cell>
          <cell r="F1030" t="str">
            <v>16 Sep 2024</v>
          </cell>
        </row>
        <row r="1031">
          <cell r="A1031" t="str">
            <v>NPL</v>
          </cell>
          <cell r="B1031">
            <v>2019</v>
          </cell>
          <cell r="C1031" t="str">
            <v>wbsp_pop_totl</v>
          </cell>
          <cell r="D1031">
            <v>28832496</v>
          </cell>
          <cell r="F1031" t="str">
            <v>16 Sep 2024</v>
          </cell>
        </row>
        <row r="1032">
          <cell r="A1032" t="str">
            <v>NPL</v>
          </cell>
          <cell r="B1032">
            <v>2020</v>
          </cell>
          <cell r="C1032" t="str">
            <v>wbsp_pop_0014_to</v>
          </cell>
          <cell r="D1032">
            <v>8838598</v>
          </cell>
          <cell r="F1032" t="str">
            <v>16 Sep 2024</v>
          </cell>
        </row>
        <row r="1033">
          <cell r="A1033" t="str">
            <v>NPL</v>
          </cell>
          <cell r="B1033">
            <v>2020</v>
          </cell>
          <cell r="C1033" t="str">
            <v>wbsp_pop_1564_to</v>
          </cell>
          <cell r="D1033">
            <v>18737431</v>
          </cell>
          <cell r="F1033" t="str">
            <v>16 Sep 2024</v>
          </cell>
        </row>
        <row r="1034">
          <cell r="A1034" t="str">
            <v>NPL</v>
          </cell>
          <cell r="B1034">
            <v>2020</v>
          </cell>
          <cell r="C1034" t="str">
            <v>wbsp_pop_15up_to</v>
          </cell>
          <cell r="D1034">
            <v>20510029</v>
          </cell>
          <cell r="F1034" t="str">
            <v>16 Sep 2024</v>
          </cell>
        </row>
        <row r="1035">
          <cell r="A1035" t="str">
            <v>NPL</v>
          </cell>
          <cell r="B1035">
            <v>2020</v>
          </cell>
          <cell r="C1035" t="str">
            <v>wbsp_pop_65up_to</v>
          </cell>
          <cell r="D1035">
            <v>1772598</v>
          </cell>
          <cell r="F1035" t="str">
            <v>16 Sep 2024</v>
          </cell>
        </row>
        <row r="1036">
          <cell r="A1036" t="str">
            <v>NPL</v>
          </cell>
          <cell r="B1036">
            <v>2020</v>
          </cell>
          <cell r="C1036" t="str">
            <v>wbsp_pop_totl</v>
          </cell>
          <cell r="D1036">
            <v>29348627</v>
          </cell>
          <cell r="F1036" t="str">
            <v>16 Sep 2024</v>
          </cell>
        </row>
        <row r="1037">
          <cell r="A1037" t="str">
            <v>NPL</v>
          </cell>
          <cell r="B1037">
            <v>2021</v>
          </cell>
          <cell r="C1037" t="str">
            <v>wbsp_pop_0014_to</v>
          </cell>
          <cell r="D1037">
            <v>8827834</v>
          </cell>
          <cell r="F1037" t="str">
            <v>16 Sep 2024</v>
          </cell>
        </row>
        <row r="1038">
          <cell r="A1038" t="str">
            <v>NPL</v>
          </cell>
          <cell r="B1038">
            <v>2021</v>
          </cell>
          <cell r="C1038" t="str">
            <v>wbsp_pop_1564_to</v>
          </cell>
          <cell r="D1038">
            <v>19390423</v>
          </cell>
          <cell r="F1038" t="str">
            <v>16 Sep 2024</v>
          </cell>
        </row>
        <row r="1039">
          <cell r="A1039" t="str">
            <v>NPL</v>
          </cell>
          <cell r="B1039">
            <v>2021</v>
          </cell>
          <cell r="C1039" t="str">
            <v>wbsp_pop_15up_to</v>
          </cell>
          <cell r="D1039">
            <v>21207155</v>
          </cell>
          <cell r="F1039" t="str">
            <v>16 Sep 2024</v>
          </cell>
        </row>
        <row r="1040">
          <cell r="A1040" t="str">
            <v>NPL</v>
          </cell>
          <cell r="B1040">
            <v>2021</v>
          </cell>
          <cell r="C1040" t="str">
            <v>wbsp_pop_65up_to</v>
          </cell>
          <cell r="D1040">
            <v>1816732</v>
          </cell>
          <cell r="F1040" t="str">
            <v>16 Sep 2024</v>
          </cell>
        </row>
        <row r="1041">
          <cell r="A1041" t="str">
            <v>NPL</v>
          </cell>
          <cell r="B1041">
            <v>2021</v>
          </cell>
          <cell r="C1041" t="str">
            <v>wbsp_pop_totl</v>
          </cell>
          <cell r="D1041">
            <v>30034989</v>
          </cell>
          <cell r="F1041" t="str">
            <v>16 Sep 2024</v>
          </cell>
        </row>
        <row r="1042">
          <cell r="A1042" t="str">
            <v>NPL</v>
          </cell>
          <cell r="B1042">
            <v>2022</v>
          </cell>
          <cell r="C1042" t="str">
            <v>wbsp_pop_0014_to</v>
          </cell>
          <cell r="D1042">
            <v>8823440</v>
          </cell>
          <cell r="F1042" t="str">
            <v>16 Sep 2024</v>
          </cell>
        </row>
        <row r="1043">
          <cell r="A1043" t="str">
            <v>NPL</v>
          </cell>
          <cell r="B1043">
            <v>2022</v>
          </cell>
          <cell r="C1043" t="str">
            <v>wbsp_pop_1564_to</v>
          </cell>
          <cell r="D1043">
            <v>19864639</v>
          </cell>
          <cell r="F1043" t="str">
            <v>16 Sep 2024</v>
          </cell>
        </row>
        <row r="1044">
          <cell r="A1044" t="str">
            <v>NPL</v>
          </cell>
          <cell r="B1044">
            <v>2022</v>
          </cell>
          <cell r="C1044" t="str">
            <v>wbsp_pop_15up_to</v>
          </cell>
          <cell r="D1044">
            <v>21724139</v>
          </cell>
          <cell r="F1044" t="str">
            <v>16 Sep 2024</v>
          </cell>
        </row>
        <row r="1045">
          <cell r="A1045" t="str">
            <v>NPL</v>
          </cell>
          <cell r="B1045">
            <v>2022</v>
          </cell>
          <cell r="C1045" t="str">
            <v>wbsp_pop_65up_to</v>
          </cell>
          <cell r="D1045">
            <v>1859500</v>
          </cell>
          <cell r="F1045" t="str">
            <v>16 Sep 2024</v>
          </cell>
        </row>
        <row r="1046">
          <cell r="A1046" t="str">
            <v>NPL</v>
          </cell>
          <cell r="B1046">
            <v>2022</v>
          </cell>
          <cell r="C1046" t="str">
            <v>wbsp_pop_totl</v>
          </cell>
          <cell r="D1046">
            <v>30547580</v>
          </cell>
          <cell r="F1046" t="str">
            <v>16 Sep 2024</v>
          </cell>
        </row>
        <row r="1047">
          <cell r="A1047" t="str">
            <v>NPL</v>
          </cell>
          <cell r="B1047">
            <v>2023</v>
          </cell>
          <cell r="C1047" t="str">
            <v>wbsp_pop_0014_to</v>
          </cell>
          <cell r="D1047">
            <v>8819003</v>
          </cell>
          <cell r="F1047" t="str">
            <v>16 Sep 2024</v>
          </cell>
        </row>
        <row r="1048">
          <cell r="A1048" t="str">
            <v>NPL</v>
          </cell>
          <cell r="B1048">
            <v>2023</v>
          </cell>
          <cell r="C1048" t="str">
            <v>wbsp_pop_1564_to</v>
          </cell>
          <cell r="D1048">
            <v>20170837</v>
          </cell>
          <cell r="F1048" t="str">
            <v>16 Sep 2024</v>
          </cell>
        </row>
        <row r="1049">
          <cell r="A1049" t="str">
            <v>NPL</v>
          </cell>
          <cell r="B1049">
            <v>2023</v>
          </cell>
          <cell r="C1049" t="str">
            <v>wbsp_pop_15up_to</v>
          </cell>
          <cell r="D1049">
            <v>22077588</v>
          </cell>
          <cell r="F1049" t="str">
            <v>16 Sep 2024</v>
          </cell>
        </row>
        <row r="1050">
          <cell r="A1050" t="str">
            <v>NPL</v>
          </cell>
          <cell r="B1050">
            <v>2023</v>
          </cell>
          <cell r="C1050" t="str">
            <v>wbsp_pop_65up_to</v>
          </cell>
          <cell r="D1050">
            <v>1906751</v>
          </cell>
          <cell r="F1050" t="str">
            <v>16 Sep 2024</v>
          </cell>
        </row>
        <row r="1051">
          <cell r="A1051" t="str">
            <v>NPL</v>
          </cell>
          <cell r="B1051">
            <v>2023</v>
          </cell>
          <cell r="C1051" t="str">
            <v>wbsp_pop_totl</v>
          </cell>
          <cell r="D1051">
            <v>30896590</v>
          </cell>
          <cell r="F1051" t="str">
            <v>16 Sep 2024</v>
          </cell>
        </row>
        <row r="1052">
          <cell r="A1052" t="str">
            <v>NPL</v>
          </cell>
          <cell r="B1052">
            <v>2024</v>
          </cell>
          <cell r="C1052" t="str">
            <v>wbsp_pop_0014_to</v>
          </cell>
          <cell r="D1052">
            <v>8821745</v>
          </cell>
          <cell r="F1052" t="str">
            <v>16 Sep 2024</v>
          </cell>
        </row>
        <row r="1053">
          <cell r="A1053" t="str">
            <v>NPL</v>
          </cell>
          <cell r="B1053">
            <v>2024</v>
          </cell>
          <cell r="C1053" t="str">
            <v>wbsp_pop_1564_to</v>
          </cell>
          <cell r="D1053">
            <v>20465064</v>
          </cell>
          <cell r="F1053" t="str">
            <v>16 Sep 2024</v>
          </cell>
        </row>
        <row r="1054">
          <cell r="A1054" t="str">
            <v>NPL</v>
          </cell>
          <cell r="B1054">
            <v>2024</v>
          </cell>
          <cell r="C1054" t="str">
            <v>wbsp_pop_15up_to</v>
          </cell>
          <cell r="D1054">
            <v>22418570</v>
          </cell>
          <cell r="F1054" t="str">
            <v>16 Sep 2024</v>
          </cell>
        </row>
        <row r="1055">
          <cell r="A1055" t="str">
            <v>NPL</v>
          </cell>
          <cell r="B1055">
            <v>2024</v>
          </cell>
          <cell r="C1055" t="str">
            <v>wbsp_pop_65up_to</v>
          </cell>
          <cell r="D1055">
            <v>1953506</v>
          </cell>
          <cell r="F1055" t="str">
            <v>16 Sep 2024</v>
          </cell>
        </row>
        <row r="1056">
          <cell r="A1056" t="str">
            <v>NPL</v>
          </cell>
          <cell r="B1056">
            <v>2024</v>
          </cell>
          <cell r="C1056" t="str">
            <v>wbsp_pop_totl</v>
          </cell>
          <cell r="D1056">
            <v>31240315</v>
          </cell>
          <cell r="F1056" t="str">
            <v>16 Sep 2024</v>
          </cell>
        </row>
        <row r="1057">
          <cell r="A1057" t="str">
            <v>NPL</v>
          </cell>
          <cell r="B1057">
            <v>2025</v>
          </cell>
          <cell r="C1057" t="str">
            <v>wbsp_pop_0014_to</v>
          </cell>
          <cell r="D1057">
            <v>8827430</v>
          </cell>
          <cell r="F1057" t="str">
            <v>16 Sep 2024</v>
          </cell>
        </row>
        <row r="1058">
          <cell r="A1058" t="str">
            <v>NPL</v>
          </cell>
          <cell r="B1058">
            <v>2025</v>
          </cell>
          <cell r="C1058" t="str">
            <v>wbsp_pop_1564_to</v>
          </cell>
          <cell r="D1058">
            <v>20749259</v>
          </cell>
          <cell r="F1058" t="str">
            <v>16 Sep 2024</v>
          </cell>
        </row>
        <row r="1059">
          <cell r="A1059" t="str">
            <v>NPL</v>
          </cell>
          <cell r="B1059">
            <v>2025</v>
          </cell>
          <cell r="C1059" t="str">
            <v>wbsp_pop_15up_to</v>
          </cell>
          <cell r="D1059">
            <v>22749930</v>
          </cell>
          <cell r="F1059" t="str">
            <v>16 Sep 2024</v>
          </cell>
        </row>
        <row r="1060">
          <cell r="A1060" t="str">
            <v>NPL</v>
          </cell>
          <cell r="B1060">
            <v>2025</v>
          </cell>
          <cell r="C1060" t="str">
            <v>wbsp_pop_65up_to</v>
          </cell>
          <cell r="D1060">
            <v>2000671</v>
          </cell>
          <cell r="F1060" t="str">
            <v>16 Sep 2024</v>
          </cell>
        </row>
        <row r="1061">
          <cell r="A1061" t="str">
            <v>NPL</v>
          </cell>
          <cell r="B1061">
            <v>2025</v>
          </cell>
          <cell r="C1061" t="str">
            <v>wbsp_pop_totl</v>
          </cell>
          <cell r="D1061">
            <v>31577361</v>
          </cell>
          <cell r="F1061" t="str">
            <v>16 Sep 2024</v>
          </cell>
        </row>
        <row r="1062">
          <cell r="A1062" t="str">
            <v>NPL</v>
          </cell>
          <cell r="B1062">
            <v>2026</v>
          </cell>
          <cell r="C1062" t="str">
            <v>wbsp_pop_0014_to</v>
          </cell>
          <cell r="D1062">
            <v>8831143</v>
          </cell>
          <cell r="F1062" t="str">
            <v>16 Sep 2024</v>
          </cell>
        </row>
        <row r="1063">
          <cell r="A1063" t="str">
            <v>NPL</v>
          </cell>
          <cell r="B1063">
            <v>2026</v>
          </cell>
          <cell r="C1063" t="str">
            <v>wbsp_pop_1564_to</v>
          </cell>
          <cell r="D1063">
            <v>21026747</v>
          </cell>
          <cell r="F1063" t="str">
            <v>16 Sep 2024</v>
          </cell>
        </row>
        <row r="1064">
          <cell r="A1064" t="str">
            <v>NPL</v>
          </cell>
          <cell r="B1064">
            <v>2026</v>
          </cell>
          <cell r="C1064" t="str">
            <v>wbsp_pop_15up_to</v>
          </cell>
          <cell r="D1064">
            <v>23075928</v>
          </cell>
          <cell r="F1064" t="str">
            <v>16 Sep 2024</v>
          </cell>
        </row>
        <row r="1065">
          <cell r="A1065" t="str">
            <v>NPL</v>
          </cell>
          <cell r="B1065">
            <v>2026</v>
          </cell>
          <cell r="C1065" t="str">
            <v>wbsp_pop_65up_to</v>
          </cell>
          <cell r="D1065">
            <v>2049181</v>
          </cell>
          <cell r="F1065" t="str">
            <v>16 Sep 2024</v>
          </cell>
        </row>
        <row r="1066">
          <cell r="A1066" t="str">
            <v>NPL</v>
          </cell>
          <cell r="B1066">
            <v>2026</v>
          </cell>
          <cell r="C1066" t="str">
            <v>wbsp_pop_totl</v>
          </cell>
          <cell r="D1066">
            <v>31907071</v>
          </cell>
          <cell r="F1066" t="str">
            <v>16 Sep 2024</v>
          </cell>
        </row>
        <row r="1067">
          <cell r="A1067" t="str">
            <v>NPL</v>
          </cell>
          <cell r="B1067">
            <v>2027</v>
          </cell>
          <cell r="C1067" t="str">
            <v>wbsp_pop_0014_to</v>
          </cell>
          <cell r="D1067">
            <v>8827548</v>
          </cell>
          <cell r="F1067" t="str">
            <v>16 Sep 2024</v>
          </cell>
        </row>
        <row r="1068">
          <cell r="A1068" t="str">
            <v>NPL</v>
          </cell>
          <cell r="B1068">
            <v>2027</v>
          </cell>
          <cell r="C1068" t="str">
            <v>wbsp_pop_1564_to</v>
          </cell>
          <cell r="D1068">
            <v>21302275</v>
          </cell>
          <cell r="F1068" t="str">
            <v>16 Sep 2024</v>
          </cell>
        </row>
        <row r="1069">
          <cell r="A1069" t="str">
            <v>NPL</v>
          </cell>
          <cell r="B1069">
            <v>2027</v>
          </cell>
          <cell r="C1069" t="str">
            <v>wbsp_pop_15up_to</v>
          </cell>
          <cell r="D1069">
            <v>23400983</v>
          </cell>
          <cell r="F1069" t="str">
            <v>16 Sep 2024</v>
          </cell>
        </row>
        <row r="1070">
          <cell r="A1070" t="str">
            <v>NPL</v>
          </cell>
          <cell r="B1070">
            <v>2027</v>
          </cell>
          <cell r="C1070" t="str">
            <v>wbsp_pop_65up_to</v>
          </cell>
          <cell r="D1070">
            <v>2098708</v>
          </cell>
          <cell r="F1070" t="str">
            <v>16 Sep 2024</v>
          </cell>
        </row>
        <row r="1071">
          <cell r="A1071" t="str">
            <v>NPL</v>
          </cell>
          <cell r="B1071">
            <v>2027</v>
          </cell>
          <cell r="C1071" t="str">
            <v>wbsp_pop_totl</v>
          </cell>
          <cell r="D1071">
            <v>32228530</v>
          </cell>
          <cell r="F1071" t="str">
            <v>16 Sep 2024</v>
          </cell>
        </row>
        <row r="1072">
          <cell r="A1072" t="str">
            <v>NPL</v>
          </cell>
          <cell r="B1072">
            <v>2028</v>
          </cell>
          <cell r="C1072" t="str">
            <v>wbsp_pop_0014_to</v>
          </cell>
          <cell r="D1072">
            <v>8814014</v>
          </cell>
          <cell r="F1072" t="str">
            <v>16 Sep 2024</v>
          </cell>
        </row>
        <row r="1073">
          <cell r="A1073" t="str">
            <v>NPL</v>
          </cell>
          <cell r="B1073">
            <v>2028</v>
          </cell>
          <cell r="C1073" t="str">
            <v>wbsp_pop_1564_to</v>
          </cell>
          <cell r="D1073">
            <v>21577253</v>
          </cell>
          <cell r="F1073" t="str">
            <v>16 Sep 2024</v>
          </cell>
        </row>
        <row r="1074">
          <cell r="A1074" t="str">
            <v>NPL</v>
          </cell>
          <cell r="B1074">
            <v>2028</v>
          </cell>
          <cell r="C1074" t="str">
            <v>wbsp_pop_15up_to</v>
          </cell>
          <cell r="D1074">
            <v>23726472</v>
          </cell>
          <cell r="F1074" t="str">
            <v>16 Sep 2024</v>
          </cell>
        </row>
        <row r="1075">
          <cell r="A1075" t="str">
            <v>NPL</v>
          </cell>
          <cell r="B1075">
            <v>2028</v>
          </cell>
          <cell r="C1075" t="str">
            <v>wbsp_pop_65up_to</v>
          </cell>
          <cell r="D1075">
            <v>2149219</v>
          </cell>
          <cell r="F1075" t="str">
            <v>16 Sep 2024</v>
          </cell>
        </row>
        <row r="1076">
          <cell r="A1076" t="str">
            <v>NPL</v>
          </cell>
          <cell r="B1076">
            <v>2028</v>
          </cell>
          <cell r="C1076" t="str">
            <v>wbsp_pop_totl</v>
          </cell>
          <cell r="D1076">
            <v>32540486</v>
          </cell>
          <cell r="F1076" t="str">
            <v>16 Sep 2024</v>
          </cell>
        </row>
        <row r="1077">
          <cell r="A1077" t="str">
            <v>NPL</v>
          </cell>
          <cell r="B1077">
            <v>2029</v>
          </cell>
          <cell r="C1077" t="str">
            <v>wbsp_pop_0014_to</v>
          </cell>
          <cell r="D1077">
            <v>8789419</v>
          </cell>
          <cell r="F1077" t="str">
            <v>16 Sep 2024</v>
          </cell>
        </row>
        <row r="1078">
          <cell r="A1078" t="str">
            <v>NPL</v>
          </cell>
          <cell r="B1078">
            <v>2029</v>
          </cell>
          <cell r="C1078" t="str">
            <v>wbsp_pop_1564_to</v>
          </cell>
          <cell r="D1078">
            <v>21851244</v>
          </cell>
          <cell r="F1078" t="str">
            <v>16 Sep 2024</v>
          </cell>
        </row>
        <row r="1079">
          <cell r="A1079" t="str">
            <v>NPL</v>
          </cell>
          <cell r="B1079">
            <v>2029</v>
          </cell>
          <cell r="C1079" t="str">
            <v>wbsp_pop_15up_to</v>
          </cell>
          <cell r="D1079">
            <v>24052618</v>
          </cell>
          <cell r="F1079" t="str">
            <v>16 Sep 2024</v>
          </cell>
        </row>
        <row r="1080">
          <cell r="A1080" t="str">
            <v>NPL</v>
          </cell>
          <cell r="B1080">
            <v>2029</v>
          </cell>
          <cell r="C1080" t="str">
            <v>wbsp_pop_65up_to</v>
          </cell>
          <cell r="D1080">
            <v>2201374</v>
          </cell>
          <cell r="F1080" t="str">
            <v>16 Sep 2024</v>
          </cell>
        </row>
        <row r="1081">
          <cell r="A1081" t="str">
            <v>NPL</v>
          </cell>
          <cell r="B1081">
            <v>2029</v>
          </cell>
          <cell r="C1081" t="str">
            <v>wbsp_pop_totl</v>
          </cell>
          <cell r="D1081">
            <v>32842036</v>
          </cell>
          <cell r="F1081" t="str">
            <v>16 Sep 2024</v>
          </cell>
        </row>
        <row r="1082">
          <cell r="A1082" t="str">
            <v>NPL</v>
          </cell>
          <cell r="B1082">
            <v>2030</v>
          </cell>
          <cell r="C1082" t="str">
            <v>wbsp_pop_0014_to</v>
          </cell>
          <cell r="D1082">
            <v>8754808</v>
          </cell>
          <cell r="F1082" t="str">
            <v>16 Sep 2024</v>
          </cell>
        </row>
        <row r="1083">
          <cell r="A1083" t="str">
            <v>NPL</v>
          </cell>
          <cell r="B1083">
            <v>2030</v>
          </cell>
          <cell r="C1083" t="str">
            <v>wbsp_pop_1564_to</v>
          </cell>
          <cell r="D1083">
            <v>22123422</v>
          </cell>
          <cell r="F1083" t="str">
            <v>16 Sep 2024</v>
          </cell>
        </row>
        <row r="1084">
          <cell r="A1084" t="str">
            <v>NPL</v>
          </cell>
          <cell r="B1084">
            <v>2030</v>
          </cell>
          <cell r="C1084" t="str">
            <v>wbsp_pop_15up_to</v>
          </cell>
          <cell r="D1084">
            <v>24378587</v>
          </cell>
          <cell r="F1084" t="str">
            <v>16 Sep 2024</v>
          </cell>
        </row>
        <row r="1085">
          <cell r="A1085" t="str">
            <v>NPL</v>
          </cell>
          <cell r="B1085">
            <v>2030</v>
          </cell>
          <cell r="C1085" t="str">
            <v>wbsp_pop_65up_to</v>
          </cell>
          <cell r="D1085">
            <v>2255165</v>
          </cell>
          <cell r="F1085" t="str">
            <v>16 Sep 2024</v>
          </cell>
        </row>
        <row r="1086">
          <cell r="A1086" t="str">
            <v>NPL</v>
          </cell>
          <cell r="B1086">
            <v>2030</v>
          </cell>
          <cell r="C1086" t="str">
            <v>wbsp_pop_totl</v>
          </cell>
          <cell r="D1086">
            <v>33133395</v>
          </cell>
          <cell r="F1086" t="str">
            <v>16 Sep 2024</v>
          </cell>
        </row>
        <row r="1087">
          <cell r="A1087" t="str">
            <v>PAK</v>
          </cell>
          <cell r="B1087">
            <v>2000</v>
          </cell>
          <cell r="C1087" t="str">
            <v>wbsp_pop_0014_to</v>
          </cell>
          <cell r="D1087">
            <v>66255250</v>
          </cell>
          <cell r="F1087" t="str">
            <v>16 Sep 2024</v>
          </cell>
        </row>
        <row r="1088">
          <cell r="A1088" t="str">
            <v>PAK</v>
          </cell>
          <cell r="B1088">
            <v>2000</v>
          </cell>
          <cell r="C1088" t="str">
            <v>wbsp_pop_1564_to</v>
          </cell>
          <cell r="D1088">
            <v>82770846</v>
          </cell>
          <cell r="F1088" t="str">
            <v>16 Sep 2024</v>
          </cell>
        </row>
        <row r="1089">
          <cell r="A1089" t="str">
            <v>PAK</v>
          </cell>
          <cell r="B1089">
            <v>2000</v>
          </cell>
          <cell r="C1089" t="str">
            <v>wbsp_pop_15up_to</v>
          </cell>
          <cell r="D1089">
            <v>88114674</v>
          </cell>
          <cell r="F1089" t="str">
            <v>16 Sep 2024</v>
          </cell>
        </row>
        <row r="1090">
          <cell r="A1090" t="str">
            <v>PAK</v>
          </cell>
          <cell r="B1090">
            <v>2000</v>
          </cell>
          <cell r="C1090" t="str">
            <v>wbsp_pop_65up_to</v>
          </cell>
          <cell r="D1090">
            <v>5343828</v>
          </cell>
          <cell r="F1090" t="str">
            <v>16 Sep 2024</v>
          </cell>
        </row>
        <row r="1091">
          <cell r="A1091" t="str">
            <v>PAK</v>
          </cell>
          <cell r="B1091">
            <v>2000</v>
          </cell>
          <cell r="C1091" t="str">
            <v>wbsp_pop_totl</v>
          </cell>
          <cell r="D1091">
            <v>154369924</v>
          </cell>
          <cell r="F1091" t="str">
            <v>16 Sep 2024</v>
          </cell>
        </row>
        <row r="1092">
          <cell r="A1092" t="str">
            <v>PAK</v>
          </cell>
          <cell r="B1092">
            <v>2001</v>
          </cell>
          <cell r="C1092" t="str">
            <v>wbsp_pop_0014_to</v>
          </cell>
          <cell r="D1092">
            <v>67571624</v>
          </cell>
          <cell r="F1092" t="str">
            <v>16 Sep 2024</v>
          </cell>
        </row>
        <row r="1093">
          <cell r="A1093" t="str">
            <v>PAK</v>
          </cell>
          <cell r="B1093">
            <v>2001</v>
          </cell>
          <cell r="C1093" t="str">
            <v>wbsp_pop_1564_to</v>
          </cell>
          <cell r="D1093">
            <v>86125833</v>
          </cell>
          <cell r="F1093" t="str">
            <v>16 Sep 2024</v>
          </cell>
        </row>
        <row r="1094">
          <cell r="A1094" t="str">
            <v>PAK</v>
          </cell>
          <cell r="B1094">
            <v>2001</v>
          </cell>
          <cell r="C1094" t="str">
            <v>wbsp_pop_15up_to</v>
          </cell>
          <cell r="D1094">
            <v>91646103</v>
          </cell>
          <cell r="F1094" t="str">
            <v>16 Sep 2024</v>
          </cell>
        </row>
        <row r="1095">
          <cell r="A1095" t="str">
            <v>PAK</v>
          </cell>
          <cell r="B1095">
            <v>2001</v>
          </cell>
          <cell r="C1095" t="str">
            <v>wbsp_pop_65up_to</v>
          </cell>
          <cell r="D1095">
            <v>5520270</v>
          </cell>
          <cell r="F1095" t="str">
            <v>16 Sep 2024</v>
          </cell>
        </row>
        <row r="1096">
          <cell r="A1096" t="str">
            <v>PAK</v>
          </cell>
          <cell r="B1096">
            <v>2001</v>
          </cell>
          <cell r="C1096" t="str">
            <v>wbsp_pop_totl</v>
          </cell>
          <cell r="D1096">
            <v>159217727</v>
          </cell>
          <cell r="F1096" t="str">
            <v>16 Sep 2024</v>
          </cell>
        </row>
        <row r="1097">
          <cell r="A1097" t="str">
            <v>PAK</v>
          </cell>
          <cell r="B1097">
            <v>2002</v>
          </cell>
          <cell r="C1097" t="str">
            <v>wbsp_pop_0014_to</v>
          </cell>
          <cell r="D1097">
            <v>68753596</v>
          </cell>
          <cell r="F1097" t="str">
            <v>16 Sep 2024</v>
          </cell>
        </row>
        <row r="1098">
          <cell r="A1098" t="str">
            <v>PAK</v>
          </cell>
          <cell r="B1098">
            <v>2002</v>
          </cell>
          <cell r="C1098" t="str">
            <v>wbsp_pop_1564_to</v>
          </cell>
          <cell r="D1098">
            <v>88828749</v>
          </cell>
          <cell r="F1098" t="str">
            <v>16 Sep 2024</v>
          </cell>
        </row>
        <row r="1099">
          <cell r="A1099" t="str">
            <v>PAK</v>
          </cell>
          <cell r="B1099">
            <v>2002</v>
          </cell>
          <cell r="C1099" t="str">
            <v>wbsp_pop_15up_to</v>
          </cell>
          <cell r="D1099">
            <v>94509211</v>
          </cell>
          <cell r="F1099" t="str">
            <v>16 Sep 2024</v>
          </cell>
        </row>
        <row r="1100">
          <cell r="A1100" t="str">
            <v>PAK</v>
          </cell>
          <cell r="B1100">
            <v>2002</v>
          </cell>
          <cell r="C1100" t="str">
            <v>wbsp_pop_65up_to</v>
          </cell>
          <cell r="D1100">
            <v>5680462</v>
          </cell>
          <cell r="F1100" t="str">
            <v>16 Sep 2024</v>
          </cell>
        </row>
        <row r="1101">
          <cell r="A1101" t="str">
            <v>PAK</v>
          </cell>
          <cell r="B1101">
            <v>2002</v>
          </cell>
          <cell r="C1101" t="str">
            <v>wbsp_pop_totl</v>
          </cell>
          <cell r="D1101">
            <v>163262807</v>
          </cell>
          <cell r="F1101" t="str">
            <v>16 Sep 2024</v>
          </cell>
        </row>
        <row r="1102">
          <cell r="A1102" t="str">
            <v>PAK</v>
          </cell>
          <cell r="B1102">
            <v>2003</v>
          </cell>
          <cell r="C1102" t="str">
            <v>wbsp_pop_0014_to</v>
          </cell>
          <cell r="D1102">
            <v>69806769</v>
          </cell>
          <cell r="F1102" t="str">
            <v>16 Sep 2024</v>
          </cell>
        </row>
        <row r="1103">
          <cell r="A1103" t="str">
            <v>PAK</v>
          </cell>
          <cell r="B1103">
            <v>2003</v>
          </cell>
          <cell r="C1103" t="str">
            <v>wbsp_pop_1564_to</v>
          </cell>
          <cell r="D1103">
            <v>91232910</v>
          </cell>
          <cell r="F1103" t="str">
            <v>16 Sep 2024</v>
          </cell>
        </row>
        <row r="1104">
          <cell r="A1104" t="str">
            <v>PAK</v>
          </cell>
          <cell r="B1104">
            <v>2003</v>
          </cell>
          <cell r="C1104" t="str">
            <v>wbsp_pop_15up_to</v>
          </cell>
          <cell r="D1104">
            <v>97069911</v>
          </cell>
          <cell r="F1104" t="str">
            <v>16 Sep 2024</v>
          </cell>
        </row>
        <row r="1105">
          <cell r="A1105" t="str">
            <v>PAK</v>
          </cell>
          <cell r="B1105">
            <v>2003</v>
          </cell>
          <cell r="C1105" t="str">
            <v>wbsp_pop_65up_to</v>
          </cell>
          <cell r="D1105">
            <v>5837001</v>
          </cell>
          <cell r="F1105" t="str">
            <v>16 Sep 2024</v>
          </cell>
        </row>
        <row r="1106">
          <cell r="A1106" t="str">
            <v>PAK</v>
          </cell>
          <cell r="B1106">
            <v>2003</v>
          </cell>
          <cell r="C1106" t="str">
            <v>wbsp_pop_totl</v>
          </cell>
          <cell r="D1106">
            <v>166876680</v>
          </cell>
          <cell r="F1106" t="str">
            <v>16 Sep 2024</v>
          </cell>
        </row>
        <row r="1107">
          <cell r="A1107" t="str">
            <v>PAK</v>
          </cell>
          <cell r="B1107">
            <v>2004</v>
          </cell>
          <cell r="C1107" t="str">
            <v>wbsp_pop_0014_to</v>
          </cell>
          <cell r="D1107">
            <v>70780531</v>
          </cell>
          <cell r="F1107" t="str">
            <v>16 Sep 2024</v>
          </cell>
        </row>
        <row r="1108">
          <cell r="A1108" t="str">
            <v>PAK</v>
          </cell>
          <cell r="B1108">
            <v>2004</v>
          </cell>
          <cell r="C1108" t="str">
            <v>wbsp_pop_1564_to</v>
          </cell>
          <cell r="D1108">
            <v>93860799</v>
          </cell>
          <cell r="F1108" t="str">
            <v>16 Sep 2024</v>
          </cell>
        </row>
        <row r="1109">
          <cell r="A1109" t="str">
            <v>PAK</v>
          </cell>
          <cell r="B1109">
            <v>2004</v>
          </cell>
          <cell r="C1109" t="str">
            <v>wbsp_pop_15up_to</v>
          </cell>
          <cell r="D1109">
            <v>99868089</v>
          </cell>
          <cell r="F1109" t="str">
            <v>16 Sep 2024</v>
          </cell>
        </row>
        <row r="1110">
          <cell r="A1110" t="str">
            <v>PAK</v>
          </cell>
          <cell r="B1110">
            <v>2004</v>
          </cell>
          <cell r="C1110" t="str">
            <v>wbsp_pop_65up_to</v>
          </cell>
          <cell r="D1110">
            <v>6007290</v>
          </cell>
          <cell r="F1110" t="str">
            <v>16 Sep 2024</v>
          </cell>
        </row>
        <row r="1111">
          <cell r="A1111" t="str">
            <v>PAK</v>
          </cell>
          <cell r="B1111">
            <v>2004</v>
          </cell>
          <cell r="C1111" t="str">
            <v>wbsp_pop_totl</v>
          </cell>
          <cell r="D1111">
            <v>170648620</v>
          </cell>
          <cell r="F1111" t="str">
            <v>16 Sep 2024</v>
          </cell>
        </row>
        <row r="1112">
          <cell r="A1112" t="str">
            <v>PAK</v>
          </cell>
          <cell r="B1112">
            <v>2005</v>
          </cell>
          <cell r="C1112" t="str">
            <v>wbsp_pop_0014_to</v>
          </cell>
          <cell r="D1112">
            <v>71658119</v>
          </cell>
          <cell r="F1112" t="str">
            <v>16 Sep 2024</v>
          </cell>
        </row>
        <row r="1113">
          <cell r="A1113" t="str">
            <v>PAK</v>
          </cell>
          <cell r="B1113">
            <v>2005</v>
          </cell>
          <cell r="C1113" t="str">
            <v>wbsp_pop_1564_to</v>
          </cell>
          <cell r="D1113">
            <v>96528411</v>
          </cell>
          <cell r="F1113" t="str">
            <v>16 Sep 2024</v>
          </cell>
        </row>
        <row r="1114">
          <cell r="A1114" t="str">
            <v>PAK</v>
          </cell>
          <cell r="B1114">
            <v>2005</v>
          </cell>
          <cell r="C1114" t="str">
            <v>wbsp_pop_15up_to</v>
          </cell>
          <cell r="D1114">
            <v>102713978</v>
          </cell>
          <cell r="F1114" t="str">
            <v>16 Sep 2024</v>
          </cell>
        </row>
        <row r="1115">
          <cell r="A1115" t="str">
            <v>PAK</v>
          </cell>
          <cell r="B1115">
            <v>2005</v>
          </cell>
          <cell r="C1115" t="str">
            <v>wbsp_pop_65up_to</v>
          </cell>
          <cell r="D1115">
            <v>6185567</v>
          </cell>
          <cell r="F1115" t="str">
            <v>16 Sep 2024</v>
          </cell>
        </row>
        <row r="1116">
          <cell r="A1116" t="str">
            <v>PAK</v>
          </cell>
          <cell r="B1116">
            <v>2005</v>
          </cell>
          <cell r="C1116" t="str">
            <v>wbsp_pop_totl</v>
          </cell>
          <cell r="D1116">
            <v>174372098</v>
          </cell>
          <cell r="F1116" t="str">
            <v>16 Sep 2024</v>
          </cell>
        </row>
        <row r="1117">
          <cell r="A1117" t="str">
            <v>PAK</v>
          </cell>
          <cell r="B1117">
            <v>2006</v>
          </cell>
          <cell r="C1117" t="str">
            <v>wbsp_pop_0014_to</v>
          </cell>
          <cell r="D1117">
            <v>72472638</v>
          </cell>
          <cell r="F1117" t="str">
            <v>16 Sep 2024</v>
          </cell>
        </row>
        <row r="1118">
          <cell r="A1118" t="str">
            <v>PAK</v>
          </cell>
          <cell r="B1118">
            <v>2006</v>
          </cell>
          <cell r="C1118" t="str">
            <v>wbsp_pop_1564_to</v>
          </cell>
          <cell r="D1118">
            <v>99222675</v>
          </cell>
          <cell r="F1118" t="str">
            <v>16 Sep 2024</v>
          </cell>
        </row>
        <row r="1119">
          <cell r="A1119" t="str">
            <v>PAK</v>
          </cell>
          <cell r="B1119">
            <v>2006</v>
          </cell>
          <cell r="C1119" t="str">
            <v>wbsp_pop_15up_to</v>
          </cell>
          <cell r="D1119">
            <v>105597346</v>
          </cell>
          <cell r="F1119" t="str">
            <v>16 Sep 2024</v>
          </cell>
        </row>
        <row r="1120">
          <cell r="A1120" t="str">
            <v>PAK</v>
          </cell>
          <cell r="B1120">
            <v>2006</v>
          </cell>
          <cell r="C1120" t="str">
            <v>wbsp_pop_65up_to</v>
          </cell>
          <cell r="D1120">
            <v>6374671</v>
          </cell>
          <cell r="F1120" t="str">
            <v>16 Sep 2024</v>
          </cell>
        </row>
        <row r="1121">
          <cell r="A1121" t="str">
            <v>PAK</v>
          </cell>
          <cell r="B1121">
            <v>2006</v>
          </cell>
          <cell r="C1121" t="str">
            <v>wbsp_pop_totl</v>
          </cell>
          <cell r="D1121">
            <v>178069984</v>
          </cell>
          <cell r="F1121" t="str">
            <v>16 Sep 2024</v>
          </cell>
        </row>
        <row r="1122">
          <cell r="A1122" t="str">
            <v>PAK</v>
          </cell>
          <cell r="B1122">
            <v>2007</v>
          </cell>
          <cell r="C1122" t="str">
            <v>wbsp_pop_0014_to</v>
          </cell>
          <cell r="D1122">
            <v>73325269</v>
          </cell>
          <cell r="F1122" t="str">
            <v>16 Sep 2024</v>
          </cell>
        </row>
        <row r="1123">
          <cell r="A1123" t="str">
            <v>PAK</v>
          </cell>
          <cell r="B1123">
            <v>2007</v>
          </cell>
          <cell r="C1123" t="str">
            <v>wbsp_pop_1564_to</v>
          </cell>
          <cell r="D1123">
            <v>102020263</v>
          </cell>
          <cell r="F1123" t="str">
            <v>16 Sep 2024</v>
          </cell>
        </row>
        <row r="1124">
          <cell r="A1124" t="str">
            <v>PAK</v>
          </cell>
          <cell r="B1124">
            <v>2007</v>
          </cell>
          <cell r="C1124" t="str">
            <v>wbsp_pop_15up_to</v>
          </cell>
          <cell r="D1124">
            <v>108599252</v>
          </cell>
          <cell r="F1124" t="str">
            <v>16 Sep 2024</v>
          </cell>
        </row>
        <row r="1125">
          <cell r="A1125" t="str">
            <v>PAK</v>
          </cell>
          <cell r="B1125">
            <v>2007</v>
          </cell>
          <cell r="C1125" t="str">
            <v>wbsp_pop_65up_to</v>
          </cell>
          <cell r="D1125">
            <v>6578989</v>
          </cell>
          <cell r="F1125" t="str">
            <v>16 Sep 2024</v>
          </cell>
        </row>
        <row r="1126">
          <cell r="A1126" t="str">
            <v>PAK</v>
          </cell>
          <cell r="B1126">
            <v>2007</v>
          </cell>
          <cell r="C1126" t="str">
            <v>wbsp_pop_totl</v>
          </cell>
          <cell r="D1126">
            <v>181924521</v>
          </cell>
          <cell r="F1126" t="str">
            <v>16 Sep 2024</v>
          </cell>
        </row>
        <row r="1127">
          <cell r="A1127" t="str">
            <v>PAK</v>
          </cell>
          <cell r="B1127">
            <v>2008</v>
          </cell>
          <cell r="C1127" t="str">
            <v>wbsp_pop_0014_to</v>
          </cell>
          <cell r="D1127">
            <v>74260716</v>
          </cell>
          <cell r="F1127" t="str">
            <v>16 Sep 2024</v>
          </cell>
        </row>
        <row r="1128">
          <cell r="A1128" t="str">
            <v>PAK</v>
          </cell>
          <cell r="B1128">
            <v>2008</v>
          </cell>
          <cell r="C1128" t="str">
            <v>wbsp_pop_1564_to</v>
          </cell>
          <cell r="D1128">
            <v>104874732</v>
          </cell>
          <cell r="F1128" t="str">
            <v>16 Sep 2024</v>
          </cell>
        </row>
        <row r="1129">
          <cell r="A1129" t="str">
            <v>PAK</v>
          </cell>
          <cell r="B1129">
            <v>2008</v>
          </cell>
          <cell r="C1129" t="str">
            <v>wbsp_pop_15up_to</v>
          </cell>
          <cell r="D1129">
            <v>111671239</v>
          </cell>
          <cell r="F1129" t="str">
            <v>16 Sep 2024</v>
          </cell>
        </row>
        <row r="1130">
          <cell r="A1130" t="str">
            <v>PAK</v>
          </cell>
          <cell r="B1130">
            <v>2008</v>
          </cell>
          <cell r="C1130" t="str">
            <v>wbsp_pop_65up_to</v>
          </cell>
          <cell r="D1130">
            <v>6796507</v>
          </cell>
          <cell r="F1130" t="str">
            <v>16 Sep 2024</v>
          </cell>
        </row>
        <row r="1131">
          <cell r="A1131" t="str">
            <v>PAK</v>
          </cell>
          <cell r="B1131">
            <v>2008</v>
          </cell>
          <cell r="C1131" t="str">
            <v>wbsp_pop_totl</v>
          </cell>
          <cell r="D1131">
            <v>185931955</v>
          </cell>
          <cell r="F1131" t="str">
            <v>16 Sep 2024</v>
          </cell>
        </row>
        <row r="1132">
          <cell r="A1132" t="str">
            <v>PAK</v>
          </cell>
          <cell r="B1132">
            <v>2009</v>
          </cell>
          <cell r="C1132" t="str">
            <v>wbsp_pop_0014_to</v>
          </cell>
          <cell r="D1132">
            <v>75256560</v>
          </cell>
          <cell r="F1132" t="str">
            <v>16 Sep 2024</v>
          </cell>
        </row>
        <row r="1133">
          <cell r="A1133" t="str">
            <v>PAK</v>
          </cell>
          <cell r="B1133">
            <v>2009</v>
          </cell>
          <cell r="C1133" t="str">
            <v>wbsp_pop_1564_to</v>
          </cell>
          <cell r="D1133">
            <v>107842466</v>
          </cell>
          <cell r="F1133" t="str">
            <v>16 Sep 2024</v>
          </cell>
        </row>
        <row r="1134">
          <cell r="A1134" t="str">
            <v>PAK</v>
          </cell>
          <cell r="B1134">
            <v>2009</v>
          </cell>
          <cell r="C1134" t="str">
            <v>wbsp_pop_15up_to</v>
          </cell>
          <cell r="D1134">
            <v>114866663</v>
          </cell>
          <cell r="F1134" t="str">
            <v>16 Sep 2024</v>
          </cell>
        </row>
        <row r="1135">
          <cell r="A1135" t="str">
            <v>PAK</v>
          </cell>
          <cell r="B1135">
            <v>2009</v>
          </cell>
          <cell r="C1135" t="str">
            <v>wbsp_pop_65up_to</v>
          </cell>
          <cell r="D1135">
            <v>7024197</v>
          </cell>
          <cell r="F1135" t="str">
            <v>16 Sep 2024</v>
          </cell>
        </row>
        <row r="1136">
          <cell r="A1136" t="str">
            <v>PAK</v>
          </cell>
          <cell r="B1136">
            <v>2009</v>
          </cell>
          <cell r="C1136" t="str">
            <v>wbsp_pop_totl</v>
          </cell>
          <cell r="D1136">
            <v>190123222</v>
          </cell>
          <cell r="F1136" t="str">
            <v>16 Sep 2024</v>
          </cell>
        </row>
        <row r="1137">
          <cell r="A1137" t="str">
            <v>PAK</v>
          </cell>
          <cell r="B1137">
            <v>2010</v>
          </cell>
          <cell r="C1137" t="str">
            <v>wbsp_pop_0014_to</v>
          </cell>
          <cell r="D1137">
            <v>76306736</v>
          </cell>
          <cell r="F1137" t="str">
            <v>16 Sep 2024</v>
          </cell>
        </row>
        <row r="1138">
          <cell r="A1138" t="str">
            <v>PAK</v>
          </cell>
          <cell r="B1138">
            <v>2010</v>
          </cell>
          <cell r="C1138" t="str">
            <v>wbsp_pop_1564_to</v>
          </cell>
          <cell r="D1138">
            <v>110893362</v>
          </cell>
          <cell r="F1138" t="str">
            <v>16 Sep 2024</v>
          </cell>
        </row>
        <row r="1139">
          <cell r="A1139" t="str">
            <v>PAK</v>
          </cell>
          <cell r="B1139">
            <v>2010</v>
          </cell>
          <cell r="C1139" t="str">
            <v>wbsp_pop_15up_to</v>
          </cell>
          <cell r="D1139">
            <v>118147763</v>
          </cell>
          <cell r="F1139" t="str">
            <v>16 Sep 2024</v>
          </cell>
        </row>
        <row r="1140">
          <cell r="A1140" t="str">
            <v>PAK</v>
          </cell>
          <cell r="B1140">
            <v>2010</v>
          </cell>
          <cell r="C1140" t="str">
            <v>wbsp_pop_65up_to</v>
          </cell>
          <cell r="D1140">
            <v>7254401</v>
          </cell>
          <cell r="F1140" t="str">
            <v>16 Sep 2024</v>
          </cell>
        </row>
        <row r="1141">
          <cell r="A1141" t="str">
            <v>PAK</v>
          </cell>
          <cell r="B1141">
            <v>2010</v>
          </cell>
          <cell r="C1141" t="str">
            <v>wbsp_pop_totl</v>
          </cell>
          <cell r="D1141">
            <v>194454498</v>
          </cell>
          <cell r="F1141" t="str">
            <v>16 Sep 2024</v>
          </cell>
        </row>
        <row r="1142">
          <cell r="A1142" t="str">
            <v>PAK</v>
          </cell>
          <cell r="B1142">
            <v>2011</v>
          </cell>
          <cell r="C1142" t="str">
            <v>wbsp_pop_0014_to</v>
          </cell>
          <cell r="D1142">
            <v>77377790</v>
          </cell>
          <cell r="F1142" t="str">
            <v>16 Sep 2024</v>
          </cell>
        </row>
        <row r="1143">
          <cell r="A1143" t="str">
            <v>PAK</v>
          </cell>
          <cell r="B1143">
            <v>2011</v>
          </cell>
          <cell r="C1143" t="str">
            <v>wbsp_pop_1564_to</v>
          </cell>
          <cell r="D1143">
            <v>113745731</v>
          </cell>
          <cell r="F1143" t="str">
            <v>16 Sep 2024</v>
          </cell>
        </row>
        <row r="1144">
          <cell r="A1144" t="str">
            <v>PAK</v>
          </cell>
          <cell r="B1144">
            <v>2011</v>
          </cell>
          <cell r="C1144" t="str">
            <v>wbsp_pop_15up_to</v>
          </cell>
          <cell r="D1144">
            <v>121224949</v>
          </cell>
          <cell r="F1144" t="str">
            <v>16 Sep 2024</v>
          </cell>
        </row>
        <row r="1145">
          <cell r="A1145" t="str">
            <v>PAK</v>
          </cell>
          <cell r="B1145">
            <v>2011</v>
          </cell>
          <cell r="C1145" t="str">
            <v>wbsp_pop_65up_to</v>
          </cell>
          <cell r="D1145">
            <v>7479218</v>
          </cell>
          <cell r="F1145" t="str">
            <v>16 Sep 2024</v>
          </cell>
        </row>
        <row r="1146">
          <cell r="A1146" t="str">
            <v>PAK</v>
          </cell>
          <cell r="B1146">
            <v>2011</v>
          </cell>
          <cell r="C1146" t="str">
            <v>wbsp_pop_totl</v>
          </cell>
          <cell r="D1146">
            <v>198602738</v>
          </cell>
          <cell r="F1146" t="str">
            <v>16 Sep 2024</v>
          </cell>
        </row>
        <row r="1147">
          <cell r="A1147" t="str">
            <v>PAK</v>
          </cell>
          <cell r="B1147">
            <v>2012</v>
          </cell>
          <cell r="C1147" t="str">
            <v>wbsp_pop_0014_to</v>
          </cell>
          <cell r="D1147">
            <v>78410416</v>
          </cell>
          <cell r="F1147" t="str">
            <v>16 Sep 2024</v>
          </cell>
        </row>
        <row r="1148">
          <cell r="A1148" t="str">
            <v>PAK</v>
          </cell>
          <cell r="B1148">
            <v>2012</v>
          </cell>
          <cell r="C1148" t="str">
            <v>wbsp_pop_1564_to</v>
          </cell>
          <cell r="D1148">
            <v>116104655</v>
          </cell>
          <cell r="F1148" t="str">
            <v>16 Sep 2024</v>
          </cell>
        </row>
        <row r="1149">
          <cell r="A1149" t="str">
            <v>PAK</v>
          </cell>
          <cell r="B1149">
            <v>2012</v>
          </cell>
          <cell r="C1149" t="str">
            <v>wbsp_pop_15up_to</v>
          </cell>
          <cell r="D1149">
            <v>123795445</v>
          </cell>
          <cell r="F1149" t="str">
            <v>16 Sep 2024</v>
          </cell>
        </row>
        <row r="1150">
          <cell r="A1150" t="str">
            <v>PAK</v>
          </cell>
          <cell r="B1150">
            <v>2012</v>
          </cell>
          <cell r="C1150" t="str">
            <v>wbsp_pop_65up_to</v>
          </cell>
          <cell r="D1150">
            <v>7690790</v>
          </cell>
          <cell r="F1150" t="str">
            <v>16 Sep 2024</v>
          </cell>
        </row>
        <row r="1151">
          <cell r="A1151" t="str">
            <v>PAK</v>
          </cell>
          <cell r="B1151">
            <v>2012</v>
          </cell>
          <cell r="C1151" t="str">
            <v>wbsp_pop_totl</v>
          </cell>
          <cell r="D1151">
            <v>202205861</v>
          </cell>
          <cell r="F1151" t="str">
            <v>16 Sep 2024</v>
          </cell>
        </row>
        <row r="1152">
          <cell r="A1152" t="str">
            <v>PAK</v>
          </cell>
          <cell r="B1152">
            <v>2013</v>
          </cell>
          <cell r="C1152" t="str">
            <v>wbsp_pop_0014_to</v>
          </cell>
          <cell r="D1152">
            <v>79385165</v>
          </cell>
          <cell r="F1152" t="str">
            <v>16 Sep 2024</v>
          </cell>
        </row>
        <row r="1153">
          <cell r="A1153" t="str">
            <v>PAK</v>
          </cell>
          <cell r="B1153">
            <v>2013</v>
          </cell>
          <cell r="C1153" t="str">
            <v>wbsp_pop_1564_to</v>
          </cell>
          <cell r="D1153">
            <v>118065872</v>
          </cell>
          <cell r="F1153" t="str">
            <v>16 Sep 2024</v>
          </cell>
        </row>
        <row r="1154">
          <cell r="A1154" t="str">
            <v>PAK</v>
          </cell>
          <cell r="B1154">
            <v>2013</v>
          </cell>
          <cell r="C1154" t="str">
            <v>wbsp_pop_15up_to</v>
          </cell>
          <cell r="D1154">
            <v>125952396</v>
          </cell>
          <cell r="F1154" t="str">
            <v>16 Sep 2024</v>
          </cell>
        </row>
        <row r="1155">
          <cell r="A1155" t="str">
            <v>PAK</v>
          </cell>
          <cell r="B1155">
            <v>2013</v>
          </cell>
          <cell r="C1155" t="str">
            <v>wbsp_pop_65up_to</v>
          </cell>
          <cell r="D1155">
            <v>7886524</v>
          </cell>
          <cell r="F1155" t="str">
            <v>16 Sep 2024</v>
          </cell>
        </row>
        <row r="1156">
          <cell r="A1156" t="str">
            <v>PAK</v>
          </cell>
          <cell r="B1156">
            <v>2013</v>
          </cell>
          <cell r="C1156" t="str">
            <v>wbsp_pop_totl</v>
          </cell>
          <cell r="D1156">
            <v>205337562</v>
          </cell>
          <cell r="F1156" t="str">
            <v>16 Sep 2024</v>
          </cell>
        </row>
        <row r="1157">
          <cell r="A1157" t="str">
            <v>PAK</v>
          </cell>
          <cell r="B1157">
            <v>2014</v>
          </cell>
          <cell r="C1157" t="str">
            <v>wbsp_pop_0014_to</v>
          </cell>
          <cell r="D1157">
            <v>80268200</v>
          </cell>
          <cell r="F1157" t="str">
            <v>16 Sep 2024</v>
          </cell>
        </row>
        <row r="1158">
          <cell r="A1158" t="str">
            <v>PAK</v>
          </cell>
          <cell r="B1158">
            <v>2014</v>
          </cell>
          <cell r="C1158" t="str">
            <v>wbsp_pop_1564_to</v>
          </cell>
          <cell r="D1158">
            <v>119914538</v>
          </cell>
          <cell r="F1158" t="str">
            <v>16 Sep 2024</v>
          </cell>
        </row>
        <row r="1159">
          <cell r="A1159" t="str">
            <v>PAK</v>
          </cell>
          <cell r="B1159">
            <v>2014</v>
          </cell>
          <cell r="C1159" t="str">
            <v>wbsp_pop_15up_to</v>
          </cell>
          <cell r="D1159">
            <v>127983428</v>
          </cell>
          <cell r="F1159" t="str">
            <v>16 Sep 2024</v>
          </cell>
        </row>
        <row r="1160">
          <cell r="A1160" t="str">
            <v>PAK</v>
          </cell>
          <cell r="B1160">
            <v>2014</v>
          </cell>
          <cell r="C1160" t="str">
            <v>wbsp_pop_65up_to</v>
          </cell>
          <cell r="D1160">
            <v>8068890</v>
          </cell>
          <cell r="F1160" t="str">
            <v>16 Sep 2024</v>
          </cell>
        </row>
        <row r="1161">
          <cell r="A1161" t="str">
            <v>PAK</v>
          </cell>
          <cell r="B1161">
            <v>2014</v>
          </cell>
          <cell r="C1161" t="str">
            <v>wbsp_pop_totl</v>
          </cell>
          <cell r="D1161">
            <v>208251628</v>
          </cell>
          <cell r="F1161" t="str">
            <v>16 Sep 2024</v>
          </cell>
        </row>
        <row r="1162">
          <cell r="A1162" t="str">
            <v>PAK</v>
          </cell>
          <cell r="B1162">
            <v>2015</v>
          </cell>
          <cell r="C1162" t="str">
            <v>wbsp_pop_0014_to</v>
          </cell>
          <cell r="D1162">
            <v>81067651</v>
          </cell>
          <cell r="F1162" t="str">
            <v>16 Sep 2024</v>
          </cell>
        </row>
        <row r="1163">
          <cell r="A1163" t="str">
            <v>PAK</v>
          </cell>
          <cell r="B1163">
            <v>2015</v>
          </cell>
          <cell r="C1163" t="str">
            <v>wbsp_pop_1564_to</v>
          </cell>
          <cell r="D1163">
            <v>121660966</v>
          </cell>
          <cell r="F1163" t="str">
            <v>16 Sep 2024</v>
          </cell>
        </row>
        <row r="1164">
          <cell r="A1164" t="str">
            <v>PAK</v>
          </cell>
          <cell r="B1164">
            <v>2015</v>
          </cell>
          <cell r="C1164" t="str">
            <v>wbsp_pop_15up_to</v>
          </cell>
          <cell r="D1164">
            <v>129901646</v>
          </cell>
          <cell r="F1164" t="str">
            <v>16 Sep 2024</v>
          </cell>
        </row>
        <row r="1165">
          <cell r="A1165" t="str">
            <v>PAK</v>
          </cell>
          <cell r="B1165">
            <v>2015</v>
          </cell>
          <cell r="C1165" t="str">
            <v>wbsp_pop_65up_to</v>
          </cell>
          <cell r="D1165">
            <v>8240680</v>
          </cell>
          <cell r="F1165" t="str">
            <v>16 Sep 2024</v>
          </cell>
        </row>
        <row r="1166">
          <cell r="A1166" t="str">
            <v>PAK</v>
          </cell>
          <cell r="B1166">
            <v>2015</v>
          </cell>
          <cell r="C1166" t="str">
            <v>wbsp_pop_totl</v>
          </cell>
          <cell r="D1166">
            <v>210969298</v>
          </cell>
          <cell r="F1166" t="str">
            <v>16 Sep 2024</v>
          </cell>
        </row>
        <row r="1167">
          <cell r="A1167" t="str">
            <v>PAK</v>
          </cell>
          <cell r="B1167">
            <v>2016</v>
          </cell>
          <cell r="C1167" t="str">
            <v>wbsp_pop_0014_to</v>
          </cell>
          <cell r="D1167">
            <v>81796248</v>
          </cell>
          <cell r="F1167" t="str">
            <v>16 Sep 2024</v>
          </cell>
        </row>
        <row r="1168">
          <cell r="A1168" t="str">
            <v>PAK</v>
          </cell>
          <cell r="B1168">
            <v>2016</v>
          </cell>
          <cell r="C1168" t="str">
            <v>wbsp_pop_1564_to</v>
          </cell>
          <cell r="D1168">
            <v>123307884</v>
          </cell>
          <cell r="F1168" t="str">
            <v>16 Sep 2024</v>
          </cell>
        </row>
        <row r="1169">
          <cell r="A1169" t="str">
            <v>PAK</v>
          </cell>
          <cell r="B1169">
            <v>2016</v>
          </cell>
          <cell r="C1169" t="str">
            <v>wbsp_pop_15up_to</v>
          </cell>
          <cell r="D1169">
            <v>131728592</v>
          </cell>
          <cell r="F1169" t="str">
            <v>16 Sep 2024</v>
          </cell>
        </row>
        <row r="1170">
          <cell r="A1170" t="str">
            <v>PAK</v>
          </cell>
          <cell r="B1170">
            <v>2016</v>
          </cell>
          <cell r="C1170" t="str">
            <v>wbsp_pop_65up_to</v>
          </cell>
          <cell r="D1170">
            <v>8420708</v>
          </cell>
          <cell r="F1170" t="str">
            <v>16 Sep 2024</v>
          </cell>
        </row>
        <row r="1171">
          <cell r="A1171" t="str">
            <v>PAK</v>
          </cell>
          <cell r="B1171">
            <v>2016</v>
          </cell>
          <cell r="C1171" t="str">
            <v>wbsp_pop_totl</v>
          </cell>
          <cell r="D1171">
            <v>213524840</v>
          </cell>
          <cell r="F1171" t="str">
            <v>16 Sep 2024</v>
          </cell>
        </row>
        <row r="1172">
          <cell r="A1172" t="str">
            <v>PAK</v>
          </cell>
          <cell r="B1172">
            <v>2017</v>
          </cell>
          <cell r="C1172" t="str">
            <v>wbsp_pop_0014_to</v>
          </cell>
          <cell r="D1172">
            <v>82479664</v>
          </cell>
          <cell r="F1172" t="str">
            <v>16 Sep 2024</v>
          </cell>
        </row>
        <row r="1173">
          <cell r="A1173" t="str">
            <v>PAK</v>
          </cell>
          <cell r="B1173">
            <v>2017</v>
          </cell>
          <cell r="C1173" t="str">
            <v>wbsp_pop_1564_to</v>
          </cell>
          <cell r="D1173">
            <v>125260953</v>
          </cell>
          <cell r="F1173" t="str">
            <v>16 Sep 2024</v>
          </cell>
        </row>
        <row r="1174">
          <cell r="A1174" t="str">
            <v>PAK</v>
          </cell>
          <cell r="B1174">
            <v>2017</v>
          </cell>
          <cell r="C1174" t="str">
            <v>wbsp_pop_15up_to</v>
          </cell>
          <cell r="D1174">
            <v>133899991</v>
          </cell>
          <cell r="F1174" t="str">
            <v>16 Sep 2024</v>
          </cell>
        </row>
        <row r="1175">
          <cell r="A1175" t="str">
            <v>PAK</v>
          </cell>
          <cell r="B1175">
            <v>2017</v>
          </cell>
          <cell r="C1175" t="str">
            <v>wbsp_pop_65up_to</v>
          </cell>
          <cell r="D1175">
            <v>8639038</v>
          </cell>
          <cell r="F1175" t="str">
            <v>16 Sep 2024</v>
          </cell>
        </row>
        <row r="1176">
          <cell r="A1176" t="str">
            <v>PAK</v>
          </cell>
          <cell r="B1176">
            <v>2017</v>
          </cell>
          <cell r="C1176" t="str">
            <v>wbsp_pop_totl</v>
          </cell>
          <cell r="D1176">
            <v>216379655</v>
          </cell>
          <cell r="F1176" t="str">
            <v>16 Sep 2024</v>
          </cell>
        </row>
        <row r="1177">
          <cell r="A1177" t="str">
            <v>PAK</v>
          </cell>
          <cell r="B1177">
            <v>2018</v>
          </cell>
          <cell r="C1177" t="str">
            <v>wbsp_pop_0014_to</v>
          </cell>
          <cell r="D1177">
            <v>83180463</v>
          </cell>
          <cell r="F1177" t="str">
            <v>16 Sep 2024</v>
          </cell>
        </row>
        <row r="1178">
          <cell r="A1178" t="str">
            <v>PAK</v>
          </cell>
          <cell r="B1178">
            <v>2018</v>
          </cell>
          <cell r="C1178" t="str">
            <v>wbsp_pop_1564_to</v>
          </cell>
          <cell r="D1178">
            <v>127651888</v>
          </cell>
          <cell r="F1178" t="str">
            <v>16 Sep 2024</v>
          </cell>
        </row>
        <row r="1179">
          <cell r="A1179" t="str">
            <v>PAK</v>
          </cell>
          <cell r="B1179">
            <v>2018</v>
          </cell>
          <cell r="C1179" t="str">
            <v>wbsp_pop_15up_to</v>
          </cell>
          <cell r="D1179">
            <v>136551016</v>
          </cell>
          <cell r="F1179" t="str">
            <v>16 Sep 2024</v>
          </cell>
        </row>
        <row r="1180">
          <cell r="A1180" t="str">
            <v>PAK</v>
          </cell>
          <cell r="B1180">
            <v>2018</v>
          </cell>
          <cell r="C1180" t="str">
            <v>wbsp_pop_65up_to</v>
          </cell>
          <cell r="D1180">
            <v>8899128</v>
          </cell>
          <cell r="F1180" t="str">
            <v>16 Sep 2024</v>
          </cell>
        </row>
        <row r="1181">
          <cell r="A1181" t="str">
            <v>PAK</v>
          </cell>
          <cell r="B1181">
            <v>2018</v>
          </cell>
          <cell r="C1181" t="str">
            <v>wbsp_pop_totl</v>
          </cell>
          <cell r="D1181">
            <v>219731479</v>
          </cell>
          <cell r="F1181" t="str">
            <v>16 Sep 2024</v>
          </cell>
        </row>
        <row r="1182">
          <cell r="A1182" t="str">
            <v>PAK</v>
          </cell>
          <cell r="B1182">
            <v>2019</v>
          </cell>
          <cell r="C1182" t="str">
            <v>wbsp_pop_0014_to</v>
          </cell>
          <cell r="D1182">
            <v>83908472</v>
          </cell>
          <cell r="F1182" t="str">
            <v>16 Sep 2024</v>
          </cell>
        </row>
        <row r="1183">
          <cell r="A1183" t="str">
            <v>PAK</v>
          </cell>
          <cell r="B1183">
            <v>2019</v>
          </cell>
          <cell r="C1183" t="str">
            <v>wbsp_pop_1564_to</v>
          </cell>
          <cell r="D1183">
            <v>130195040</v>
          </cell>
          <cell r="F1183" t="str">
            <v>16 Sep 2024</v>
          </cell>
        </row>
        <row r="1184">
          <cell r="A1184" t="str">
            <v>PAK</v>
          </cell>
          <cell r="B1184">
            <v>2019</v>
          </cell>
          <cell r="C1184" t="str">
            <v>wbsp_pop_15up_to</v>
          </cell>
          <cell r="D1184">
            <v>139384808</v>
          </cell>
          <cell r="F1184" t="str">
            <v>16 Sep 2024</v>
          </cell>
        </row>
        <row r="1185">
          <cell r="A1185" t="str">
            <v>PAK</v>
          </cell>
          <cell r="B1185">
            <v>2019</v>
          </cell>
          <cell r="C1185" t="str">
            <v>wbsp_pop_65up_to</v>
          </cell>
          <cell r="D1185">
            <v>9189768</v>
          </cell>
          <cell r="F1185" t="str">
            <v>16 Sep 2024</v>
          </cell>
        </row>
        <row r="1186">
          <cell r="A1186" t="str">
            <v>PAK</v>
          </cell>
          <cell r="B1186">
            <v>2019</v>
          </cell>
          <cell r="C1186" t="str">
            <v>wbsp_pop_totl</v>
          </cell>
          <cell r="D1186">
            <v>223293280</v>
          </cell>
          <cell r="F1186" t="str">
            <v>16 Sep 2024</v>
          </cell>
        </row>
        <row r="1187">
          <cell r="A1187" t="str">
            <v>PAK</v>
          </cell>
          <cell r="B1187">
            <v>2020</v>
          </cell>
          <cell r="C1187" t="str">
            <v>wbsp_pop_0014_to</v>
          </cell>
          <cell r="D1187">
            <v>84681629</v>
          </cell>
          <cell r="F1187" t="str">
            <v>16 Sep 2024</v>
          </cell>
        </row>
        <row r="1188">
          <cell r="A1188" t="str">
            <v>PAK</v>
          </cell>
          <cell r="B1188">
            <v>2020</v>
          </cell>
          <cell r="C1188" t="str">
            <v>wbsp_pop_1564_to</v>
          </cell>
          <cell r="D1188">
            <v>133031513</v>
          </cell>
          <cell r="F1188" t="str">
            <v>16 Sep 2024</v>
          </cell>
        </row>
        <row r="1189">
          <cell r="A1189" t="str">
            <v>PAK</v>
          </cell>
          <cell r="B1189">
            <v>2020</v>
          </cell>
          <cell r="C1189" t="str">
            <v>wbsp_pop_15up_to</v>
          </cell>
          <cell r="D1189">
            <v>142515112</v>
          </cell>
          <cell r="F1189" t="str">
            <v>16 Sep 2024</v>
          </cell>
        </row>
        <row r="1190">
          <cell r="A1190" t="str">
            <v>PAK</v>
          </cell>
          <cell r="B1190">
            <v>2020</v>
          </cell>
          <cell r="C1190" t="str">
            <v>wbsp_pop_65up_to</v>
          </cell>
          <cell r="D1190">
            <v>9483599</v>
          </cell>
          <cell r="F1190" t="str">
            <v>16 Sep 2024</v>
          </cell>
        </row>
        <row r="1191">
          <cell r="A1191" t="str">
            <v>PAK</v>
          </cell>
          <cell r="B1191">
            <v>2020</v>
          </cell>
          <cell r="C1191" t="str">
            <v>wbsp_pop_totl</v>
          </cell>
          <cell r="D1191">
            <v>227196741</v>
          </cell>
          <cell r="F1191" t="str">
            <v>16 Sep 2024</v>
          </cell>
        </row>
        <row r="1192">
          <cell r="A1192" t="str">
            <v>PAK</v>
          </cell>
          <cell r="B1192">
            <v>2021</v>
          </cell>
          <cell r="C1192" t="str">
            <v>wbsp_pop_0014_to</v>
          </cell>
          <cell r="D1192">
            <v>85480175</v>
          </cell>
          <cell r="F1192" t="str">
            <v>16 Sep 2024</v>
          </cell>
        </row>
        <row r="1193">
          <cell r="A1193" t="str">
            <v>PAK</v>
          </cell>
          <cell r="B1193">
            <v>2021</v>
          </cell>
          <cell r="C1193" t="str">
            <v>wbsp_pop_1564_to</v>
          </cell>
          <cell r="D1193">
            <v>136153500</v>
          </cell>
          <cell r="F1193" t="str">
            <v>16 Sep 2024</v>
          </cell>
        </row>
        <row r="1194">
          <cell r="A1194" t="str">
            <v>PAK</v>
          </cell>
          <cell r="B1194">
            <v>2021</v>
          </cell>
          <cell r="C1194" t="str">
            <v>wbsp_pop_15up_to</v>
          </cell>
          <cell r="D1194">
            <v>145921942</v>
          </cell>
          <cell r="F1194" t="str">
            <v>16 Sep 2024</v>
          </cell>
        </row>
        <row r="1195">
          <cell r="A1195" t="str">
            <v>PAK</v>
          </cell>
          <cell r="B1195">
            <v>2021</v>
          </cell>
          <cell r="C1195" t="str">
            <v>wbsp_pop_65up_to</v>
          </cell>
          <cell r="D1195">
            <v>9768442</v>
          </cell>
          <cell r="F1195" t="str">
            <v>16 Sep 2024</v>
          </cell>
        </row>
        <row r="1196">
          <cell r="A1196" t="str">
            <v>PAK</v>
          </cell>
          <cell r="B1196">
            <v>2021</v>
          </cell>
          <cell r="C1196" t="str">
            <v>wbsp_pop_totl</v>
          </cell>
          <cell r="D1196">
            <v>231402117</v>
          </cell>
          <cell r="F1196" t="str">
            <v>16 Sep 2024</v>
          </cell>
        </row>
        <row r="1197">
          <cell r="A1197" t="str">
            <v>PAK</v>
          </cell>
          <cell r="B1197">
            <v>2022</v>
          </cell>
          <cell r="C1197" t="str">
            <v>wbsp_pop_0014_to</v>
          </cell>
          <cell r="D1197">
            <v>86230641</v>
          </cell>
          <cell r="F1197" t="str">
            <v>16 Sep 2024</v>
          </cell>
        </row>
        <row r="1198">
          <cell r="A1198" t="str">
            <v>PAK</v>
          </cell>
          <cell r="B1198">
            <v>2022</v>
          </cell>
          <cell r="C1198" t="str">
            <v>wbsp_pop_1564_to</v>
          </cell>
          <cell r="D1198">
            <v>139515778</v>
          </cell>
          <cell r="F1198" t="str">
            <v>16 Sep 2024</v>
          </cell>
        </row>
        <row r="1199">
          <cell r="A1199" t="str">
            <v>PAK</v>
          </cell>
          <cell r="B1199">
            <v>2022</v>
          </cell>
          <cell r="C1199" t="str">
            <v>wbsp_pop_15up_to</v>
          </cell>
          <cell r="D1199">
            <v>149594221</v>
          </cell>
          <cell r="F1199" t="str">
            <v>16 Sep 2024</v>
          </cell>
        </row>
        <row r="1200">
          <cell r="A1200" t="str">
            <v>PAK</v>
          </cell>
          <cell r="B1200">
            <v>2022</v>
          </cell>
          <cell r="C1200" t="str">
            <v>wbsp_pop_65up_to</v>
          </cell>
          <cell r="D1200">
            <v>10078443</v>
          </cell>
          <cell r="F1200" t="str">
            <v>16 Sep 2024</v>
          </cell>
        </row>
        <row r="1201">
          <cell r="A1201" t="str">
            <v>PAK</v>
          </cell>
          <cell r="B1201">
            <v>2022</v>
          </cell>
          <cell r="C1201" t="str">
            <v>wbsp_pop_totl</v>
          </cell>
          <cell r="D1201">
            <v>235824862</v>
          </cell>
          <cell r="F1201" t="str">
            <v>16 Sep 2024</v>
          </cell>
        </row>
        <row r="1202">
          <cell r="A1202" t="str">
            <v>PAK</v>
          </cell>
          <cell r="B1202">
            <v>2023</v>
          </cell>
          <cell r="C1202" t="str">
            <v>wbsp_pop_0014_to</v>
          </cell>
          <cell r="D1202">
            <v>86921387</v>
          </cell>
          <cell r="F1202" t="str">
            <v>16 Sep 2024</v>
          </cell>
        </row>
        <row r="1203">
          <cell r="A1203" t="str">
            <v>PAK</v>
          </cell>
          <cell r="B1203">
            <v>2023</v>
          </cell>
          <cell r="C1203" t="str">
            <v>wbsp_pop_1564_to</v>
          </cell>
          <cell r="D1203">
            <v>143111062</v>
          </cell>
          <cell r="F1203" t="str">
            <v>16 Sep 2024</v>
          </cell>
        </row>
        <row r="1204">
          <cell r="A1204" t="str">
            <v>PAK</v>
          </cell>
          <cell r="B1204">
            <v>2023</v>
          </cell>
          <cell r="C1204" t="str">
            <v>wbsp_pop_15up_to</v>
          </cell>
          <cell r="D1204">
            <v>153564271</v>
          </cell>
          <cell r="F1204" t="str">
            <v>16 Sep 2024</v>
          </cell>
        </row>
        <row r="1205">
          <cell r="A1205" t="str">
            <v>PAK</v>
          </cell>
          <cell r="B1205">
            <v>2023</v>
          </cell>
          <cell r="C1205" t="str">
            <v>wbsp_pop_65up_to</v>
          </cell>
          <cell r="D1205">
            <v>10453209</v>
          </cell>
          <cell r="F1205" t="str">
            <v>16 Sep 2024</v>
          </cell>
        </row>
        <row r="1206">
          <cell r="A1206" t="str">
            <v>PAK</v>
          </cell>
          <cell r="B1206">
            <v>2023</v>
          </cell>
          <cell r="C1206" t="str">
            <v>wbsp_pop_totl</v>
          </cell>
          <cell r="D1206">
            <v>240485658</v>
          </cell>
          <cell r="F1206" t="str">
            <v>16 Sep 2024</v>
          </cell>
        </row>
        <row r="1207">
          <cell r="A1207" t="str">
            <v>PAK</v>
          </cell>
          <cell r="B1207">
            <v>2024</v>
          </cell>
          <cell r="C1207" t="str">
            <v>wbsp_pop_0014_to</v>
          </cell>
          <cell r="D1207">
            <v>87563961</v>
          </cell>
          <cell r="F1207" t="str">
            <v>16 Sep 2024</v>
          </cell>
        </row>
        <row r="1208">
          <cell r="A1208" t="str">
            <v>PAK</v>
          </cell>
          <cell r="B1208">
            <v>2024</v>
          </cell>
          <cell r="C1208" t="str">
            <v>wbsp_pop_1564_to</v>
          </cell>
          <cell r="D1208">
            <v>146769691</v>
          </cell>
          <cell r="F1208" t="str">
            <v>16 Sep 2024</v>
          </cell>
        </row>
        <row r="1209">
          <cell r="A1209" t="str">
            <v>PAK</v>
          </cell>
          <cell r="B1209">
            <v>2024</v>
          </cell>
          <cell r="C1209" t="str">
            <v>wbsp_pop_15up_to</v>
          </cell>
          <cell r="D1209">
            <v>157645854</v>
          </cell>
          <cell r="F1209" t="str">
            <v>16 Sep 2024</v>
          </cell>
        </row>
        <row r="1210">
          <cell r="A1210" t="str">
            <v>PAK</v>
          </cell>
          <cell r="B1210">
            <v>2024</v>
          </cell>
          <cell r="C1210" t="str">
            <v>wbsp_pop_65up_to</v>
          </cell>
          <cell r="D1210">
            <v>10876163</v>
          </cell>
          <cell r="F1210" t="str">
            <v>16 Sep 2024</v>
          </cell>
        </row>
        <row r="1211">
          <cell r="A1211" t="str">
            <v>PAK</v>
          </cell>
          <cell r="B1211">
            <v>2024</v>
          </cell>
          <cell r="C1211" t="str">
            <v>wbsp_pop_totl</v>
          </cell>
          <cell r="D1211">
            <v>245209815</v>
          </cell>
          <cell r="F1211" t="str">
            <v>16 Sep 2024</v>
          </cell>
        </row>
        <row r="1212">
          <cell r="A1212" t="str">
            <v>PAK</v>
          </cell>
          <cell r="B1212">
            <v>2025</v>
          </cell>
          <cell r="C1212" t="str">
            <v>wbsp_pop_0014_to</v>
          </cell>
          <cell r="D1212">
            <v>88146700</v>
          </cell>
          <cell r="F1212" t="str">
            <v>16 Sep 2024</v>
          </cell>
        </row>
        <row r="1213">
          <cell r="A1213" t="str">
            <v>PAK</v>
          </cell>
          <cell r="B1213">
            <v>2025</v>
          </cell>
          <cell r="C1213" t="str">
            <v>wbsp_pop_1564_to</v>
          </cell>
          <cell r="D1213">
            <v>150491376</v>
          </cell>
          <cell r="F1213" t="str">
            <v>16 Sep 2024</v>
          </cell>
        </row>
        <row r="1214">
          <cell r="A1214" t="str">
            <v>PAK</v>
          </cell>
          <cell r="B1214">
            <v>2025</v>
          </cell>
          <cell r="C1214" t="str">
            <v>wbsp_pop_15up_to</v>
          </cell>
          <cell r="D1214">
            <v>161802186</v>
          </cell>
          <cell r="F1214" t="str">
            <v>16 Sep 2024</v>
          </cell>
        </row>
        <row r="1215">
          <cell r="A1215" t="str">
            <v>PAK</v>
          </cell>
          <cell r="B1215">
            <v>2025</v>
          </cell>
          <cell r="C1215" t="str">
            <v>wbsp_pop_65up_to</v>
          </cell>
          <cell r="D1215">
            <v>11310810</v>
          </cell>
          <cell r="F1215" t="str">
            <v>16 Sep 2024</v>
          </cell>
        </row>
        <row r="1216">
          <cell r="A1216" t="str">
            <v>PAK</v>
          </cell>
          <cell r="B1216">
            <v>2025</v>
          </cell>
          <cell r="C1216" t="str">
            <v>wbsp_pop_totl</v>
          </cell>
          <cell r="D1216">
            <v>249948885</v>
          </cell>
          <cell r="F1216" t="str">
            <v>16 Sep 2024</v>
          </cell>
        </row>
        <row r="1217">
          <cell r="A1217" t="str">
            <v>PAK</v>
          </cell>
          <cell r="B1217">
            <v>2026</v>
          </cell>
          <cell r="C1217" t="str">
            <v>wbsp_pop_0014_to</v>
          </cell>
          <cell r="D1217">
            <v>88686840</v>
          </cell>
          <cell r="F1217" t="str">
            <v>16 Sep 2024</v>
          </cell>
        </row>
        <row r="1218">
          <cell r="A1218" t="str">
            <v>PAK</v>
          </cell>
          <cell r="B1218">
            <v>2026</v>
          </cell>
          <cell r="C1218" t="str">
            <v>wbsp_pop_1564_to</v>
          </cell>
          <cell r="D1218">
            <v>154273225</v>
          </cell>
          <cell r="F1218" t="str">
            <v>16 Sep 2024</v>
          </cell>
        </row>
        <row r="1219">
          <cell r="A1219" t="str">
            <v>PAK</v>
          </cell>
          <cell r="B1219">
            <v>2026</v>
          </cell>
          <cell r="C1219" t="str">
            <v>wbsp_pop_15up_to</v>
          </cell>
          <cell r="D1219">
            <v>166027633</v>
          </cell>
          <cell r="F1219" t="str">
            <v>16 Sep 2024</v>
          </cell>
        </row>
        <row r="1220">
          <cell r="A1220" t="str">
            <v>PAK</v>
          </cell>
          <cell r="B1220">
            <v>2026</v>
          </cell>
          <cell r="C1220" t="str">
            <v>wbsp_pop_65up_to</v>
          </cell>
          <cell r="D1220">
            <v>11754408</v>
          </cell>
          <cell r="F1220" t="str">
            <v>16 Sep 2024</v>
          </cell>
        </row>
        <row r="1221">
          <cell r="A1221" t="str">
            <v>PAK</v>
          </cell>
          <cell r="B1221">
            <v>2026</v>
          </cell>
          <cell r="C1221" t="str">
            <v>wbsp_pop_totl</v>
          </cell>
          <cell r="D1221">
            <v>254714473</v>
          </cell>
          <cell r="F1221" t="str">
            <v>16 Sep 2024</v>
          </cell>
        </row>
        <row r="1222">
          <cell r="A1222" t="str">
            <v>PAK</v>
          </cell>
          <cell r="B1222">
            <v>2027</v>
          </cell>
          <cell r="C1222" t="str">
            <v>wbsp_pop_0014_to</v>
          </cell>
          <cell r="D1222">
            <v>89215220</v>
          </cell>
          <cell r="F1222" t="str">
            <v>16 Sep 2024</v>
          </cell>
        </row>
        <row r="1223">
          <cell r="A1223" t="str">
            <v>PAK</v>
          </cell>
          <cell r="B1223">
            <v>2027</v>
          </cell>
          <cell r="C1223" t="str">
            <v>wbsp_pop_1564_to</v>
          </cell>
          <cell r="D1223">
            <v>158099808</v>
          </cell>
          <cell r="F1223" t="str">
            <v>16 Sep 2024</v>
          </cell>
        </row>
        <row r="1224">
          <cell r="A1224" t="str">
            <v>PAK</v>
          </cell>
          <cell r="B1224">
            <v>2027</v>
          </cell>
          <cell r="C1224" t="str">
            <v>wbsp_pop_15up_to</v>
          </cell>
          <cell r="D1224">
            <v>170300938</v>
          </cell>
          <cell r="F1224" t="str">
            <v>16 Sep 2024</v>
          </cell>
        </row>
        <row r="1225">
          <cell r="A1225" t="str">
            <v>PAK</v>
          </cell>
          <cell r="B1225">
            <v>2027</v>
          </cell>
          <cell r="C1225" t="str">
            <v>wbsp_pop_65up_to</v>
          </cell>
          <cell r="D1225">
            <v>12201130</v>
          </cell>
          <cell r="F1225" t="str">
            <v>16 Sep 2024</v>
          </cell>
        </row>
        <row r="1226">
          <cell r="A1226" t="str">
            <v>PAK</v>
          </cell>
          <cell r="B1226">
            <v>2027</v>
          </cell>
          <cell r="C1226" t="str">
            <v>wbsp_pop_totl</v>
          </cell>
          <cell r="D1226">
            <v>259516159</v>
          </cell>
          <cell r="F1226" t="str">
            <v>16 Sep 2024</v>
          </cell>
        </row>
        <row r="1227">
          <cell r="A1227" t="str">
            <v>PAK</v>
          </cell>
          <cell r="B1227">
            <v>2028</v>
          </cell>
          <cell r="C1227" t="str">
            <v>wbsp_pop_0014_to</v>
          </cell>
          <cell r="D1227">
            <v>89748285</v>
          </cell>
          <cell r="F1227" t="str">
            <v>16 Sep 2024</v>
          </cell>
        </row>
        <row r="1228">
          <cell r="A1228" t="str">
            <v>PAK</v>
          </cell>
          <cell r="B1228">
            <v>2028</v>
          </cell>
          <cell r="C1228" t="str">
            <v>wbsp_pop_1564_to</v>
          </cell>
          <cell r="D1228">
            <v>161950598</v>
          </cell>
          <cell r="F1228" t="str">
            <v>16 Sep 2024</v>
          </cell>
        </row>
        <row r="1229">
          <cell r="A1229" t="str">
            <v>PAK</v>
          </cell>
          <cell r="B1229">
            <v>2028</v>
          </cell>
          <cell r="C1229" t="str">
            <v>wbsp_pop_15up_to</v>
          </cell>
          <cell r="D1229">
            <v>174596121</v>
          </cell>
          <cell r="F1229" t="str">
            <v>16 Sep 2024</v>
          </cell>
        </row>
        <row r="1230">
          <cell r="A1230" t="str">
            <v>PAK</v>
          </cell>
          <cell r="B1230">
            <v>2028</v>
          </cell>
          <cell r="C1230" t="str">
            <v>wbsp_pop_65up_to</v>
          </cell>
          <cell r="D1230">
            <v>12645523</v>
          </cell>
          <cell r="F1230" t="str">
            <v>16 Sep 2024</v>
          </cell>
        </row>
        <row r="1231">
          <cell r="A1231" t="str">
            <v>PAK</v>
          </cell>
          <cell r="B1231">
            <v>2028</v>
          </cell>
          <cell r="C1231" t="str">
            <v>wbsp_pop_totl</v>
          </cell>
          <cell r="D1231">
            <v>264344407</v>
          </cell>
          <cell r="F1231" t="str">
            <v>16 Sep 2024</v>
          </cell>
        </row>
        <row r="1232">
          <cell r="A1232" t="str">
            <v>PAK</v>
          </cell>
          <cell r="B1232">
            <v>2029</v>
          </cell>
          <cell r="C1232" t="str">
            <v>wbsp_pop_0014_to</v>
          </cell>
          <cell r="D1232">
            <v>90319114</v>
          </cell>
          <cell r="F1232" t="str">
            <v>16 Sep 2024</v>
          </cell>
        </row>
        <row r="1233">
          <cell r="A1233" t="str">
            <v>PAK</v>
          </cell>
          <cell r="B1233">
            <v>2029</v>
          </cell>
          <cell r="C1233" t="str">
            <v>wbsp_pop_1564_to</v>
          </cell>
          <cell r="D1233">
            <v>165778203</v>
          </cell>
          <cell r="F1233" t="str">
            <v>16 Sep 2024</v>
          </cell>
        </row>
        <row r="1234">
          <cell r="A1234" t="str">
            <v>PAK</v>
          </cell>
          <cell r="B1234">
            <v>2029</v>
          </cell>
          <cell r="C1234" t="str">
            <v>wbsp_pop_15up_to</v>
          </cell>
          <cell r="D1234">
            <v>178862751</v>
          </cell>
          <cell r="F1234" t="str">
            <v>16 Sep 2024</v>
          </cell>
        </row>
        <row r="1235">
          <cell r="A1235" t="str">
            <v>PAK</v>
          </cell>
          <cell r="B1235">
            <v>2029</v>
          </cell>
          <cell r="C1235" t="str">
            <v>wbsp_pop_65up_to</v>
          </cell>
          <cell r="D1235">
            <v>13084548</v>
          </cell>
          <cell r="F1235" t="str">
            <v>16 Sep 2024</v>
          </cell>
        </row>
        <row r="1236">
          <cell r="A1236" t="str">
            <v>PAK</v>
          </cell>
          <cell r="B1236">
            <v>2029</v>
          </cell>
          <cell r="C1236" t="str">
            <v>wbsp_pop_totl</v>
          </cell>
          <cell r="D1236">
            <v>269181864</v>
          </cell>
          <cell r="F1236" t="str">
            <v>16 Sep 2024</v>
          </cell>
        </row>
        <row r="1237">
          <cell r="A1237" t="str">
            <v>PAK</v>
          </cell>
          <cell r="B1237">
            <v>2030</v>
          </cell>
          <cell r="C1237" t="str">
            <v>wbsp_pop_0014_to</v>
          </cell>
          <cell r="D1237">
            <v>90966786</v>
          </cell>
          <cell r="F1237" t="str">
            <v>16 Sep 2024</v>
          </cell>
        </row>
        <row r="1238">
          <cell r="A1238" t="str">
            <v>PAK</v>
          </cell>
          <cell r="B1238">
            <v>2030</v>
          </cell>
          <cell r="C1238" t="str">
            <v>wbsp_pop_1564_to</v>
          </cell>
          <cell r="D1238">
            <v>169546493</v>
          </cell>
          <cell r="F1238" t="str">
            <v>16 Sep 2024</v>
          </cell>
        </row>
        <row r="1239">
          <cell r="A1239" t="str">
            <v>PAK</v>
          </cell>
          <cell r="B1239">
            <v>2030</v>
          </cell>
          <cell r="C1239" t="str">
            <v>wbsp_pop_15up_to</v>
          </cell>
          <cell r="D1239">
            <v>183063050</v>
          </cell>
          <cell r="F1239" t="str">
            <v>16 Sep 2024</v>
          </cell>
        </row>
        <row r="1240">
          <cell r="A1240" t="str">
            <v>PAK</v>
          </cell>
          <cell r="B1240">
            <v>2030</v>
          </cell>
          <cell r="C1240" t="str">
            <v>wbsp_pop_65up_to</v>
          </cell>
          <cell r="D1240">
            <v>13516557</v>
          </cell>
          <cell r="F1240" t="str">
            <v>16 Sep 2024</v>
          </cell>
        </row>
        <row r="1241">
          <cell r="A1241" t="str">
            <v>PAK</v>
          </cell>
          <cell r="B1241">
            <v>2030</v>
          </cell>
          <cell r="C1241" t="str">
            <v>wbsp_pop_totl</v>
          </cell>
          <cell r="D1241">
            <v>274029836</v>
          </cell>
          <cell r="F1241" t="str">
            <v>16 Sep 2024</v>
          </cell>
        </row>
        <row r="1242">
          <cell r="A1242" t="str">
            <v>AFG</v>
          </cell>
          <cell r="B1242">
            <v>2000</v>
          </cell>
          <cell r="C1242" t="str">
            <v>unpop_0014</v>
          </cell>
          <cell r="D1242">
            <v>10070182</v>
          </cell>
          <cell r="F1242" t="str">
            <v>UN-WPP Rev. 2024</v>
          </cell>
        </row>
        <row r="1243">
          <cell r="A1243" t="str">
            <v>AFG</v>
          </cell>
          <cell r="B1243">
            <v>2000</v>
          </cell>
          <cell r="C1243" t="str">
            <v>unpop_1564</v>
          </cell>
          <cell r="D1243">
            <v>9604803</v>
          </cell>
          <cell r="F1243" t="str">
            <v>UN-WPP Rev. 2024</v>
          </cell>
        </row>
        <row r="1244">
          <cell r="A1244" t="str">
            <v>AFG</v>
          </cell>
          <cell r="B1244">
            <v>2000</v>
          </cell>
          <cell r="C1244" t="str">
            <v>unpop_15up</v>
          </cell>
          <cell r="D1244">
            <v>10060145</v>
          </cell>
          <cell r="F1244" t="str">
            <v>UN-WPP Rev. 2024</v>
          </cell>
        </row>
        <row r="1245">
          <cell r="A1245" t="str">
            <v>AFG</v>
          </cell>
          <cell r="B1245">
            <v>2000</v>
          </cell>
          <cell r="C1245" t="str">
            <v>unpop_65up</v>
          </cell>
          <cell r="D1245">
            <v>455342</v>
          </cell>
          <cell r="F1245" t="str">
            <v>UN-WPP Rev. 2024</v>
          </cell>
        </row>
        <row r="1246">
          <cell r="A1246" t="str">
            <v>AFG</v>
          </cell>
          <cell r="B1246">
            <v>2000</v>
          </cell>
          <cell r="C1246" t="str">
            <v>unpop_total</v>
          </cell>
          <cell r="D1246">
            <v>20130327</v>
          </cell>
          <cell r="F1246" t="str">
            <v>UN-WPP Rev. 2024</v>
          </cell>
        </row>
        <row r="1247">
          <cell r="A1247" t="str">
            <v>AFG</v>
          </cell>
          <cell r="B1247">
            <v>2001</v>
          </cell>
          <cell r="C1247" t="str">
            <v>unpop_0014</v>
          </cell>
          <cell r="D1247">
            <v>10176371</v>
          </cell>
          <cell r="F1247" t="str">
            <v>UN-WPP Rev. 2024</v>
          </cell>
        </row>
        <row r="1248">
          <cell r="A1248" t="str">
            <v>AFG</v>
          </cell>
          <cell r="B1248">
            <v>2001</v>
          </cell>
          <cell r="C1248" t="str">
            <v>unpop_1564</v>
          </cell>
          <cell r="D1248">
            <v>9649115.5</v>
          </cell>
          <cell r="F1248" t="str">
            <v>UN-WPP Rev. 2024</v>
          </cell>
        </row>
        <row r="1249">
          <cell r="A1249" t="str">
            <v>AFG</v>
          </cell>
          <cell r="B1249">
            <v>2001</v>
          </cell>
          <cell r="C1249" t="str">
            <v>unpop_15up</v>
          </cell>
          <cell r="D1249">
            <v>10107936</v>
          </cell>
          <cell r="F1249" t="str">
            <v>UN-WPP Rev. 2024</v>
          </cell>
        </row>
        <row r="1250">
          <cell r="A1250" t="str">
            <v>AFG</v>
          </cell>
          <cell r="B1250">
            <v>2001</v>
          </cell>
          <cell r="C1250" t="str">
            <v>unpop_65up</v>
          </cell>
          <cell r="D1250">
            <v>458820.5</v>
          </cell>
          <cell r="F1250" t="str">
            <v>UN-WPP Rev. 2024</v>
          </cell>
        </row>
        <row r="1251">
          <cell r="A1251" t="str">
            <v>AFG</v>
          </cell>
          <cell r="B1251">
            <v>2001</v>
          </cell>
          <cell r="C1251" t="str">
            <v>unpop_total</v>
          </cell>
          <cell r="D1251">
            <v>20284307</v>
          </cell>
          <cell r="F1251" t="str">
            <v>UN-WPP Rev. 2024</v>
          </cell>
        </row>
        <row r="1252">
          <cell r="A1252" t="str">
            <v>AFG</v>
          </cell>
          <cell r="B1252">
            <v>2002</v>
          </cell>
          <cell r="C1252" t="str">
            <v>unpop_0014</v>
          </cell>
          <cell r="D1252">
            <v>10739916.5</v>
          </cell>
          <cell r="F1252" t="str">
            <v>UN-WPP Rev. 2024</v>
          </cell>
        </row>
        <row r="1253">
          <cell r="A1253" t="str">
            <v>AFG</v>
          </cell>
          <cell r="B1253">
            <v>2002</v>
          </cell>
          <cell r="C1253" t="str">
            <v>unpop_1564</v>
          </cell>
          <cell r="D1253">
            <v>10154205.5</v>
          </cell>
          <cell r="F1253" t="str">
            <v>UN-WPP Rev. 2024</v>
          </cell>
        </row>
        <row r="1254">
          <cell r="A1254" t="str">
            <v>AFG</v>
          </cell>
          <cell r="B1254">
            <v>2002</v>
          </cell>
          <cell r="C1254" t="str">
            <v>unpop_15up</v>
          </cell>
          <cell r="D1254">
            <v>10638200.5</v>
          </cell>
          <cell r="F1254" t="str">
            <v>UN-WPP Rev. 2024</v>
          </cell>
        </row>
        <row r="1255">
          <cell r="A1255" t="str">
            <v>AFG</v>
          </cell>
          <cell r="B1255">
            <v>2002</v>
          </cell>
          <cell r="C1255" t="str">
            <v>unpop_65up</v>
          </cell>
          <cell r="D1255">
            <v>483995</v>
          </cell>
          <cell r="F1255" t="str">
            <v>UN-WPP Rev. 2024</v>
          </cell>
        </row>
        <row r="1256">
          <cell r="A1256" t="str">
            <v>AFG</v>
          </cell>
          <cell r="B1256">
            <v>2002</v>
          </cell>
          <cell r="C1256" t="str">
            <v>unpop_total</v>
          </cell>
          <cell r="D1256">
            <v>21378117</v>
          </cell>
          <cell r="F1256" t="str">
            <v>UN-WPP Rev. 2024</v>
          </cell>
        </row>
        <row r="1257">
          <cell r="A1257" t="str">
            <v>AFG</v>
          </cell>
          <cell r="B1257">
            <v>2003</v>
          </cell>
          <cell r="C1257" t="str">
            <v>unpop_0014</v>
          </cell>
          <cell r="D1257">
            <v>11421150</v>
          </cell>
          <cell r="F1257" t="str">
            <v>UN-WPP Rev. 2024</v>
          </cell>
        </row>
        <row r="1258">
          <cell r="A1258" t="str">
            <v>AFG</v>
          </cell>
          <cell r="B1258">
            <v>2003</v>
          </cell>
          <cell r="C1258" t="str">
            <v>unpop_1564</v>
          </cell>
          <cell r="D1258">
            <v>10796597</v>
          </cell>
          <cell r="F1258" t="str">
            <v>UN-WPP Rev. 2024</v>
          </cell>
        </row>
        <row r="1259">
          <cell r="A1259" t="str">
            <v>AFG</v>
          </cell>
          <cell r="B1259">
            <v>2003</v>
          </cell>
          <cell r="C1259" t="str">
            <v>unpop_15up</v>
          </cell>
          <cell r="D1259">
            <v>11311899</v>
          </cell>
          <cell r="F1259" t="str">
            <v>UN-WPP Rev. 2024</v>
          </cell>
        </row>
        <row r="1260">
          <cell r="A1260" t="str">
            <v>AFG</v>
          </cell>
          <cell r="B1260">
            <v>2003</v>
          </cell>
          <cell r="C1260" t="str">
            <v>unpop_65up</v>
          </cell>
          <cell r="D1260">
            <v>515302</v>
          </cell>
          <cell r="F1260" t="str">
            <v>UN-WPP Rev. 2024</v>
          </cell>
        </row>
        <row r="1261">
          <cell r="A1261" t="str">
            <v>AFG</v>
          </cell>
          <cell r="B1261">
            <v>2003</v>
          </cell>
          <cell r="C1261" t="str">
            <v>unpop_total</v>
          </cell>
          <cell r="D1261">
            <v>22733049</v>
          </cell>
          <cell r="F1261" t="str">
            <v>UN-WPP Rev. 2024</v>
          </cell>
        </row>
        <row r="1262">
          <cell r="A1262" t="str">
            <v>AFG</v>
          </cell>
          <cell r="B1262">
            <v>2004</v>
          </cell>
          <cell r="C1262" t="str">
            <v>unpop_0014</v>
          </cell>
          <cell r="D1262">
            <v>11822009</v>
          </cell>
          <cell r="F1262" t="str">
            <v>UN-WPP Rev. 2024</v>
          </cell>
        </row>
        <row r="1263">
          <cell r="A1263" t="str">
            <v>AFG</v>
          </cell>
          <cell r="B1263">
            <v>2004</v>
          </cell>
          <cell r="C1263" t="str">
            <v>unpop_1564</v>
          </cell>
          <cell r="D1263">
            <v>11204136.5</v>
          </cell>
          <cell r="F1263" t="str">
            <v>UN-WPP Rev. 2024</v>
          </cell>
        </row>
        <row r="1264">
          <cell r="A1264" t="str">
            <v>AFG</v>
          </cell>
          <cell r="B1264">
            <v>2004</v>
          </cell>
          <cell r="C1264" t="str">
            <v>unpop_15up</v>
          </cell>
          <cell r="D1264">
            <v>11738644.5</v>
          </cell>
          <cell r="F1264" t="str">
            <v>UN-WPP Rev. 2024</v>
          </cell>
        </row>
        <row r="1265">
          <cell r="A1265" t="str">
            <v>AFG</v>
          </cell>
          <cell r="B1265">
            <v>2004</v>
          </cell>
          <cell r="C1265" t="str">
            <v>unpop_65up</v>
          </cell>
          <cell r="D1265">
            <v>534508</v>
          </cell>
          <cell r="F1265" t="str">
            <v>UN-WPP Rev. 2024</v>
          </cell>
        </row>
        <row r="1266">
          <cell r="A1266" t="str">
            <v>AFG</v>
          </cell>
          <cell r="B1266">
            <v>2004</v>
          </cell>
          <cell r="C1266" t="str">
            <v>unpop_total</v>
          </cell>
          <cell r="D1266">
            <v>23560653.5</v>
          </cell>
          <cell r="F1266" t="str">
            <v>UN-WPP Rev. 2024</v>
          </cell>
        </row>
        <row r="1267">
          <cell r="A1267" t="str">
            <v>AFG</v>
          </cell>
          <cell r="B1267">
            <v>2005</v>
          </cell>
          <cell r="C1267" t="str">
            <v>unpop_0014</v>
          </cell>
          <cell r="D1267">
            <v>12214380</v>
          </cell>
          <cell r="F1267" t="str">
            <v>UN-WPP Rev. 2024</v>
          </cell>
        </row>
        <row r="1268">
          <cell r="A1268" t="str">
            <v>AFG</v>
          </cell>
          <cell r="B1268">
            <v>2005</v>
          </cell>
          <cell r="C1268" t="str">
            <v>unpop_1564</v>
          </cell>
          <cell r="D1268">
            <v>11636264.5</v>
          </cell>
          <cell r="F1268" t="str">
            <v>UN-WPP Rev. 2024</v>
          </cell>
        </row>
        <row r="1269">
          <cell r="A1269" t="str">
            <v>AFG</v>
          </cell>
          <cell r="B1269">
            <v>2005</v>
          </cell>
          <cell r="C1269" t="str">
            <v>unpop_15up</v>
          </cell>
          <cell r="D1269">
            <v>12190187</v>
          </cell>
          <cell r="F1269" t="str">
            <v>UN-WPP Rev. 2024</v>
          </cell>
        </row>
        <row r="1270">
          <cell r="A1270" t="str">
            <v>AFG</v>
          </cell>
          <cell r="B1270">
            <v>2005</v>
          </cell>
          <cell r="C1270" t="str">
            <v>unpop_65up</v>
          </cell>
          <cell r="D1270">
            <v>553922.5</v>
          </cell>
          <cell r="F1270" t="str">
            <v>UN-WPP Rev. 2024</v>
          </cell>
        </row>
        <row r="1271">
          <cell r="A1271" t="str">
            <v>AFG</v>
          </cell>
          <cell r="B1271">
            <v>2005</v>
          </cell>
          <cell r="C1271" t="str">
            <v>unpop_total</v>
          </cell>
          <cell r="D1271">
            <v>24404567</v>
          </cell>
          <cell r="F1271" t="str">
            <v>UN-WPP Rev. 2024</v>
          </cell>
        </row>
        <row r="1272">
          <cell r="A1272" t="str">
            <v>AFG</v>
          </cell>
          <cell r="B1272">
            <v>2006</v>
          </cell>
          <cell r="C1272" t="str">
            <v>unpop_0014</v>
          </cell>
          <cell r="D1272">
            <v>12675420.5</v>
          </cell>
          <cell r="F1272" t="str">
            <v>UN-WPP Rev. 2024</v>
          </cell>
        </row>
        <row r="1273">
          <cell r="A1273" t="str">
            <v>AFG</v>
          </cell>
          <cell r="B1273">
            <v>2006</v>
          </cell>
          <cell r="C1273" t="str">
            <v>unpop_1564</v>
          </cell>
          <cell r="D1273">
            <v>12171094.5</v>
          </cell>
          <cell r="F1273" t="str">
            <v>UN-WPP Rev. 2024</v>
          </cell>
        </row>
        <row r="1274">
          <cell r="A1274" t="str">
            <v>AFG</v>
          </cell>
          <cell r="B1274">
            <v>2006</v>
          </cell>
          <cell r="C1274" t="str">
            <v>unpop_15up</v>
          </cell>
          <cell r="D1274">
            <v>12748674</v>
          </cell>
          <cell r="F1274" t="str">
            <v>UN-WPP Rev. 2024</v>
          </cell>
        </row>
        <row r="1275">
          <cell r="A1275" t="str">
            <v>AFG</v>
          </cell>
          <cell r="B1275">
            <v>2006</v>
          </cell>
          <cell r="C1275" t="str">
            <v>unpop_65up</v>
          </cell>
          <cell r="D1275">
            <v>577579.5</v>
          </cell>
          <cell r="F1275" t="str">
            <v>UN-WPP Rev. 2024</v>
          </cell>
        </row>
        <row r="1276">
          <cell r="A1276" t="str">
            <v>AFG</v>
          </cell>
          <cell r="B1276">
            <v>2006</v>
          </cell>
          <cell r="C1276" t="str">
            <v>unpop_total</v>
          </cell>
          <cell r="D1276">
            <v>25424094.5</v>
          </cell>
          <cell r="F1276" t="str">
            <v>UN-WPP Rev. 2024</v>
          </cell>
        </row>
        <row r="1277">
          <cell r="A1277" t="str">
            <v>AFG</v>
          </cell>
          <cell r="B1277">
            <v>2007</v>
          </cell>
          <cell r="C1277" t="str">
            <v>unpop_0014</v>
          </cell>
          <cell r="D1277">
            <v>12847673</v>
          </cell>
          <cell r="F1277" t="str">
            <v>UN-WPP Rev. 2024</v>
          </cell>
        </row>
        <row r="1278">
          <cell r="A1278" t="str">
            <v>AFG</v>
          </cell>
          <cell r="B1278">
            <v>2007</v>
          </cell>
          <cell r="C1278" t="str">
            <v>unpop_1564</v>
          </cell>
          <cell r="D1278">
            <v>12472415</v>
          </cell>
          <cell r="F1278" t="str">
            <v>UN-WPP Rev. 2024</v>
          </cell>
        </row>
        <row r="1279">
          <cell r="A1279" t="str">
            <v>AFG</v>
          </cell>
          <cell r="B1279">
            <v>2007</v>
          </cell>
          <cell r="C1279" t="str">
            <v>unpop_15up</v>
          </cell>
          <cell r="D1279">
            <v>13062179</v>
          </cell>
          <cell r="F1279" t="str">
            <v>UN-WPP Rev. 2024</v>
          </cell>
        </row>
        <row r="1280">
          <cell r="A1280" t="str">
            <v>AFG</v>
          </cell>
          <cell r="B1280">
            <v>2007</v>
          </cell>
          <cell r="C1280" t="str">
            <v>unpop_65up</v>
          </cell>
          <cell r="D1280">
            <v>589764</v>
          </cell>
          <cell r="F1280" t="str">
            <v>UN-WPP Rev. 2024</v>
          </cell>
        </row>
        <row r="1281">
          <cell r="A1281" t="str">
            <v>AFG</v>
          </cell>
          <cell r="B1281">
            <v>2007</v>
          </cell>
          <cell r="C1281" t="str">
            <v>unpop_total</v>
          </cell>
          <cell r="D1281">
            <v>25909852</v>
          </cell>
          <cell r="F1281" t="str">
            <v>UN-WPP Rev. 2024</v>
          </cell>
        </row>
        <row r="1282">
          <cell r="A1282" t="str">
            <v>AFG</v>
          </cell>
          <cell r="B1282">
            <v>2008</v>
          </cell>
          <cell r="C1282" t="str">
            <v>unpop_0014</v>
          </cell>
          <cell r="D1282">
            <v>13043064.5</v>
          </cell>
          <cell r="F1282" t="str">
            <v>UN-WPP Rev. 2024</v>
          </cell>
        </row>
        <row r="1283">
          <cell r="A1283" t="str">
            <v>AFG</v>
          </cell>
          <cell r="B1283">
            <v>2008</v>
          </cell>
          <cell r="C1283" t="str">
            <v>unpop_1564</v>
          </cell>
          <cell r="D1283">
            <v>12834808.5</v>
          </cell>
          <cell r="F1283" t="str">
            <v>UN-WPP Rev. 2024</v>
          </cell>
        </row>
        <row r="1284">
          <cell r="A1284" t="str">
            <v>AFG</v>
          </cell>
          <cell r="B1284">
            <v>2008</v>
          </cell>
          <cell r="C1284" t="str">
            <v>unpop_15up</v>
          </cell>
          <cell r="D1284">
            <v>13439557.5</v>
          </cell>
          <cell r="F1284" t="str">
            <v>UN-WPP Rev. 2024</v>
          </cell>
        </row>
        <row r="1285">
          <cell r="A1285" t="str">
            <v>AFG</v>
          </cell>
          <cell r="B1285">
            <v>2008</v>
          </cell>
          <cell r="C1285" t="str">
            <v>unpop_65up</v>
          </cell>
          <cell r="D1285">
            <v>604749</v>
          </cell>
          <cell r="F1285" t="str">
            <v>UN-WPP Rev. 2024</v>
          </cell>
        </row>
        <row r="1286">
          <cell r="A1286" t="str">
            <v>AFG</v>
          </cell>
          <cell r="B1286">
            <v>2008</v>
          </cell>
          <cell r="C1286" t="str">
            <v>unpop_total</v>
          </cell>
          <cell r="D1286">
            <v>26482622</v>
          </cell>
          <cell r="F1286" t="str">
            <v>UN-WPP Rev. 2024</v>
          </cell>
        </row>
        <row r="1287">
          <cell r="A1287" t="str">
            <v>AFG</v>
          </cell>
          <cell r="B1287">
            <v>2009</v>
          </cell>
          <cell r="C1287" t="str">
            <v>unpop_0014</v>
          </cell>
          <cell r="D1287">
            <v>13424937</v>
          </cell>
          <cell r="F1287" t="str">
            <v>UN-WPP Rev. 2024</v>
          </cell>
        </row>
        <row r="1288">
          <cell r="A1288" t="str">
            <v>AFG</v>
          </cell>
          <cell r="B1288">
            <v>2009</v>
          </cell>
          <cell r="C1288" t="str">
            <v>unpop_1564</v>
          </cell>
          <cell r="D1288">
            <v>13411216.5</v>
          </cell>
          <cell r="F1288" t="str">
            <v>UN-WPP Rev. 2024</v>
          </cell>
        </row>
        <row r="1289">
          <cell r="A1289" t="str">
            <v>AFG</v>
          </cell>
          <cell r="B1289">
            <v>2009</v>
          </cell>
          <cell r="C1289" t="str">
            <v>unpop_15up</v>
          </cell>
          <cell r="D1289">
            <v>14041163.5</v>
          </cell>
          <cell r="F1289" t="str">
            <v>UN-WPP Rev. 2024</v>
          </cell>
        </row>
        <row r="1290">
          <cell r="A1290" t="str">
            <v>AFG</v>
          </cell>
          <cell r="B1290">
            <v>2009</v>
          </cell>
          <cell r="C1290" t="str">
            <v>unpop_65up</v>
          </cell>
          <cell r="D1290">
            <v>629947</v>
          </cell>
          <cell r="F1290" t="str">
            <v>UN-WPP Rev. 2024</v>
          </cell>
        </row>
        <row r="1291">
          <cell r="A1291" t="str">
            <v>AFG</v>
          </cell>
          <cell r="B1291">
            <v>2009</v>
          </cell>
          <cell r="C1291" t="str">
            <v>unpop_total</v>
          </cell>
          <cell r="D1291">
            <v>27466100.5</v>
          </cell>
          <cell r="F1291" t="str">
            <v>UN-WPP Rev. 2024</v>
          </cell>
        </row>
        <row r="1292">
          <cell r="A1292" t="str">
            <v>AFG</v>
          </cell>
          <cell r="B1292">
            <v>2010</v>
          </cell>
          <cell r="C1292" t="str">
            <v>unpop_0014</v>
          </cell>
          <cell r="D1292">
            <v>13708542.5</v>
          </cell>
          <cell r="F1292" t="str">
            <v>UN-WPP Rev. 2024</v>
          </cell>
        </row>
        <row r="1293">
          <cell r="A1293" t="str">
            <v>AFG</v>
          </cell>
          <cell r="B1293">
            <v>2010</v>
          </cell>
          <cell r="C1293" t="str">
            <v>unpop_1564</v>
          </cell>
          <cell r="D1293">
            <v>13923141</v>
          </cell>
          <cell r="F1293" t="str">
            <v>UN-WPP Rev. 2024</v>
          </cell>
        </row>
        <row r="1294">
          <cell r="A1294" t="str">
            <v>AFG</v>
          </cell>
          <cell r="B1294">
            <v>2010</v>
          </cell>
          <cell r="C1294" t="str">
            <v>unpop_15up</v>
          </cell>
          <cell r="D1294">
            <v>14575546</v>
          </cell>
          <cell r="F1294" t="str">
            <v>UN-WPP Rev. 2024</v>
          </cell>
        </row>
        <row r="1295">
          <cell r="A1295" t="str">
            <v>AFG</v>
          </cell>
          <cell r="B1295">
            <v>2010</v>
          </cell>
          <cell r="C1295" t="str">
            <v>unpop_65up</v>
          </cell>
          <cell r="D1295">
            <v>652405</v>
          </cell>
          <cell r="F1295" t="str">
            <v>UN-WPP Rev. 2024</v>
          </cell>
        </row>
        <row r="1296">
          <cell r="A1296" t="str">
            <v>AFG</v>
          </cell>
          <cell r="B1296">
            <v>2010</v>
          </cell>
          <cell r="C1296" t="str">
            <v>unpop_total</v>
          </cell>
          <cell r="D1296">
            <v>28284088.5</v>
          </cell>
          <cell r="F1296" t="str">
            <v>UN-WPP Rev. 2024</v>
          </cell>
        </row>
        <row r="1297">
          <cell r="A1297" t="str">
            <v>AFG</v>
          </cell>
          <cell r="B1297">
            <v>2011</v>
          </cell>
          <cell r="C1297" t="str">
            <v>unpop_0014</v>
          </cell>
          <cell r="D1297">
            <v>14098579.5</v>
          </cell>
          <cell r="F1297" t="str">
            <v>UN-WPP Rev. 2024</v>
          </cell>
        </row>
        <row r="1298">
          <cell r="A1298" t="str">
            <v>AFG</v>
          </cell>
          <cell r="B1298">
            <v>2011</v>
          </cell>
          <cell r="C1298" t="str">
            <v>unpop_1564</v>
          </cell>
          <cell r="D1298">
            <v>14567633.5</v>
          </cell>
          <cell r="F1298" t="str">
            <v>UN-WPP Rev. 2024</v>
          </cell>
        </row>
        <row r="1299">
          <cell r="A1299" t="str">
            <v>AFG</v>
          </cell>
          <cell r="B1299">
            <v>2011</v>
          </cell>
          <cell r="C1299" t="str">
            <v>unpop_15up</v>
          </cell>
          <cell r="D1299">
            <v>15249128.5</v>
          </cell>
          <cell r="F1299" t="str">
            <v>UN-WPP Rev. 2024</v>
          </cell>
        </row>
        <row r="1300">
          <cell r="A1300" t="str">
            <v>AFG</v>
          </cell>
          <cell r="B1300">
            <v>2011</v>
          </cell>
          <cell r="C1300" t="str">
            <v>unpop_65up</v>
          </cell>
          <cell r="D1300">
            <v>681495</v>
          </cell>
          <cell r="F1300" t="str">
            <v>UN-WPP Rev. 2024</v>
          </cell>
        </row>
        <row r="1301">
          <cell r="A1301" t="str">
            <v>AFG</v>
          </cell>
          <cell r="B1301">
            <v>2011</v>
          </cell>
          <cell r="C1301" t="str">
            <v>unpop_total</v>
          </cell>
          <cell r="D1301">
            <v>29347708</v>
          </cell>
          <cell r="F1301" t="str">
            <v>UN-WPP Rev. 2024</v>
          </cell>
        </row>
        <row r="1302">
          <cell r="A1302" t="str">
            <v>AFG</v>
          </cell>
          <cell r="B1302">
            <v>2012</v>
          </cell>
          <cell r="C1302" t="str">
            <v>unpop_0014</v>
          </cell>
          <cell r="D1302">
            <v>14548197.5</v>
          </cell>
          <cell r="F1302" t="str">
            <v>UN-WPP Rev. 2024</v>
          </cell>
        </row>
        <row r="1303">
          <cell r="A1303" t="str">
            <v>AFG</v>
          </cell>
          <cell r="B1303">
            <v>2012</v>
          </cell>
          <cell r="C1303" t="str">
            <v>unpop_1564</v>
          </cell>
          <cell r="D1303">
            <v>15297370</v>
          </cell>
          <cell r="F1303" t="str">
            <v>UN-WPP Rev. 2024</v>
          </cell>
        </row>
        <row r="1304">
          <cell r="A1304" t="str">
            <v>AFG</v>
          </cell>
          <cell r="B1304">
            <v>2012</v>
          </cell>
          <cell r="C1304" t="str">
            <v>unpop_15up</v>
          </cell>
          <cell r="D1304">
            <v>16011836.5</v>
          </cell>
          <cell r="F1304" t="str">
            <v>UN-WPP Rev. 2024</v>
          </cell>
        </row>
        <row r="1305">
          <cell r="A1305" t="str">
            <v>AFG</v>
          </cell>
          <cell r="B1305">
            <v>2012</v>
          </cell>
          <cell r="C1305" t="str">
            <v>unpop_65up</v>
          </cell>
          <cell r="D1305">
            <v>714466.5</v>
          </cell>
          <cell r="F1305" t="str">
            <v>UN-WPP Rev. 2024</v>
          </cell>
        </row>
        <row r="1306">
          <cell r="A1306" t="str">
            <v>AFG</v>
          </cell>
          <cell r="B1306">
            <v>2012</v>
          </cell>
          <cell r="C1306" t="str">
            <v>unpop_total</v>
          </cell>
          <cell r="D1306">
            <v>30560034</v>
          </cell>
          <cell r="F1306" t="str">
            <v>UN-WPP Rev. 2024</v>
          </cell>
        </row>
        <row r="1307">
          <cell r="A1307" t="str">
            <v>AFG</v>
          </cell>
          <cell r="B1307">
            <v>2013</v>
          </cell>
          <cell r="C1307" t="str">
            <v>unpop_0014</v>
          </cell>
          <cell r="D1307">
            <v>14913705.5</v>
          </cell>
          <cell r="F1307" t="str">
            <v>UN-WPP Rev. 2024</v>
          </cell>
        </row>
        <row r="1308">
          <cell r="A1308" t="str">
            <v>AFG</v>
          </cell>
          <cell r="B1308">
            <v>2013</v>
          </cell>
          <cell r="C1308" t="str">
            <v>unpop_1564</v>
          </cell>
          <cell r="D1308">
            <v>15965938</v>
          </cell>
          <cell r="F1308" t="str">
            <v>UN-WPP Rev. 2024</v>
          </cell>
        </row>
        <row r="1309">
          <cell r="A1309" t="str">
            <v>AFG</v>
          </cell>
          <cell r="B1309">
            <v>2013</v>
          </cell>
          <cell r="C1309" t="str">
            <v>unpop_15up</v>
          </cell>
          <cell r="D1309">
            <v>16708998.5</v>
          </cell>
          <cell r="F1309" t="str">
            <v>UN-WPP Rev. 2024</v>
          </cell>
        </row>
        <row r="1310">
          <cell r="A1310" t="str">
            <v>AFG</v>
          </cell>
          <cell r="B1310">
            <v>2013</v>
          </cell>
          <cell r="C1310" t="str">
            <v>unpop_65up</v>
          </cell>
          <cell r="D1310">
            <v>743060.5</v>
          </cell>
          <cell r="F1310" t="str">
            <v>UN-WPP Rev. 2024</v>
          </cell>
        </row>
        <row r="1311">
          <cell r="A1311" t="str">
            <v>AFG</v>
          </cell>
          <cell r="B1311">
            <v>2013</v>
          </cell>
          <cell r="C1311" t="str">
            <v>unpop_total</v>
          </cell>
          <cell r="D1311">
            <v>31622704</v>
          </cell>
          <cell r="F1311" t="str">
            <v>UN-WPP Rev. 2024</v>
          </cell>
        </row>
        <row r="1312">
          <cell r="A1312" t="str">
            <v>AFG</v>
          </cell>
          <cell r="B1312">
            <v>2014</v>
          </cell>
          <cell r="C1312" t="str">
            <v>unpop_0014</v>
          </cell>
          <cell r="D1312">
            <v>15318393</v>
          </cell>
          <cell r="F1312" t="str">
            <v>UN-WPP Rev. 2024</v>
          </cell>
        </row>
        <row r="1313">
          <cell r="A1313" t="str">
            <v>AFG</v>
          </cell>
          <cell r="B1313">
            <v>2014</v>
          </cell>
          <cell r="C1313" t="str">
            <v>unpop_1564</v>
          </cell>
          <cell r="D1313">
            <v>16701362.5</v>
          </cell>
          <cell r="F1313" t="str">
            <v>UN-WPP Rev. 2024</v>
          </cell>
        </row>
        <row r="1314">
          <cell r="A1314" t="str">
            <v>AFG</v>
          </cell>
          <cell r="B1314">
            <v>2014</v>
          </cell>
          <cell r="C1314" t="str">
            <v>unpop_15up</v>
          </cell>
          <cell r="D1314">
            <v>17474130</v>
          </cell>
          <cell r="F1314" t="str">
            <v>UN-WPP Rev. 2024</v>
          </cell>
        </row>
        <row r="1315">
          <cell r="A1315" t="str">
            <v>AFG</v>
          </cell>
          <cell r="B1315">
            <v>2014</v>
          </cell>
          <cell r="C1315" t="str">
            <v>unpop_65up</v>
          </cell>
          <cell r="D1315">
            <v>772767.5</v>
          </cell>
          <cell r="F1315" t="str">
            <v>UN-WPP Rev. 2024</v>
          </cell>
        </row>
        <row r="1316">
          <cell r="A1316" t="str">
            <v>AFG</v>
          </cell>
          <cell r="B1316">
            <v>2014</v>
          </cell>
          <cell r="C1316" t="str">
            <v>unpop_total</v>
          </cell>
          <cell r="D1316">
            <v>32792523</v>
          </cell>
          <cell r="F1316" t="str">
            <v>UN-WPP Rev. 2024</v>
          </cell>
        </row>
        <row r="1317">
          <cell r="A1317" t="str">
            <v>AFG</v>
          </cell>
          <cell r="B1317">
            <v>2015</v>
          </cell>
          <cell r="C1317" t="str">
            <v>unpop_0014</v>
          </cell>
          <cell r="D1317">
            <v>15650349.5</v>
          </cell>
          <cell r="F1317" t="str">
            <v>UN-WPP Rev. 2024</v>
          </cell>
        </row>
        <row r="1318">
          <cell r="A1318" t="str">
            <v>AFG</v>
          </cell>
          <cell r="B1318">
            <v>2015</v>
          </cell>
          <cell r="C1318" t="str">
            <v>unpop_1564</v>
          </cell>
          <cell r="D1318">
            <v>17384102.5</v>
          </cell>
          <cell r="F1318" t="str">
            <v>UN-WPP Rev. 2024</v>
          </cell>
        </row>
        <row r="1319">
          <cell r="A1319" t="str">
            <v>AFG</v>
          </cell>
          <cell r="B1319">
            <v>2015</v>
          </cell>
          <cell r="C1319" t="str">
            <v>unpop_15up</v>
          </cell>
          <cell r="D1319">
            <v>18181414</v>
          </cell>
          <cell r="F1319" t="str">
            <v>UN-WPP Rev. 2024</v>
          </cell>
        </row>
        <row r="1320">
          <cell r="A1320" t="str">
            <v>AFG</v>
          </cell>
          <cell r="B1320">
            <v>2015</v>
          </cell>
          <cell r="C1320" t="str">
            <v>unpop_65up</v>
          </cell>
          <cell r="D1320">
            <v>797311.5</v>
          </cell>
          <cell r="F1320" t="str">
            <v>UN-WPP Rev. 2024</v>
          </cell>
        </row>
        <row r="1321">
          <cell r="A1321" t="str">
            <v>AFG</v>
          </cell>
          <cell r="B1321">
            <v>2015</v>
          </cell>
          <cell r="C1321" t="str">
            <v>unpop_total</v>
          </cell>
          <cell r="D1321">
            <v>33831763.5</v>
          </cell>
          <cell r="F1321" t="str">
            <v>UN-WPP Rev. 2024</v>
          </cell>
        </row>
        <row r="1322">
          <cell r="A1322" t="str">
            <v>AFG</v>
          </cell>
          <cell r="B1322">
            <v>2016</v>
          </cell>
          <cell r="C1322" t="str">
            <v>unpop_0014</v>
          </cell>
          <cell r="D1322">
            <v>15893383</v>
          </cell>
          <cell r="F1322" t="str">
            <v>UN-WPP Rev. 2024</v>
          </cell>
        </row>
        <row r="1323">
          <cell r="A1323" t="str">
            <v>AFG</v>
          </cell>
          <cell r="B1323">
            <v>2016</v>
          </cell>
          <cell r="C1323" t="str">
            <v>unpop_1564</v>
          </cell>
          <cell r="D1323">
            <v>17989857</v>
          </cell>
          <cell r="F1323" t="str">
            <v>UN-WPP Rev. 2024</v>
          </cell>
        </row>
        <row r="1324">
          <cell r="A1324" t="str">
            <v>AFG</v>
          </cell>
          <cell r="B1324">
            <v>2016</v>
          </cell>
          <cell r="C1324" t="str">
            <v>unpop_15up</v>
          </cell>
          <cell r="D1324">
            <v>18807229</v>
          </cell>
          <cell r="F1324" t="str">
            <v>UN-WPP Rev. 2024</v>
          </cell>
        </row>
        <row r="1325">
          <cell r="A1325" t="str">
            <v>AFG</v>
          </cell>
          <cell r="B1325">
            <v>2016</v>
          </cell>
          <cell r="C1325" t="str">
            <v>unpop_65up</v>
          </cell>
          <cell r="D1325">
            <v>817372</v>
          </cell>
          <cell r="F1325" t="str">
            <v>UN-WPP Rev. 2024</v>
          </cell>
        </row>
        <row r="1326">
          <cell r="A1326" t="str">
            <v>AFG</v>
          </cell>
          <cell r="B1326">
            <v>2016</v>
          </cell>
          <cell r="C1326" t="str">
            <v>unpop_total</v>
          </cell>
          <cell r="D1326">
            <v>34700612</v>
          </cell>
          <cell r="F1326" t="str">
            <v>UN-WPP Rev. 2024</v>
          </cell>
        </row>
        <row r="1327">
          <cell r="A1327" t="str">
            <v>AFG</v>
          </cell>
          <cell r="B1327">
            <v>2017</v>
          </cell>
          <cell r="C1327" t="str">
            <v>unpop_0014</v>
          </cell>
          <cell r="D1327">
            <v>16190144</v>
          </cell>
          <cell r="F1327" t="str">
            <v>UN-WPP Rev. 2024</v>
          </cell>
        </row>
        <row r="1328">
          <cell r="A1328" t="str">
            <v>AFG</v>
          </cell>
          <cell r="B1328">
            <v>2017</v>
          </cell>
          <cell r="C1328" t="str">
            <v>unpop_1564</v>
          </cell>
          <cell r="D1328">
            <v>18656625.5</v>
          </cell>
          <cell r="F1328" t="str">
            <v>UN-WPP Rev. 2024</v>
          </cell>
        </row>
        <row r="1329">
          <cell r="A1329" t="str">
            <v>AFG</v>
          </cell>
          <cell r="B1329">
            <v>2017</v>
          </cell>
          <cell r="C1329" t="str">
            <v>unpop_15up</v>
          </cell>
          <cell r="D1329">
            <v>19498790.5</v>
          </cell>
          <cell r="F1329" t="str">
            <v>UN-WPP Rev. 2024</v>
          </cell>
        </row>
        <row r="1330">
          <cell r="A1330" t="str">
            <v>AFG</v>
          </cell>
          <cell r="B1330">
            <v>2017</v>
          </cell>
          <cell r="C1330" t="str">
            <v>unpop_65up</v>
          </cell>
          <cell r="D1330">
            <v>842165</v>
          </cell>
          <cell r="F1330" t="str">
            <v>UN-WPP Rev. 2024</v>
          </cell>
        </row>
        <row r="1331">
          <cell r="A1331" t="str">
            <v>AFG</v>
          </cell>
          <cell r="B1331">
            <v>2017</v>
          </cell>
          <cell r="C1331" t="str">
            <v>unpop_total</v>
          </cell>
          <cell r="D1331">
            <v>35688934.5</v>
          </cell>
          <cell r="F1331" t="str">
            <v>UN-WPP Rev. 2024</v>
          </cell>
        </row>
        <row r="1332">
          <cell r="A1332" t="str">
            <v>AFG</v>
          </cell>
          <cell r="B1332">
            <v>2018</v>
          </cell>
          <cell r="C1332" t="str">
            <v>unpop_0014</v>
          </cell>
          <cell r="D1332">
            <v>16519526</v>
          </cell>
          <cell r="F1332" t="str">
            <v>UN-WPP Rev. 2024</v>
          </cell>
        </row>
        <row r="1333">
          <cell r="A1333" t="str">
            <v>AFG</v>
          </cell>
          <cell r="B1333">
            <v>2018</v>
          </cell>
          <cell r="C1333" t="str">
            <v>unpop_1564</v>
          </cell>
          <cell r="D1333">
            <v>19353761</v>
          </cell>
          <cell r="F1333" t="str">
            <v>UN-WPP Rev. 2024</v>
          </cell>
        </row>
        <row r="1334">
          <cell r="A1334" t="str">
            <v>AFG</v>
          </cell>
          <cell r="B1334">
            <v>2018</v>
          </cell>
          <cell r="C1334" t="str">
            <v>unpop_15up</v>
          </cell>
          <cell r="D1334">
            <v>20223513</v>
          </cell>
          <cell r="F1334" t="str">
            <v>UN-WPP Rev. 2024</v>
          </cell>
        </row>
        <row r="1335">
          <cell r="A1335" t="str">
            <v>AFG</v>
          </cell>
          <cell r="B1335">
            <v>2018</v>
          </cell>
          <cell r="C1335" t="str">
            <v>unpop_65up</v>
          </cell>
          <cell r="D1335">
            <v>869752</v>
          </cell>
          <cell r="F1335" t="str">
            <v>UN-WPP Rev. 2024</v>
          </cell>
        </row>
        <row r="1336">
          <cell r="A1336" t="str">
            <v>AFG</v>
          </cell>
          <cell r="B1336">
            <v>2018</v>
          </cell>
          <cell r="C1336" t="str">
            <v>unpop_total</v>
          </cell>
          <cell r="D1336">
            <v>36743039</v>
          </cell>
          <cell r="F1336" t="str">
            <v>UN-WPP Rev. 2024</v>
          </cell>
        </row>
        <row r="1337">
          <cell r="A1337" t="str">
            <v>AFG</v>
          </cell>
          <cell r="B1337">
            <v>2019</v>
          </cell>
          <cell r="C1337" t="str">
            <v>unpop_0014</v>
          </cell>
          <cell r="D1337">
            <v>16875059.5</v>
          </cell>
          <cell r="F1337" t="str">
            <v>UN-WPP Rev. 2024</v>
          </cell>
        </row>
        <row r="1338">
          <cell r="A1338" t="str">
            <v>AFG</v>
          </cell>
          <cell r="B1338">
            <v>2019</v>
          </cell>
          <cell r="C1338" t="str">
            <v>unpop_1564</v>
          </cell>
          <cell r="D1338">
            <v>20081542</v>
          </cell>
          <cell r="F1338" t="str">
            <v>UN-WPP Rev. 2024</v>
          </cell>
        </row>
        <row r="1339">
          <cell r="A1339" t="str">
            <v>AFG</v>
          </cell>
          <cell r="B1339">
            <v>2019</v>
          </cell>
          <cell r="C1339" t="str">
            <v>unpop_15up</v>
          </cell>
          <cell r="D1339">
            <v>20981061.5</v>
          </cell>
          <cell r="F1339" t="str">
            <v>UN-WPP Rev. 2024</v>
          </cell>
        </row>
        <row r="1340">
          <cell r="A1340" t="str">
            <v>AFG</v>
          </cell>
          <cell r="B1340">
            <v>2019</v>
          </cell>
          <cell r="C1340" t="str">
            <v>unpop_65up</v>
          </cell>
          <cell r="D1340">
            <v>899519.5</v>
          </cell>
          <cell r="F1340" t="str">
            <v>UN-WPP Rev. 2024</v>
          </cell>
        </row>
        <row r="1341">
          <cell r="A1341" t="str">
            <v>AFG</v>
          </cell>
          <cell r="B1341">
            <v>2019</v>
          </cell>
          <cell r="C1341" t="str">
            <v>unpop_total</v>
          </cell>
          <cell r="D1341">
            <v>37856121</v>
          </cell>
          <cell r="F1341" t="str">
            <v>UN-WPP Rev. 2024</v>
          </cell>
        </row>
        <row r="1342">
          <cell r="A1342" t="str">
            <v>AFG</v>
          </cell>
          <cell r="B1342">
            <v>2020</v>
          </cell>
          <cell r="C1342" t="str">
            <v>unpop_0014</v>
          </cell>
          <cell r="D1342">
            <v>17277906</v>
          </cell>
          <cell r="F1342" t="str">
            <v>UN-WPP Rev. 2024</v>
          </cell>
        </row>
        <row r="1343">
          <cell r="A1343" t="str">
            <v>AFG</v>
          </cell>
          <cell r="B1343">
            <v>2020</v>
          </cell>
          <cell r="C1343" t="str">
            <v>unpop_1564</v>
          </cell>
          <cell r="D1343">
            <v>20864851.5</v>
          </cell>
          <cell r="F1343" t="str">
            <v>UN-WPP Rev. 2024</v>
          </cell>
        </row>
        <row r="1344">
          <cell r="A1344" t="str">
            <v>AFG</v>
          </cell>
          <cell r="B1344">
            <v>2020</v>
          </cell>
          <cell r="C1344" t="str">
            <v>unpop_15up</v>
          </cell>
          <cell r="D1344">
            <v>21791073</v>
          </cell>
          <cell r="F1344" t="str">
            <v>UN-WPP Rev. 2024</v>
          </cell>
        </row>
        <row r="1345">
          <cell r="A1345" t="str">
            <v>AFG</v>
          </cell>
          <cell r="B1345">
            <v>2020</v>
          </cell>
          <cell r="C1345" t="str">
            <v>unpop_65up</v>
          </cell>
          <cell r="D1345">
            <v>926221.5</v>
          </cell>
          <cell r="F1345" t="str">
            <v>UN-WPP Rev. 2024</v>
          </cell>
        </row>
        <row r="1346">
          <cell r="A1346" t="str">
            <v>AFG</v>
          </cell>
          <cell r="B1346">
            <v>2020</v>
          </cell>
          <cell r="C1346" t="str">
            <v>unpop_total</v>
          </cell>
          <cell r="D1346">
            <v>39068979</v>
          </cell>
          <cell r="F1346" t="str">
            <v>UN-WPP Rev. 2024</v>
          </cell>
        </row>
        <row r="1347">
          <cell r="A1347" t="str">
            <v>AFG</v>
          </cell>
          <cell r="B1347">
            <v>2021</v>
          </cell>
          <cell r="C1347" t="str">
            <v>unpop_0014</v>
          </cell>
          <cell r="D1347">
            <v>17563431</v>
          </cell>
          <cell r="F1347" t="str">
            <v>UN-WPP Rev. 2024</v>
          </cell>
        </row>
        <row r="1348">
          <cell r="A1348" t="str">
            <v>AFG</v>
          </cell>
          <cell r="B1348">
            <v>2021</v>
          </cell>
          <cell r="C1348" t="str">
            <v>unpop_1564</v>
          </cell>
          <cell r="D1348">
            <v>21495951.5</v>
          </cell>
          <cell r="F1348" t="str">
            <v>UN-WPP Rev. 2024</v>
          </cell>
        </row>
        <row r="1349">
          <cell r="A1349" t="str">
            <v>AFG</v>
          </cell>
          <cell r="B1349">
            <v>2021</v>
          </cell>
          <cell r="C1349" t="str">
            <v>unpop_15up</v>
          </cell>
          <cell r="D1349">
            <v>22436981</v>
          </cell>
          <cell r="F1349" t="str">
            <v>UN-WPP Rev. 2024</v>
          </cell>
        </row>
        <row r="1350">
          <cell r="A1350" t="str">
            <v>AFG</v>
          </cell>
          <cell r="B1350">
            <v>2021</v>
          </cell>
          <cell r="C1350" t="str">
            <v>unpop_65up</v>
          </cell>
          <cell r="D1350">
            <v>941029.5</v>
          </cell>
          <cell r="F1350" t="str">
            <v>UN-WPP Rev. 2024</v>
          </cell>
        </row>
        <row r="1351">
          <cell r="A1351" t="str">
            <v>AFG</v>
          </cell>
          <cell r="B1351">
            <v>2021</v>
          </cell>
          <cell r="C1351" t="str">
            <v>unpop_total</v>
          </cell>
          <cell r="D1351">
            <v>40000412</v>
          </cell>
          <cell r="F1351" t="str">
            <v>UN-WPP Rev. 2024</v>
          </cell>
        </row>
        <row r="1352">
          <cell r="A1352" t="str">
            <v>AFG</v>
          </cell>
          <cell r="B1352">
            <v>2022</v>
          </cell>
          <cell r="C1352" t="str">
            <v>unpop_0014</v>
          </cell>
          <cell r="D1352">
            <v>17684195</v>
          </cell>
          <cell r="F1352" t="str">
            <v>UN-WPP Rev. 2024</v>
          </cell>
        </row>
        <row r="1353">
          <cell r="A1353" t="str">
            <v>AFG</v>
          </cell>
          <cell r="B1353">
            <v>2022</v>
          </cell>
          <cell r="C1353" t="str">
            <v>unpop_1564</v>
          </cell>
          <cell r="D1353">
            <v>21938957.5</v>
          </cell>
          <cell r="F1353" t="str">
            <v>UN-WPP Rev. 2024</v>
          </cell>
        </row>
        <row r="1354">
          <cell r="A1354" t="str">
            <v>AFG</v>
          </cell>
          <cell r="B1354">
            <v>2022</v>
          </cell>
          <cell r="C1354" t="str">
            <v>unpop_15up</v>
          </cell>
          <cell r="D1354">
            <v>22894647</v>
          </cell>
          <cell r="F1354" t="str">
            <v>UN-WPP Rev. 2024</v>
          </cell>
        </row>
        <row r="1355">
          <cell r="A1355" t="str">
            <v>AFG</v>
          </cell>
          <cell r="B1355">
            <v>2022</v>
          </cell>
          <cell r="C1355" t="str">
            <v>unpop_65up</v>
          </cell>
          <cell r="D1355">
            <v>955689.5</v>
          </cell>
          <cell r="F1355" t="str">
            <v>UN-WPP Rev. 2024</v>
          </cell>
        </row>
        <row r="1356">
          <cell r="A1356" t="str">
            <v>AFG</v>
          </cell>
          <cell r="B1356">
            <v>2022</v>
          </cell>
          <cell r="C1356" t="str">
            <v>unpop_total</v>
          </cell>
          <cell r="D1356">
            <v>40578842</v>
          </cell>
          <cell r="F1356" t="str">
            <v>UN-WPP Rev. 2024</v>
          </cell>
        </row>
        <row r="1357">
          <cell r="A1357" t="str">
            <v>AFG</v>
          </cell>
          <cell r="B1357">
            <v>2023</v>
          </cell>
          <cell r="C1357" t="str">
            <v>unpop_0014</v>
          </cell>
          <cell r="D1357">
            <v>17919319.5</v>
          </cell>
          <cell r="F1357" t="str">
            <v>UN-WPP Rev. 2024</v>
          </cell>
        </row>
        <row r="1358">
          <cell r="A1358" t="str">
            <v>AFG</v>
          </cell>
          <cell r="B1358">
            <v>2023</v>
          </cell>
          <cell r="C1358" t="str">
            <v>unpop_1564</v>
          </cell>
          <cell r="D1358">
            <v>22549839</v>
          </cell>
          <cell r="F1358" t="str">
            <v>UN-WPP Rev. 2024</v>
          </cell>
        </row>
        <row r="1359">
          <cell r="A1359" t="str">
            <v>AFG</v>
          </cell>
          <cell r="B1359">
            <v>2023</v>
          </cell>
          <cell r="C1359" t="str">
            <v>unpop_15up</v>
          </cell>
          <cell r="D1359">
            <v>23535441.5</v>
          </cell>
          <cell r="F1359" t="str">
            <v>UN-WPP Rev. 2024</v>
          </cell>
        </row>
        <row r="1360">
          <cell r="A1360" t="str">
            <v>AFG</v>
          </cell>
          <cell r="B1360">
            <v>2023</v>
          </cell>
          <cell r="C1360" t="str">
            <v>unpop_65up</v>
          </cell>
          <cell r="D1360">
            <v>985602.5</v>
          </cell>
          <cell r="F1360" t="str">
            <v>UN-WPP Rev. 2024</v>
          </cell>
        </row>
        <row r="1361">
          <cell r="A1361" t="str">
            <v>AFG</v>
          </cell>
          <cell r="B1361">
            <v>2023</v>
          </cell>
          <cell r="C1361" t="str">
            <v>unpop_total</v>
          </cell>
          <cell r="D1361">
            <v>41454761</v>
          </cell>
          <cell r="F1361" t="str">
            <v>UN-WPP Rev. 2024</v>
          </cell>
        </row>
        <row r="1362">
          <cell r="A1362" t="str">
            <v>AFG</v>
          </cell>
          <cell r="B1362">
            <v>2024</v>
          </cell>
          <cell r="C1362" t="str">
            <v>unpop_0014</v>
          </cell>
          <cell r="D1362">
            <v>18290445.5</v>
          </cell>
          <cell r="F1362" t="str">
            <v>UN-WPP Rev. 2024</v>
          </cell>
        </row>
        <row r="1363">
          <cell r="A1363" t="str">
            <v>AFG</v>
          </cell>
          <cell r="B1363">
            <v>2024</v>
          </cell>
          <cell r="C1363" t="str">
            <v>unpop_1564</v>
          </cell>
          <cell r="D1363">
            <v>23333093</v>
          </cell>
          <cell r="F1363" t="str">
            <v>UN-WPP Rev. 2024</v>
          </cell>
        </row>
        <row r="1364">
          <cell r="A1364" t="str">
            <v>AFG</v>
          </cell>
          <cell r="B1364">
            <v>2024</v>
          </cell>
          <cell r="C1364" t="str">
            <v>unpop_15up</v>
          </cell>
          <cell r="D1364">
            <v>24357046.5</v>
          </cell>
          <cell r="F1364" t="str">
            <v>UN-WPP Rev. 2024</v>
          </cell>
        </row>
        <row r="1365">
          <cell r="A1365" t="str">
            <v>AFG</v>
          </cell>
          <cell r="B1365">
            <v>2024</v>
          </cell>
          <cell r="C1365" t="str">
            <v>unpop_65up</v>
          </cell>
          <cell r="D1365">
            <v>1023953.5</v>
          </cell>
          <cell r="F1365" t="str">
            <v>UN-WPP Rev. 2024</v>
          </cell>
        </row>
        <row r="1366">
          <cell r="A1366" t="str">
            <v>AFG</v>
          </cell>
          <cell r="B1366">
            <v>2024</v>
          </cell>
          <cell r="C1366" t="str">
            <v>unpop_total</v>
          </cell>
          <cell r="D1366">
            <v>42647492</v>
          </cell>
          <cell r="F1366" t="str">
            <v>UN-WPP Rev. 2024</v>
          </cell>
        </row>
        <row r="1367">
          <cell r="A1367" t="str">
            <v>AFG</v>
          </cell>
          <cell r="B1367">
            <v>2025</v>
          </cell>
          <cell r="C1367" t="str">
            <v>unpop_0014</v>
          </cell>
          <cell r="D1367">
            <v>18660459</v>
          </cell>
          <cell r="F1367" t="str">
            <v>UN-WPP Rev. 2024</v>
          </cell>
        </row>
        <row r="1368">
          <cell r="A1368" t="str">
            <v>AFG</v>
          </cell>
          <cell r="B1368">
            <v>2025</v>
          </cell>
          <cell r="C1368" t="str">
            <v>unpop_1564</v>
          </cell>
          <cell r="D1368">
            <v>24120179</v>
          </cell>
          <cell r="F1368" t="str">
            <v>UN-WPP Rev. 2024</v>
          </cell>
        </row>
        <row r="1369">
          <cell r="A1369" t="str">
            <v>AFG</v>
          </cell>
          <cell r="B1369">
            <v>2025</v>
          </cell>
          <cell r="C1369" t="str">
            <v>unpop_15up</v>
          </cell>
          <cell r="D1369">
            <v>25183652.5</v>
          </cell>
          <cell r="F1369" t="str">
            <v>UN-WPP Rev. 2024</v>
          </cell>
        </row>
        <row r="1370">
          <cell r="A1370" t="str">
            <v>AFG</v>
          </cell>
          <cell r="B1370">
            <v>2025</v>
          </cell>
          <cell r="C1370" t="str">
            <v>unpop_65up</v>
          </cell>
          <cell r="D1370">
            <v>1063473.5</v>
          </cell>
          <cell r="F1370" t="str">
            <v>UN-WPP Rev. 2024</v>
          </cell>
        </row>
        <row r="1371">
          <cell r="A1371" t="str">
            <v>AFG</v>
          </cell>
          <cell r="B1371">
            <v>2025</v>
          </cell>
          <cell r="C1371" t="str">
            <v>unpop_total</v>
          </cell>
          <cell r="D1371">
            <v>43844111.5</v>
          </cell>
          <cell r="F1371" t="str">
            <v>UN-WPP Rev. 2024</v>
          </cell>
        </row>
        <row r="1372">
          <cell r="A1372" t="str">
            <v>AFG</v>
          </cell>
          <cell r="B1372">
            <v>2026</v>
          </cell>
          <cell r="C1372" t="str">
            <v>unpop_0014</v>
          </cell>
          <cell r="D1372">
            <v>19017331</v>
          </cell>
          <cell r="F1372" t="str">
            <v>UN-WPP Rev. 2024</v>
          </cell>
        </row>
        <row r="1373">
          <cell r="A1373" t="str">
            <v>AFG</v>
          </cell>
          <cell r="B1373">
            <v>2026</v>
          </cell>
          <cell r="C1373" t="str">
            <v>unpop_1564</v>
          </cell>
          <cell r="D1373">
            <v>24924936.5</v>
          </cell>
          <cell r="F1373" t="str">
            <v>UN-WPP Rev. 2024</v>
          </cell>
        </row>
        <row r="1374">
          <cell r="A1374" t="str">
            <v>AFG</v>
          </cell>
          <cell r="B1374">
            <v>2026</v>
          </cell>
          <cell r="C1374" t="str">
            <v>unpop_15up</v>
          </cell>
          <cell r="D1374">
            <v>26029737.5</v>
          </cell>
          <cell r="F1374" t="str">
            <v>UN-WPP Rev. 2024</v>
          </cell>
        </row>
        <row r="1375">
          <cell r="A1375" t="str">
            <v>AFG</v>
          </cell>
          <cell r="B1375">
            <v>2026</v>
          </cell>
          <cell r="C1375" t="str">
            <v>unpop_65up</v>
          </cell>
          <cell r="D1375">
            <v>1104801</v>
          </cell>
          <cell r="F1375" t="str">
            <v>UN-WPP Rev. 2024</v>
          </cell>
        </row>
        <row r="1376">
          <cell r="A1376" t="str">
            <v>AFG</v>
          </cell>
          <cell r="B1376">
            <v>2026</v>
          </cell>
          <cell r="C1376" t="str">
            <v>unpop_total</v>
          </cell>
          <cell r="D1376">
            <v>45047068.5</v>
          </cell>
          <cell r="F1376" t="str">
            <v>UN-WPP Rev. 2024</v>
          </cell>
        </row>
        <row r="1377">
          <cell r="A1377" t="str">
            <v>AFG</v>
          </cell>
          <cell r="B1377">
            <v>2027</v>
          </cell>
          <cell r="C1377" t="str">
            <v>unpop_0014</v>
          </cell>
          <cell r="D1377">
            <v>19363670.5</v>
          </cell>
          <cell r="F1377" t="str">
            <v>UN-WPP Rev. 2024</v>
          </cell>
        </row>
        <row r="1378">
          <cell r="A1378" t="str">
            <v>AFG</v>
          </cell>
          <cell r="B1378">
            <v>2027</v>
          </cell>
          <cell r="C1378" t="str">
            <v>unpop_1564</v>
          </cell>
          <cell r="D1378">
            <v>25747024.5</v>
          </cell>
          <cell r="F1378" t="str">
            <v>UN-WPP Rev. 2024</v>
          </cell>
        </row>
        <row r="1379">
          <cell r="A1379" t="str">
            <v>AFG</v>
          </cell>
          <cell r="B1379">
            <v>2027</v>
          </cell>
          <cell r="C1379" t="str">
            <v>unpop_15up</v>
          </cell>
          <cell r="D1379">
            <v>26895235</v>
          </cell>
          <cell r="F1379" t="str">
            <v>UN-WPP Rev. 2024</v>
          </cell>
        </row>
        <row r="1380">
          <cell r="A1380" t="str">
            <v>AFG</v>
          </cell>
          <cell r="B1380">
            <v>2027</v>
          </cell>
          <cell r="C1380" t="str">
            <v>unpop_65up</v>
          </cell>
          <cell r="D1380">
            <v>1148210.5</v>
          </cell>
          <cell r="F1380" t="str">
            <v>UN-WPP Rev. 2024</v>
          </cell>
        </row>
        <row r="1381">
          <cell r="A1381" t="str">
            <v>AFG</v>
          </cell>
          <cell r="B1381">
            <v>2027</v>
          </cell>
          <cell r="C1381" t="str">
            <v>unpop_total</v>
          </cell>
          <cell r="D1381">
            <v>46258905.5</v>
          </cell>
          <cell r="F1381" t="str">
            <v>UN-WPP Rev. 2024</v>
          </cell>
        </row>
        <row r="1382">
          <cell r="A1382" t="str">
            <v>AFG</v>
          </cell>
          <cell r="B1382">
            <v>2028</v>
          </cell>
          <cell r="C1382" t="str">
            <v>unpop_0014</v>
          </cell>
          <cell r="D1382">
            <v>19699267.5</v>
          </cell>
          <cell r="F1382" t="str">
            <v>UN-WPP Rev. 2024</v>
          </cell>
        </row>
        <row r="1383">
          <cell r="A1383" t="str">
            <v>AFG</v>
          </cell>
          <cell r="B1383">
            <v>2028</v>
          </cell>
          <cell r="C1383" t="str">
            <v>unpop_1564</v>
          </cell>
          <cell r="D1383">
            <v>26577630</v>
          </cell>
          <cell r="F1383" t="str">
            <v>UN-WPP Rev. 2024</v>
          </cell>
        </row>
        <row r="1384">
          <cell r="A1384" t="str">
            <v>AFG</v>
          </cell>
          <cell r="B1384">
            <v>2028</v>
          </cell>
          <cell r="C1384" t="str">
            <v>unpop_15up</v>
          </cell>
          <cell r="D1384">
            <v>27771307</v>
          </cell>
          <cell r="F1384" t="str">
            <v>UN-WPP Rev. 2024</v>
          </cell>
        </row>
        <row r="1385">
          <cell r="A1385" t="str">
            <v>AFG</v>
          </cell>
          <cell r="B1385">
            <v>2028</v>
          </cell>
          <cell r="C1385" t="str">
            <v>unpop_65up</v>
          </cell>
          <cell r="D1385">
            <v>1193677</v>
          </cell>
          <cell r="F1385" t="str">
            <v>UN-WPP Rev. 2024</v>
          </cell>
        </row>
        <row r="1386">
          <cell r="A1386" t="str">
            <v>AFG</v>
          </cell>
          <cell r="B1386">
            <v>2028</v>
          </cell>
          <cell r="C1386" t="str">
            <v>unpop_total</v>
          </cell>
          <cell r="D1386">
            <v>47470574.5</v>
          </cell>
          <cell r="F1386" t="str">
            <v>UN-WPP Rev. 2024</v>
          </cell>
        </row>
        <row r="1387">
          <cell r="A1387" t="str">
            <v>AFG</v>
          </cell>
          <cell r="B1387">
            <v>2029</v>
          </cell>
          <cell r="C1387" t="str">
            <v>unpop_0014</v>
          </cell>
          <cell r="D1387">
            <v>20029077.5</v>
          </cell>
          <cell r="F1387" t="str">
            <v>UN-WPP Rev. 2024</v>
          </cell>
        </row>
        <row r="1388">
          <cell r="A1388" t="str">
            <v>AFG</v>
          </cell>
          <cell r="B1388">
            <v>2029</v>
          </cell>
          <cell r="C1388" t="str">
            <v>unpop_1564</v>
          </cell>
          <cell r="D1388">
            <v>27453438.5</v>
          </cell>
          <cell r="F1388" t="str">
            <v>UN-WPP Rev. 2024</v>
          </cell>
        </row>
        <row r="1389">
          <cell r="A1389" t="str">
            <v>AFG</v>
          </cell>
          <cell r="B1389">
            <v>2029</v>
          </cell>
          <cell r="C1389" t="str">
            <v>unpop_15up</v>
          </cell>
          <cell r="D1389">
            <v>28696639</v>
          </cell>
          <cell r="F1389" t="str">
            <v>UN-WPP Rev. 2024</v>
          </cell>
        </row>
        <row r="1390">
          <cell r="A1390" t="str">
            <v>AFG</v>
          </cell>
          <cell r="B1390">
            <v>2029</v>
          </cell>
          <cell r="C1390" t="str">
            <v>unpop_65up</v>
          </cell>
          <cell r="D1390">
            <v>1243200.5</v>
          </cell>
          <cell r="F1390" t="str">
            <v>UN-WPP Rev. 2024</v>
          </cell>
        </row>
        <row r="1391">
          <cell r="A1391" t="str">
            <v>AFG</v>
          </cell>
          <cell r="B1391">
            <v>2029</v>
          </cell>
          <cell r="C1391" t="str">
            <v>unpop_total</v>
          </cell>
          <cell r="D1391">
            <v>48725716.5</v>
          </cell>
          <cell r="F1391" t="str">
            <v>UN-WPP Rev. 2024</v>
          </cell>
        </row>
        <row r="1392">
          <cell r="A1392" t="str">
            <v>AFG</v>
          </cell>
          <cell r="B1392">
            <v>2030</v>
          </cell>
          <cell r="C1392" t="str">
            <v>unpop_0014</v>
          </cell>
          <cell r="D1392">
            <v>20358428</v>
          </cell>
          <cell r="F1392" t="str">
            <v>UN-WPP Rev. 2024</v>
          </cell>
        </row>
        <row r="1393">
          <cell r="A1393" t="str">
            <v>AFG</v>
          </cell>
          <cell r="B1393">
            <v>2030</v>
          </cell>
          <cell r="C1393" t="str">
            <v>unpop_1564</v>
          </cell>
          <cell r="D1393">
            <v>28383404</v>
          </cell>
          <cell r="F1393" t="str">
            <v>UN-WPP Rev. 2024</v>
          </cell>
        </row>
        <row r="1394">
          <cell r="A1394" t="str">
            <v>AFG</v>
          </cell>
          <cell r="B1394">
            <v>2030</v>
          </cell>
          <cell r="C1394" t="str">
            <v>unpop_15up</v>
          </cell>
          <cell r="D1394">
            <v>29680974</v>
          </cell>
          <cell r="F1394" t="str">
            <v>UN-WPP Rev. 2024</v>
          </cell>
        </row>
        <row r="1395">
          <cell r="A1395" t="str">
            <v>AFG</v>
          </cell>
          <cell r="B1395">
            <v>2030</v>
          </cell>
          <cell r="C1395" t="str">
            <v>unpop_65up</v>
          </cell>
          <cell r="D1395">
            <v>1297570</v>
          </cell>
          <cell r="F1395" t="str">
            <v>UN-WPP Rev. 2024</v>
          </cell>
        </row>
        <row r="1396">
          <cell r="A1396" t="str">
            <v>AFG</v>
          </cell>
          <cell r="B1396">
            <v>2030</v>
          </cell>
          <cell r="C1396" t="str">
            <v>unpop_total</v>
          </cell>
          <cell r="D1396">
            <v>50039402</v>
          </cell>
          <cell r="F1396" t="str">
            <v>UN-WPP Rev. 2024</v>
          </cell>
        </row>
        <row r="1397">
          <cell r="A1397" t="str">
            <v>BGD</v>
          </cell>
          <cell r="B1397">
            <v>2000</v>
          </cell>
          <cell r="C1397" t="str">
            <v>unpop_0014</v>
          </cell>
          <cell r="D1397">
            <v>50215540.5</v>
          </cell>
          <cell r="F1397" t="str">
            <v>UN-WPP Rev. 2024</v>
          </cell>
        </row>
        <row r="1398">
          <cell r="A1398" t="str">
            <v>BGD</v>
          </cell>
          <cell r="B1398">
            <v>2000</v>
          </cell>
          <cell r="C1398" t="str">
            <v>unpop_1564</v>
          </cell>
          <cell r="D1398">
            <v>79671645</v>
          </cell>
          <cell r="F1398" t="str">
            <v>UN-WPP Rev. 2024</v>
          </cell>
        </row>
        <row r="1399">
          <cell r="A1399" t="str">
            <v>BGD</v>
          </cell>
          <cell r="B1399">
            <v>2000</v>
          </cell>
          <cell r="C1399" t="str">
            <v>unpop_15up</v>
          </cell>
          <cell r="D1399">
            <v>84328764</v>
          </cell>
          <cell r="F1399" t="str">
            <v>UN-WPP Rev. 2024</v>
          </cell>
        </row>
        <row r="1400">
          <cell r="A1400" t="str">
            <v>BGD</v>
          </cell>
          <cell r="B1400">
            <v>2000</v>
          </cell>
          <cell r="C1400" t="str">
            <v>unpop_65up</v>
          </cell>
          <cell r="D1400">
            <v>4657119</v>
          </cell>
          <cell r="F1400" t="str">
            <v>UN-WPP Rev. 2024</v>
          </cell>
        </row>
        <row r="1401">
          <cell r="A1401" t="str">
            <v>BGD</v>
          </cell>
          <cell r="B1401">
            <v>2000</v>
          </cell>
          <cell r="C1401" t="str">
            <v>unpop_total</v>
          </cell>
          <cell r="D1401">
            <v>134544304.5</v>
          </cell>
          <cell r="F1401" t="str">
            <v>UN-WPP Rev. 2024</v>
          </cell>
        </row>
        <row r="1402">
          <cell r="A1402" t="str">
            <v>BGD</v>
          </cell>
          <cell r="B1402">
            <v>2001</v>
          </cell>
          <cell r="C1402" t="str">
            <v>unpop_0014</v>
          </cell>
          <cell r="D1402">
            <v>50508004.5</v>
          </cell>
          <cell r="F1402" t="str">
            <v>UN-WPP Rev. 2024</v>
          </cell>
        </row>
        <row r="1403">
          <cell r="A1403" t="str">
            <v>BGD</v>
          </cell>
          <cell r="B1403">
            <v>2001</v>
          </cell>
          <cell r="C1403" t="str">
            <v>unpop_1564</v>
          </cell>
          <cell r="D1403">
            <v>81514615.5</v>
          </cell>
          <cell r="F1403" t="str">
            <v>UN-WPP Rev. 2024</v>
          </cell>
        </row>
        <row r="1404">
          <cell r="A1404" t="str">
            <v>BGD</v>
          </cell>
          <cell r="B1404">
            <v>2001</v>
          </cell>
          <cell r="C1404" t="str">
            <v>unpop_15up</v>
          </cell>
          <cell r="D1404">
            <v>86297806</v>
          </cell>
          <cell r="F1404" t="str">
            <v>UN-WPP Rev. 2024</v>
          </cell>
        </row>
        <row r="1405">
          <cell r="A1405" t="str">
            <v>BGD</v>
          </cell>
          <cell r="B1405">
            <v>2001</v>
          </cell>
          <cell r="C1405" t="str">
            <v>unpop_65up</v>
          </cell>
          <cell r="D1405">
            <v>4783190.5</v>
          </cell>
          <cell r="F1405" t="str">
            <v>UN-WPP Rev. 2024</v>
          </cell>
        </row>
        <row r="1406">
          <cell r="A1406" t="str">
            <v>BGD</v>
          </cell>
          <cell r="B1406">
            <v>2001</v>
          </cell>
          <cell r="C1406" t="str">
            <v>unpop_total</v>
          </cell>
          <cell r="D1406">
            <v>136805810.5</v>
          </cell>
          <cell r="F1406" t="str">
            <v>UN-WPP Rev. 2024</v>
          </cell>
        </row>
        <row r="1407">
          <cell r="A1407" t="str">
            <v>BGD</v>
          </cell>
          <cell r="B1407">
            <v>2002</v>
          </cell>
          <cell r="C1407" t="str">
            <v>unpop_0014</v>
          </cell>
          <cell r="D1407">
            <v>50894836.5</v>
          </cell>
          <cell r="F1407" t="str">
            <v>UN-WPP Rev. 2024</v>
          </cell>
        </row>
        <row r="1408">
          <cell r="A1408" t="str">
            <v>BGD</v>
          </cell>
          <cell r="B1408">
            <v>2002</v>
          </cell>
          <cell r="C1408" t="str">
            <v>unpop_1564</v>
          </cell>
          <cell r="D1408">
            <v>83121544</v>
          </cell>
          <cell r="F1408" t="str">
            <v>UN-WPP Rev. 2024</v>
          </cell>
        </row>
        <row r="1409">
          <cell r="A1409" t="str">
            <v>BGD</v>
          </cell>
          <cell r="B1409">
            <v>2002</v>
          </cell>
          <cell r="C1409" t="str">
            <v>unpop_15up</v>
          </cell>
          <cell r="D1409">
            <v>88038821.5</v>
          </cell>
          <cell r="F1409" t="str">
            <v>UN-WPP Rev. 2024</v>
          </cell>
        </row>
        <row r="1410">
          <cell r="A1410" t="str">
            <v>BGD</v>
          </cell>
          <cell r="B1410">
            <v>2002</v>
          </cell>
          <cell r="C1410" t="str">
            <v>unpop_65up</v>
          </cell>
          <cell r="D1410">
            <v>4917277.5</v>
          </cell>
          <cell r="F1410" t="str">
            <v>UN-WPP Rev. 2024</v>
          </cell>
        </row>
        <row r="1411">
          <cell r="A1411" t="str">
            <v>BGD</v>
          </cell>
          <cell r="B1411">
            <v>2002</v>
          </cell>
          <cell r="C1411" t="str">
            <v>unpop_total</v>
          </cell>
          <cell r="D1411">
            <v>138933658</v>
          </cell>
          <cell r="F1411" t="str">
            <v>UN-WPP Rev. 2024</v>
          </cell>
        </row>
        <row r="1412">
          <cell r="A1412" t="str">
            <v>BGD</v>
          </cell>
          <cell r="B1412">
            <v>2003</v>
          </cell>
          <cell r="C1412" t="str">
            <v>unpop_0014</v>
          </cell>
          <cell r="D1412">
            <v>51244176.5</v>
          </cell>
          <cell r="F1412" t="str">
            <v>UN-WPP Rev. 2024</v>
          </cell>
        </row>
        <row r="1413">
          <cell r="A1413" t="str">
            <v>BGD</v>
          </cell>
          <cell r="B1413">
            <v>2003</v>
          </cell>
          <cell r="C1413" t="str">
            <v>unpop_1564</v>
          </cell>
          <cell r="D1413">
            <v>84660399</v>
          </cell>
          <cell r="F1413" t="str">
            <v>UN-WPP Rev. 2024</v>
          </cell>
        </row>
        <row r="1414">
          <cell r="A1414" t="str">
            <v>BGD</v>
          </cell>
          <cell r="B1414">
            <v>2003</v>
          </cell>
          <cell r="C1414" t="str">
            <v>unpop_15up</v>
          </cell>
          <cell r="D1414">
            <v>89726175</v>
          </cell>
          <cell r="F1414" t="str">
            <v>UN-WPP Rev. 2024</v>
          </cell>
        </row>
        <row r="1415">
          <cell r="A1415" t="str">
            <v>BGD</v>
          </cell>
          <cell r="B1415">
            <v>2003</v>
          </cell>
          <cell r="C1415" t="str">
            <v>unpop_65up</v>
          </cell>
          <cell r="D1415">
            <v>5065776</v>
          </cell>
          <cell r="F1415" t="str">
            <v>UN-WPP Rev. 2024</v>
          </cell>
        </row>
        <row r="1416">
          <cell r="A1416" t="str">
            <v>BGD</v>
          </cell>
          <cell r="B1416">
            <v>2003</v>
          </cell>
          <cell r="C1416" t="str">
            <v>unpop_total</v>
          </cell>
          <cell r="D1416">
            <v>140970351.5</v>
          </cell>
          <cell r="F1416" t="str">
            <v>UN-WPP Rev. 2024</v>
          </cell>
        </row>
        <row r="1417">
          <cell r="A1417" t="str">
            <v>BGD</v>
          </cell>
          <cell r="B1417">
            <v>2004</v>
          </cell>
          <cell r="C1417" t="str">
            <v>unpop_0014</v>
          </cell>
          <cell r="D1417">
            <v>51526671</v>
          </cell>
          <cell r="F1417" t="str">
            <v>UN-WPP Rev. 2024</v>
          </cell>
        </row>
        <row r="1418">
          <cell r="A1418" t="str">
            <v>BGD</v>
          </cell>
          <cell r="B1418">
            <v>2004</v>
          </cell>
          <cell r="C1418" t="str">
            <v>unpop_1564</v>
          </cell>
          <cell r="D1418">
            <v>86151903</v>
          </cell>
          <cell r="F1418" t="str">
            <v>UN-WPP Rev. 2024</v>
          </cell>
        </row>
        <row r="1419">
          <cell r="A1419" t="str">
            <v>BGD</v>
          </cell>
          <cell r="B1419">
            <v>2004</v>
          </cell>
          <cell r="C1419" t="str">
            <v>unpop_15up</v>
          </cell>
          <cell r="D1419">
            <v>91376184.5</v>
          </cell>
          <cell r="F1419" t="str">
            <v>UN-WPP Rev. 2024</v>
          </cell>
        </row>
        <row r="1420">
          <cell r="A1420" t="str">
            <v>BGD</v>
          </cell>
          <cell r="B1420">
            <v>2004</v>
          </cell>
          <cell r="C1420" t="str">
            <v>unpop_65up</v>
          </cell>
          <cell r="D1420">
            <v>5224281.5</v>
          </cell>
          <cell r="F1420" t="str">
            <v>UN-WPP Rev. 2024</v>
          </cell>
        </row>
        <row r="1421">
          <cell r="A1421" t="str">
            <v>BGD</v>
          </cell>
          <cell r="B1421">
            <v>2004</v>
          </cell>
          <cell r="C1421" t="str">
            <v>unpop_total</v>
          </cell>
          <cell r="D1421">
            <v>142902855.5</v>
          </cell>
          <cell r="F1421" t="str">
            <v>UN-WPP Rev. 2024</v>
          </cell>
        </row>
        <row r="1422">
          <cell r="A1422" t="str">
            <v>BGD</v>
          </cell>
          <cell r="B1422">
            <v>2005</v>
          </cell>
          <cell r="C1422" t="str">
            <v>unpop_0014</v>
          </cell>
          <cell r="D1422">
            <v>51720142.5</v>
          </cell>
          <cell r="F1422" t="str">
            <v>UN-WPP Rev. 2024</v>
          </cell>
        </row>
        <row r="1423">
          <cell r="A1423" t="str">
            <v>BGD</v>
          </cell>
          <cell r="B1423">
            <v>2005</v>
          </cell>
          <cell r="C1423" t="str">
            <v>unpop_1564</v>
          </cell>
          <cell r="D1423">
            <v>87605093.5</v>
          </cell>
          <cell r="F1423" t="str">
            <v>UN-WPP Rev. 2024</v>
          </cell>
        </row>
        <row r="1424">
          <cell r="A1424" t="str">
            <v>BGD</v>
          </cell>
          <cell r="B1424">
            <v>2005</v>
          </cell>
          <cell r="C1424" t="str">
            <v>unpop_15up</v>
          </cell>
          <cell r="D1424">
            <v>92995643.5</v>
          </cell>
          <cell r="F1424" t="str">
            <v>UN-WPP Rev. 2024</v>
          </cell>
        </row>
        <row r="1425">
          <cell r="A1425" t="str">
            <v>BGD</v>
          </cell>
          <cell r="B1425">
            <v>2005</v>
          </cell>
          <cell r="C1425" t="str">
            <v>unpop_65up</v>
          </cell>
          <cell r="D1425">
            <v>5390550</v>
          </cell>
          <cell r="F1425" t="str">
            <v>UN-WPP Rev. 2024</v>
          </cell>
        </row>
        <row r="1426">
          <cell r="A1426" t="str">
            <v>BGD</v>
          </cell>
          <cell r="B1426">
            <v>2005</v>
          </cell>
          <cell r="C1426" t="str">
            <v>unpop_total</v>
          </cell>
          <cell r="D1426">
            <v>144715786</v>
          </cell>
          <cell r="F1426" t="str">
            <v>UN-WPP Rev. 2024</v>
          </cell>
        </row>
        <row r="1427">
          <cell r="A1427" t="str">
            <v>BGD</v>
          </cell>
          <cell r="B1427">
            <v>2006</v>
          </cell>
          <cell r="C1427" t="str">
            <v>unpop_0014</v>
          </cell>
          <cell r="D1427">
            <v>51852362.5</v>
          </cell>
          <cell r="F1427" t="str">
            <v>UN-WPP Rev. 2024</v>
          </cell>
        </row>
        <row r="1428">
          <cell r="A1428" t="str">
            <v>BGD</v>
          </cell>
          <cell r="B1428">
            <v>2006</v>
          </cell>
          <cell r="C1428" t="str">
            <v>unpop_1564</v>
          </cell>
          <cell r="D1428">
            <v>88987587</v>
          </cell>
          <cell r="F1428" t="str">
            <v>UN-WPP Rev. 2024</v>
          </cell>
        </row>
        <row r="1429">
          <cell r="A1429" t="str">
            <v>BGD</v>
          </cell>
          <cell r="B1429">
            <v>2006</v>
          </cell>
          <cell r="C1429" t="str">
            <v>unpop_15up</v>
          </cell>
          <cell r="D1429">
            <v>94553611</v>
          </cell>
          <cell r="F1429" t="str">
            <v>UN-WPP Rev. 2024</v>
          </cell>
        </row>
        <row r="1430">
          <cell r="A1430" t="str">
            <v>BGD</v>
          </cell>
          <cell r="B1430">
            <v>2006</v>
          </cell>
          <cell r="C1430" t="str">
            <v>unpop_65up</v>
          </cell>
          <cell r="D1430">
            <v>5566024</v>
          </cell>
          <cell r="F1430" t="str">
            <v>UN-WPP Rev. 2024</v>
          </cell>
        </row>
        <row r="1431">
          <cell r="A1431" t="str">
            <v>BGD</v>
          </cell>
          <cell r="B1431">
            <v>2006</v>
          </cell>
          <cell r="C1431" t="str">
            <v>unpop_total</v>
          </cell>
          <cell r="D1431">
            <v>146405973.5</v>
          </cell>
          <cell r="F1431" t="str">
            <v>UN-WPP Rev. 2024</v>
          </cell>
        </row>
        <row r="1432">
          <cell r="A1432" t="str">
            <v>BGD</v>
          </cell>
          <cell r="B1432">
            <v>2007</v>
          </cell>
          <cell r="C1432" t="str">
            <v>unpop_0014</v>
          </cell>
          <cell r="D1432">
            <v>51950709</v>
          </cell>
          <cell r="F1432" t="str">
            <v>UN-WPP Rev. 2024</v>
          </cell>
        </row>
        <row r="1433">
          <cell r="A1433" t="str">
            <v>BGD</v>
          </cell>
          <cell r="B1433">
            <v>2007</v>
          </cell>
          <cell r="C1433" t="str">
            <v>unpop_1564</v>
          </cell>
          <cell r="D1433">
            <v>90285654.5</v>
          </cell>
          <cell r="F1433" t="str">
            <v>UN-WPP Rev. 2024</v>
          </cell>
        </row>
        <row r="1434">
          <cell r="A1434" t="str">
            <v>BGD</v>
          </cell>
          <cell r="B1434">
            <v>2007</v>
          </cell>
          <cell r="C1434" t="str">
            <v>unpop_15up</v>
          </cell>
          <cell r="D1434">
            <v>96038569</v>
          </cell>
          <cell r="F1434" t="str">
            <v>UN-WPP Rev. 2024</v>
          </cell>
        </row>
        <row r="1435">
          <cell r="A1435" t="str">
            <v>BGD</v>
          </cell>
          <cell r="B1435">
            <v>2007</v>
          </cell>
          <cell r="C1435" t="str">
            <v>unpop_65up</v>
          </cell>
          <cell r="D1435">
            <v>5752914.5</v>
          </cell>
          <cell r="F1435" t="str">
            <v>UN-WPP Rev. 2024</v>
          </cell>
        </row>
        <row r="1436">
          <cell r="A1436" t="str">
            <v>BGD</v>
          </cell>
          <cell r="B1436">
            <v>2007</v>
          </cell>
          <cell r="C1436" t="str">
            <v>unpop_total</v>
          </cell>
          <cell r="D1436">
            <v>147989278</v>
          </cell>
          <cell r="F1436" t="str">
            <v>UN-WPP Rev. 2024</v>
          </cell>
        </row>
        <row r="1437">
          <cell r="A1437" t="str">
            <v>BGD</v>
          </cell>
          <cell r="B1437">
            <v>2008</v>
          </cell>
          <cell r="C1437" t="str">
            <v>unpop_0014</v>
          </cell>
          <cell r="D1437">
            <v>52006995</v>
          </cell>
          <cell r="F1437" t="str">
            <v>UN-WPP Rev. 2024</v>
          </cell>
        </row>
        <row r="1438">
          <cell r="A1438" t="str">
            <v>BGD</v>
          </cell>
          <cell r="B1438">
            <v>2008</v>
          </cell>
          <cell r="C1438" t="str">
            <v>unpop_1564</v>
          </cell>
          <cell r="D1438">
            <v>91513536</v>
          </cell>
          <cell r="F1438" t="str">
            <v>UN-WPP Rev. 2024</v>
          </cell>
        </row>
        <row r="1439">
          <cell r="A1439" t="str">
            <v>BGD</v>
          </cell>
          <cell r="B1439">
            <v>2008</v>
          </cell>
          <cell r="C1439" t="str">
            <v>unpop_15up</v>
          </cell>
          <cell r="D1439">
            <v>97467268.5</v>
          </cell>
          <cell r="F1439" t="str">
            <v>UN-WPP Rev. 2024</v>
          </cell>
        </row>
        <row r="1440">
          <cell r="A1440" t="str">
            <v>BGD</v>
          </cell>
          <cell r="B1440">
            <v>2008</v>
          </cell>
          <cell r="C1440" t="str">
            <v>unpop_65up</v>
          </cell>
          <cell r="D1440">
            <v>5953732.5</v>
          </cell>
          <cell r="F1440" t="str">
            <v>UN-WPP Rev. 2024</v>
          </cell>
        </row>
        <row r="1441">
          <cell r="A1441" t="str">
            <v>BGD</v>
          </cell>
          <cell r="B1441">
            <v>2008</v>
          </cell>
          <cell r="C1441" t="str">
            <v>unpop_total</v>
          </cell>
          <cell r="D1441">
            <v>149474263.5</v>
          </cell>
          <cell r="F1441" t="str">
            <v>UN-WPP Rev. 2024</v>
          </cell>
        </row>
        <row r="1442">
          <cell r="A1442" t="str">
            <v>BGD</v>
          </cell>
          <cell r="B1442">
            <v>2009</v>
          </cell>
          <cell r="C1442" t="str">
            <v>unpop_0014</v>
          </cell>
          <cell r="D1442">
            <v>51973108.5</v>
          </cell>
          <cell r="F1442" t="str">
            <v>UN-WPP Rev. 2024</v>
          </cell>
        </row>
        <row r="1443">
          <cell r="A1443" t="str">
            <v>BGD</v>
          </cell>
          <cell r="B1443">
            <v>2009</v>
          </cell>
          <cell r="C1443" t="str">
            <v>unpop_1564</v>
          </cell>
          <cell r="D1443">
            <v>92729412</v>
          </cell>
          <cell r="F1443" t="str">
            <v>UN-WPP Rev. 2024</v>
          </cell>
        </row>
        <row r="1444">
          <cell r="A1444" t="str">
            <v>BGD</v>
          </cell>
          <cell r="B1444">
            <v>2009</v>
          </cell>
          <cell r="C1444" t="str">
            <v>unpop_15up</v>
          </cell>
          <cell r="D1444">
            <v>98900605.5</v>
          </cell>
          <cell r="F1444" t="str">
            <v>UN-WPP Rev. 2024</v>
          </cell>
        </row>
        <row r="1445">
          <cell r="A1445" t="str">
            <v>BGD</v>
          </cell>
          <cell r="B1445">
            <v>2009</v>
          </cell>
          <cell r="C1445" t="str">
            <v>unpop_65up</v>
          </cell>
          <cell r="D1445">
            <v>6171193.5</v>
          </cell>
          <cell r="F1445" t="str">
            <v>UN-WPP Rev. 2024</v>
          </cell>
        </row>
        <row r="1446">
          <cell r="A1446" t="str">
            <v>BGD</v>
          </cell>
          <cell r="B1446">
            <v>2009</v>
          </cell>
          <cell r="C1446" t="str">
            <v>unpop_total</v>
          </cell>
          <cell r="D1446">
            <v>150873714</v>
          </cell>
          <cell r="F1446" t="str">
            <v>UN-WPP Rev. 2024</v>
          </cell>
        </row>
        <row r="1447">
          <cell r="A1447" t="str">
            <v>BGD</v>
          </cell>
          <cell r="B1447">
            <v>2010</v>
          </cell>
          <cell r="C1447" t="str">
            <v>unpop_0014</v>
          </cell>
          <cell r="D1447">
            <v>51825406</v>
          </cell>
          <cell r="F1447" t="str">
            <v>UN-WPP Rev. 2024</v>
          </cell>
        </row>
        <row r="1448">
          <cell r="A1448" t="str">
            <v>BGD</v>
          </cell>
          <cell r="B1448">
            <v>2010</v>
          </cell>
          <cell r="C1448" t="str">
            <v>unpop_1564</v>
          </cell>
          <cell r="D1448">
            <v>93970006.5</v>
          </cell>
          <cell r="F1448" t="str">
            <v>UN-WPP Rev. 2024</v>
          </cell>
        </row>
        <row r="1449">
          <cell r="A1449" t="str">
            <v>BGD</v>
          </cell>
          <cell r="B1449">
            <v>2010</v>
          </cell>
          <cell r="C1449" t="str">
            <v>unpop_15up</v>
          </cell>
          <cell r="D1449">
            <v>100376575.5</v>
          </cell>
          <cell r="F1449" t="str">
            <v>UN-WPP Rev. 2024</v>
          </cell>
        </row>
        <row r="1450">
          <cell r="A1450" t="str">
            <v>BGD</v>
          </cell>
          <cell r="B1450">
            <v>2010</v>
          </cell>
          <cell r="C1450" t="str">
            <v>unpop_65up</v>
          </cell>
          <cell r="D1450">
            <v>6406569</v>
          </cell>
          <cell r="F1450" t="str">
            <v>UN-WPP Rev. 2024</v>
          </cell>
        </row>
        <row r="1451">
          <cell r="A1451" t="str">
            <v>BGD</v>
          </cell>
          <cell r="B1451">
            <v>2010</v>
          </cell>
          <cell r="C1451" t="str">
            <v>unpop_total</v>
          </cell>
          <cell r="D1451">
            <v>152201981.5</v>
          </cell>
          <cell r="F1451" t="str">
            <v>UN-WPP Rev. 2024</v>
          </cell>
        </row>
        <row r="1452">
          <cell r="A1452" t="str">
            <v>BGD</v>
          </cell>
          <cell r="B1452">
            <v>2011</v>
          </cell>
          <cell r="C1452" t="str">
            <v>unpop_0014</v>
          </cell>
          <cell r="D1452">
            <v>51579249.5</v>
          </cell>
          <cell r="F1452" t="str">
            <v>UN-WPP Rev. 2024</v>
          </cell>
        </row>
        <row r="1453">
          <cell r="A1453" t="str">
            <v>BGD</v>
          </cell>
          <cell r="B1453">
            <v>2011</v>
          </cell>
          <cell r="C1453" t="str">
            <v>unpop_1564</v>
          </cell>
          <cell r="D1453">
            <v>95340177.5</v>
          </cell>
          <cell r="F1453" t="str">
            <v>UN-WPP Rev. 2024</v>
          </cell>
        </row>
        <row r="1454">
          <cell r="A1454" t="str">
            <v>BGD</v>
          </cell>
          <cell r="B1454">
            <v>2011</v>
          </cell>
          <cell r="C1454" t="str">
            <v>unpop_15up</v>
          </cell>
          <cell r="D1454">
            <v>102011826</v>
          </cell>
          <cell r="F1454" t="str">
            <v>UN-WPP Rev. 2024</v>
          </cell>
        </row>
        <row r="1455">
          <cell r="A1455" t="str">
            <v>BGD</v>
          </cell>
          <cell r="B1455">
            <v>2011</v>
          </cell>
          <cell r="C1455" t="str">
            <v>unpop_65up</v>
          </cell>
          <cell r="D1455">
            <v>6671648.5</v>
          </cell>
          <cell r="F1455" t="str">
            <v>UN-WPP Rev. 2024</v>
          </cell>
        </row>
        <row r="1456">
          <cell r="A1456" t="str">
            <v>BGD</v>
          </cell>
          <cell r="B1456">
            <v>2011</v>
          </cell>
          <cell r="C1456" t="str">
            <v>unpop_total</v>
          </cell>
          <cell r="D1456">
            <v>153591075.5</v>
          </cell>
          <cell r="F1456" t="str">
            <v>UN-WPP Rev. 2024</v>
          </cell>
        </row>
        <row r="1457">
          <cell r="A1457" t="str">
            <v>BGD</v>
          </cell>
          <cell r="B1457">
            <v>2012</v>
          </cell>
          <cell r="C1457" t="str">
            <v>unpop_0014</v>
          </cell>
          <cell r="D1457">
            <v>51214229.5</v>
          </cell>
          <cell r="F1457" t="str">
            <v>UN-WPP Rev. 2024</v>
          </cell>
        </row>
        <row r="1458">
          <cell r="A1458" t="str">
            <v>BGD</v>
          </cell>
          <cell r="B1458">
            <v>2012</v>
          </cell>
          <cell r="C1458" t="str">
            <v>unpop_1564</v>
          </cell>
          <cell r="D1458">
            <v>96894688.5</v>
          </cell>
          <cell r="F1458" t="str">
            <v>UN-WPP Rev. 2024</v>
          </cell>
        </row>
        <row r="1459">
          <cell r="A1459" t="str">
            <v>BGD</v>
          </cell>
          <cell r="B1459">
            <v>2012</v>
          </cell>
          <cell r="C1459" t="str">
            <v>unpop_15up</v>
          </cell>
          <cell r="D1459">
            <v>103855872</v>
          </cell>
          <cell r="F1459" t="str">
            <v>UN-WPP Rev. 2024</v>
          </cell>
        </row>
        <row r="1460">
          <cell r="A1460" t="str">
            <v>BGD</v>
          </cell>
          <cell r="B1460">
            <v>2012</v>
          </cell>
          <cell r="C1460" t="str">
            <v>unpop_65up</v>
          </cell>
          <cell r="D1460">
            <v>6961183.5</v>
          </cell>
          <cell r="F1460" t="str">
            <v>UN-WPP Rev. 2024</v>
          </cell>
        </row>
        <row r="1461">
          <cell r="A1461" t="str">
            <v>BGD</v>
          </cell>
          <cell r="B1461">
            <v>2012</v>
          </cell>
          <cell r="C1461" t="str">
            <v>unpop_total</v>
          </cell>
          <cell r="D1461">
            <v>155070101.5</v>
          </cell>
          <cell r="F1461" t="str">
            <v>UN-WPP Rev. 2024</v>
          </cell>
        </row>
        <row r="1462">
          <cell r="A1462" t="str">
            <v>BGD</v>
          </cell>
          <cell r="B1462">
            <v>2013</v>
          </cell>
          <cell r="C1462" t="str">
            <v>unpop_0014</v>
          </cell>
          <cell r="D1462">
            <v>50753511.5</v>
          </cell>
          <cell r="F1462" t="str">
            <v>UN-WPP Rev. 2024</v>
          </cell>
        </row>
        <row r="1463">
          <cell r="A1463" t="str">
            <v>BGD</v>
          </cell>
          <cell r="B1463">
            <v>2013</v>
          </cell>
          <cell r="C1463" t="str">
            <v>unpop_1564</v>
          </cell>
          <cell r="D1463">
            <v>98536132.5</v>
          </cell>
          <cell r="F1463" t="str">
            <v>UN-WPP Rev. 2024</v>
          </cell>
        </row>
        <row r="1464">
          <cell r="A1464" t="str">
            <v>BGD</v>
          </cell>
          <cell r="B1464">
            <v>2013</v>
          </cell>
          <cell r="C1464" t="str">
            <v>unpop_15up</v>
          </cell>
          <cell r="D1464">
            <v>105778629</v>
          </cell>
          <cell r="F1464" t="str">
            <v>UN-WPP Rev. 2024</v>
          </cell>
        </row>
        <row r="1465">
          <cell r="A1465" t="str">
            <v>BGD</v>
          </cell>
          <cell r="B1465">
            <v>2013</v>
          </cell>
          <cell r="C1465" t="str">
            <v>unpop_65up</v>
          </cell>
          <cell r="D1465">
            <v>7242496.5</v>
          </cell>
          <cell r="F1465" t="str">
            <v>UN-WPP Rev. 2024</v>
          </cell>
        </row>
        <row r="1466">
          <cell r="A1466" t="str">
            <v>BGD</v>
          </cell>
          <cell r="B1466">
            <v>2013</v>
          </cell>
          <cell r="C1466" t="str">
            <v>unpop_total</v>
          </cell>
          <cell r="D1466">
            <v>156532140.5</v>
          </cell>
          <cell r="F1466" t="str">
            <v>UN-WPP Rev. 2024</v>
          </cell>
        </row>
        <row r="1467">
          <cell r="A1467" t="str">
            <v>BGD</v>
          </cell>
          <cell r="B1467">
            <v>2014</v>
          </cell>
          <cell r="C1467" t="str">
            <v>unpop_0014</v>
          </cell>
          <cell r="D1467">
            <v>50242810.5</v>
          </cell>
          <cell r="F1467" t="str">
            <v>UN-WPP Rev. 2024</v>
          </cell>
        </row>
        <row r="1468">
          <cell r="A1468" t="str">
            <v>BGD</v>
          </cell>
          <cell r="B1468">
            <v>2014</v>
          </cell>
          <cell r="C1468" t="str">
            <v>unpop_1564</v>
          </cell>
          <cell r="D1468">
            <v>100208409.5</v>
          </cell>
          <cell r="F1468" t="str">
            <v>UN-WPP Rev. 2024</v>
          </cell>
        </row>
        <row r="1469">
          <cell r="A1469" t="str">
            <v>BGD</v>
          </cell>
          <cell r="B1469">
            <v>2014</v>
          </cell>
          <cell r="C1469" t="str">
            <v>unpop_15up</v>
          </cell>
          <cell r="D1469">
            <v>107722118</v>
          </cell>
          <cell r="F1469" t="str">
            <v>UN-WPP Rev. 2024</v>
          </cell>
        </row>
        <row r="1470">
          <cell r="A1470" t="str">
            <v>BGD</v>
          </cell>
          <cell r="B1470">
            <v>2014</v>
          </cell>
          <cell r="C1470" t="str">
            <v>unpop_65up</v>
          </cell>
          <cell r="D1470">
            <v>7513708.5</v>
          </cell>
          <cell r="F1470" t="str">
            <v>UN-WPP Rev. 2024</v>
          </cell>
        </row>
        <row r="1471">
          <cell r="A1471" t="str">
            <v>BGD</v>
          </cell>
          <cell r="B1471">
            <v>2014</v>
          </cell>
          <cell r="C1471" t="str">
            <v>unpop_total</v>
          </cell>
          <cell r="D1471">
            <v>157964928.5</v>
          </cell>
          <cell r="F1471" t="str">
            <v>UN-WPP Rev. 2024</v>
          </cell>
        </row>
        <row r="1472">
          <cell r="A1472" t="str">
            <v>BGD</v>
          </cell>
          <cell r="B1472">
            <v>2015</v>
          </cell>
          <cell r="C1472" t="str">
            <v>unpop_0014</v>
          </cell>
          <cell r="D1472">
            <v>49699406</v>
          </cell>
          <cell r="F1472" t="str">
            <v>UN-WPP Rev. 2024</v>
          </cell>
        </row>
        <row r="1473">
          <cell r="A1473" t="str">
            <v>BGD</v>
          </cell>
          <cell r="B1473">
            <v>2015</v>
          </cell>
          <cell r="C1473" t="str">
            <v>unpop_1564</v>
          </cell>
          <cell r="D1473">
            <v>101869851</v>
          </cell>
          <cell r="F1473" t="str">
            <v>UN-WPP Rev. 2024</v>
          </cell>
        </row>
        <row r="1474">
          <cell r="A1474" t="str">
            <v>BGD</v>
          </cell>
          <cell r="B1474">
            <v>2015</v>
          </cell>
          <cell r="C1474" t="str">
            <v>unpop_15up</v>
          </cell>
          <cell r="D1474">
            <v>109683773</v>
          </cell>
          <cell r="F1474" t="str">
            <v>UN-WPP Rev. 2024</v>
          </cell>
        </row>
        <row r="1475">
          <cell r="A1475" t="str">
            <v>BGD</v>
          </cell>
          <cell r="B1475">
            <v>2015</v>
          </cell>
          <cell r="C1475" t="str">
            <v>unpop_65up</v>
          </cell>
          <cell r="D1475">
            <v>7813922</v>
          </cell>
          <cell r="F1475" t="str">
            <v>UN-WPP Rev. 2024</v>
          </cell>
        </row>
        <row r="1476">
          <cell r="A1476" t="str">
            <v>BGD</v>
          </cell>
          <cell r="B1476">
            <v>2015</v>
          </cell>
          <cell r="C1476" t="str">
            <v>unpop_total</v>
          </cell>
          <cell r="D1476">
            <v>159383179</v>
          </cell>
          <cell r="F1476" t="str">
            <v>UN-WPP Rev. 2024</v>
          </cell>
        </row>
        <row r="1477">
          <cell r="A1477" t="str">
            <v>BGD</v>
          </cell>
          <cell r="B1477">
            <v>2016</v>
          </cell>
          <cell r="C1477" t="str">
            <v>unpop_0014</v>
          </cell>
          <cell r="D1477">
            <v>49153855.5</v>
          </cell>
          <cell r="F1477" t="str">
            <v>UN-WPP Rev. 2024</v>
          </cell>
        </row>
        <row r="1478">
          <cell r="A1478" t="str">
            <v>BGD</v>
          </cell>
          <cell r="B1478">
            <v>2016</v>
          </cell>
          <cell r="C1478" t="str">
            <v>unpop_1564</v>
          </cell>
          <cell r="D1478">
            <v>103501312.5</v>
          </cell>
          <cell r="F1478" t="str">
            <v>UN-WPP Rev. 2024</v>
          </cell>
        </row>
        <row r="1479">
          <cell r="A1479" t="str">
            <v>BGD</v>
          </cell>
          <cell r="B1479">
            <v>2016</v>
          </cell>
          <cell r="C1479" t="str">
            <v>unpop_15up</v>
          </cell>
          <cell r="D1479">
            <v>111658077</v>
          </cell>
          <cell r="F1479" t="str">
            <v>UN-WPP Rev. 2024</v>
          </cell>
        </row>
        <row r="1480">
          <cell r="A1480" t="str">
            <v>BGD</v>
          </cell>
          <cell r="B1480">
            <v>2016</v>
          </cell>
          <cell r="C1480" t="str">
            <v>unpop_65up</v>
          </cell>
          <cell r="D1480">
            <v>8156764.5</v>
          </cell>
          <cell r="F1480" t="str">
            <v>UN-WPP Rev. 2024</v>
          </cell>
        </row>
        <row r="1481">
          <cell r="A1481" t="str">
            <v>BGD</v>
          </cell>
          <cell r="B1481">
            <v>2016</v>
          </cell>
          <cell r="C1481" t="str">
            <v>unpop_total</v>
          </cell>
          <cell r="D1481">
            <v>160811932.5</v>
          </cell>
          <cell r="F1481" t="str">
            <v>UN-WPP Rev. 2024</v>
          </cell>
        </row>
        <row r="1482">
          <cell r="A1482" t="str">
            <v>BGD</v>
          </cell>
          <cell r="B1482">
            <v>2017</v>
          </cell>
          <cell r="C1482" t="str">
            <v>unpop_0014</v>
          </cell>
          <cell r="D1482">
            <v>48779609.5</v>
          </cell>
          <cell r="F1482" t="str">
            <v>UN-WPP Rev. 2024</v>
          </cell>
        </row>
        <row r="1483">
          <cell r="A1483" t="str">
            <v>BGD</v>
          </cell>
          <cell r="B1483">
            <v>2017</v>
          </cell>
          <cell r="C1483" t="str">
            <v>unpop_1564</v>
          </cell>
          <cell r="D1483">
            <v>104877347.5</v>
          </cell>
          <cell r="F1483" t="str">
            <v>UN-WPP Rev. 2024</v>
          </cell>
        </row>
        <row r="1484">
          <cell r="A1484" t="str">
            <v>BGD</v>
          </cell>
          <cell r="B1484">
            <v>2017</v>
          </cell>
          <cell r="C1484" t="str">
            <v>unpop_15up</v>
          </cell>
          <cell r="D1484">
            <v>113406537</v>
          </cell>
          <cell r="F1484" t="str">
            <v>UN-WPP Rev. 2024</v>
          </cell>
        </row>
        <row r="1485">
          <cell r="A1485" t="str">
            <v>BGD</v>
          </cell>
          <cell r="B1485">
            <v>2017</v>
          </cell>
          <cell r="C1485" t="str">
            <v>unpop_65up</v>
          </cell>
          <cell r="D1485">
            <v>8529189.5</v>
          </cell>
          <cell r="F1485" t="str">
            <v>UN-WPP Rev. 2024</v>
          </cell>
        </row>
        <row r="1486">
          <cell r="A1486" t="str">
            <v>BGD</v>
          </cell>
          <cell r="B1486">
            <v>2017</v>
          </cell>
          <cell r="C1486" t="str">
            <v>unpop_total</v>
          </cell>
          <cell r="D1486">
            <v>162186146.5</v>
          </cell>
          <cell r="F1486" t="str">
            <v>UN-WPP Rev. 2024</v>
          </cell>
        </row>
        <row r="1487">
          <cell r="A1487" t="str">
            <v>BGD</v>
          </cell>
          <cell r="B1487">
            <v>2018</v>
          </cell>
          <cell r="C1487" t="str">
            <v>unpop_0014</v>
          </cell>
          <cell r="D1487">
            <v>48639192</v>
          </cell>
          <cell r="F1487" t="str">
            <v>UN-WPP Rev. 2024</v>
          </cell>
        </row>
        <row r="1488">
          <cell r="A1488" t="str">
            <v>BGD</v>
          </cell>
          <cell r="B1488">
            <v>2018</v>
          </cell>
          <cell r="C1488" t="str">
            <v>unpop_1564</v>
          </cell>
          <cell r="D1488">
            <v>105958585</v>
          </cell>
          <cell r="F1488" t="str">
            <v>UN-WPP Rev. 2024</v>
          </cell>
        </row>
        <row r="1489">
          <cell r="A1489" t="str">
            <v>BGD</v>
          </cell>
          <cell r="B1489">
            <v>2018</v>
          </cell>
          <cell r="C1489" t="str">
            <v>unpop_15up</v>
          </cell>
          <cell r="D1489">
            <v>114883911.5</v>
          </cell>
          <cell r="F1489" t="str">
            <v>UN-WPP Rev. 2024</v>
          </cell>
        </row>
        <row r="1490">
          <cell r="A1490" t="str">
            <v>BGD</v>
          </cell>
          <cell r="B1490">
            <v>2018</v>
          </cell>
          <cell r="C1490" t="str">
            <v>unpop_65up</v>
          </cell>
          <cell r="D1490">
            <v>8925326.5</v>
          </cell>
          <cell r="F1490" t="str">
            <v>UN-WPP Rev. 2024</v>
          </cell>
        </row>
        <row r="1491">
          <cell r="A1491" t="str">
            <v>BGD</v>
          </cell>
          <cell r="B1491">
            <v>2018</v>
          </cell>
          <cell r="C1491" t="str">
            <v>unpop_total</v>
          </cell>
          <cell r="D1491">
            <v>163523103.5</v>
          </cell>
          <cell r="F1491" t="str">
            <v>UN-WPP Rev. 2024</v>
          </cell>
        </row>
        <row r="1492">
          <cell r="A1492" t="str">
            <v>BGD</v>
          </cell>
          <cell r="B1492">
            <v>2019</v>
          </cell>
          <cell r="C1492" t="str">
            <v>unpop_0014</v>
          </cell>
          <cell r="D1492">
            <v>48610039</v>
          </cell>
          <cell r="F1492" t="str">
            <v>UN-WPP Rev. 2024</v>
          </cell>
        </row>
        <row r="1493">
          <cell r="A1493" t="str">
            <v>BGD</v>
          </cell>
          <cell r="B1493">
            <v>2019</v>
          </cell>
          <cell r="C1493" t="str">
            <v>unpop_1564</v>
          </cell>
          <cell r="D1493">
            <v>106964718</v>
          </cell>
          <cell r="F1493" t="str">
            <v>UN-WPP Rev. 2024</v>
          </cell>
        </row>
        <row r="1494">
          <cell r="A1494" t="str">
            <v>BGD</v>
          </cell>
          <cell r="B1494">
            <v>2019</v>
          </cell>
          <cell r="C1494" t="str">
            <v>unpop_15up</v>
          </cell>
          <cell r="D1494">
            <v>116303016</v>
          </cell>
          <cell r="F1494" t="str">
            <v>UN-WPP Rev. 2024</v>
          </cell>
        </row>
        <row r="1495">
          <cell r="A1495" t="str">
            <v>BGD</v>
          </cell>
          <cell r="B1495">
            <v>2019</v>
          </cell>
          <cell r="C1495" t="str">
            <v>unpop_65up</v>
          </cell>
          <cell r="D1495">
            <v>9338298</v>
          </cell>
          <cell r="F1495" t="str">
            <v>UN-WPP Rev. 2024</v>
          </cell>
        </row>
        <row r="1496">
          <cell r="A1496" t="str">
            <v>BGD</v>
          </cell>
          <cell r="B1496">
            <v>2019</v>
          </cell>
          <cell r="C1496" t="str">
            <v>unpop_total</v>
          </cell>
          <cell r="D1496">
            <v>164913055</v>
          </cell>
          <cell r="F1496" t="str">
            <v>UN-WPP Rev. 2024</v>
          </cell>
        </row>
        <row r="1497">
          <cell r="A1497" t="str">
            <v>BGD</v>
          </cell>
          <cell r="B1497">
            <v>2020</v>
          </cell>
          <cell r="C1497" t="str">
            <v>unpop_0014</v>
          </cell>
          <cell r="D1497">
            <v>48656232</v>
          </cell>
          <cell r="F1497" t="str">
            <v>UN-WPP Rev. 2024</v>
          </cell>
        </row>
        <row r="1498">
          <cell r="A1498" t="str">
            <v>BGD</v>
          </cell>
          <cell r="B1498">
            <v>2020</v>
          </cell>
          <cell r="C1498" t="str">
            <v>unpop_1564</v>
          </cell>
          <cell r="D1498">
            <v>107938076.5</v>
          </cell>
          <cell r="F1498" t="str">
            <v>UN-WPP Rev. 2024</v>
          </cell>
        </row>
        <row r="1499">
          <cell r="A1499" t="str">
            <v>BGD</v>
          </cell>
          <cell r="B1499">
            <v>2020</v>
          </cell>
          <cell r="C1499" t="str">
            <v>unpop_15up</v>
          </cell>
          <cell r="D1499">
            <v>117641792</v>
          </cell>
          <cell r="F1499" t="str">
            <v>UN-WPP Rev. 2024</v>
          </cell>
        </row>
        <row r="1500">
          <cell r="A1500" t="str">
            <v>BGD</v>
          </cell>
          <cell r="B1500">
            <v>2020</v>
          </cell>
          <cell r="C1500" t="str">
            <v>unpop_65up</v>
          </cell>
          <cell r="D1500">
            <v>9703715.5</v>
          </cell>
          <cell r="F1500" t="str">
            <v>UN-WPP Rev. 2024</v>
          </cell>
        </row>
        <row r="1501">
          <cell r="A1501" t="str">
            <v>BGD</v>
          </cell>
          <cell r="B1501">
            <v>2020</v>
          </cell>
          <cell r="C1501" t="str">
            <v>unpop_total</v>
          </cell>
          <cell r="D1501">
            <v>166298024</v>
          </cell>
          <cell r="F1501" t="str">
            <v>UN-WPP Rev. 2024</v>
          </cell>
        </row>
        <row r="1502">
          <cell r="A1502" t="str">
            <v>BGD</v>
          </cell>
          <cell r="B1502">
            <v>2021</v>
          </cell>
          <cell r="C1502" t="str">
            <v>unpop_0014</v>
          </cell>
          <cell r="D1502">
            <v>48745975</v>
          </cell>
          <cell r="F1502" t="str">
            <v>UN-WPP Rev. 2024</v>
          </cell>
        </row>
        <row r="1503">
          <cell r="A1503" t="str">
            <v>BGD</v>
          </cell>
          <cell r="B1503">
            <v>2021</v>
          </cell>
          <cell r="C1503" t="str">
            <v>unpop_1564</v>
          </cell>
          <cell r="D1503">
            <v>108897252.5</v>
          </cell>
          <cell r="F1503" t="str">
            <v>UN-WPP Rev. 2024</v>
          </cell>
        </row>
        <row r="1504">
          <cell r="A1504" t="str">
            <v>BGD</v>
          </cell>
          <cell r="B1504">
            <v>2021</v>
          </cell>
          <cell r="C1504" t="str">
            <v>unpop_15up</v>
          </cell>
          <cell r="D1504">
            <v>118912879.5</v>
          </cell>
          <cell r="F1504" t="str">
            <v>UN-WPP Rev. 2024</v>
          </cell>
        </row>
        <row r="1505">
          <cell r="A1505" t="str">
            <v>BGD</v>
          </cell>
          <cell r="B1505">
            <v>2021</v>
          </cell>
          <cell r="C1505" t="str">
            <v>unpop_65up</v>
          </cell>
          <cell r="D1505">
            <v>10015627</v>
          </cell>
          <cell r="F1505" t="str">
            <v>UN-WPP Rev. 2024</v>
          </cell>
        </row>
        <row r="1506">
          <cell r="A1506" t="str">
            <v>BGD</v>
          </cell>
          <cell r="B1506">
            <v>2021</v>
          </cell>
          <cell r="C1506" t="str">
            <v>unpop_total</v>
          </cell>
          <cell r="D1506">
            <v>167658854.5</v>
          </cell>
          <cell r="F1506" t="str">
            <v>UN-WPP Rev. 2024</v>
          </cell>
        </row>
        <row r="1507">
          <cell r="A1507" t="str">
            <v>BGD</v>
          </cell>
          <cell r="B1507">
            <v>2022</v>
          </cell>
          <cell r="C1507" t="str">
            <v>unpop_0014</v>
          </cell>
          <cell r="D1507">
            <v>48732187.5</v>
          </cell>
          <cell r="F1507" t="str">
            <v>UN-WPP Rev. 2024</v>
          </cell>
        </row>
        <row r="1508">
          <cell r="A1508" t="str">
            <v>BGD</v>
          </cell>
          <cell r="B1508">
            <v>2022</v>
          </cell>
          <cell r="C1508" t="str">
            <v>unpop_1564</v>
          </cell>
          <cell r="D1508">
            <v>110260679.5</v>
          </cell>
          <cell r="F1508" t="str">
            <v>UN-WPP Rev. 2024</v>
          </cell>
        </row>
        <row r="1509">
          <cell r="A1509" t="str">
            <v>BGD</v>
          </cell>
          <cell r="B1509">
            <v>2022</v>
          </cell>
          <cell r="C1509" t="str">
            <v>unpop_15up</v>
          </cell>
          <cell r="D1509">
            <v>120652710</v>
          </cell>
          <cell r="F1509" t="str">
            <v>UN-WPP Rev. 2024</v>
          </cell>
        </row>
        <row r="1510">
          <cell r="A1510" t="str">
            <v>BGD</v>
          </cell>
          <cell r="B1510">
            <v>2022</v>
          </cell>
          <cell r="C1510" t="str">
            <v>unpop_65up</v>
          </cell>
          <cell r="D1510">
            <v>10392030.5</v>
          </cell>
          <cell r="F1510" t="str">
            <v>UN-WPP Rev. 2024</v>
          </cell>
        </row>
        <row r="1511">
          <cell r="A1511" t="str">
            <v>BGD</v>
          </cell>
          <cell r="B1511">
            <v>2022</v>
          </cell>
          <cell r="C1511" t="str">
            <v>unpop_total</v>
          </cell>
          <cell r="D1511">
            <v>169384897.5</v>
          </cell>
          <cell r="F1511" t="str">
            <v>UN-WPP Rev. 2024</v>
          </cell>
        </row>
        <row r="1512">
          <cell r="A1512" t="str">
            <v>BGD</v>
          </cell>
          <cell r="B1512">
            <v>2023</v>
          </cell>
          <cell r="C1512" t="str">
            <v>unpop_0014</v>
          </cell>
          <cell r="D1512">
            <v>48629551</v>
          </cell>
          <cell r="F1512" t="str">
            <v>UN-WPP Rev. 2024</v>
          </cell>
        </row>
        <row r="1513">
          <cell r="A1513" t="str">
            <v>BGD</v>
          </cell>
          <cell r="B1513">
            <v>2023</v>
          </cell>
          <cell r="C1513" t="str">
            <v>unpop_1564</v>
          </cell>
          <cell r="D1513">
            <v>111999785.5</v>
          </cell>
          <cell r="F1513" t="str">
            <v>UN-WPP Rev. 2024</v>
          </cell>
        </row>
        <row r="1514">
          <cell r="A1514" t="str">
            <v>BGD</v>
          </cell>
          <cell r="B1514">
            <v>2023</v>
          </cell>
          <cell r="C1514" t="str">
            <v>unpop_15up</v>
          </cell>
          <cell r="D1514">
            <v>122837439</v>
          </cell>
          <cell r="F1514" t="str">
            <v>UN-WPP Rev. 2024</v>
          </cell>
        </row>
        <row r="1515">
          <cell r="A1515" t="str">
            <v>BGD</v>
          </cell>
          <cell r="B1515">
            <v>2023</v>
          </cell>
          <cell r="C1515" t="str">
            <v>unpop_65up</v>
          </cell>
          <cell r="D1515">
            <v>10837653.5</v>
          </cell>
          <cell r="F1515" t="str">
            <v>UN-WPP Rev. 2024</v>
          </cell>
        </row>
        <row r="1516">
          <cell r="A1516" t="str">
            <v>BGD</v>
          </cell>
          <cell r="B1516">
            <v>2023</v>
          </cell>
          <cell r="C1516" t="str">
            <v>unpop_total</v>
          </cell>
          <cell r="D1516">
            <v>171466990</v>
          </cell>
          <cell r="F1516" t="str">
            <v>UN-WPP Rev. 2024</v>
          </cell>
        </row>
        <row r="1517">
          <cell r="A1517" t="str">
            <v>BGD</v>
          </cell>
          <cell r="B1517">
            <v>2024</v>
          </cell>
          <cell r="C1517" t="str">
            <v>unpop_0014</v>
          </cell>
          <cell r="D1517">
            <v>48578249.5</v>
          </cell>
          <cell r="F1517" t="str">
            <v>UN-WPP Rev. 2024</v>
          </cell>
        </row>
        <row r="1518">
          <cell r="A1518" t="str">
            <v>BGD</v>
          </cell>
          <cell r="B1518">
            <v>2024</v>
          </cell>
          <cell r="C1518" t="str">
            <v>unpop_1564</v>
          </cell>
          <cell r="D1518">
            <v>113705228.5</v>
          </cell>
          <cell r="F1518" t="str">
            <v>UN-WPP Rev. 2024</v>
          </cell>
        </row>
        <row r="1519">
          <cell r="A1519" t="str">
            <v>BGD</v>
          </cell>
          <cell r="B1519">
            <v>2024</v>
          </cell>
          <cell r="C1519" t="str">
            <v>unpop_15up</v>
          </cell>
          <cell r="D1519">
            <v>124984114.5</v>
          </cell>
          <cell r="F1519" t="str">
            <v>UN-WPP Rev. 2024</v>
          </cell>
        </row>
        <row r="1520">
          <cell r="A1520" t="str">
            <v>BGD</v>
          </cell>
          <cell r="B1520">
            <v>2024</v>
          </cell>
          <cell r="C1520" t="str">
            <v>unpop_65up</v>
          </cell>
          <cell r="D1520">
            <v>11278886</v>
          </cell>
          <cell r="F1520" t="str">
            <v>UN-WPP Rev. 2024</v>
          </cell>
        </row>
        <row r="1521">
          <cell r="A1521" t="str">
            <v>BGD</v>
          </cell>
          <cell r="B1521">
            <v>2024</v>
          </cell>
          <cell r="C1521" t="str">
            <v>unpop_total</v>
          </cell>
          <cell r="D1521">
            <v>173562364</v>
          </cell>
          <cell r="F1521" t="str">
            <v>UN-WPP Rev. 2024</v>
          </cell>
        </row>
        <row r="1522">
          <cell r="A1522" t="str">
            <v>BGD</v>
          </cell>
          <cell r="B1522">
            <v>2025</v>
          </cell>
          <cell r="C1522" t="str">
            <v>unpop_0014</v>
          </cell>
          <cell r="D1522">
            <v>48569949</v>
          </cell>
          <cell r="F1522" t="str">
            <v>UN-WPP Rev. 2024</v>
          </cell>
        </row>
        <row r="1523">
          <cell r="A1523" t="str">
            <v>BGD</v>
          </cell>
          <cell r="B1523">
            <v>2025</v>
          </cell>
          <cell r="C1523" t="str">
            <v>unpop_1564</v>
          </cell>
          <cell r="D1523">
            <v>115401404</v>
          </cell>
          <cell r="F1523" t="str">
            <v>UN-WPP Rev. 2024</v>
          </cell>
        </row>
        <row r="1524">
          <cell r="A1524" t="str">
            <v>BGD</v>
          </cell>
          <cell r="B1524">
            <v>2025</v>
          </cell>
          <cell r="C1524" t="str">
            <v>unpop_15up</v>
          </cell>
          <cell r="D1524">
            <v>127116950.5</v>
          </cell>
          <cell r="F1524" t="str">
            <v>UN-WPP Rev. 2024</v>
          </cell>
        </row>
        <row r="1525">
          <cell r="A1525" t="str">
            <v>BGD</v>
          </cell>
          <cell r="B1525">
            <v>2025</v>
          </cell>
          <cell r="C1525" t="str">
            <v>unpop_65up</v>
          </cell>
          <cell r="D1525">
            <v>11715546.5</v>
          </cell>
          <cell r="F1525" t="str">
            <v>UN-WPP Rev. 2024</v>
          </cell>
        </row>
        <row r="1526">
          <cell r="A1526" t="str">
            <v>BGD</v>
          </cell>
          <cell r="B1526">
            <v>2025</v>
          </cell>
          <cell r="C1526" t="str">
            <v>unpop_total</v>
          </cell>
          <cell r="D1526">
            <v>175686899.5</v>
          </cell>
          <cell r="F1526" t="str">
            <v>UN-WPP Rev. 2024</v>
          </cell>
        </row>
        <row r="1527">
          <cell r="A1527" t="str">
            <v>BGD</v>
          </cell>
          <cell r="B1527">
            <v>2026</v>
          </cell>
          <cell r="C1527" t="str">
            <v>unpop_0014</v>
          </cell>
          <cell r="D1527">
            <v>48593660.5</v>
          </cell>
          <cell r="F1527" t="str">
            <v>UN-WPP Rev. 2024</v>
          </cell>
        </row>
        <row r="1528">
          <cell r="A1528" t="str">
            <v>BGD</v>
          </cell>
          <cell r="B1528">
            <v>2026</v>
          </cell>
          <cell r="C1528" t="str">
            <v>unpop_1564</v>
          </cell>
          <cell r="D1528">
            <v>117061314</v>
          </cell>
          <cell r="F1528" t="str">
            <v>UN-WPP Rev. 2024</v>
          </cell>
        </row>
        <row r="1529">
          <cell r="A1529" t="str">
            <v>BGD</v>
          </cell>
          <cell r="B1529">
            <v>2026</v>
          </cell>
          <cell r="C1529" t="str">
            <v>unpop_15up</v>
          </cell>
          <cell r="D1529">
            <v>129224384</v>
          </cell>
          <cell r="F1529" t="str">
            <v>UN-WPP Rev. 2024</v>
          </cell>
        </row>
        <row r="1530">
          <cell r="A1530" t="str">
            <v>BGD</v>
          </cell>
          <cell r="B1530">
            <v>2026</v>
          </cell>
          <cell r="C1530" t="str">
            <v>unpop_65up</v>
          </cell>
          <cell r="D1530">
            <v>12163070</v>
          </cell>
          <cell r="F1530" t="str">
            <v>UN-WPP Rev. 2024</v>
          </cell>
        </row>
        <row r="1531">
          <cell r="A1531" t="str">
            <v>BGD</v>
          </cell>
          <cell r="B1531">
            <v>2026</v>
          </cell>
          <cell r="C1531" t="str">
            <v>unpop_total</v>
          </cell>
          <cell r="D1531">
            <v>177818044.5</v>
          </cell>
          <cell r="F1531" t="str">
            <v>UN-WPP Rev. 2024</v>
          </cell>
        </row>
        <row r="1532">
          <cell r="A1532" t="str">
            <v>BGD</v>
          </cell>
          <cell r="B1532">
            <v>2027</v>
          </cell>
          <cell r="C1532" t="str">
            <v>unpop_0014</v>
          </cell>
          <cell r="D1532">
            <v>48645360</v>
          </cell>
          <cell r="F1532" t="str">
            <v>UN-WPP Rev. 2024</v>
          </cell>
        </row>
        <row r="1533">
          <cell r="A1533" t="str">
            <v>BGD</v>
          </cell>
          <cell r="B1533">
            <v>2027</v>
          </cell>
          <cell r="C1533" t="str">
            <v>unpop_1564</v>
          </cell>
          <cell r="D1533">
            <v>118663717.5</v>
          </cell>
          <cell r="F1533" t="str">
            <v>UN-WPP Rev. 2024</v>
          </cell>
        </row>
        <row r="1534">
          <cell r="A1534" t="str">
            <v>BGD</v>
          </cell>
          <cell r="B1534">
            <v>2027</v>
          </cell>
          <cell r="C1534" t="str">
            <v>unpop_15up</v>
          </cell>
          <cell r="D1534">
            <v>131284815</v>
          </cell>
          <cell r="F1534" t="str">
            <v>UN-WPP Rev. 2024</v>
          </cell>
        </row>
        <row r="1535">
          <cell r="A1535" t="str">
            <v>BGD</v>
          </cell>
          <cell r="B1535">
            <v>2027</v>
          </cell>
          <cell r="C1535" t="str">
            <v>unpop_65up</v>
          </cell>
          <cell r="D1535">
            <v>12621097.5</v>
          </cell>
          <cell r="F1535" t="str">
            <v>UN-WPP Rev. 2024</v>
          </cell>
        </row>
        <row r="1536">
          <cell r="A1536" t="str">
            <v>BGD</v>
          </cell>
          <cell r="B1536">
            <v>2027</v>
          </cell>
          <cell r="C1536" t="str">
            <v>unpop_total</v>
          </cell>
          <cell r="D1536">
            <v>179930175</v>
          </cell>
          <cell r="F1536" t="str">
            <v>UN-WPP Rev. 2024</v>
          </cell>
        </row>
        <row r="1537">
          <cell r="A1537" t="str">
            <v>BGD</v>
          </cell>
          <cell r="B1537">
            <v>2028</v>
          </cell>
          <cell r="C1537" t="str">
            <v>unpop_0014</v>
          </cell>
          <cell r="D1537">
            <v>48717790.5</v>
          </cell>
          <cell r="F1537" t="str">
            <v>UN-WPP Rev. 2024</v>
          </cell>
        </row>
        <row r="1538">
          <cell r="A1538" t="str">
            <v>BGD</v>
          </cell>
          <cell r="B1538">
            <v>2028</v>
          </cell>
          <cell r="C1538" t="str">
            <v>unpop_1564</v>
          </cell>
          <cell r="D1538">
            <v>120207386</v>
          </cell>
          <cell r="F1538" t="str">
            <v>UN-WPP Rev. 2024</v>
          </cell>
        </row>
        <row r="1539">
          <cell r="A1539" t="str">
            <v>BGD</v>
          </cell>
          <cell r="B1539">
            <v>2028</v>
          </cell>
          <cell r="C1539" t="str">
            <v>unpop_15up</v>
          </cell>
          <cell r="D1539">
            <v>133296983</v>
          </cell>
          <cell r="F1539" t="str">
            <v>UN-WPP Rev. 2024</v>
          </cell>
        </row>
        <row r="1540">
          <cell r="A1540" t="str">
            <v>BGD</v>
          </cell>
          <cell r="B1540">
            <v>2028</v>
          </cell>
          <cell r="C1540" t="str">
            <v>unpop_65up</v>
          </cell>
          <cell r="D1540">
            <v>13089597</v>
          </cell>
          <cell r="F1540" t="str">
            <v>UN-WPP Rev. 2024</v>
          </cell>
        </row>
        <row r="1541">
          <cell r="A1541" t="str">
            <v>BGD</v>
          </cell>
          <cell r="B1541">
            <v>2028</v>
          </cell>
          <cell r="C1541" t="str">
            <v>unpop_total</v>
          </cell>
          <cell r="D1541">
            <v>182014773.5</v>
          </cell>
          <cell r="F1541" t="str">
            <v>UN-WPP Rev. 2024</v>
          </cell>
        </row>
        <row r="1542">
          <cell r="A1542" t="str">
            <v>BGD</v>
          </cell>
          <cell r="B1542">
            <v>2029</v>
          </cell>
          <cell r="C1542" t="str">
            <v>unpop_0014</v>
          </cell>
          <cell r="D1542">
            <v>48797893.5</v>
          </cell>
          <cell r="F1542" t="str">
            <v>UN-WPP Rev. 2024</v>
          </cell>
        </row>
        <row r="1543">
          <cell r="A1543" t="str">
            <v>BGD</v>
          </cell>
          <cell r="B1543">
            <v>2029</v>
          </cell>
          <cell r="C1543" t="str">
            <v>unpop_1564</v>
          </cell>
          <cell r="D1543">
            <v>121697394.5</v>
          </cell>
          <cell r="F1543" t="str">
            <v>UN-WPP Rev. 2024</v>
          </cell>
        </row>
        <row r="1544">
          <cell r="A1544" t="str">
            <v>BGD</v>
          </cell>
          <cell r="B1544">
            <v>2029</v>
          </cell>
          <cell r="C1544" t="str">
            <v>unpop_15up</v>
          </cell>
          <cell r="D1544">
            <v>135266726</v>
          </cell>
          <cell r="F1544" t="str">
            <v>UN-WPP Rev. 2024</v>
          </cell>
        </row>
        <row r="1545">
          <cell r="A1545" t="str">
            <v>BGD</v>
          </cell>
          <cell r="B1545">
            <v>2029</v>
          </cell>
          <cell r="C1545" t="str">
            <v>unpop_65up</v>
          </cell>
          <cell r="D1545">
            <v>13569331.5</v>
          </cell>
          <cell r="F1545" t="str">
            <v>UN-WPP Rev. 2024</v>
          </cell>
        </row>
        <row r="1546">
          <cell r="A1546" t="str">
            <v>BGD</v>
          </cell>
          <cell r="B1546">
            <v>2029</v>
          </cell>
          <cell r="C1546" t="str">
            <v>unpop_total</v>
          </cell>
          <cell r="D1546">
            <v>184064619.5</v>
          </cell>
          <cell r="F1546" t="str">
            <v>UN-WPP Rev. 2024</v>
          </cell>
        </row>
        <row r="1547">
          <cell r="A1547" t="str">
            <v>BGD</v>
          </cell>
          <cell r="B1547">
            <v>2030</v>
          </cell>
          <cell r="C1547" t="str">
            <v>unpop_0014</v>
          </cell>
          <cell r="D1547">
            <v>48867854</v>
          </cell>
          <cell r="F1547" t="str">
            <v>UN-WPP Rev. 2024</v>
          </cell>
        </row>
        <row r="1548">
          <cell r="A1548" t="str">
            <v>BGD</v>
          </cell>
          <cell r="B1548">
            <v>2030</v>
          </cell>
          <cell r="C1548" t="str">
            <v>unpop_1564</v>
          </cell>
          <cell r="D1548">
            <v>123142654.5</v>
          </cell>
          <cell r="F1548" t="str">
            <v>UN-WPP Rev. 2024</v>
          </cell>
        </row>
        <row r="1549">
          <cell r="A1549" t="str">
            <v>BGD</v>
          </cell>
          <cell r="B1549">
            <v>2030</v>
          </cell>
          <cell r="C1549" t="str">
            <v>unpop_15up</v>
          </cell>
          <cell r="D1549">
            <v>137204552.5</v>
          </cell>
          <cell r="F1549" t="str">
            <v>UN-WPP Rev. 2024</v>
          </cell>
        </row>
        <row r="1550">
          <cell r="A1550" t="str">
            <v>BGD</v>
          </cell>
          <cell r="B1550">
            <v>2030</v>
          </cell>
          <cell r="C1550" t="str">
            <v>unpop_65up</v>
          </cell>
          <cell r="D1550">
            <v>14061898</v>
          </cell>
          <cell r="F1550" t="str">
            <v>UN-WPP Rev. 2024</v>
          </cell>
        </row>
        <row r="1551">
          <cell r="A1551" t="str">
            <v>BGD</v>
          </cell>
          <cell r="B1551">
            <v>2030</v>
          </cell>
          <cell r="C1551" t="str">
            <v>unpop_total</v>
          </cell>
          <cell r="D1551">
            <v>186072406.5</v>
          </cell>
          <cell r="F1551" t="str">
            <v>UN-WPP Rev. 2024</v>
          </cell>
        </row>
        <row r="1552">
          <cell r="A1552" t="str">
            <v>BTN</v>
          </cell>
          <cell r="B1552">
            <v>2000</v>
          </cell>
          <cell r="C1552" t="str">
            <v>unpop_0014</v>
          </cell>
          <cell r="D1552">
            <v>230364.5</v>
          </cell>
          <cell r="F1552" t="str">
            <v>UN-WPP Rev. 2024</v>
          </cell>
        </row>
        <row r="1553">
          <cell r="A1553" t="str">
            <v>BTN</v>
          </cell>
          <cell r="B1553">
            <v>2000</v>
          </cell>
          <cell r="C1553" t="str">
            <v>unpop_1564</v>
          </cell>
          <cell r="D1553">
            <v>344046.5</v>
          </cell>
          <cell r="F1553" t="str">
            <v>UN-WPP Rev. 2024</v>
          </cell>
        </row>
        <row r="1554">
          <cell r="A1554" t="str">
            <v>BTN</v>
          </cell>
          <cell r="B1554">
            <v>2000</v>
          </cell>
          <cell r="C1554" t="str">
            <v>unpop_15up</v>
          </cell>
          <cell r="D1554">
            <v>366498.5</v>
          </cell>
          <cell r="F1554" t="str">
            <v>UN-WPP Rev. 2024</v>
          </cell>
        </row>
        <row r="1555">
          <cell r="A1555" t="str">
            <v>BTN</v>
          </cell>
          <cell r="B1555">
            <v>2000</v>
          </cell>
          <cell r="C1555" t="str">
            <v>unpop_65up</v>
          </cell>
          <cell r="D1555">
            <v>22452</v>
          </cell>
          <cell r="F1555" t="str">
            <v>UN-WPP Rev. 2024</v>
          </cell>
        </row>
        <row r="1556">
          <cell r="A1556" t="str">
            <v>BTN</v>
          </cell>
          <cell r="B1556">
            <v>2000</v>
          </cell>
          <cell r="C1556" t="str">
            <v>unpop_total</v>
          </cell>
          <cell r="D1556">
            <v>596863</v>
          </cell>
          <cell r="F1556" t="str">
            <v>UN-WPP Rev. 2024</v>
          </cell>
        </row>
        <row r="1557">
          <cell r="A1557" t="str">
            <v>BTN</v>
          </cell>
          <cell r="B1557">
            <v>2001</v>
          </cell>
          <cell r="C1557" t="str">
            <v>unpop_0014</v>
          </cell>
          <cell r="D1557">
            <v>230003</v>
          </cell>
          <cell r="F1557" t="str">
            <v>UN-WPP Rev. 2024</v>
          </cell>
        </row>
        <row r="1558">
          <cell r="A1558" t="str">
            <v>BTN</v>
          </cell>
          <cell r="B1558">
            <v>2001</v>
          </cell>
          <cell r="C1558" t="str">
            <v>unpop_1564</v>
          </cell>
          <cell r="D1558">
            <v>356598</v>
          </cell>
          <cell r="F1558" t="str">
            <v>UN-WPP Rev. 2024</v>
          </cell>
        </row>
        <row r="1559">
          <cell r="A1559" t="str">
            <v>BTN</v>
          </cell>
          <cell r="B1559">
            <v>2001</v>
          </cell>
          <cell r="C1559" t="str">
            <v>unpop_15up</v>
          </cell>
          <cell r="D1559">
            <v>380791.5</v>
          </cell>
          <cell r="F1559" t="str">
            <v>UN-WPP Rev. 2024</v>
          </cell>
        </row>
        <row r="1560">
          <cell r="A1560" t="str">
            <v>BTN</v>
          </cell>
          <cell r="B1560">
            <v>2001</v>
          </cell>
          <cell r="C1560" t="str">
            <v>unpop_65up</v>
          </cell>
          <cell r="D1560">
            <v>24193.5</v>
          </cell>
          <cell r="F1560" t="str">
            <v>UN-WPP Rev. 2024</v>
          </cell>
        </row>
        <row r="1561">
          <cell r="A1561" t="str">
            <v>BTN</v>
          </cell>
          <cell r="B1561">
            <v>2001</v>
          </cell>
          <cell r="C1561" t="str">
            <v>unpop_total</v>
          </cell>
          <cell r="D1561">
            <v>610794.5</v>
          </cell>
          <cell r="F1561" t="str">
            <v>UN-WPP Rev. 2024</v>
          </cell>
        </row>
        <row r="1562">
          <cell r="A1562" t="str">
            <v>BTN</v>
          </cell>
          <cell r="B1562">
            <v>2002</v>
          </cell>
          <cell r="C1562" t="str">
            <v>unpop_0014</v>
          </cell>
          <cell r="D1562">
            <v>228695.5</v>
          </cell>
          <cell r="F1562" t="str">
            <v>UN-WPP Rev. 2024</v>
          </cell>
        </row>
        <row r="1563">
          <cell r="A1563" t="str">
            <v>BTN</v>
          </cell>
          <cell r="B1563">
            <v>2002</v>
          </cell>
          <cell r="C1563" t="str">
            <v>unpop_1564</v>
          </cell>
          <cell r="D1563">
            <v>369740</v>
          </cell>
          <cell r="F1563" t="str">
            <v>UN-WPP Rev. 2024</v>
          </cell>
        </row>
        <row r="1564">
          <cell r="A1564" t="str">
            <v>BTN</v>
          </cell>
          <cell r="B1564">
            <v>2002</v>
          </cell>
          <cell r="C1564" t="str">
            <v>unpop_15up</v>
          </cell>
          <cell r="D1564">
            <v>395713</v>
          </cell>
          <cell r="F1564" t="str">
            <v>UN-WPP Rev. 2024</v>
          </cell>
        </row>
        <row r="1565">
          <cell r="A1565" t="str">
            <v>BTN</v>
          </cell>
          <cell r="B1565">
            <v>2002</v>
          </cell>
          <cell r="C1565" t="str">
            <v>unpop_65up</v>
          </cell>
          <cell r="D1565">
            <v>25973</v>
          </cell>
          <cell r="F1565" t="str">
            <v>UN-WPP Rev. 2024</v>
          </cell>
        </row>
        <row r="1566">
          <cell r="A1566" t="str">
            <v>BTN</v>
          </cell>
          <cell r="B1566">
            <v>2002</v>
          </cell>
          <cell r="C1566" t="str">
            <v>unpop_total</v>
          </cell>
          <cell r="D1566">
            <v>624408.5</v>
          </cell>
          <cell r="F1566" t="str">
            <v>UN-WPP Rev. 2024</v>
          </cell>
        </row>
        <row r="1567">
          <cell r="A1567" t="str">
            <v>BTN</v>
          </cell>
          <cell r="B1567">
            <v>2003</v>
          </cell>
          <cell r="C1567" t="str">
            <v>unpop_0014</v>
          </cell>
          <cell r="D1567">
            <v>226449.5</v>
          </cell>
          <cell r="F1567" t="str">
            <v>UN-WPP Rev. 2024</v>
          </cell>
        </row>
        <row r="1568">
          <cell r="A1568" t="str">
            <v>BTN</v>
          </cell>
          <cell r="B1568">
            <v>2003</v>
          </cell>
          <cell r="C1568" t="str">
            <v>unpop_1564</v>
          </cell>
          <cell r="D1568">
            <v>383440.5</v>
          </cell>
          <cell r="F1568" t="str">
            <v>UN-WPP Rev. 2024</v>
          </cell>
        </row>
        <row r="1569">
          <cell r="A1569" t="str">
            <v>BTN</v>
          </cell>
          <cell r="B1569">
            <v>2003</v>
          </cell>
          <cell r="C1569" t="str">
            <v>unpop_15up</v>
          </cell>
          <cell r="D1569">
            <v>411214</v>
          </cell>
          <cell r="F1569" t="str">
            <v>UN-WPP Rev. 2024</v>
          </cell>
        </row>
        <row r="1570">
          <cell r="A1570" t="str">
            <v>BTN</v>
          </cell>
          <cell r="B1570">
            <v>2003</v>
          </cell>
          <cell r="C1570" t="str">
            <v>unpop_65up</v>
          </cell>
          <cell r="D1570">
            <v>27773.5</v>
          </cell>
          <cell r="F1570" t="str">
            <v>UN-WPP Rev. 2024</v>
          </cell>
        </row>
        <row r="1571">
          <cell r="A1571" t="str">
            <v>BTN</v>
          </cell>
          <cell r="B1571">
            <v>2003</v>
          </cell>
          <cell r="C1571" t="str">
            <v>unpop_total</v>
          </cell>
          <cell r="D1571">
            <v>637663.5</v>
          </cell>
          <cell r="F1571" t="str">
            <v>UN-WPP Rev. 2024</v>
          </cell>
        </row>
        <row r="1572">
          <cell r="A1572" t="str">
            <v>BTN</v>
          </cell>
          <cell r="B1572">
            <v>2004</v>
          </cell>
          <cell r="C1572" t="str">
            <v>unpop_0014</v>
          </cell>
          <cell r="D1572">
            <v>223251.5</v>
          </cell>
          <cell r="F1572" t="str">
            <v>UN-WPP Rev. 2024</v>
          </cell>
        </row>
        <row r="1573">
          <cell r="A1573" t="str">
            <v>BTN</v>
          </cell>
          <cell r="B1573">
            <v>2004</v>
          </cell>
          <cell r="C1573" t="str">
            <v>unpop_1564</v>
          </cell>
          <cell r="D1573">
            <v>397726</v>
          </cell>
          <cell r="F1573" t="str">
            <v>UN-WPP Rev. 2024</v>
          </cell>
        </row>
        <row r="1574">
          <cell r="A1574" t="str">
            <v>BTN</v>
          </cell>
          <cell r="B1574">
            <v>2004</v>
          </cell>
          <cell r="C1574" t="str">
            <v>unpop_15up</v>
          </cell>
          <cell r="D1574">
            <v>427293</v>
          </cell>
          <cell r="F1574" t="str">
            <v>UN-WPP Rev. 2024</v>
          </cell>
        </row>
        <row r="1575">
          <cell r="A1575" t="str">
            <v>BTN</v>
          </cell>
          <cell r="B1575">
            <v>2004</v>
          </cell>
          <cell r="C1575" t="str">
            <v>unpop_65up</v>
          </cell>
          <cell r="D1575">
            <v>29567</v>
          </cell>
          <cell r="F1575" t="str">
            <v>UN-WPP Rev. 2024</v>
          </cell>
        </row>
        <row r="1576">
          <cell r="A1576" t="str">
            <v>BTN</v>
          </cell>
          <cell r="B1576">
            <v>2004</v>
          </cell>
          <cell r="C1576" t="str">
            <v>unpop_total</v>
          </cell>
          <cell r="D1576">
            <v>650544.5</v>
          </cell>
          <cell r="F1576" t="str">
            <v>UN-WPP Rev. 2024</v>
          </cell>
        </row>
        <row r="1577">
          <cell r="A1577" t="str">
            <v>BTN</v>
          </cell>
          <cell r="B1577">
            <v>2005</v>
          </cell>
          <cell r="C1577" t="str">
            <v>unpop_0014</v>
          </cell>
          <cell r="D1577">
            <v>219900</v>
          </cell>
          <cell r="F1577" t="str">
            <v>UN-WPP Rev. 2024</v>
          </cell>
        </row>
        <row r="1578">
          <cell r="A1578" t="str">
            <v>BTN</v>
          </cell>
          <cell r="B1578">
            <v>2005</v>
          </cell>
          <cell r="C1578" t="str">
            <v>unpop_1564</v>
          </cell>
          <cell r="D1578">
            <v>410909.5</v>
          </cell>
          <cell r="F1578" t="str">
            <v>UN-WPP Rev. 2024</v>
          </cell>
        </row>
        <row r="1579">
          <cell r="A1579" t="str">
            <v>BTN</v>
          </cell>
          <cell r="B1579">
            <v>2005</v>
          </cell>
          <cell r="C1579" t="str">
            <v>unpop_15up</v>
          </cell>
          <cell r="D1579">
            <v>441965.5</v>
          </cell>
          <cell r="F1579" t="str">
            <v>UN-WPP Rev. 2024</v>
          </cell>
        </row>
        <row r="1580">
          <cell r="A1580" t="str">
            <v>BTN</v>
          </cell>
          <cell r="B1580">
            <v>2005</v>
          </cell>
          <cell r="C1580" t="str">
            <v>unpop_65up</v>
          </cell>
          <cell r="D1580">
            <v>31056</v>
          </cell>
          <cell r="F1580" t="str">
            <v>UN-WPP Rev. 2024</v>
          </cell>
        </row>
        <row r="1581">
          <cell r="A1581" t="str">
            <v>BTN</v>
          </cell>
          <cell r="B1581">
            <v>2005</v>
          </cell>
          <cell r="C1581" t="str">
            <v>unpop_total</v>
          </cell>
          <cell r="D1581">
            <v>661865.5</v>
          </cell>
          <cell r="F1581" t="str">
            <v>UN-WPP Rev. 2024</v>
          </cell>
        </row>
        <row r="1582">
          <cell r="A1582" t="str">
            <v>BTN</v>
          </cell>
          <cell r="B1582">
            <v>2006</v>
          </cell>
          <cell r="C1582" t="str">
            <v>unpop_0014</v>
          </cell>
          <cell r="D1582">
            <v>217080</v>
          </cell>
          <cell r="F1582" t="str">
            <v>UN-WPP Rev. 2024</v>
          </cell>
        </row>
        <row r="1583">
          <cell r="A1583" t="str">
            <v>BTN</v>
          </cell>
          <cell r="B1583">
            <v>2006</v>
          </cell>
          <cell r="C1583" t="str">
            <v>unpop_1564</v>
          </cell>
          <cell r="D1583">
            <v>421644</v>
          </cell>
          <cell r="F1583" t="str">
            <v>UN-WPP Rev. 2024</v>
          </cell>
        </row>
        <row r="1584">
          <cell r="A1584" t="str">
            <v>BTN</v>
          </cell>
          <cell r="B1584">
            <v>2006</v>
          </cell>
          <cell r="C1584" t="str">
            <v>unpop_15up</v>
          </cell>
          <cell r="D1584">
            <v>453719.5</v>
          </cell>
          <cell r="F1584" t="str">
            <v>UN-WPP Rev. 2024</v>
          </cell>
        </row>
        <row r="1585">
          <cell r="A1585" t="str">
            <v>BTN</v>
          </cell>
          <cell r="B1585">
            <v>2006</v>
          </cell>
          <cell r="C1585" t="str">
            <v>unpop_65up</v>
          </cell>
          <cell r="D1585">
            <v>32075.5</v>
          </cell>
          <cell r="F1585" t="str">
            <v>UN-WPP Rev. 2024</v>
          </cell>
        </row>
        <row r="1586">
          <cell r="A1586" t="str">
            <v>BTN</v>
          </cell>
          <cell r="B1586">
            <v>2006</v>
          </cell>
          <cell r="C1586" t="str">
            <v>unpop_total</v>
          </cell>
          <cell r="D1586">
            <v>670799.5</v>
          </cell>
          <cell r="F1586" t="str">
            <v>UN-WPP Rev. 2024</v>
          </cell>
        </row>
        <row r="1587">
          <cell r="A1587" t="str">
            <v>BTN</v>
          </cell>
          <cell r="B1587">
            <v>2007</v>
          </cell>
          <cell r="C1587" t="str">
            <v>unpop_0014</v>
          </cell>
          <cell r="D1587">
            <v>214337.5</v>
          </cell>
          <cell r="F1587" t="str">
            <v>UN-WPP Rev. 2024</v>
          </cell>
        </row>
        <row r="1588">
          <cell r="A1588" t="str">
            <v>BTN</v>
          </cell>
          <cell r="B1588">
            <v>2007</v>
          </cell>
          <cell r="C1588" t="str">
            <v>unpop_1564</v>
          </cell>
          <cell r="D1588">
            <v>431366</v>
          </cell>
          <cell r="F1588" t="str">
            <v>UN-WPP Rev. 2024</v>
          </cell>
        </row>
        <row r="1589">
          <cell r="A1589" t="str">
            <v>BTN</v>
          </cell>
          <cell r="B1589">
            <v>2007</v>
          </cell>
          <cell r="C1589" t="str">
            <v>unpop_15up</v>
          </cell>
          <cell r="D1589">
            <v>464303.5</v>
          </cell>
          <cell r="F1589" t="str">
            <v>UN-WPP Rev. 2024</v>
          </cell>
        </row>
        <row r="1590">
          <cell r="A1590" t="str">
            <v>BTN</v>
          </cell>
          <cell r="B1590">
            <v>2007</v>
          </cell>
          <cell r="C1590" t="str">
            <v>unpop_65up</v>
          </cell>
          <cell r="D1590">
            <v>32937.5</v>
          </cell>
          <cell r="F1590" t="str">
            <v>UN-WPP Rev. 2024</v>
          </cell>
        </row>
        <row r="1591">
          <cell r="A1591" t="str">
            <v>BTN</v>
          </cell>
          <cell r="B1591">
            <v>2007</v>
          </cell>
          <cell r="C1591" t="str">
            <v>unpop_total</v>
          </cell>
          <cell r="D1591">
            <v>678641</v>
          </cell>
          <cell r="F1591" t="str">
            <v>UN-WPP Rev. 2024</v>
          </cell>
        </row>
        <row r="1592">
          <cell r="A1592" t="str">
            <v>BTN</v>
          </cell>
          <cell r="B1592">
            <v>2008</v>
          </cell>
          <cell r="C1592" t="str">
            <v>unpop_0014</v>
          </cell>
          <cell r="D1592">
            <v>211489</v>
          </cell>
          <cell r="F1592" t="str">
            <v>UN-WPP Rev. 2024</v>
          </cell>
        </row>
        <row r="1593">
          <cell r="A1593" t="str">
            <v>BTN</v>
          </cell>
          <cell r="B1593">
            <v>2008</v>
          </cell>
          <cell r="C1593" t="str">
            <v>unpop_1564</v>
          </cell>
          <cell r="D1593">
            <v>441005</v>
          </cell>
          <cell r="F1593" t="str">
            <v>UN-WPP Rev. 2024</v>
          </cell>
        </row>
        <row r="1594">
          <cell r="A1594" t="str">
            <v>BTN</v>
          </cell>
          <cell r="B1594">
            <v>2008</v>
          </cell>
          <cell r="C1594" t="str">
            <v>unpop_15up</v>
          </cell>
          <cell r="D1594">
            <v>474862.5</v>
          </cell>
          <cell r="F1594" t="str">
            <v>UN-WPP Rev. 2024</v>
          </cell>
        </row>
        <row r="1595">
          <cell r="A1595" t="str">
            <v>BTN</v>
          </cell>
          <cell r="B1595">
            <v>2008</v>
          </cell>
          <cell r="C1595" t="str">
            <v>unpop_65up</v>
          </cell>
          <cell r="D1595">
            <v>33857.5</v>
          </cell>
          <cell r="F1595" t="str">
            <v>UN-WPP Rev. 2024</v>
          </cell>
        </row>
        <row r="1596">
          <cell r="A1596" t="str">
            <v>BTN</v>
          </cell>
          <cell r="B1596">
            <v>2008</v>
          </cell>
          <cell r="C1596" t="str">
            <v>unpop_total</v>
          </cell>
          <cell r="D1596">
            <v>686351.5</v>
          </cell>
          <cell r="F1596" t="str">
            <v>UN-WPP Rev. 2024</v>
          </cell>
        </row>
        <row r="1597">
          <cell r="A1597" t="str">
            <v>BTN</v>
          </cell>
          <cell r="B1597">
            <v>2009</v>
          </cell>
          <cell r="C1597" t="str">
            <v>unpop_0014</v>
          </cell>
          <cell r="D1597">
            <v>208809.5</v>
          </cell>
          <cell r="F1597" t="str">
            <v>UN-WPP Rev. 2024</v>
          </cell>
        </row>
        <row r="1598">
          <cell r="A1598" t="str">
            <v>BTN</v>
          </cell>
          <cell r="B1598">
            <v>2009</v>
          </cell>
          <cell r="C1598" t="str">
            <v>unpop_1564</v>
          </cell>
          <cell r="D1598">
            <v>450335</v>
          </cell>
          <cell r="F1598" t="str">
            <v>UN-WPP Rev. 2024</v>
          </cell>
        </row>
        <row r="1599">
          <cell r="A1599" t="str">
            <v>BTN</v>
          </cell>
          <cell r="B1599">
            <v>2009</v>
          </cell>
          <cell r="C1599" t="str">
            <v>unpop_15up</v>
          </cell>
          <cell r="D1599">
            <v>485178.5</v>
          </cell>
          <cell r="F1599" t="str">
            <v>UN-WPP Rev. 2024</v>
          </cell>
        </row>
        <row r="1600">
          <cell r="A1600" t="str">
            <v>BTN</v>
          </cell>
          <cell r="B1600">
            <v>2009</v>
          </cell>
          <cell r="C1600" t="str">
            <v>unpop_65up</v>
          </cell>
          <cell r="D1600">
            <v>34843.5</v>
          </cell>
          <cell r="F1600" t="str">
            <v>UN-WPP Rev. 2024</v>
          </cell>
        </row>
        <row r="1601">
          <cell r="A1601" t="str">
            <v>BTN</v>
          </cell>
          <cell r="B1601">
            <v>2009</v>
          </cell>
          <cell r="C1601" t="str">
            <v>unpop_total</v>
          </cell>
          <cell r="D1601">
            <v>693988</v>
          </cell>
          <cell r="F1601" t="str">
            <v>UN-WPP Rev. 2024</v>
          </cell>
        </row>
        <row r="1602">
          <cell r="A1602" t="str">
            <v>BTN</v>
          </cell>
          <cell r="B1602">
            <v>2010</v>
          </cell>
          <cell r="C1602" t="str">
            <v>unpop_0014</v>
          </cell>
          <cell r="D1602">
            <v>206432.5</v>
          </cell>
          <cell r="F1602" t="str">
            <v>UN-WPP Rev. 2024</v>
          </cell>
        </row>
        <row r="1603">
          <cell r="A1603" t="str">
            <v>BTN</v>
          </cell>
          <cell r="B1603">
            <v>2010</v>
          </cell>
          <cell r="C1603" t="str">
            <v>unpop_1564</v>
          </cell>
          <cell r="D1603">
            <v>459312</v>
          </cell>
          <cell r="F1603" t="str">
            <v>UN-WPP Rev. 2024</v>
          </cell>
        </row>
        <row r="1604">
          <cell r="A1604" t="str">
            <v>BTN</v>
          </cell>
          <cell r="B1604">
            <v>2010</v>
          </cell>
          <cell r="C1604" t="str">
            <v>unpop_15up</v>
          </cell>
          <cell r="D1604">
            <v>495199.5</v>
          </cell>
          <cell r="F1604" t="str">
            <v>UN-WPP Rev. 2024</v>
          </cell>
        </row>
        <row r="1605">
          <cell r="A1605" t="str">
            <v>BTN</v>
          </cell>
          <cell r="B1605">
            <v>2010</v>
          </cell>
          <cell r="C1605" t="str">
            <v>unpop_65up</v>
          </cell>
          <cell r="D1605">
            <v>35887.5</v>
          </cell>
          <cell r="F1605" t="str">
            <v>UN-WPP Rev. 2024</v>
          </cell>
        </row>
        <row r="1606">
          <cell r="A1606" t="str">
            <v>BTN</v>
          </cell>
          <cell r="B1606">
            <v>2010</v>
          </cell>
          <cell r="C1606" t="str">
            <v>unpop_total</v>
          </cell>
          <cell r="D1606">
            <v>701632</v>
          </cell>
          <cell r="F1606" t="str">
            <v>UN-WPP Rev. 2024</v>
          </cell>
        </row>
        <row r="1607">
          <cell r="A1607" t="str">
            <v>BTN</v>
          </cell>
          <cell r="B1607">
            <v>2011</v>
          </cell>
          <cell r="C1607" t="str">
            <v>unpop_0014</v>
          </cell>
          <cell r="D1607">
            <v>204442</v>
          </cell>
          <cell r="F1607" t="str">
            <v>UN-WPP Rev. 2024</v>
          </cell>
        </row>
        <row r="1608">
          <cell r="A1608" t="str">
            <v>BTN</v>
          </cell>
          <cell r="B1608">
            <v>2011</v>
          </cell>
          <cell r="C1608" t="str">
            <v>unpop_1564</v>
          </cell>
          <cell r="D1608">
            <v>467961.5</v>
          </cell>
          <cell r="F1608" t="str">
            <v>UN-WPP Rev. 2024</v>
          </cell>
        </row>
        <row r="1609">
          <cell r="A1609" t="str">
            <v>BTN</v>
          </cell>
          <cell r="B1609">
            <v>2011</v>
          </cell>
          <cell r="C1609" t="str">
            <v>unpop_15up</v>
          </cell>
          <cell r="D1609">
            <v>504935</v>
          </cell>
          <cell r="F1609" t="str">
            <v>UN-WPP Rev. 2024</v>
          </cell>
        </row>
        <row r="1610">
          <cell r="A1610" t="str">
            <v>BTN</v>
          </cell>
          <cell r="B1610">
            <v>2011</v>
          </cell>
          <cell r="C1610" t="str">
            <v>unpop_65up</v>
          </cell>
          <cell r="D1610">
            <v>36973.5</v>
          </cell>
          <cell r="F1610" t="str">
            <v>UN-WPP Rev. 2024</v>
          </cell>
        </row>
        <row r="1611">
          <cell r="A1611" t="str">
            <v>BTN</v>
          </cell>
          <cell r="B1611">
            <v>2011</v>
          </cell>
          <cell r="C1611" t="str">
            <v>unpop_total</v>
          </cell>
          <cell r="D1611">
            <v>709377</v>
          </cell>
          <cell r="F1611" t="str">
            <v>UN-WPP Rev. 2024</v>
          </cell>
        </row>
        <row r="1612">
          <cell r="A1612" t="str">
            <v>BTN</v>
          </cell>
          <cell r="B1612">
            <v>2012</v>
          </cell>
          <cell r="C1612" t="str">
            <v>unpop_0014</v>
          </cell>
          <cell r="D1612">
            <v>202982.5</v>
          </cell>
          <cell r="F1612" t="str">
            <v>UN-WPP Rev. 2024</v>
          </cell>
        </row>
        <row r="1613">
          <cell r="A1613" t="str">
            <v>BTN</v>
          </cell>
          <cell r="B1613">
            <v>2012</v>
          </cell>
          <cell r="C1613" t="str">
            <v>unpop_1564</v>
          </cell>
          <cell r="D1613">
            <v>476208</v>
          </cell>
          <cell r="F1613" t="str">
            <v>UN-WPP Rev. 2024</v>
          </cell>
        </row>
        <row r="1614">
          <cell r="A1614" t="str">
            <v>BTN</v>
          </cell>
          <cell r="B1614">
            <v>2012</v>
          </cell>
          <cell r="C1614" t="str">
            <v>unpop_15up</v>
          </cell>
          <cell r="D1614">
            <v>514297</v>
          </cell>
          <cell r="F1614" t="str">
            <v>UN-WPP Rev. 2024</v>
          </cell>
        </row>
        <row r="1615">
          <cell r="A1615" t="str">
            <v>BTN</v>
          </cell>
          <cell r="B1615">
            <v>2012</v>
          </cell>
          <cell r="C1615" t="str">
            <v>unpop_65up</v>
          </cell>
          <cell r="D1615">
            <v>38089</v>
          </cell>
          <cell r="F1615" t="str">
            <v>UN-WPP Rev. 2024</v>
          </cell>
        </row>
        <row r="1616">
          <cell r="A1616" t="str">
            <v>BTN</v>
          </cell>
          <cell r="B1616">
            <v>2012</v>
          </cell>
          <cell r="C1616" t="str">
            <v>unpop_total</v>
          </cell>
          <cell r="D1616">
            <v>717279.5</v>
          </cell>
          <cell r="F1616" t="str">
            <v>UN-WPP Rev. 2024</v>
          </cell>
        </row>
        <row r="1617">
          <cell r="A1617" t="str">
            <v>BTN</v>
          </cell>
          <cell r="B1617">
            <v>2013</v>
          </cell>
          <cell r="C1617" t="str">
            <v>unpop_0014</v>
          </cell>
          <cell r="D1617">
            <v>201984.5</v>
          </cell>
          <cell r="F1617" t="str">
            <v>UN-WPP Rev. 2024</v>
          </cell>
        </row>
        <row r="1618">
          <cell r="A1618" t="str">
            <v>BTN</v>
          </cell>
          <cell r="B1618">
            <v>2013</v>
          </cell>
          <cell r="C1618" t="str">
            <v>unpop_1564</v>
          </cell>
          <cell r="D1618">
            <v>484044</v>
          </cell>
          <cell r="F1618" t="str">
            <v>UN-WPP Rev. 2024</v>
          </cell>
        </row>
        <row r="1619">
          <cell r="A1619" t="str">
            <v>BTN</v>
          </cell>
          <cell r="B1619">
            <v>2013</v>
          </cell>
          <cell r="C1619" t="str">
            <v>unpop_15up</v>
          </cell>
          <cell r="D1619">
            <v>523288.5</v>
          </cell>
          <cell r="F1619" t="str">
            <v>UN-WPP Rev. 2024</v>
          </cell>
        </row>
        <row r="1620">
          <cell r="A1620" t="str">
            <v>BTN</v>
          </cell>
          <cell r="B1620">
            <v>2013</v>
          </cell>
          <cell r="C1620" t="str">
            <v>unpop_65up</v>
          </cell>
          <cell r="D1620">
            <v>39244.5</v>
          </cell>
          <cell r="F1620" t="str">
            <v>UN-WPP Rev. 2024</v>
          </cell>
        </row>
        <row r="1621">
          <cell r="A1621" t="str">
            <v>BTN</v>
          </cell>
          <cell r="B1621">
            <v>2013</v>
          </cell>
          <cell r="C1621" t="str">
            <v>unpop_total</v>
          </cell>
          <cell r="D1621">
            <v>725273</v>
          </cell>
          <cell r="F1621" t="str">
            <v>UN-WPP Rev. 2024</v>
          </cell>
        </row>
        <row r="1622">
          <cell r="A1622" t="str">
            <v>BTN</v>
          </cell>
          <cell r="B1622">
            <v>2014</v>
          </cell>
          <cell r="C1622" t="str">
            <v>unpop_0014</v>
          </cell>
          <cell r="D1622">
            <v>201021</v>
          </cell>
          <cell r="F1622" t="str">
            <v>UN-WPP Rev. 2024</v>
          </cell>
        </row>
        <row r="1623">
          <cell r="A1623" t="str">
            <v>BTN</v>
          </cell>
          <cell r="B1623">
            <v>2014</v>
          </cell>
          <cell r="C1623" t="str">
            <v>unpop_1564</v>
          </cell>
          <cell r="D1623">
            <v>491673</v>
          </cell>
          <cell r="F1623" t="str">
            <v>UN-WPP Rev. 2024</v>
          </cell>
        </row>
        <row r="1624">
          <cell r="A1624" t="str">
            <v>BTN</v>
          </cell>
          <cell r="B1624">
            <v>2014</v>
          </cell>
          <cell r="C1624" t="str">
            <v>unpop_15up</v>
          </cell>
          <cell r="D1624">
            <v>532118.5</v>
          </cell>
          <cell r="F1624" t="str">
            <v>UN-WPP Rev. 2024</v>
          </cell>
        </row>
        <row r="1625">
          <cell r="A1625" t="str">
            <v>BTN</v>
          </cell>
          <cell r="B1625">
            <v>2014</v>
          </cell>
          <cell r="C1625" t="str">
            <v>unpop_65up</v>
          </cell>
          <cell r="D1625">
            <v>40445.5</v>
          </cell>
          <cell r="F1625" t="str">
            <v>UN-WPP Rev. 2024</v>
          </cell>
        </row>
        <row r="1626">
          <cell r="A1626" t="str">
            <v>BTN</v>
          </cell>
          <cell r="B1626">
            <v>2014</v>
          </cell>
          <cell r="C1626" t="str">
            <v>unpop_total</v>
          </cell>
          <cell r="D1626">
            <v>733139.5</v>
          </cell>
          <cell r="F1626" t="str">
            <v>UN-WPP Rev. 2024</v>
          </cell>
        </row>
        <row r="1627">
          <cell r="A1627" t="str">
            <v>BTN</v>
          </cell>
          <cell r="B1627">
            <v>2015</v>
          </cell>
          <cell r="C1627" t="str">
            <v>unpop_0014</v>
          </cell>
          <cell r="D1627">
            <v>199631</v>
          </cell>
          <cell r="F1627" t="str">
            <v>UN-WPP Rev. 2024</v>
          </cell>
        </row>
        <row r="1628">
          <cell r="A1628" t="str">
            <v>BTN</v>
          </cell>
          <cell r="B1628">
            <v>2015</v>
          </cell>
          <cell r="C1628" t="str">
            <v>unpop_1564</v>
          </cell>
          <cell r="D1628">
            <v>499266</v>
          </cell>
          <cell r="F1628" t="str">
            <v>UN-WPP Rev. 2024</v>
          </cell>
        </row>
        <row r="1629">
          <cell r="A1629" t="str">
            <v>BTN</v>
          </cell>
          <cell r="B1629">
            <v>2015</v>
          </cell>
          <cell r="C1629" t="str">
            <v>unpop_15up</v>
          </cell>
          <cell r="D1629">
            <v>540987</v>
          </cell>
          <cell r="F1629" t="str">
            <v>UN-WPP Rev. 2024</v>
          </cell>
        </row>
        <row r="1630">
          <cell r="A1630" t="str">
            <v>BTN</v>
          </cell>
          <cell r="B1630">
            <v>2015</v>
          </cell>
          <cell r="C1630" t="str">
            <v>unpop_65up</v>
          </cell>
          <cell r="D1630">
            <v>41721</v>
          </cell>
          <cell r="F1630" t="str">
            <v>UN-WPP Rev. 2024</v>
          </cell>
        </row>
        <row r="1631">
          <cell r="A1631" t="str">
            <v>BTN</v>
          </cell>
          <cell r="B1631">
            <v>2015</v>
          </cell>
          <cell r="C1631" t="str">
            <v>unpop_total</v>
          </cell>
          <cell r="D1631">
            <v>740618</v>
          </cell>
          <cell r="F1631" t="str">
            <v>UN-WPP Rev. 2024</v>
          </cell>
        </row>
        <row r="1632">
          <cell r="A1632" t="str">
            <v>BTN</v>
          </cell>
          <cell r="B1632">
            <v>2016</v>
          </cell>
          <cell r="C1632" t="str">
            <v>unpop_0014</v>
          </cell>
          <cell r="D1632">
            <v>197909.5</v>
          </cell>
          <cell r="F1632" t="str">
            <v>UN-WPP Rev. 2024</v>
          </cell>
        </row>
        <row r="1633">
          <cell r="A1633" t="str">
            <v>BTN</v>
          </cell>
          <cell r="B1633">
            <v>2016</v>
          </cell>
          <cell r="C1633" t="str">
            <v>unpop_1564</v>
          </cell>
          <cell r="D1633">
            <v>506860.5</v>
          </cell>
          <cell r="F1633" t="str">
            <v>UN-WPP Rev. 2024</v>
          </cell>
        </row>
        <row r="1634">
          <cell r="A1634" t="str">
            <v>BTN</v>
          </cell>
          <cell r="B1634">
            <v>2016</v>
          </cell>
          <cell r="C1634" t="str">
            <v>unpop_15up</v>
          </cell>
          <cell r="D1634">
            <v>549956.5</v>
          </cell>
          <cell r="F1634" t="str">
            <v>UN-WPP Rev. 2024</v>
          </cell>
        </row>
        <row r="1635">
          <cell r="A1635" t="str">
            <v>BTN</v>
          </cell>
          <cell r="B1635">
            <v>2016</v>
          </cell>
          <cell r="C1635" t="str">
            <v>unpop_65up</v>
          </cell>
          <cell r="D1635">
            <v>43096</v>
          </cell>
          <cell r="F1635" t="str">
            <v>UN-WPP Rev. 2024</v>
          </cell>
        </row>
        <row r="1636">
          <cell r="A1636" t="str">
            <v>BTN</v>
          </cell>
          <cell r="B1636">
            <v>2016</v>
          </cell>
          <cell r="C1636" t="str">
            <v>unpop_total</v>
          </cell>
          <cell r="D1636">
            <v>747866</v>
          </cell>
          <cell r="F1636" t="str">
            <v>UN-WPP Rev. 2024</v>
          </cell>
        </row>
        <row r="1637">
          <cell r="A1637" t="str">
            <v>BTN</v>
          </cell>
          <cell r="B1637">
            <v>2017</v>
          </cell>
          <cell r="C1637" t="str">
            <v>unpop_0014</v>
          </cell>
          <cell r="D1637">
            <v>194764.5</v>
          </cell>
          <cell r="F1637" t="str">
            <v>UN-WPP Rev. 2024</v>
          </cell>
        </row>
        <row r="1638">
          <cell r="A1638" t="str">
            <v>BTN</v>
          </cell>
          <cell r="B1638">
            <v>2017</v>
          </cell>
          <cell r="C1638" t="str">
            <v>unpop_1564</v>
          </cell>
          <cell r="D1638">
            <v>515542</v>
          </cell>
          <cell r="F1638" t="str">
            <v>UN-WPP Rev. 2024</v>
          </cell>
        </row>
        <row r="1639">
          <cell r="A1639" t="str">
            <v>BTN</v>
          </cell>
          <cell r="B1639">
            <v>2017</v>
          </cell>
          <cell r="C1639" t="str">
            <v>unpop_15up</v>
          </cell>
          <cell r="D1639">
            <v>559570</v>
          </cell>
          <cell r="F1639" t="str">
            <v>UN-WPP Rev. 2024</v>
          </cell>
        </row>
        <row r="1640">
          <cell r="A1640" t="str">
            <v>BTN</v>
          </cell>
          <cell r="B1640">
            <v>2017</v>
          </cell>
          <cell r="C1640" t="str">
            <v>unpop_65up</v>
          </cell>
          <cell r="D1640">
            <v>44028</v>
          </cell>
          <cell r="F1640" t="str">
            <v>UN-WPP Rev. 2024</v>
          </cell>
        </row>
        <row r="1641">
          <cell r="A1641" t="str">
            <v>BTN</v>
          </cell>
          <cell r="B1641">
            <v>2017</v>
          </cell>
          <cell r="C1641" t="str">
            <v>unpop_total</v>
          </cell>
          <cell r="D1641">
            <v>754334.5</v>
          </cell>
          <cell r="F1641" t="str">
            <v>UN-WPP Rev. 2024</v>
          </cell>
        </row>
        <row r="1642">
          <cell r="A1642" t="str">
            <v>BTN</v>
          </cell>
          <cell r="B1642">
            <v>2018</v>
          </cell>
          <cell r="C1642" t="str">
            <v>unpop_0014</v>
          </cell>
          <cell r="D1642">
            <v>189957.5</v>
          </cell>
          <cell r="F1642" t="str">
            <v>UN-WPP Rev. 2024</v>
          </cell>
        </row>
        <row r="1643">
          <cell r="A1643" t="str">
            <v>BTN</v>
          </cell>
          <cell r="B1643">
            <v>2018</v>
          </cell>
          <cell r="C1643" t="str">
            <v>unpop_1564</v>
          </cell>
          <cell r="D1643">
            <v>525229</v>
          </cell>
          <cell r="F1643" t="str">
            <v>UN-WPP Rev. 2024</v>
          </cell>
        </row>
        <row r="1644">
          <cell r="A1644" t="str">
            <v>BTN</v>
          </cell>
          <cell r="B1644">
            <v>2018</v>
          </cell>
          <cell r="C1644" t="str">
            <v>unpop_15up</v>
          </cell>
          <cell r="D1644">
            <v>569801.5</v>
          </cell>
          <cell r="F1644" t="str">
            <v>UN-WPP Rev. 2024</v>
          </cell>
        </row>
        <row r="1645">
          <cell r="A1645" t="str">
            <v>BTN</v>
          </cell>
          <cell r="B1645">
            <v>2018</v>
          </cell>
          <cell r="C1645" t="str">
            <v>unpop_65up</v>
          </cell>
          <cell r="D1645">
            <v>44572.5</v>
          </cell>
          <cell r="F1645" t="str">
            <v>UN-WPP Rev. 2024</v>
          </cell>
        </row>
        <row r="1646">
          <cell r="A1646" t="str">
            <v>BTN</v>
          </cell>
          <cell r="B1646">
            <v>2018</v>
          </cell>
          <cell r="C1646" t="str">
            <v>unpop_total</v>
          </cell>
          <cell r="D1646">
            <v>759759</v>
          </cell>
          <cell r="F1646" t="str">
            <v>UN-WPP Rev. 2024</v>
          </cell>
        </row>
        <row r="1647">
          <cell r="A1647" t="str">
            <v>BTN</v>
          </cell>
          <cell r="B1647">
            <v>2019</v>
          </cell>
          <cell r="C1647" t="str">
            <v>unpop_0014</v>
          </cell>
          <cell r="D1647">
            <v>184808.5</v>
          </cell>
          <cell r="F1647" t="str">
            <v>UN-WPP Rev. 2024</v>
          </cell>
        </row>
        <row r="1648">
          <cell r="A1648" t="str">
            <v>BTN</v>
          </cell>
          <cell r="B1648">
            <v>2019</v>
          </cell>
          <cell r="C1648" t="str">
            <v>unpop_1564</v>
          </cell>
          <cell r="D1648">
            <v>534677</v>
          </cell>
          <cell r="F1648" t="str">
            <v>UN-WPP Rev. 2024</v>
          </cell>
        </row>
        <row r="1649">
          <cell r="A1649" t="str">
            <v>BTN</v>
          </cell>
          <cell r="B1649">
            <v>2019</v>
          </cell>
          <cell r="C1649" t="str">
            <v>unpop_15up</v>
          </cell>
          <cell r="D1649">
            <v>580015.5</v>
          </cell>
          <cell r="F1649" t="str">
            <v>UN-WPP Rev. 2024</v>
          </cell>
        </row>
        <row r="1650">
          <cell r="A1650" t="str">
            <v>BTN</v>
          </cell>
          <cell r="B1650">
            <v>2019</v>
          </cell>
          <cell r="C1650" t="str">
            <v>unpop_65up</v>
          </cell>
          <cell r="D1650">
            <v>45338.5</v>
          </cell>
          <cell r="F1650" t="str">
            <v>UN-WPP Rev. 2024</v>
          </cell>
        </row>
        <row r="1651">
          <cell r="A1651" t="str">
            <v>BTN</v>
          </cell>
          <cell r="B1651">
            <v>2019</v>
          </cell>
          <cell r="C1651" t="str">
            <v>unpop_total</v>
          </cell>
          <cell r="D1651">
            <v>764824</v>
          </cell>
          <cell r="F1651" t="str">
            <v>UN-WPP Rev. 2024</v>
          </cell>
        </row>
        <row r="1652">
          <cell r="A1652" t="str">
            <v>BTN</v>
          </cell>
          <cell r="B1652">
            <v>2020</v>
          </cell>
          <cell r="C1652" t="str">
            <v>unpop_0014</v>
          </cell>
          <cell r="D1652">
            <v>179977</v>
          </cell>
          <cell r="F1652" t="str">
            <v>UN-WPP Rev. 2024</v>
          </cell>
        </row>
        <row r="1653">
          <cell r="A1653" t="str">
            <v>BTN</v>
          </cell>
          <cell r="B1653">
            <v>2020</v>
          </cell>
          <cell r="C1653" t="str">
            <v>unpop_1564</v>
          </cell>
          <cell r="D1653">
            <v>543690</v>
          </cell>
          <cell r="F1653" t="str">
            <v>UN-WPP Rev. 2024</v>
          </cell>
        </row>
        <row r="1654">
          <cell r="A1654" t="str">
            <v>BTN</v>
          </cell>
          <cell r="B1654">
            <v>2020</v>
          </cell>
          <cell r="C1654" t="str">
            <v>unpop_15up</v>
          </cell>
          <cell r="D1654">
            <v>590029</v>
          </cell>
          <cell r="F1654" t="str">
            <v>UN-WPP Rev. 2024</v>
          </cell>
        </row>
        <row r="1655">
          <cell r="A1655" t="str">
            <v>BTN</v>
          </cell>
          <cell r="B1655">
            <v>2020</v>
          </cell>
          <cell r="C1655" t="str">
            <v>unpop_65up</v>
          </cell>
          <cell r="D1655">
            <v>46339</v>
          </cell>
          <cell r="F1655" t="str">
            <v>UN-WPP Rev. 2024</v>
          </cell>
        </row>
        <row r="1656">
          <cell r="A1656" t="str">
            <v>BTN</v>
          </cell>
          <cell r="B1656">
            <v>2020</v>
          </cell>
          <cell r="C1656" t="str">
            <v>unpop_total</v>
          </cell>
          <cell r="D1656">
            <v>770006</v>
          </cell>
          <cell r="F1656" t="str">
            <v>UN-WPP Rev. 2024</v>
          </cell>
        </row>
        <row r="1657">
          <cell r="A1657" t="str">
            <v>BTN</v>
          </cell>
          <cell r="B1657">
            <v>2021</v>
          </cell>
          <cell r="C1657" t="str">
            <v>unpop_0014</v>
          </cell>
          <cell r="D1657">
            <v>175794.5</v>
          </cell>
          <cell r="F1657" t="str">
            <v>UN-WPP Rev. 2024</v>
          </cell>
        </row>
        <row r="1658">
          <cell r="A1658" t="str">
            <v>BTN</v>
          </cell>
          <cell r="B1658">
            <v>2021</v>
          </cell>
          <cell r="C1658" t="str">
            <v>unpop_1564</v>
          </cell>
          <cell r="D1658">
            <v>552138.5</v>
          </cell>
          <cell r="F1658" t="str">
            <v>UN-WPP Rev. 2024</v>
          </cell>
        </row>
        <row r="1659">
          <cell r="A1659" t="str">
            <v>BTN</v>
          </cell>
          <cell r="B1659">
            <v>2021</v>
          </cell>
          <cell r="C1659" t="str">
            <v>unpop_15up</v>
          </cell>
          <cell r="D1659">
            <v>599647</v>
          </cell>
          <cell r="F1659" t="str">
            <v>UN-WPP Rev. 2024</v>
          </cell>
        </row>
        <row r="1660">
          <cell r="A1660" t="str">
            <v>BTN</v>
          </cell>
          <cell r="B1660">
            <v>2021</v>
          </cell>
          <cell r="C1660" t="str">
            <v>unpop_65up</v>
          </cell>
          <cell r="D1660">
            <v>47508.5</v>
          </cell>
          <cell r="F1660" t="str">
            <v>UN-WPP Rev. 2024</v>
          </cell>
        </row>
        <row r="1661">
          <cell r="A1661" t="str">
            <v>BTN</v>
          </cell>
          <cell r="B1661">
            <v>2021</v>
          </cell>
          <cell r="C1661" t="str">
            <v>unpop_total</v>
          </cell>
          <cell r="D1661">
            <v>775441.5</v>
          </cell>
          <cell r="F1661" t="str">
            <v>UN-WPP Rev. 2024</v>
          </cell>
        </row>
        <row r="1662">
          <cell r="A1662" t="str">
            <v>BTN</v>
          </cell>
          <cell r="B1662">
            <v>2022</v>
          </cell>
          <cell r="C1662" t="str">
            <v>unpop_0014</v>
          </cell>
          <cell r="D1662">
            <v>172105</v>
          </cell>
          <cell r="F1662" t="str">
            <v>UN-WPP Rev. 2024</v>
          </cell>
        </row>
        <row r="1663">
          <cell r="A1663" t="str">
            <v>BTN</v>
          </cell>
          <cell r="B1663">
            <v>2022</v>
          </cell>
          <cell r="C1663" t="str">
            <v>unpop_1564</v>
          </cell>
          <cell r="D1663">
            <v>560035.5</v>
          </cell>
          <cell r="F1663" t="str">
            <v>UN-WPP Rev. 2024</v>
          </cell>
        </row>
        <row r="1664">
          <cell r="A1664" t="str">
            <v>BTN</v>
          </cell>
          <cell r="B1664">
            <v>2022</v>
          </cell>
          <cell r="C1664" t="str">
            <v>unpop_15up</v>
          </cell>
          <cell r="D1664">
            <v>608809.5</v>
          </cell>
          <cell r="F1664" t="str">
            <v>UN-WPP Rev. 2024</v>
          </cell>
        </row>
        <row r="1665">
          <cell r="A1665" t="str">
            <v>BTN</v>
          </cell>
          <cell r="B1665">
            <v>2022</v>
          </cell>
          <cell r="C1665" t="str">
            <v>unpop_65up</v>
          </cell>
          <cell r="D1665">
            <v>48774</v>
          </cell>
          <cell r="F1665" t="str">
            <v>UN-WPP Rev. 2024</v>
          </cell>
        </row>
        <row r="1666">
          <cell r="A1666" t="str">
            <v>BTN</v>
          </cell>
          <cell r="B1666">
            <v>2022</v>
          </cell>
          <cell r="C1666" t="str">
            <v>unpop_total</v>
          </cell>
          <cell r="D1666">
            <v>780914.5</v>
          </cell>
          <cell r="F1666" t="str">
            <v>UN-WPP Rev. 2024</v>
          </cell>
        </row>
        <row r="1667">
          <cell r="A1667" t="str">
            <v>BTN</v>
          </cell>
          <cell r="B1667">
            <v>2023</v>
          </cell>
          <cell r="C1667" t="str">
            <v>unpop_0014</v>
          </cell>
          <cell r="D1667">
            <v>168770</v>
          </cell>
          <cell r="F1667" t="str">
            <v>UN-WPP Rev. 2024</v>
          </cell>
        </row>
        <row r="1668">
          <cell r="A1668" t="str">
            <v>BTN</v>
          </cell>
          <cell r="B1668">
            <v>2023</v>
          </cell>
          <cell r="C1668" t="str">
            <v>unpop_1564</v>
          </cell>
          <cell r="D1668">
            <v>567532.5</v>
          </cell>
          <cell r="F1668" t="str">
            <v>UN-WPP Rev. 2024</v>
          </cell>
        </row>
        <row r="1669">
          <cell r="A1669" t="str">
            <v>BTN</v>
          </cell>
          <cell r="B1669">
            <v>2023</v>
          </cell>
          <cell r="C1669" t="str">
            <v>unpop_15up</v>
          </cell>
          <cell r="D1669">
            <v>617615</v>
          </cell>
          <cell r="F1669" t="str">
            <v>UN-WPP Rev. 2024</v>
          </cell>
        </row>
        <row r="1670">
          <cell r="A1670" t="str">
            <v>BTN</v>
          </cell>
          <cell r="B1670">
            <v>2023</v>
          </cell>
          <cell r="C1670" t="str">
            <v>unpop_65up</v>
          </cell>
          <cell r="D1670">
            <v>50082.5</v>
          </cell>
          <cell r="F1670" t="str">
            <v>UN-WPP Rev. 2024</v>
          </cell>
        </row>
        <row r="1671">
          <cell r="A1671" t="str">
            <v>BTN</v>
          </cell>
          <cell r="B1671">
            <v>2023</v>
          </cell>
          <cell r="C1671" t="str">
            <v>unpop_total</v>
          </cell>
          <cell r="D1671">
            <v>786385</v>
          </cell>
          <cell r="F1671" t="str">
            <v>UN-WPP Rev. 2024</v>
          </cell>
        </row>
        <row r="1672">
          <cell r="A1672" t="str">
            <v>BTN</v>
          </cell>
          <cell r="B1672">
            <v>2024</v>
          </cell>
          <cell r="C1672" t="str">
            <v>unpop_0014</v>
          </cell>
          <cell r="D1672">
            <v>165503</v>
          </cell>
          <cell r="F1672" t="str">
            <v>UN-WPP Rev. 2024</v>
          </cell>
        </row>
        <row r="1673">
          <cell r="A1673" t="str">
            <v>BTN</v>
          </cell>
          <cell r="B1673">
            <v>2024</v>
          </cell>
          <cell r="C1673" t="str">
            <v>unpop_1564</v>
          </cell>
          <cell r="D1673">
            <v>574618</v>
          </cell>
          <cell r="F1673" t="str">
            <v>UN-WPP Rev. 2024</v>
          </cell>
        </row>
        <row r="1674">
          <cell r="A1674" t="str">
            <v>BTN</v>
          </cell>
          <cell r="B1674">
            <v>2024</v>
          </cell>
          <cell r="C1674" t="str">
            <v>unpop_15up</v>
          </cell>
          <cell r="D1674">
            <v>626021.5</v>
          </cell>
          <cell r="F1674" t="str">
            <v>UN-WPP Rev. 2024</v>
          </cell>
        </row>
        <row r="1675">
          <cell r="A1675" t="str">
            <v>BTN</v>
          </cell>
          <cell r="B1675">
            <v>2024</v>
          </cell>
          <cell r="C1675" t="str">
            <v>unpop_65up</v>
          </cell>
          <cell r="D1675">
            <v>51403.5</v>
          </cell>
          <cell r="F1675" t="str">
            <v>UN-WPP Rev. 2024</v>
          </cell>
        </row>
        <row r="1676">
          <cell r="A1676" t="str">
            <v>BTN</v>
          </cell>
          <cell r="B1676">
            <v>2024</v>
          </cell>
          <cell r="C1676" t="str">
            <v>unpop_total</v>
          </cell>
          <cell r="D1676">
            <v>791524.5</v>
          </cell>
          <cell r="F1676" t="str">
            <v>UN-WPP Rev. 2024</v>
          </cell>
        </row>
        <row r="1677">
          <cell r="A1677" t="str">
            <v>BTN</v>
          </cell>
          <cell r="B1677">
            <v>2025</v>
          </cell>
          <cell r="C1677" t="str">
            <v>unpop_0014</v>
          </cell>
          <cell r="D1677">
            <v>162213</v>
          </cell>
          <cell r="F1677" t="str">
            <v>UN-WPP Rev. 2024</v>
          </cell>
        </row>
        <row r="1678">
          <cell r="A1678" t="str">
            <v>BTN</v>
          </cell>
          <cell r="B1678">
            <v>2025</v>
          </cell>
          <cell r="C1678" t="str">
            <v>unpop_1564</v>
          </cell>
          <cell r="D1678">
            <v>581670</v>
          </cell>
          <cell r="F1678" t="str">
            <v>UN-WPP Rev. 2024</v>
          </cell>
        </row>
        <row r="1679">
          <cell r="A1679" t="str">
            <v>BTN</v>
          </cell>
          <cell r="B1679">
            <v>2025</v>
          </cell>
          <cell r="C1679" t="str">
            <v>unpop_15up</v>
          </cell>
          <cell r="D1679">
            <v>634468.5</v>
          </cell>
          <cell r="F1679" t="str">
            <v>UN-WPP Rev. 2024</v>
          </cell>
        </row>
        <row r="1680">
          <cell r="A1680" t="str">
            <v>BTN</v>
          </cell>
          <cell r="B1680">
            <v>2025</v>
          </cell>
          <cell r="C1680" t="str">
            <v>unpop_65up</v>
          </cell>
          <cell r="D1680">
            <v>52798.5</v>
          </cell>
          <cell r="F1680" t="str">
            <v>UN-WPP Rev. 2024</v>
          </cell>
        </row>
        <row r="1681">
          <cell r="A1681" t="str">
            <v>BTN</v>
          </cell>
          <cell r="B1681">
            <v>2025</v>
          </cell>
          <cell r="C1681" t="str">
            <v>unpop_total</v>
          </cell>
          <cell r="D1681">
            <v>796681.5</v>
          </cell>
          <cell r="F1681" t="str">
            <v>UN-WPP Rev. 2024</v>
          </cell>
        </row>
        <row r="1682">
          <cell r="A1682" t="str">
            <v>BTN</v>
          </cell>
          <cell r="B1682">
            <v>2026</v>
          </cell>
          <cell r="C1682" t="str">
            <v>unpop_0014</v>
          </cell>
          <cell r="D1682">
            <v>158934</v>
          </cell>
          <cell r="F1682" t="str">
            <v>UN-WPP Rev. 2024</v>
          </cell>
        </row>
        <row r="1683">
          <cell r="A1683" t="str">
            <v>BTN</v>
          </cell>
          <cell r="B1683">
            <v>2026</v>
          </cell>
          <cell r="C1683" t="str">
            <v>unpop_1564</v>
          </cell>
          <cell r="D1683">
            <v>588972</v>
          </cell>
          <cell r="F1683" t="str">
            <v>UN-WPP Rev. 2024</v>
          </cell>
        </row>
        <row r="1684">
          <cell r="A1684" t="str">
            <v>BTN</v>
          </cell>
          <cell r="B1684">
            <v>2026</v>
          </cell>
          <cell r="C1684" t="str">
            <v>unpop_15up</v>
          </cell>
          <cell r="D1684">
            <v>643280</v>
          </cell>
          <cell r="F1684" t="str">
            <v>UN-WPP Rev. 2024</v>
          </cell>
        </row>
        <row r="1685">
          <cell r="A1685" t="str">
            <v>BTN</v>
          </cell>
          <cell r="B1685">
            <v>2026</v>
          </cell>
          <cell r="C1685" t="str">
            <v>unpop_65up</v>
          </cell>
          <cell r="D1685">
            <v>54308</v>
          </cell>
          <cell r="F1685" t="str">
            <v>UN-WPP Rev. 2024</v>
          </cell>
        </row>
        <row r="1686">
          <cell r="A1686" t="str">
            <v>BTN</v>
          </cell>
          <cell r="B1686">
            <v>2026</v>
          </cell>
          <cell r="C1686" t="str">
            <v>unpop_total</v>
          </cell>
          <cell r="D1686">
            <v>802214</v>
          </cell>
          <cell r="F1686" t="str">
            <v>UN-WPP Rev. 2024</v>
          </cell>
        </row>
        <row r="1687">
          <cell r="A1687" t="str">
            <v>BTN</v>
          </cell>
          <cell r="B1687">
            <v>2027</v>
          </cell>
          <cell r="C1687" t="str">
            <v>unpop_0014</v>
          </cell>
          <cell r="D1687">
            <v>155538.5</v>
          </cell>
          <cell r="F1687" t="str">
            <v>UN-WPP Rev. 2024</v>
          </cell>
        </row>
        <row r="1688">
          <cell r="A1688" t="str">
            <v>BTN</v>
          </cell>
          <cell r="B1688">
            <v>2027</v>
          </cell>
          <cell r="C1688" t="str">
            <v>unpop_1564</v>
          </cell>
          <cell r="D1688">
            <v>595825</v>
          </cell>
          <cell r="F1688" t="str">
            <v>UN-WPP Rev. 2024</v>
          </cell>
        </row>
        <row r="1689">
          <cell r="A1689" t="str">
            <v>BTN</v>
          </cell>
          <cell r="B1689">
            <v>2027</v>
          </cell>
          <cell r="C1689" t="str">
            <v>unpop_15up</v>
          </cell>
          <cell r="D1689">
            <v>651726.5</v>
          </cell>
          <cell r="F1689" t="str">
            <v>UN-WPP Rev. 2024</v>
          </cell>
        </row>
        <row r="1690">
          <cell r="A1690" t="str">
            <v>BTN</v>
          </cell>
          <cell r="B1690">
            <v>2027</v>
          </cell>
          <cell r="C1690" t="str">
            <v>unpop_65up</v>
          </cell>
          <cell r="D1690">
            <v>55901.5</v>
          </cell>
          <cell r="F1690" t="str">
            <v>UN-WPP Rev. 2024</v>
          </cell>
        </row>
        <row r="1691">
          <cell r="A1691" t="str">
            <v>BTN</v>
          </cell>
          <cell r="B1691">
            <v>2027</v>
          </cell>
          <cell r="C1691" t="str">
            <v>unpop_total</v>
          </cell>
          <cell r="D1691">
            <v>807265</v>
          </cell>
          <cell r="F1691" t="str">
            <v>UN-WPP Rev. 2024</v>
          </cell>
        </row>
        <row r="1692">
          <cell r="A1692" t="str">
            <v>BTN</v>
          </cell>
          <cell r="B1692">
            <v>2028</v>
          </cell>
          <cell r="C1692" t="str">
            <v>unpop_0014</v>
          </cell>
          <cell r="D1692">
            <v>152207</v>
          </cell>
          <cell r="F1692" t="str">
            <v>UN-WPP Rev. 2024</v>
          </cell>
        </row>
        <row r="1693">
          <cell r="A1693" t="str">
            <v>BTN</v>
          </cell>
          <cell r="B1693">
            <v>2028</v>
          </cell>
          <cell r="C1693" t="str">
            <v>unpop_1564</v>
          </cell>
          <cell r="D1693">
            <v>602052</v>
          </cell>
          <cell r="F1693" t="str">
            <v>UN-WPP Rev. 2024</v>
          </cell>
        </row>
        <row r="1694">
          <cell r="A1694" t="str">
            <v>BTN</v>
          </cell>
          <cell r="B1694">
            <v>2028</v>
          </cell>
          <cell r="C1694" t="str">
            <v>unpop_15up</v>
          </cell>
          <cell r="D1694">
            <v>659634.5</v>
          </cell>
          <cell r="F1694" t="str">
            <v>UN-WPP Rev. 2024</v>
          </cell>
        </row>
        <row r="1695">
          <cell r="A1695" t="str">
            <v>BTN</v>
          </cell>
          <cell r="B1695">
            <v>2028</v>
          </cell>
          <cell r="C1695" t="str">
            <v>unpop_65up</v>
          </cell>
          <cell r="D1695">
            <v>57582.5</v>
          </cell>
          <cell r="F1695" t="str">
            <v>UN-WPP Rev. 2024</v>
          </cell>
        </row>
        <row r="1696">
          <cell r="A1696" t="str">
            <v>BTN</v>
          </cell>
          <cell r="B1696">
            <v>2028</v>
          </cell>
          <cell r="C1696" t="str">
            <v>unpop_total</v>
          </cell>
          <cell r="D1696">
            <v>811841.5</v>
          </cell>
          <cell r="F1696" t="str">
            <v>UN-WPP Rev. 2024</v>
          </cell>
        </row>
        <row r="1697">
          <cell r="A1697" t="str">
            <v>BTN</v>
          </cell>
          <cell r="B1697">
            <v>2029</v>
          </cell>
          <cell r="C1697" t="str">
            <v>unpop_0014</v>
          </cell>
          <cell r="D1697">
            <v>149296.5</v>
          </cell>
          <cell r="F1697" t="str">
            <v>UN-WPP Rev. 2024</v>
          </cell>
        </row>
        <row r="1698">
          <cell r="A1698" t="str">
            <v>BTN</v>
          </cell>
          <cell r="B1698">
            <v>2029</v>
          </cell>
          <cell r="C1698" t="str">
            <v>unpop_1564</v>
          </cell>
          <cell r="D1698">
            <v>607586.5</v>
          </cell>
          <cell r="F1698" t="str">
            <v>UN-WPP Rev. 2024</v>
          </cell>
        </row>
        <row r="1699">
          <cell r="A1699" t="str">
            <v>BTN</v>
          </cell>
          <cell r="B1699">
            <v>2029</v>
          </cell>
          <cell r="C1699" t="str">
            <v>unpop_15up</v>
          </cell>
          <cell r="D1699">
            <v>666974.5</v>
          </cell>
          <cell r="F1699" t="str">
            <v>UN-WPP Rev. 2024</v>
          </cell>
        </row>
        <row r="1700">
          <cell r="A1700" t="str">
            <v>BTN</v>
          </cell>
          <cell r="B1700">
            <v>2029</v>
          </cell>
          <cell r="C1700" t="str">
            <v>unpop_65up</v>
          </cell>
          <cell r="D1700">
            <v>59388</v>
          </cell>
          <cell r="F1700" t="str">
            <v>UN-WPP Rev. 2024</v>
          </cell>
        </row>
        <row r="1701">
          <cell r="A1701" t="str">
            <v>BTN</v>
          </cell>
          <cell r="B1701">
            <v>2029</v>
          </cell>
          <cell r="C1701" t="str">
            <v>unpop_total</v>
          </cell>
          <cell r="D1701">
            <v>816271</v>
          </cell>
          <cell r="F1701" t="str">
            <v>UN-WPP Rev. 2024</v>
          </cell>
        </row>
        <row r="1702">
          <cell r="A1702" t="str">
            <v>BTN</v>
          </cell>
          <cell r="B1702">
            <v>2030</v>
          </cell>
          <cell r="C1702" t="str">
            <v>unpop_0014</v>
          </cell>
          <cell r="D1702">
            <v>147069.5</v>
          </cell>
          <cell r="F1702" t="str">
            <v>UN-WPP Rev. 2024</v>
          </cell>
        </row>
        <row r="1703">
          <cell r="A1703" t="str">
            <v>BTN</v>
          </cell>
          <cell r="B1703">
            <v>2030</v>
          </cell>
          <cell r="C1703" t="str">
            <v>unpop_1564</v>
          </cell>
          <cell r="D1703">
            <v>612222.5</v>
          </cell>
          <cell r="F1703" t="str">
            <v>UN-WPP Rev. 2024</v>
          </cell>
        </row>
        <row r="1704">
          <cell r="A1704" t="str">
            <v>BTN</v>
          </cell>
          <cell r="B1704">
            <v>2030</v>
          </cell>
          <cell r="C1704" t="str">
            <v>unpop_15up</v>
          </cell>
          <cell r="D1704">
            <v>673624.5</v>
          </cell>
          <cell r="F1704" t="str">
            <v>UN-WPP Rev. 2024</v>
          </cell>
        </row>
        <row r="1705">
          <cell r="A1705" t="str">
            <v>BTN</v>
          </cell>
          <cell r="B1705">
            <v>2030</v>
          </cell>
          <cell r="C1705" t="str">
            <v>unpop_65up</v>
          </cell>
          <cell r="D1705">
            <v>61402</v>
          </cell>
          <cell r="F1705" t="str">
            <v>UN-WPP Rev. 2024</v>
          </cell>
        </row>
        <row r="1706">
          <cell r="A1706" t="str">
            <v>BTN</v>
          </cell>
          <cell r="B1706">
            <v>2030</v>
          </cell>
          <cell r="C1706" t="str">
            <v>unpop_total</v>
          </cell>
          <cell r="D1706">
            <v>820694</v>
          </cell>
          <cell r="F1706" t="str">
            <v>UN-WPP Rev. 2024</v>
          </cell>
        </row>
        <row r="1707">
          <cell r="A1707" t="str">
            <v>IND</v>
          </cell>
          <cell r="B1707">
            <v>2000</v>
          </cell>
          <cell r="C1707" t="str">
            <v>unpop_0014</v>
          </cell>
          <cell r="D1707">
            <v>376124150</v>
          </cell>
          <cell r="F1707" t="str">
            <v>UN-WPP Rev. 2024</v>
          </cell>
        </row>
        <row r="1708">
          <cell r="A1708" t="str">
            <v>IND</v>
          </cell>
          <cell r="B1708">
            <v>2000</v>
          </cell>
          <cell r="C1708" t="str">
            <v>unpop_1564</v>
          </cell>
          <cell r="D1708">
            <v>635137975.5</v>
          </cell>
          <cell r="F1708" t="str">
            <v>UN-WPP Rev. 2024</v>
          </cell>
        </row>
        <row r="1709">
          <cell r="A1709" t="str">
            <v>IND</v>
          </cell>
          <cell r="B1709">
            <v>2000</v>
          </cell>
          <cell r="C1709" t="str">
            <v>unpop_15up</v>
          </cell>
          <cell r="D1709">
            <v>681798583</v>
          </cell>
          <cell r="F1709" t="str">
            <v>UN-WPP Rev. 2024</v>
          </cell>
        </row>
        <row r="1710">
          <cell r="A1710" t="str">
            <v>IND</v>
          </cell>
          <cell r="B1710">
            <v>2000</v>
          </cell>
          <cell r="C1710" t="str">
            <v>unpop_65up</v>
          </cell>
          <cell r="D1710">
            <v>46660607.5</v>
          </cell>
          <cell r="F1710" t="str">
            <v>UN-WPP Rev. 2024</v>
          </cell>
        </row>
        <row r="1711">
          <cell r="A1711" t="str">
            <v>IND</v>
          </cell>
          <cell r="B1711">
            <v>2000</v>
          </cell>
          <cell r="C1711" t="str">
            <v>unpop_total</v>
          </cell>
          <cell r="D1711">
            <v>1057922733</v>
          </cell>
          <cell r="F1711" t="str">
            <v>UN-WPP Rev. 2024</v>
          </cell>
        </row>
        <row r="1712">
          <cell r="A1712" t="str">
            <v>IND</v>
          </cell>
          <cell r="B1712">
            <v>2001</v>
          </cell>
          <cell r="C1712" t="str">
            <v>unpop_0014</v>
          </cell>
          <cell r="D1712">
            <v>379060195.5</v>
          </cell>
          <cell r="F1712" t="str">
            <v>UN-WPP Rev. 2024</v>
          </cell>
        </row>
        <row r="1713">
          <cell r="A1713" t="str">
            <v>IND</v>
          </cell>
          <cell r="B1713">
            <v>2001</v>
          </cell>
          <cell r="C1713" t="str">
            <v>unpop_1564</v>
          </cell>
          <cell r="D1713">
            <v>650750260</v>
          </cell>
          <cell r="F1713" t="str">
            <v>UN-WPP Rev. 2024</v>
          </cell>
        </row>
        <row r="1714">
          <cell r="A1714" t="str">
            <v>IND</v>
          </cell>
          <cell r="B1714">
            <v>2001</v>
          </cell>
          <cell r="C1714" t="str">
            <v>unpop_15up</v>
          </cell>
          <cell r="D1714">
            <v>698838379.5</v>
          </cell>
          <cell r="F1714" t="str">
            <v>UN-WPP Rev. 2024</v>
          </cell>
        </row>
        <row r="1715">
          <cell r="A1715" t="str">
            <v>IND</v>
          </cell>
          <cell r="B1715">
            <v>2001</v>
          </cell>
          <cell r="C1715" t="str">
            <v>unpop_65up</v>
          </cell>
          <cell r="D1715">
            <v>48088119.5</v>
          </cell>
          <cell r="F1715" t="str">
            <v>UN-WPP Rev. 2024</v>
          </cell>
        </row>
        <row r="1716">
          <cell r="A1716" t="str">
            <v>IND</v>
          </cell>
          <cell r="B1716">
            <v>2001</v>
          </cell>
          <cell r="C1716" t="str">
            <v>unpop_total</v>
          </cell>
          <cell r="D1716">
            <v>1077898575</v>
          </cell>
          <cell r="F1716" t="str">
            <v>UN-WPP Rev. 2024</v>
          </cell>
        </row>
        <row r="1717">
          <cell r="A1717" t="str">
            <v>IND</v>
          </cell>
          <cell r="B1717">
            <v>2002</v>
          </cell>
          <cell r="C1717" t="str">
            <v>unpop_0014</v>
          </cell>
          <cell r="D1717">
            <v>381748169</v>
          </cell>
          <cell r="F1717" t="str">
            <v>UN-WPP Rev. 2024</v>
          </cell>
        </row>
        <row r="1718">
          <cell r="A1718" t="str">
            <v>IND</v>
          </cell>
          <cell r="B1718">
            <v>2002</v>
          </cell>
          <cell r="C1718" t="str">
            <v>unpop_1564</v>
          </cell>
          <cell r="D1718">
            <v>666281546.5</v>
          </cell>
          <cell r="F1718" t="str">
            <v>UN-WPP Rev. 2024</v>
          </cell>
        </row>
        <row r="1719">
          <cell r="A1719" t="str">
            <v>IND</v>
          </cell>
          <cell r="B1719">
            <v>2002</v>
          </cell>
          <cell r="C1719" t="str">
            <v>unpop_15up</v>
          </cell>
          <cell r="D1719">
            <v>715852211.5</v>
          </cell>
          <cell r="F1719" t="str">
            <v>UN-WPP Rev. 2024</v>
          </cell>
        </row>
        <row r="1720">
          <cell r="A1720" t="str">
            <v>IND</v>
          </cell>
          <cell r="B1720">
            <v>2002</v>
          </cell>
          <cell r="C1720" t="str">
            <v>unpop_65up</v>
          </cell>
          <cell r="D1720">
            <v>49570665</v>
          </cell>
          <cell r="F1720" t="str">
            <v>UN-WPP Rev. 2024</v>
          </cell>
        </row>
        <row r="1721">
          <cell r="A1721" t="str">
            <v>IND</v>
          </cell>
          <cell r="B1721">
            <v>2002</v>
          </cell>
          <cell r="C1721" t="str">
            <v>unpop_total</v>
          </cell>
          <cell r="D1721">
            <v>1097600380.5</v>
          </cell>
          <cell r="F1721" t="str">
            <v>UN-WPP Rev. 2024</v>
          </cell>
        </row>
        <row r="1722">
          <cell r="A1722" t="str">
            <v>IND</v>
          </cell>
          <cell r="B1722">
            <v>2003</v>
          </cell>
          <cell r="C1722" t="str">
            <v>unpop_0014</v>
          </cell>
          <cell r="D1722">
            <v>384068630</v>
          </cell>
          <cell r="F1722" t="str">
            <v>UN-WPP Rev. 2024</v>
          </cell>
        </row>
        <row r="1723">
          <cell r="A1723" t="str">
            <v>IND</v>
          </cell>
          <cell r="B1723">
            <v>2003</v>
          </cell>
          <cell r="C1723" t="str">
            <v>unpop_1564</v>
          </cell>
          <cell r="D1723">
            <v>681658878.5</v>
          </cell>
          <cell r="F1723" t="str">
            <v>UN-WPP Rev. 2024</v>
          </cell>
        </row>
        <row r="1724">
          <cell r="A1724" t="str">
            <v>IND</v>
          </cell>
          <cell r="B1724">
            <v>2003</v>
          </cell>
          <cell r="C1724" t="str">
            <v>unpop_15up</v>
          </cell>
          <cell r="D1724">
            <v>732734376</v>
          </cell>
          <cell r="F1724" t="str">
            <v>UN-WPP Rev. 2024</v>
          </cell>
        </row>
        <row r="1725">
          <cell r="A1725" t="str">
            <v>IND</v>
          </cell>
          <cell r="B1725">
            <v>2003</v>
          </cell>
          <cell r="C1725" t="str">
            <v>unpop_65up</v>
          </cell>
          <cell r="D1725">
            <v>51075497.5</v>
          </cell>
          <cell r="F1725" t="str">
            <v>UN-WPP Rev. 2024</v>
          </cell>
        </row>
        <row r="1726">
          <cell r="A1726" t="str">
            <v>IND</v>
          </cell>
          <cell r="B1726">
            <v>2003</v>
          </cell>
          <cell r="C1726" t="str">
            <v>unpop_total</v>
          </cell>
          <cell r="D1726">
            <v>1116803006</v>
          </cell>
          <cell r="F1726" t="str">
            <v>UN-WPP Rev. 2024</v>
          </cell>
        </row>
        <row r="1727">
          <cell r="A1727" t="str">
            <v>IND</v>
          </cell>
          <cell r="B1727">
            <v>2004</v>
          </cell>
          <cell r="C1727" t="str">
            <v>unpop_0014</v>
          </cell>
          <cell r="D1727">
            <v>386011104.5</v>
          </cell>
          <cell r="F1727" t="str">
            <v>UN-WPP Rev. 2024</v>
          </cell>
        </row>
        <row r="1728">
          <cell r="A1728" t="str">
            <v>IND</v>
          </cell>
          <cell r="B1728">
            <v>2004</v>
          </cell>
          <cell r="C1728" t="str">
            <v>unpop_1564</v>
          </cell>
          <cell r="D1728">
            <v>697429184</v>
          </cell>
          <cell r="F1728" t="str">
            <v>UN-WPP Rev. 2024</v>
          </cell>
        </row>
        <row r="1729">
          <cell r="A1729" t="str">
            <v>IND</v>
          </cell>
          <cell r="B1729">
            <v>2004</v>
          </cell>
          <cell r="C1729" t="str">
            <v>unpop_15up</v>
          </cell>
          <cell r="D1729">
            <v>749980409</v>
          </cell>
          <cell r="F1729" t="str">
            <v>UN-WPP Rev. 2024</v>
          </cell>
        </row>
        <row r="1730">
          <cell r="A1730" t="str">
            <v>IND</v>
          </cell>
          <cell r="B1730">
            <v>2004</v>
          </cell>
          <cell r="C1730" t="str">
            <v>unpop_65up</v>
          </cell>
          <cell r="D1730">
            <v>52551225</v>
          </cell>
          <cell r="F1730" t="str">
            <v>UN-WPP Rev. 2024</v>
          </cell>
        </row>
        <row r="1731">
          <cell r="A1731" t="str">
            <v>IND</v>
          </cell>
          <cell r="B1731">
            <v>2004</v>
          </cell>
          <cell r="C1731" t="str">
            <v>unpop_total</v>
          </cell>
          <cell r="D1731">
            <v>1135991513.5</v>
          </cell>
          <cell r="F1731" t="str">
            <v>UN-WPP Rev. 2024</v>
          </cell>
        </row>
        <row r="1732">
          <cell r="A1732" t="str">
            <v>IND</v>
          </cell>
          <cell r="B1732">
            <v>2005</v>
          </cell>
          <cell r="C1732" t="str">
            <v>unpop_0014</v>
          </cell>
          <cell r="D1732">
            <v>387531538</v>
          </cell>
          <cell r="F1732" t="str">
            <v>UN-WPP Rev. 2024</v>
          </cell>
        </row>
        <row r="1733">
          <cell r="A1733" t="str">
            <v>IND</v>
          </cell>
          <cell r="B1733">
            <v>2005</v>
          </cell>
          <cell r="C1733" t="str">
            <v>unpop_1564</v>
          </cell>
          <cell r="D1733">
            <v>713167417.5</v>
          </cell>
          <cell r="F1733" t="str">
            <v>UN-WPP Rev. 2024</v>
          </cell>
        </row>
        <row r="1734">
          <cell r="A1734" t="str">
            <v>IND</v>
          </cell>
          <cell r="B1734">
            <v>2005</v>
          </cell>
          <cell r="C1734" t="str">
            <v>unpop_15up</v>
          </cell>
          <cell r="D1734">
            <v>767144784</v>
          </cell>
          <cell r="F1734" t="str">
            <v>UN-WPP Rev. 2024</v>
          </cell>
        </row>
        <row r="1735">
          <cell r="A1735" t="str">
            <v>IND</v>
          </cell>
          <cell r="B1735">
            <v>2005</v>
          </cell>
          <cell r="C1735" t="str">
            <v>unpop_65up</v>
          </cell>
          <cell r="D1735">
            <v>53977366.5</v>
          </cell>
          <cell r="F1735" t="str">
            <v>UN-WPP Rev. 2024</v>
          </cell>
        </row>
        <row r="1736">
          <cell r="A1736" t="str">
            <v>IND</v>
          </cell>
          <cell r="B1736">
            <v>2005</v>
          </cell>
          <cell r="C1736" t="str">
            <v>unpop_total</v>
          </cell>
          <cell r="D1736">
            <v>1154676322</v>
          </cell>
          <cell r="F1736" t="str">
            <v>UN-WPP Rev. 2024</v>
          </cell>
        </row>
        <row r="1737">
          <cell r="A1737" t="str">
            <v>IND</v>
          </cell>
          <cell r="B1737">
            <v>2006</v>
          </cell>
          <cell r="C1737" t="str">
            <v>unpop_0014</v>
          </cell>
          <cell r="D1737">
            <v>388558966.5</v>
          </cell>
          <cell r="F1737" t="str">
            <v>UN-WPP Rev. 2024</v>
          </cell>
        </row>
        <row r="1738">
          <cell r="A1738" t="str">
            <v>IND</v>
          </cell>
          <cell r="B1738">
            <v>2006</v>
          </cell>
          <cell r="C1738" t="str">
            <v>unpop_1564</v>
          </cell>
          <cell r="D1738">
            <v>728937765.5</v>
          </cell>
          <cell r="F1738" t="str">
            <v>UN-WPP Rev. 2024</v>
          </cell>
        </row>
        <row r="1739">
          <cell r="A1739" t="str">
            <v>IND</v>
          </cell>
          <cell r="B1739">
            <v>2006</v>
          </cell>
          <cell r="C1739" t="str">
            <v>unpop_15up</v>
          </cell>
          <cell r="D1739">
            <v>784319923</v>
          </cell>
          <cell r="F1739" t="str">
            <v>UN-WPP Rev. 2024</v>
          </cell>
        </row>
        <row r="1740">
          <cell r="A1740" t="str">
            <v>IND</v>
          </cell>
          <cell r="B1740">
            <v>2006</v>
          </cell>
          <cell r="C1740" t="str">
            <v>unpop_65up</v>
          </cell>
          <cell r="D1740">
            <v>55382157.5</v>
          </cell>
          <cell r="F1740" t="str">
            <v>UN-WPP Rev. 2024</v>
          </cell>
        </row>
        <row r="1741">
          <cell r="A1741" t="str">
            <v>IND</v>
          </cell>
          <cell r="B1741">
            <v>2006</v>
          </cell>
          <cell r="C1741" t="str">
            <v>unpop_total</v>
          </cell>
          <cell r="D1741">
            <v>1172878889.5</v>
          </cell>
          <cell r="F1741" t="str">
            <v>UN-WPP Rev. 2024</v>
          </cell>
        </row>
        <row r="1742">
          <cell r="A1742" t="str">
            <v>IND</v>
          </cell>
          <cell r="B1742">
            <v>2007</v>
          </cell>
          <cell r="C1742" t="str">
            <v>unpop_0014</v>
          </cell>
          <cell r="D1742">
            <v>389140656.5</v>
          </cell>
          <cell r="F1742" t="str">
            <v>UN-WPP Rev. 2024</v>
          </cell>
        </row>
        <row r="1743">
          <cell r="A1743" t="str">
            <v>IND</v>
          </cell>
          <cell r="B1743">
            <v>2007</v>
          </cell>
          <cell r="C1743" t="str">
            <v>unpop_1564</v>
          </cell>
          <cell r="D1743">
            <v>744740077</v>
          </cell>
          <cell r="F1743" t="str">
            <v>UN-WPP Rev. 2024</v>
          </cell>
        </row>
        <row r="1744">
          <cell r="A1744" t="str">
            <v>IND</v>
          </cell>
          <cell r="B1744">
            <v>2007</v>
          </cell>
          <cell r="C1744" t="str">
            <v>unpop_15up</v>
          </cell>
          <cell r="D1744">
            <v>801535364</v>
          </cell>
          <cell r="F1744" t="str">
            <v>UN-WPP Rev. 2024</v>
          </cell>
        </row>
        <row r="1745">
          <cell r="A1745" t="str">
            <v>IND</v>
          </cell>
          <cell r="B1745">
            <v>2007</v>
          </cell>
          <cell r="C1745" t="str">
            <v>unpop_65up</v>
          </cell>
          <cell r="D1745">
            <v>56795287</v>
          </cell>
          <cell r="F1745" t="str">
            <v>UN-WPP Rev. 2024</v>
          </cell>
        </row>
        <row r="1746">
          <cell r="A1746" t="str">
            <v>IND</v>
          </cell>
          <cell r="B1746">
            <v>2007</v>
          </cell>
          <cell r="C1746" t="str">
            <v>unpop_total</v>
          </cell>
          <cell r="D1746">
            <v>1190676020.5</v>
          </cell>
          <cell r="F1746" t="str">
            <v>UN-WPP Rev. 2024</v>
          </cell>
        </row>
        <row r="1747">
          <cell r="A1747" t="str">
            <v>IND</v>
          </cell>
          <cell r="B1747">
            <v>2008</v>
          </cell>
          <cell r="C1747" t="str">
            <v>unpop_0014</v>
          </cell>
          <cell r="D1747">
            <v>389442233.5</v>
          </cell>
          <cell r="F1747" t="str">
            <v>UN-WPP Rev. 2024</v>
          </cell>
        </row>
        <row r="1748">
          <cell r="A1748" t="str">
            <v>IND</v>
          </cell>
          <cell r="B1748">
            <v>2008</v>
          </cell>
          <cell r="C1748" t="str">
            <v>unpop_1564</v>
          </cell>
          <cell r="D1748">
            <v>760241345</v>
          </cell>
          <cell r="F1748" t="str">
            <v>UN-WPP Rev. 2024</v>
          </cell>
        </row>
        <row r="1749">
          <cell r="A1749" t="str">
            <v>IND</v>
          </cell>
          <cell r="B1749">
            <v>2008</v>
          </cell>
          <cell r="C1749" t="str">
            <v>unpop_15up</v>
          </cell>
          <cell r="D1749">
            <v>818488730</v>
          </cell>
          <cell r="F1749" t="str">
            <v>UN-WPP Rev. 2024</v>
          </cell>
        </row>
        <row r="1750">
          <cell r="A1750" t="str">
            <v>IND</v>
          </cell>
          <cell r="B1750">
            <v>2008</v>
          </cell>
          <cell r="C1750" t="str">
            <v>unpop_65up</v>
          </cell>
          <cell r="D1750">
            <v>58247385</v>
          </cell>
          <cell r="F1750" t="str">
            <v>UN-WPP Rev. 2024</v>
          </cell>
        </row>
        <row r="1751">
          <cell r="A1751" t="str">
            <v>IND</v>
          </cell>
          <cell r="B1751">
            <v>2008</v>
          </cell>
          <cell r="C1751" t="str">
            <v>unpop_total</v>
          </cell>
          <cell r="D1751">
            <v>1207930963.5</v>
          </cell>
          <cell r="F1751" t="str">
            <v>UN-WPP Rev. 2024</v>
          </cell>
        </row>
        <row r="1752">
          <cell r="A1752" t="str">
            <v>IND</v>
          </cell>
          <cell r="B1752">
            <v>2009</v>
          </cell>
          <cell r="C1752" t="str">
            <v>unpop_0014</v>
          </cell>
          <cell r="D1752">
            <v>389683642.5</v>
          </cell>
          <cell r="F1752" t="str">
            <v>UN-WPP Rev. 2024</v>
          </cell>
        </row>
        <row r="1753">
          <cell r="A1753" t="str">
            <v>IND</v>
          </cell>
          <cell r="B1753">
            <v>2009</v>
          </cell>
          <cell r="C1753" t="str">
            <v>unpop_1564</v>
          </cell>
          <cell r="D1753">
            <v>776058858.5</v>
          </cell>
          <cell r="F1753" t="str">
            <v>UN-WPP Rev. 2024</v>
          </cell>
        </row>
        <row r="1754">
          <cell r="A1754" t="str">
            <v>IND</v>
          </cell>
          <cell r="B1754">
            <v>2009</v>
          </cell>
          <cell r="C1754" t="str">
            <v>unpop_15up</v>
          </cell>
          <cell r="D1754">
            <v>835841110.5</v>
          </cell>
          <cell r="F1754" t="str">
            <v>UN-WPP Rev. 2024</v>
          </cell>
        </row>
        <row r="1755">
          <cell r="A1755" t="str">
            <v>IND</v>
          </cell>
          <cell r="B1755">
            <v>2009</v>
          </cell>
          <cell r="C1755" t="str">
            <v>unpop_65up</v>
          </cell>
          <cell r="D1755">
            <v>59782252</v>
          </cell>
          <cell r="F1755" t="str">
            <v>UN-WPP Rev. 2024</v>
          </cell>
        </row>
        <row r="1756">
          <cell r="A1756" t="str">
            <v>IND</v>
          </cell>
          <cell r="B1756">
            <v>2009</v>
          </cell>
          <cell r="C1756" t="str">
            <v>unpop_total</v>
          </cell>
          <cell r="D1756">
            <v>1225524753</v>
          </cell>
          <cell r="F1756" t="str">
            <v>UN-WPP Rev. 2024</v>
          </cell>
        </row>
        <row r="1757">
          <cell r="A1757" t="str">
            <v>IND</v>
          </cell>
          <cell r="B1757">
            <v>2010</v>
          </cell>
          <cell r="C1757" t="str">
            <v>unpop_0014</v>
          </cell>
          <cell r="D1757">
            <v>389736560.5</v>
          </cell>
          <cell r="F1757" t="str">
            <v>UN-WPP Rev. 2024</v>
          </cell>
        </row>
        <row r="1758">
          <cell r="A1758" t="str">
            <v>IND</v>
          </cell>
          <cell r="B1758">
            <v>2010</v>
          </cell>
          <cell r="C1758" t="str">
            <v>unpop_1564</v>
          </cell>
          <cell r="D1758">
            <v>792311453.5</v>
          </cell>
          <cell r="F1758" t="str">
            <v>UN-WPP Rev. 2024</v>
          </cell>
        </row>
        <row r="1759">
          <cell r="A1759" t="str">
            <v>IND</v>
          </cell>
          <cell r="B1759">
            <v>2010</v>
          </cell>
          <cell r="C1759" t="str">
            <v>unpop_15up</v>
          </cell>
          <cell r="D1759">
            <v>853745003.5</v>
          </cell>
          <cell r="F1759" t="str">
            <v>UN-WPP Rev. 2024</v>
          </cell>
        </row>
        <row r="1760">
          <cell r="A1760" t="str">
            <v>IND</v>
          </cell>
          <cell r="B1760">
            <v>2010</v>
          </cell>
          <cell r="C1760" t="str">
            <v>unpop_65up</v>
          </cell>
          <cell r="D1760">
            <v>61433550</v>
          </cell>
          <cell r="F1760" t="str">
            <v>UN-WPP Rev. 2024</v>
          </cell>
        </row>
        <row r="1761">
          <cell r="A1761" t="str">
            <v>IND</v>
          </cell>
          <cell r="B1761">
            <v>2010</v>
          </cell>
          <cell r="C1761" t="str">
            <v>unpop_total</v>
          </cell>
          <cell r="D1761">
            <v>1243481564</v>
          </cell>
          <cell r="F1761" t="str">
            <v>UN-WPP Rev. 2024</v>
          </cell>
        </row>
        <row r="1762">
          <cell r="A1762" t="str">
            <v>IND</v>
          </cell>
          <cell r="B1762">
            <v>2011</v>
          </cell>
          <cell r="C1762" t="str">
            <v>unpop_0014</v>
          </cell>
          <cell r="D1762">
            <v>389465834.5</v>
          </cell>
          <cell r="F1762" t="str">
            <v>UN-WPP Rev. 2024</v>
          </cell>
        </row>
        <row r="1763">
          <cell r="A1763" t="str">
            <v>IND</v>
          </cell>
          <cell r="B1763">
            <v>2011</v>
          </cell>
          <cell r="C1763" t="str">
            <v>unpop_1564</v>
          </cell>
          <cell r="D1763">
            <v>808541408</v>
          </cell>
          <cell r="F1763" t="str">
            <v>UN-WPP Rev. 2024</v>
          </cell>
        </row>
        <row r="1764">
          <cell r="A1764" t="str">
            <v>IND</v>
          </cell>
          <cell r="B1764">
            <v>2011</v>
          </cell>
          <cell r="C1764" t="str">
            <v>unpop_15up</v>
          </cell>
          <cell r="D1764">
            <v>871759120</v>
          </cell>
          <cell r="F1764" t="str">
            <v>UN-WPP Rev. 2024</v>
          </cell>
        </row>
        <row r="1765">
          <cell r="A1765" t="str">
            <v>IND</v>
          </cell>
          <cell r="B1765">
            <v>2011</v>
          </cell>
          <cell r="C1765" t="str">
            <v>unpop_65up</v>
          </cell>
          <cell r="D1765">
            <v>63217712</v>
          </cell>
          <cell r="F1765" t="str">
            <v>UN-WPP Rev. 2024</v>
          </cell>
        </row>
        <row r="1766">
          <cell r="A1766" t="str">
            <v>IND</v>
          </cell>
          <cell r="B1766">
            <v>2011</v>
          </cell>
          <cell r="C1766" t="str">
            <v>unpop_total</v>
          </cell>
          <cell r="D1766">
            <v>1261224954.5</v>
          </cell>
          <cell r="F1766" t="str">
            <v>UN-WPP Rev. 2024</v>
          </cell>
        </row>
        <row r="1767">
          <cell r="A1767" t="str">
            <v>IND</v>
          </cell>
          <cell r="B1767">
            <v>2012</v>
          </cell>
          <cell r="C1767" t="str">
            <v>unpop_0014</v>
          </cell>
          <cell r="D1767">
            <v>388914981.5</v>
          </cell>
          <cell r="F1767" t="str">
            <v>UN-WPP Rev. 2024</v>
          </cell>
        </row>
        <row r="1768">
          <cell r="A1768" t="str">
            <v>IND</v>
          </cell>
          <cell r="B1768">
            <v>2012</v>
          </cell>
          <cell r="C1768" t="str">
            <v>unpop_1564</v>
          </cell>
          <cell r="D1768">
            <v>824631664</v>
          </cell>
          <cell r="F1768" t="str">
            <v>UN-WPP Rev. 2024</v>
          </cell>
        </row>
        <row r="1769">
          <cell r="A1769" t="str">
            <v>IND</v>
          </cell>
          <cell r="B1769">
            <v>2012</v>
          </cell>
          <cell r="C1769" t="str">
            <v>unpop_15up</v>
          </cell>
          <cell r="D1769">
            <v>889759521</v>
          </cell>
          <cell r="F1769" t="str">
            <v>UN-WPP Rev. 2024</v>
          </cell>
        </row>
        <row r="1770">
          <cell r="A1770" t="str">
            <v>IND</v>
          </cell>
          <cell r="B1770">
            <v>2012</v>
          </cell>
          <cell r="C1770" t="str">
            <v>unpop_65up</v>
          </cell>
          <cell r="D1770">
            <v>65127857</v>
          </cell>
          <cell r="F1770" t="str">
            <v>UN-WPP Rev. 2024</v>
          </cell>
        </row>
        <row r="1771">
          <cell r="A1771" t="str">
            <v>IND</v>
          </cell>
          <cell r="B1771">
            <v>2012</v>
          </cell>
          <cell r="C1771" t="str">
            <v>unpop_total</v>
          </cell>
          <cell r="D1771">
            <v>1278674502.5</v>
          </cell>
          <cell r="F1771" t="str">
            <v>UN-WPP Rev. 2024</v>
          </cell>
        </row>
        <row r="1772">
          <cell r="A1772" t="str">
            <v>IND</v>
          </cell>
          <cell r="B1772">
            <v>2013</v>
          </cell>
          <cell r="C1772" t="str">
            <v>unpop_0014</v>
          </cell>
          <cell r="D1772">
            <v>387976220.5</v>
          </cell>
          <cell r="F1772" t="str">
            <v>UN-WPP Rev. 2024</v>
          </cell>
        </row>
        <row r="1773">
          <cell r="A1773" t="str">
            <v>IND</v>
          </cell>
          <cell r="B1773">
            <v>2013</v>
          </cell>
          <cell r="C1773" t="str">
            <v>unpop_1564</v>
          </cell>
          <cell r="D1773">
            <v>840695270.5</v>
          </cell>
          <cell r="F1773" t="str">
            <v>UN-WPP Rev. 2024</v>
          </cell>
        </row>
        <row r="1774">
          <cell r="A1774" t="str">
            <v>IND</v>
          </cell>
          <cell r="B1774">
            <v>2013</v>
          </cell>
          <cell r="C1774" t="str">
            <v>unpop_15up</v>
          </cell>
          <cell r="D1774">
            <v>907853290</v>
          </cell>
          <cell r="F1774" t="str">
            <v>UN-WPP Rev. 2024</v>
          </cell>
        </row>
        <row r="1775">
          <cell r="A1775" t="str">
            <v>IND</v>
          </cell>
          <cell r="B1775">
            <v>2013</v>
          </cell>
          <cell r="C1775" t="str">
            <v>unpop_65up</v>
          </cell>
          <cell r="D1775">
            <v>67158019.5</v>
          </cell>
          <cell r="F1775" t="str">
            <v>UN-WPP Rev. 2024</v>
          </cell>
        </row>
        <row r="1776">
          <cell r="A1776" t="str">
            <v>IND</v>
          </cell>
          <cell r="B1776">
            <v>2013</v>
          </cell>
          <cell r="C1776" t="str">
            <v>unpop_total</v>
          </cell>
          <cell r="D1776">
            <v>1295829510.5</v>
          </cell>
          <cell r="F1776" t="str">
            <v>UN-WPP Rev. 2024</v>
          </cell>
        </row>
        <row r="1777">
          <cell r="A1777" t="str">
            <v>IND</v>
          </cell>
          <cell r="B1777">
            <v>2014</v>
          </cell>
          <cell r="C1777" t="str">
            <v>unpop_0014</v>
          </cell>
          <cell r="D1777">
            <v>386290188</v>
          </cell>
          <cell r="F1777" t="str">
            <v>UN-WPP Rev. 2024</v>
          </cell>
        </row>
        <row r="1778">
          <cell r="A1778" t="str">
            <v>IND</v>
          </cell>
          <cell r="B1778">
            <v>2014</v>
          </cell>
          <cell r="C1778" t="str">
            <v>unpop_1564</v>
          </cell>
          <cell r="D1778">
            <v>856342424</v>
          </cell>
          <cell r="F1778" t="str">
            <v>UN-WPP Rev. 2024</v>
          </cell>
        </row>
        <row r="1779">
          <cell r="A1779" t="str">
            <v>IND</v>
          </cell>
          <cell r="B1779">
            <v>2014</v>
          </cell>
          <cell r="C1779" t="str">
            <v>unpop_15up</v>
          </cell>
          <cell r="D1779">
            <v>925987003.5</v>
          </cell>
          <cell r="F1779" t="str">
            <v>UN-WPP Rev. 2024</v>
          </cell>
        </row>
        <row r="1780">
          <cell r="A1780" t="str">
            <v>IND</v>
          </cell>
          <cell r="B1780">
            <v>2014</v>
          </cell>
          <cell r="C1780" t="str">
            <v>unpop_65up</v>
          </cell>
          <cell r="D1780">
            <v>69644579.5</v>
          </cell>
          <cell r="F1780" t="str">
            <v>UN-WPP Rev. 2024</v>
          </cell>
        </row>
        <row r="1781">
          <cell r="A1781" t="str">
            <v>IND</v>
          </cell>
          <cell r="B1781">
            <v>2014</v>
          </cell>
          <cell r="C1781" t="str">
            <v>unpop_total</v>
          </cell>
          <cell r="D1781">
            <v>1312277191.5</v>
          </cell>
          <cell r="F1781" t="str">
            <v>UN-WPP Rev. 2024</v>
          </cell>
        </row>
        <row r="1782">
          <cell r="A1782" t="str">
            <v>IND</v>
          </cell>
          <cell r="B1782">
            <v>2015</v>
          </cell>
          <cell r="C1782" t="str">
            <v>unpop_0014</v>
          </cell>
          <cell r="D1782">
            <v>383971739</v>
          </cell>
          <cell r="F1782" t="str">
            <v>UN-WPP Rev. 2024</v>
          </cell>
        </row>
        <row r="1783">
          <cell r="A1783" t="str">
            <v>IND</v>
          </cell>
          <cell r="B1783">
            <v>2015</v>
          </cell>
          <cell r="C1783" t="str">
            <v>unpop_1564</v>
          </cell>
          <cell r="D1783">
            <v>871420269</v>
          </cell>
          <cell r="F1783" t="str">
            <v>UN-WPP Rev. 2024</v>
          </cell>
        </row>
        <row r="1784">
          <cell r="A1784" t="str">
            <v>IND</v>
          </cell>
          <cell r="B1784">
            <v>2015</v>
          </cell>
          <cell r="C1784" t="str">
            <v>unpop_15up</v>
          </cell>
          <cell r="D1784">
            <v>944052758.5</v>
          </cell>
          <cell r="F1784" t="str">
            <v>UN-WPP Rev. 2024</v>
          </cell>
        </row>
        <row r="1785">
          <cell r="A1785" t="str">
            <v>IND</v>
          </cell>
          <cell r="B1785">
            <v>2015</v>
          </cell>
          <cell r="C1785" t="str">
            <v>unpop_65up</v>
          </cell>
          <cell r="D1785">
            <v>72632489.5</v>
          </cell>
          <cell r="F1785" t="str">
            <v>UN-WPP Rev. 2024</v>
          </cell>
        </row>
        <row r="1786">
          <cell r="A1786" t="str">
            <v>IND</v>
          </cell>
          <cell r="B1786">
            <v>2015</v>
          </cell>
          <cell r="C1786" t="str">
            <v>unpop_total</v>
          </cell>
          <cell r="D1786">
            <v>1328024497.5</v>
          </cell>
          <cell r="F1786" t="str">
            <v>UN-WPP Rev. 2024</v>
          </cell>
        </row>
        <row r="1787">
          <cell r="A1787" t="str">
            <v>IND</v>
          </cell>
          <cell r="B1787">
            <v>2016</v>
          </cell>
          <cell r="C1787" t="str">
            <v>unpop_0014</v>
          </cell>
          <cell r="D1787">
            <v>381480645.5</v>
          </cell>
          <cell r="F1787" t="str">
            <v>UN-WPP Rev. 2024</v>
          </cell>
        </row>
        <row r="1788">
          <cell r="A1788" t="str">
            <v>IND</v>
          </cell>
          <cell r="B1788">
            <v>2016</v>
          </cell>
          <cell r="C1788" t="str">
            <v>unpop_1564</v>
          </cell>
          <cell r="D1788">
            <v>886641930.5</v>
          </cell>
          <cell r="F1788" t="str">
            <v>UN-WPP Rev. 2024</v>
          </cell>
        </row>
        <row r="1789">
          <cell r="A1789" t="str">
            <v>IND</v>
          </cell>
          <cell r="B1789">
            <v>2016</v>
          </cell>
          <cell r="C1789" t="str">
            <v>unpop_15up</v>
          </cell>
          <cell r="D1789">
            <v>962463650.5</v>
          </cell>
          <cell r="F1789" t="str">
            <v>UN-WPP Rev. 2024</v>
          </cell>
        </row>
        <row r="1790">
          <cell r="A1790" t="str">
            <v>IND</v>
          </cell>
          <cell r="B1790">
            <v>2016</v>
          </cell>
          <cell r="C1790" t="str">
            <v>unpop_65up</v>
          </cell>
          <cell r="D1790">
            <v>75821720</v>
          </cell>
          <cell r="F1790" t="str">
            <v>UN-WPP Rev. 2024</v>
          </cell>
        </row>
        <row r="1791">
          <cell r="A1791" t="str">
            <v>IND</v>
          </cell>
          <cell r="B1791">
            <v>2016</v>
          </cell>
          <cell r="C1791" t="str">
            <v>unpop_total</v>
          </cell>
          <cell r="D1791">
            <v>1343944296</v>
          </cell>
          <cell r="F1791" t="str">
            <v>UN-WPP Rev. 2024</v>
          </cell>
        </row>
        <row r="1792">
          <cell r="A1792" t="str">
            <v>IND</v>
          </cell>
          <cell r="B1792">
            <v>2017</v>
          </cell>
          <cell r="C1792" t="str">
            <v>unpop_0014</v>
          </cell>
          <cell r="D1792">
            <v>378635655</v>
          </cell>
          <cell r="F1792" t="str">
            <v>UN-WPP Rev. 2024</v>
          </cell>
        </row>
        <row r="1793">
          <cell r="A1793" t="str">
            <v>IND</v>
          </cell>
          <cell r="B1793">
            <v>2017</v>
          </cell>
          <cell r="C1793" t="str">
            <v>unpop_1564</v>
          </cell>
          <cell r="D1793">
            <v>901825708.5</v>
          </cell>
          <cell r="F1793" t="str">
            <v>UN-WPP Rev. 2024</v>
          </cell>
        </row>
        <row r="1794">
          <cell r="A1794" t="str">
            <v>IND</v>
          </cell>
          <cell r="B1794">
            <v>2017</v>
          </cell>
          <cell r="C1794" t="str">
            <v>unpop_15up</v>
          </cell>
          <cell r="D1794">
            <v>981021745</v>
          </cell>
          <cell r="F1794" t="str">
            <v>UN-WPP Rev. 2024</v>
          </cell>
        </row>
        <row r="1795">
          <cell r="A1795" t="str">
            <v>IND</v>
          </cell>
          <cell r="B1795">
            <v>2017</v>
          </cell>
          <cell r="C1795" t="str">
            <v>unpop_65up</v>
          </cell>
          <cell r="D1795">
            <v>79196036.5</v>
          </cell>
          <cell r="F1795" t="str">
            <v>UN-WPP Rev. 2024</v>
          </cell>
        </row>
        <row r="1796">
          <cell r="A1796" t="str">
            <v>IND</v>
          </cell>
          <cell r="B1796">
            <v>2017</v>
          </cell>
          <cell r="C1796" t="str">
            <v>unpop_total</v>
          </cell>
          <cell r="D1796">
            <v>1359657400</v>
          </cell>
          <cell r="F1796" t="str">
            <v>UN-WPP Rev. 2024</v>
          </cell>
        </row>
        <row r="1797">
          <cell r="A1797" t="str">
            <v>IND</v>
          </cell>
          <cell r="B1797">
            <v>2018</v>
          </cell>
          <cell r="C1797" t="str">
            <v>unpop_0014</v>
          </cell>
          <cell r="D1797">
            <v>375663467.5</v>
          </cell>
          <cell r="F1797" t="str">
            <v>UN-WPP Rev. 2024</v>
          </cell>
        </row>
        <row r="1798">
          <cell r="A1798" t="str">
            <v>IND</v>
          </cell>
          <cell r="B1798">
            <v>2018</v>
          </cell>
          <cell r="C1798" t="str">
            <v>unpop_1564</v>
          </cell>
          <cell r="D1798">
            <v>916251300</v>
          </cell>
          <cell r="F1798" t="str">
            <v>UN-WPP Rev. 2024</v>
          </cell>
        </row>
        <row r="1799">
          <cell r="A1799" t="str">
            <v>IND</v>
          </cell>
          <cell r="B1799">
            <v>2018</v>
          </cell>
          <cell r="C1799" t="str">
            <v>unpop_15up</v>
          </cell>
          <cell r="D1799">
            <v>998995596.5</v>
          </cell>
          <cell r="F1799" t="str">
            <v>UN-WPP Rev. 2024</v>
          </cell>
        </row>
        <row r="1800">
          <cell r="A1800" t="str">
            <v>IND</v>
          </cell>
          <cell r="B1800">
            <v>2018</v>
          </cell>
          <cell r="C1800" t="str">
            <v>unpop_65up</v>
          </cell>
          <cell r="D1800">
            <v>82744296.5</v>
          </cell>
          <cell r="F1800" t="str">
            <v>UN-WPP Rev. 2024</v>
          </cell>
        </row>
        <row r="1801">
          <cell r="A1801" t="str">
            <v>IND</v>
          </cell>
          <cell r="B1801">
            <v>2018</v>
          </cell>
          <cell r="C1801" t="str">
            <v>unpop_total</v>
          </cell>
          <cell r="D1801">
            <v>1374659064</v>
          </cell>
          <cell r="F1801" t="str">
            <v>UN-WPP Rev. 2024</v>
          </cell>
        </row>
        <row r="1802">
          <cell r="A1802" t="str">
            <v>IND</v>
          </cell>
          <cell r="B1802">
            <v>2019</v>
          </cell>
          <cell r="C1802" t="str">
            <v>unpop_0014</v>
          </cell>
          <cell r="D1802">
            <v>372709108.5</v>
          </cell>
          <cell r="F1802" t="str">
            <v>UN-WPP Rev. 2024</v>
          </cell>
        </row>
        <row r="1803">
          <cell r="A1803" t="str">
            <v>IND</v>
          </cell>
          <cell r="B1803">
            <v>2019</v>
          </cell>
          <cell r="C1803" t="str">
            <v>unpop_1564</v>
          </cell>
          <cell r="D1803">
            <v>929875276.5</v>
          </cell>
          <cell r="F1803" t="str">
            <v>UN-WPP Rev. 2024</v>
          </cell>
        </row>
        <row r="1804">
          <cell r="A1804" t="str">
            <v>IND</v>
          </cell>
          <cell r="B1804">
            <v>2019</v>
          </cell>
          <cell r="C1804" t="str">
            <v>unpop_15up</v>
          </cell>
          <cell r="D1804">
            <v>1016321203.5</v>
          </cell>
          <cell r="F1804" t="str">
            <v>UN-WPP Rev. 2024</v>
          </cell>
        </row>
        <row r="1805">
          <cell r="A1805" t="str">
            <v>IND</v>
          </cell>
          <cell r="B1805">
            <v>2019</v>
          </cell>
          <cell r="C1805" t="str">
            <v>unpop_65up</v>
          </cell>
          <cell r="D1805">
            <v>86445927</v>
          </cell>
          <cell r="F1805" t="str">
            <v>UN-WPP Rev. 2024</v>
          </cell>
        </row>
        <row r="1806">
          <cell r="A1806" t="str">
            <v>IND</v>
          </cell>
          <cell r="B1806">
            <v>2019</v>
          </cell>
          <cell r="C1806" t="str">
            <v>unpop_total</v>
          </cell>
          <cell r="D1806">
            <v>1389030312</v>
          </cell>
          <cell r="F1806" t="str">
            <v>UN-WPP Rev. 2024</v>
          </cell>
        </row>
        <row r="1807">
          <cell r="A1807" t="str">
            <v>IND</v>
          </cell>
          <cell r="B1807">
            <v>2020</v>
          </cell>
          <cell r="C1807" t="str">
            <v>unpop_0014</v>
          </cell>
          <cell r="D1807">
            <v>369524878.5</v>
          </cell>
          <cell r="F1807" t="str">
            <v>UN-WPP Rev. 2024</v>
          </cell>
        </row>
        <row r="1808">
          <cell r="A1808" t="str">
            <v>IND</v>
          </cell>
          <cell r="B1808">
            <v>2020</v>
          </cell>
          <cell r="C1808" t="str">
            <v>unpop_1564</v>
          </cell>
          <cell r="D1808">
            <v>943088901</v>
          </cell>
          <cell r="F1808" t="str">
            <v>UN-WPP Rev. 2024</v>
          </cell>
        </row>
        <row r="1809">
          <cell r="A1809" t="str">
            <v>IND</v>
          </cell>
          <cell r="B1809">
            <v>2020</v>
          </cell>
          <cell r="C1809" t="str">
            <v>unpop_15up</v>
          </cell>
          <cell r="D1809">
            <v>1033092817</v>
          </cell>
          <cell r="F1809" t="str">
            <v>UN-WPP Rev. 2024</v>
          </cell>
        </row>
        <row r="1810">
          <cell r="A1810" t="str">
            <v>IND</v>
          </cell>
          <cell r="B1810">
            <v>2020</v>
          </cell>
          <cell r="C1810" t="str">
            <v>unpop_65up</v>
          </cell>
          <cell r="D1810">
            <v>90003916</v>
          </cell>
          <cell r="F1810" t="str">
            <v>UN-WPP Rev. 2024</v>
          </cell>
        </row>
        <row r="1811">
          <cell r="A1811" t="str">
            <v>IND</v>
          </cell>
          <cell r="B1811">
            <v>2020</v>
          </cell>
          <cell r="C1811" t="str">
            <v>unpop_total</v>
          </cell>
          <cell r="D1811">
            <v>1402617695.5</v>
          </cell>
          <cell r="F1811" t="str">
            <v>UN-WPP Rev. 2024</v>
          </cell>
        </row>
        <row r="1812">
          <cell r="A1812" t="str">
            <v>IND</v>
          </cell>
          <cell r="B1812">
            <v>2021</v>
          </cell>
          <cell r="C1812" t="str">
            <v>unpop_0014</v>
          </cell>
          <cell r="D1812">
            <v>366351802</v>
          </cell>
          <cell r="F1812" t="str">
            <v>UN-WPP Rev. 2024</v>
          </cell>
        </row>
        <row r="1813">
          <cell r="A1813" t="str">
            <v>IND</v>
          </cell>
          <cell r="B1813">
            <v>2021</v>
          </cell>
          <cell r="C1813" t="str">
            <v>unpop_1564</v>
          </cell>
          <cell r="D1813">
            <v>955281267</v>
          </cell>
          <cell r="F1813" t="str">
            <v>UN-WPP Rev. 2024</v>
          </cell>
        </row>
        <row r="1814">
          <cell r="A1814" t="str">
            <v>IND</v>
          </cell>
          <cell r="B1814">
            <v>2021</v>
          </cell>
          <cell r="C1814" t="str">
            <v>unpop_15up</v>
          </cell>
          <cell r="D1814">
            <v>1047852094</v>
          </cell>
          <cell r="F1814" t="str">
            <v>UN-WPP Rev. 2024</v>
          </cell>
        </row>
        <row r="1815">
          <cell r="A1815" t="str">
            <v>IND</v>
          </cell>
          <cell r="B1815">
            <v>2021</v>
          </cell>
          <cell r="C1815" t="str">
            <v>unpop_65up</v>
          </cell>
          <cell r="D1815">
            <v>92570827</v>
          </cell>
          <cell r="F1815" t="str">
            <v>UN-WPP Rev. 2024</v>
          </cell>
        </row>
        <row r="1816">
          <cell r="A1816" t="str">
            <v>IND</v>
          </cell>
          <cell r="B1816">
            <v>2021</v>
          </cell>
          <cell r="C1816" t="str">
            <v>unpop_total</v>
          </cell>
          <cell r="D1816">
            <v>1414203896</v>
          </cell>
          <cell r="F1816" t="str">
            <v>UN-WPP Rev. 2024</v>
          </cell>
        </row>
        <row r="1817">
          <cell r="A1817" t="str">
            <v>IND</v>
          </cell>
          <cell r="B1817">
            <v>2022</v>
          </cell>
          <cell r="C1817" t="str">
            <v>unpop_0014</v>
          </cell>
          <cell r="D1817">
            <v>363307647.5</v>
          </cell>
          <cell r="F1817" t="str">
            <v>UN-WPP Rev. 2024</v>
          </cell>
        </row>
        <row r="1818">
          <cell r="A1818" t="str">
            <v>IND</v>
          </cell>
          <cell r="B1818">
            <v>2022</v>
          </cell>
          <cell r="C1818" t="str">
            <v>unpop_1564</v>
          </cell>
          <cell r="D1818">
            <v>966626467.5</v>
          </cell>
          <cell r="F1818" t="str">
            <v>UN-WPP Rev. 2024</v>
          </cell>
        </row>
        <row r="1819">
          <cell r="A1819" t="str">
            <v>IND</v>
          </cell>
          <cell r="B1819">
            <v>2022</v>
          </cell>
          <cell r="C1819" t="str">
            <v>unpop_15up</v>
          </cell>
          <cell r="D1819">
            <v>1062115565</v>
          </cell>
          <cell r="F1819" t="str">
            <v>UN-WPP Rev. 2024</v>
          </cell>
        </row>
        <row r="1820">
          <cell r="A1820" t="str">
            <v>IND</v>
          </cell>
          <cell r="B1820">
            <v>2022</v>
          </cell>
          <cell r="C1820" t="str">
            <v>unpop_65up</v>
          </cell>
          <cell r="D1820">
            <v>95489097.5</v>
          </cell>
          <cell r="F1820" t="str">
            <v>UN-WPP Rev. 2024</v>
          </cell>
        </row>
        <row r="1821">
          <cell r="A1821" t="str">
            <v>IND</v>
          </cell>
          <cell r="B1821">
            <v>2022</v>
          </cell>
          <cell r="C1821" t="str">
            <v>unpop_total</v>
          </cell>
          <cell r="D1821">
            <v>1425423212.5</v>
          </cell>
          <cell r="F1821" t="str">
            <v>UN-WPP Rev. 2024</v>
          </cell>
        </row>
        <row r="1822">
          <cell r="A1822" t="str">
            <v>IND</v>
          </cell>
          <cell r="B1822">
            <v>2023</v>
          </cell>
          <cell r="C1822" t="str">
            <v>unpop_0014</v>
          </cell>
          <cell r="D1822">
            <v>360337993.5</v>
          </cell>
          <cell r="F1822" t="str">
            <v>UN-WPP Rev. 2024</v>
          </cell>
        </row>
        <row r="1823">
          <cell r="A1823" t="str">
            <v>IND</v>
          </cell>
          <cell r="B1823">
            <v>2023</v>
          </cell>
          <cell r="C1823" t="str">
            <v>unpop_1564</v>
          </cell>
          <cell r="D1823">
            <v>978190678.5</v>
          </cell>
          <cell r="F1823" t="str">
            <v>UN-WPP Rev. 2024</v>
          </cell>
        </row>
        <row r="1824">
          <cell r="A1824" t="str">
            <v>IND</v>
          </cell>
          <cell r="B1824">
            <v>2023</v>
          </cell>
          <cell r="C1824" t="str">
            <v>unpop_15up</v>
          </cell>
          <cell r="D1824">
            <v>1077731602.5</v>
          </cell>
          <cell r="F1824" t="str">
            <v>UN-WPP Rev. 2024</v>
          </cell>
        </row>
        <row r="1825">
          <cell r="A1825" t="str">
            <v>IND</v>
          </cell>
          <cell r="B1825">
            <v>2023</v>
          </cell>
          <cell r="C1825" t="str">
            <v>unpop_65up</v>
          </cell>
          <cell r="D1825">
            <v>99540924</v>
          </cell>
          <cell r="F1825" t="str">
            <v>UN-WPP Rev. 2024</v>
          </cell>
        </row>
        <row r="1826">
          <cell r="A1826" t="str">
            <v>IND</v>
          </cell>
          <cell r="B1826">
            <v>2023</v>
          </cell>
          <cell r="C1826" t="str">
            <v>unpop_total</v>
          </cell>
          <cell r="D1826">
            <v>1438069596</v>
          </cell>
          <cell r="F1826" t="str">
            <v>UN-WPP Rev. 2024</v>
          </cell>
        </row>
        <row r="1827">
          <cell r="A1827" t="str">
            <v>IND</v>
          </cell>
          <cell r="B1827">
            <v>2024</v>
          </cell>
          <cell r="C1827" t="str">
            <v>unpop_0014</v>
          </cell>
          <cell r="D1827">
            <v>357277017.5</v>
          </cell>
          <cell r="F1827" t="str">
            <v>UN-WPP Rev. 2024</v>
          </cell>
        </row>
        <row r="1828">
          <cell r="A1828" t="str">
            <v>IND</v>
          </cell>
          <cell r="B1828">
            <v>2024</v>
          </cell>
          <cell r="C1828" t="str">
            <v>unpop_1564</v>
          </cell>
          <cell r="D1828">
            <v>989967398.5</v>
          </cell>
          <cell r="F1828" t="str">
            <v>UN-WPP Rev. 2024</v>
          </cell>
        </row>
        <row r="1829">
          <cell r="A1829" t="str">
            <v>IND</v>
          </cell>
          <cell r="B1829">
            <v>2024</v>
          </cell>
          <cell r="C1829" t="str">
            <v>unpop_15up</v>
          </cell>
          <cell r="D1829">
            <v>1093658773.5</v>
          </cell>
          <cell r="F1829" t="str">
            <v>UN-WPP Rev. 2024</v>
          </cell>
        </row>
        <row r="1830">
          <cell r="A1830" t="str">
            <v>IND</v>
          </cell>
          <cell r="B1830">
            <v>2024</v>
          </cell>
          <cell r="C1830" t="str">
            <v>unpop_65up</v>
          </cell>
          <cell r="D1830">
            <v>103691375</v>
          </cell>
          <cell r="F1830" t="str">
            <v>UN-WPP Rev. 2024</v>
          </cell>
        </row>
        <row r="1831">
          <cell r="A1831" t="str">
            <v>IND</v>
          </cell>
          <cell r="B1831">
            <v>2024</v>
          </cell>
          <cell r="C1831" t="str">
            <v>unpop_total</v>
          </cell>
          <cell r="D1831">
            <v>1450935791</v>
          </cell>
          <cell r="F1831" t="str">
            <v>UN-WPP Rev. 2024</v>
          </cell>
        </row>
        <row r="1832">
          <cell r="A1832" t="str">
            <v>IND</v>
          </cell>
          <cell r="B1832">
            <v>2025</v>
          </cell>
          <cell r="C1832" t="str">
            <v>unpop_0014</v>
          </cell>
          <cell r="D1832">
            <v>354186169</v>
          </cell>
          <cell r="F1832" t="str">
            <v>UN-WPP Rev. 2024</v>
          </cell>
        </row>
        <row r="1833">
          <cell r="A1833" t="str">
            <v>IND</v>
          </cell>
          <cell r="B1833">
            <v>2025</v>
          </cell>
          <cell r="C1833" t="str">
            <v>unpop_1564</v>
          </cell>
          <cell r="D1833">
            <v>1001696269</v>
          </cell>
          <cell r="F1833" t="str">
            <v>UN-WPP Rev. 2024</v>
          </cell>
        </row>
        <row r="1834">
          <cell r="A1834" t="str">
            <v>IND</v>
          </cell>
          <cell r="B1834">
            <v>2025</v>
          </cell>
          <cell r="C1834" t="str">
            <v>unpop_15up</v>
          </cell>
          <cell r="D1834">
            <v>1109679355.5</v>
          </cell>
          <cell r="F1834" t="str">
            <v>UN-WPP Rev. 2024</v>
          </cell>
        </row>
        <row r="1835">
          <cell r="A1835" t="str">
            <v>IND</v>
          </cell>
          <cell r="B1835">
            <v>2025</v>
          </cell>
          <cell r="C1835" t="str">
            <v>unpop_65up</v>
          </cell>
          <cell r="D1835">
            <v>107983086.5</v>
          </cell>
          <cell r="F1835" t="str">
            <v>UN-WPP Rev. 2024</v>
          </cell>
        </row>
        <row r="1836">
          <cell r="A1836" t="str">
            <v>IND</v>
          </cell>
          <cell r="B1836">
            <v>2025</v>
          </cell>
          <cell r="C1836" t="str">
            <v>unpop_total</v>
          </cell>
          <cell r="D1836">
            <v>1463865524.5</v>
          </cell>
          <cell r="F1836" t="str">
            <v>UN-WPP Rev. 2024</v>
          </cell>
        </row>
        <row r="1837">
          <cell r="A1837" t="str">
            <v>IND</v>
          </cell>
          <cell r="B1837">
            <v>2026</v>
          </cell>
          <cell r="C1837" t="str">
            <v>unpop_0014</v>
          </cell>
          <cell r="D1837">
            <v>351215756</v>
          </cell>
          <cell r="F1837" t="str">
            <v>UN-WPP Rev. 2024</v>
          </cell>
        </row>
        <row r="1838">
          <cell r="A1838" t="str">
            <v>IND</v>
          </cell>
          <cell r="B1838">
            <v>2026</v>
          </cell>
          <cell r="C1838" t="str">
            <v>unpop_1564</v>
          </cell>
          <cell r="D1838">
            <v>1013051556</v>
          </cell>
          <cell r="F1838" t="str">
            <v>UN-WPP Rev. 2024</v>
          </cell>
        </row>
        <row r="1839">
          <cell r="A1839" t="str">
            <v>IND</v>
          </cell>
          <cell r="B1839">
            <v>2026</v>
          </cell>
          <cell r="C1839" t="str">
            <v>unpop_15up</v>
          </cell>
          <cell r="D1839">
            <v>1125409820.5</v>
          </cell>
          <cell r="F1839" t="str">
            <v>UN-WPP Rev. 2024</v>
          </cell>
        </row>
        <row r="1840">
          <cell r="A1840" t="str">
            <v>IND</v>
          </cell>
          <cell r="B1840">
            <v>2026</v>
          </cell>
          <cell r="C1840" t="str">
            <v>unpop_65up</v>
          </cell>
          <cell r="D1840">
            <v>112358264.5</v>
          </cell>
          <cell r="F1840" t="str">
            <v>UN-WPP Rev. 2024</v>
          </cell>
        </row>
        <row r="1841">
          <cell r="A1841" t="str">
            <v>IND</v>
          </cell>
          <cell r="B1841">
            <v>2026</v>
          </cell>
          <cell r="C1841" t="str">
            <v>unpop_total</v>
          </cell>
          <cell r="D1841">
            <v>1476625576.5</v>
          </cell>
          <cell r="F1841" t="str">
            <v>UN-WPP Rev. 2024</v>
          </cell>
        </row>
        <row r="1842">
          <cell r="A1842" t="str">
            <v>IND</v>
          </cell>
          <cell r="B1842">
            <v>2027</v>
          </cell>
          <cell r="C1842" t="str">
            <v>unpop_0014</v>
          </cell>
          <cell r="D1842">
            <v>348330147</v>
          </cell>
          <cell r="F1842" t="str">
            <v>UN-WPP Rev. 2024</v>
          </cell>
        </row>
        <row r="1843">
          <cell r="A1843" t="str">
            <v>IND</v>
          </cell>
          <cell r="B1843">
            <v>2027</v>
          </cell>
          <cell r="C1843" t="str">
            <v>unpop_1564</v>
          </cell>
          <cell r="D1843">
            <v>1024027193.5</v>
          </cell>
          <cell r="F1843" t="str">
            <v>UN-WPP Rev. 2024</v>
          </cell>
        </row>
        <row r="1844">
          <cell r="A1844" t="str">
            <v>IND</v>
          </cell>
          <cell r="B1844">
            <v>2027</v>
          </cell>
          <cell r="C1844" t="str">
            <v>unpop_15up</v>
          </cell>
          <cell r="D1844">
            <v>1140834527</v>
          </cell>
          <cell r="F1844" t="str">
            <v>UN-WPP Rev. 2024</v>
          </cell>
        </row>
        <row r="1845">
          <cell r="A1845" t="str">
            <v>IND</v>
          </cell>
          <cell r="B1845">
            <v>2027</v>
          </cell>
          <cell r="C1845" t="str">
            <v>unpop_65up</v>
          </cell>
          <cell r="D1845">
            <v>116807333.5</v>
          </cell>
          <cell r="F1845" t="str">
            <v>UN-WPP Rev. 2024</v>
          </cell>
        </row>
        <row r="1846">
          <cell r="A1846" t="str">
            <v>IND</v>
          </cell>
          <cell r="B1846">
            <v>2027</v>
          </cell>
          <cell r="C1846" t="str">
            <v>unpop_total</v>
          </cell>
          <cell r="D1846">
            <v>1489164674</v>
          </cell>
          <cell r="F1846" t="str">
            <v>UN-WPP Rev. 2024</v>
          </cell>
        </row>
        <row r="1847">
          <cell r="A1847" t="str">
            <v>IND</v>
          </cell>
          <cell r="B1847">
            <v>2028</v>
          </cell>
          <cell r="C1847" t="str">
            <v>unpop_0014</v>
          </cell>
          <cell r="D1847">
            <v>345612814</v>
          </cell>
          <cell r="F1847" t="str">
            <v>UN-WPP Rev. 2024</v>
          </cell>
        </row>
        <row r="1848">
          <cell r="A1848" t="str">
            <v>IND</v>
          </cell>
          <cell r="B1848">
            <v>2028</v>
          </cell>
          <cell r="C1848" t="str">
            <v>unpop_1564</v>
          </cell>
          <cell r="D1848">
            <v>1034500316.5</v>
          </cell>
          <cell r="F1848" t="str">
            <v>UN-WPP Rev. 2024</v>
          </cell>
        </row>
        <row r="1849">
          <cell r="A1849" t="str">
            <v>IND</v>
          </cell>
          <cell r="B1849">
            <v>2028</v>
          </cell>
          <cell r="C1849" t="str">
            <v>unpop_15up</v>
          </cell>
          <cell r="D1849">
            <v>1155819925.5</v>
          </cell>
          <cell r="F1849" t="str">
            <v>UN-WPP Rev. 2024</v>
          </cell>
        </row>
        <row r="1850">
          <cell r="A1850" t="str">
            <v>IND</v>
          </cell>
          <cell r="B1850">
            <v>2028</v>
          </cell>
          <cell r="C1850" t="str">
            <v>unpop_65up</v>
          </cell>
          <cell r="D1850">
            <v>121319609</v>
          </cell>
          <cell r="F1850" t="str">
            <v>UN-WPP Rev. 2024</v>
          </cell>
        </row>
        <row r="1851">
          <cell r="A1851" t="str">
            <v>IND</v>
          </cell>
          <cell r="B1851">
            <v>2028</v>
          </cell>
          <cell r="C1851" t="str">
            <v>unpop_total</v>
          </cell>
          <cell r="D1851">
            <v>1501432739.5</v>
          </cell>
          <cell r="F1851" t="str">
            <v>UN-WPP Rev. 2024</v>
          </cell>
        </row>
        <row r="1852">
          <cell r="A1852" t="str">
            <v>IND</v>
          </cell>
          <cell r="B1852">
            <v>2029</v>
          </cell>
          <cell r="C1852" t="str">
            <v>unpop_0014</v>
          </cell>
          <cell r="D1852">
            <v>343400249</v>
          </cell>
          <cell r="F1852" t="str">
            <v>UN-WPP Rev. 2024</v>
          </cell>
        </row>
        <row r="1853">
          <cell r="A1853" t="str">
            <v>IND</v>
          </cell>
          <cell r="B1853">
            <v>2029</v>
          </cell>
          <cell r="C1853" t="str">
            <v>unpop_1564</v>
          </cell>
          <cell r="D1853">
            <v>1044134264</v>
          </cell>
          <cell r="F1853" t="str">
            <v>UN-WPP Rev. 2024</v>
          </cell>
        </row>
        <row r="1854">
          <cell r="A1854" t="str">
            <v>IND</v>
          </cell>
          <cell r="B1854">
            <v>2029</v>
          </cell>
          <cell r="C1854" t="str">
            <v>unpop_15up</v>
          </cell>
          <cell r="D1854">
            <v>1170023482</v>
          </cell>
          <cell r="F1854" t="str">
            <v>UN-WPP Rev. 2024</v>
          </cell>
        </row>
        <row r="1855">
          <cell r="A1855" t="str">
            <v>IND</v>
          </cell>
          <cell r="B1855">
            <v>2029</v>
          </cell>
          <cell r="C1855" t="str">
            <v>unpop_65up</v>
          </cell>
          <cell r="D1855">
            <v>125889218</v>
          </cell>
          <cell r="F1855" t="str">
            <v>UN-WPP Rev. 2024</v>
          </cell>
        </row>
        <row r="1856">
          <cell r="A1856" t="str">
            <v>IND</v>
          </cell>
          <cell r="B1856">
            <v>2029</v>
          </cell>
          <cell r="C1856" t="str">
            <v>unpop_total</v>
          </cell>
          <cell r="D1856">
            <v>1513423731</v>
          </cell>
          <cell r="F1856" t="str">
            <v>UN-WPP Rev. 2024</v>
          </cell>
        </row>
        <row r="1857">
          <cell r="A1857" t="str">
            <v>IND</v>
          </cell>
          <cell r="B1857">
            <v>2030</v>
          </cell>
          <cell r="C1857" t="str">
            <v>unpop_0014</v>
          </cell>
          <cell r="D1857">
            <v>341453894.5</v>
          </cell>
          <cell r="F1857" t="str">
            <v>UN-WPP Rev. 2024</v>
          </cell>
        </row>
        <row r="1858">
          <cell r="A1858" t="str">
            <v>IND</v>
          </cell>
          <cell r="B1858">
            <v>2030</v>
          </cell>
          <cell r="C1858" t="str">
            <v>unpop_1564</v>
          </cell>
          <cell r="D1858">
            <v>1053190045</v>
          </cell>
          <cell r="F1858" t="str">
            <v>UN-WPP Rev. 2024</v>
          </cell>
        </row>
        <row r="1859">
          <cell r="A1859" t="str">
            <v>IND</v>
          </cell>
          <cell r="B1859">
            <v>2030</v>
          </cell>
          <cell r="C1859" t="str">
            <v>unpop_15up</v>
          </cell>
          <cell r="D1859">
            <v>1183684950</v>
          </cell>
          <cell r="F1859" t="str">
            <v>UN-WPP Rev. 2024</v>
          </cell>
        </row>
        <row r="1860">
          <cell r="A1860" t="str">
            <v>IND</v>
          </cell>
          <cell r="B1860">
            <v>2030</v>
          </cell>
          <cell r="C1860" t="str">
            <v>unpop_65up</v>
          </cell>
          <cell r="D1860">
            <v>130494905</v>
          </cell>
          <cell r="F1860" t="str">
            <v>UN-WPP Rev. 2024</v>
          </cell>
        </row>
        <row r="1861">
          <cell r="A1861" t="str">
            <v>IND</v>
          </cell>
          <cell r="B1861">
            <v>2030</v>
          </cell>
          <cell r="C1861" t="str">
            <v>unpop_total</v>
          </cell>
          <cell r="D1861">
            <v>1525138844.5</v>
          </cell>
          <cell r="F1861" t="str">
            <v>UN-WPP Rev. 2024</v>
          </cell>
        </row>
        <row r="1862">
          <cell r="A1862" t="str">
            <v>LKA</v>
          </cell>
          <cell r="B1862">
            <v>2000</v>
          </cell>
          <cell r="C1862" t="str">
            <v>unpop_0014</v>
          </cell>
          <cell r="D1862">
            <v>5209378.5</v>
          </cell>
          <cell r="F1862" t="str">
            <v>UN-WPP Rev. 2024</v>
          </cell>
        </row>
        <row r="1863">
          <cell r="A1863" t="str">
            <v>LKA</v>
          </cell>
          <cell r="B1863">
            <v>2000</v>
          </cell>
          <cell r="C1863" t="str">
            <v>unpop_1564</v>
          </cell>
          <cell r="D1863">
            <v>12886460</v>
          </cell>
          <cell r="F1863" t="str">
            <v>UN-WPP Rev. 2024</v>
          </cell>
        </row>
        <row r="1864">
          <cell r="A1864" t="str">
            <v>LKA</v>
          </cell>
          <cell r="B1864">
            <v>2000</v>
          </cell>
          <cell r="C1864" t="str">
            <v>unpop_15up</v>
          </cell>
          <cell r="D1864">
            <v>14083675</v>
          </cell>
          <cell r="F1864" t="str">
            <v>UN-WPP Rev. 2024</v>
          </cell>
        </row>
        <row r="1865">
          <cell r="A1865" t="str">
            <v>LKA</v>
          </cell>
          <cell r="B1865">
            <v>2000</v>
          </cell>
          <cell r="C1865" t="str">
            <v>unpop_65up</v>
          </cell>
          <cell r="D1865">
            <v>1197215</v>
          </cell>
          <cell r="F1865" t="str">
            <v>UN-WPP Rev. 2024</v>
          </cell>
        </row>
        <row r="1866">
          <cell r="A1866" t="str">
            <v>LKA</v>
          </cell>
          <cell r="B1866">
            <v>2000</v>
          </cell>
          <cell r="C1866" t="str">
            <v>unpop_total</v>
          </cell>
          <cell r="D1866">
            <v>19293053.5</v>
          </cell>
          <cell r="F1866" t="str">
            <v>UN-WPP Rev. 2024</v>
          </cell>
        </row>
        <row r="1867">
          <cell r="A1867" t="str">
            <v>LKA</v>
          </cell>
          <cell r="B1867">
            <v>2001</v>
          </cell>
          <cell r="C1867" t="str">
            <v>unpop_0014</v>
          </cell>
          <cell r="D1867">
            <v>5218782.5</v>
          </cell>
          <cell r="F1867" t="str">
            <v>UN-WPP Rev. 2024</v>
          </cell>
        </row>
        <row r="1868">
          <cell r="A1868" t="str">
            <v>LKA</v>
          </cell>
          <cell r="B1868">
            <v>2001</v>
          </cell>
          <cell r="C1868" t="str">
            <v>unpop_1564</v>
          </cell>
          <cell r="D1868">
            <v>13152853</v>
          </cell>
          <cell r="F1868" t="str">
            <v>UN-WPP Rev. 2024</v>
          </cell>
        </row>
        <row r="1869">
          <cell r="A1869" t="str">
            <v>LKA</v>
          </cell>
          <cell r="B1869">
            <v>2001</v>
          </cell>
          <cell r="C1869" t="str">
            <v>unpop_15up</v>
          </cell>
          <cell r="D1869">
            <v>14381580</v>
          </cell>
          <cell r="F1869" t="str">
            <v>UN-WPP Rev. 2024</v>
          </cell>
        </row>
        <row r="1870">
          <cell r="A1870" t="str">
            <v>LKA</v>
          </cell>
          <cell r="B1870">
            <v>2001</v>
          </cell>
          <cell r="C1870" t="str">
            <v>unpop_65up</v>
          </cell>
          <cell r="D1870">
            <v>1228727</v>
          </cell>
          <cell r="F1870" t="str">
            <v>UN-WPP Rev. 2024</v>
          </cell>
        </row>
        <row r="1871">
          <cell r="A1871" t="str">
            <v>LKA</v>
          </cell>
          <cell r="B1871">
            <v>2001</v>
          </cell>
          <cell r="C1871" t="str">
            <v>unpop_total</v>
          </cell>
          <cell r="D1871">
            <v>19600362.5</v>
          </cell>
          <cell r="F1871" t="str">
            <v>UN-WPP Rev. 2024</v>
          </cell>
        </row>
        <row r="1872">
          <cell r="A1872" t="str">
            <v>LKA</v>
          </cell>
          <cell r="B1872">
            <v>2002</v>
          </cell>
          <cell r="C1872" t="str">
            <v>unpop_0014</v>
          </cell>
          <cell r="D1872">
            <v>5214704.5</v>
          </cell>
          <cell r="F1872" t="str">
            <v>UN-WPP Rev. 2024</v>
          </cell>
        </row>
        <row r="1873">
          <cell r="A1873" t="str">
            <v>LKA</v>
          </cell>
          <cell r="B1873">
            <v>2002</v>
          </cell>
          <cell r="C1873" t="str">
            <v>unpop_1564</v>
          </cell>
          <cell r="D1873">
            <v>13333182.5</v>
          </cell>
          <cell r="F1873" t="str">
            <v>UN-WPP Rev. 2024</v>
          </cell>
        </row>
        <row r="1874">
          <cell r="A1874" t="str">
            <v>LKA</v>
          </cell>
          <cell r="B1874">
            <v>2002</v>
          </cell>
          <cell r="C1874" t="str">
            <v>unpop_15up</v>
          </cell>
          <cell r="D1874">
            <v>14591047.5</v>
          </cell>
          <cell r="F1874" t="str">
            <v>UN-WPP Rev. 2024</v>
          </cell>
        </row>
        <row r="1875">
          <cell r="A1875" t="str">
            <v>LKA</v>
          </cell>
          <cell r="B1875">
            <v>2002</v>
          </cell>
          <cell r="C1875" t="str">
            <v>unpop_65up</v>
          </cell>
          <cell r="D1875">
            <v>1257865</v>
          </cell>
          <cell r="F1875" t="str">
            <v>UN-WPP Rev. 2024</v>
          </cell>
        </row>
        <row r="1876">
          <cell r="A1876" t="str">
            <v>LKA</v>
          </cell>
          <cell r="B1876">
            <v>2002</v>
          </cell>
          <cell r="C1876" t="str">
            <v>unpop_total</v>
          </cell>
          <cell r="D1876">
            <v>19805752</v>
          </cell>
          <cell r="F1876" t="str">
            <v>UN-WPP Rev. 2024</v>
          </cell>
        </row>
        <row r="1877">
          <cell r="A1877" t="str">
            <v>LKA</v>
          </cell>
          <cell r="B1877">
            <v>2003</v>
          </cell>
          <cell r="C1877" t="str">
            <v>unpop_0014</v>
          </cell>
          <cell r="D1877">
            <v>5210060</v>
          </cell>
          <cell r="F1877" t="str">
            <v>UN-WPP Rev. 2024</v>
          </cell>
        </row>
        <row r="1878">
          <cell r="A1878" t="str">
            <v>LKA</v>
          </cell>
          <cell r="B1878">
            <v>2003</v>
          </cell>
          <cell r="C1878" t="str">
            <v>unpop_1564</v>
          </cell>
          <cell r="D1878">
            <v>13456484.5</v>
          </cell>
          <cell r="F1878" t="str">
            <v>UN-WPP Rev. 2024</v>
          </cell>
        </row>
        <row r="1879">
          <cell r="A1879" t="str">
            <v>LKA</v>
          </cell>
          <cell r="B1879">
            <v>2003</v>
          </cell>
          <cell r="C1879" t="str">
            <v>unpop_15up</v>
          </cell>
          <cell r="D1879">
            <v>14741461.5</v>
          </cell>
          <cell r="F1879" t="str">
            <v>UN-WPP Rev. 2024</v>
          </cell>
        </row>
        <row r="1880">
          <cell r="A1880" t="str">
            <v>LKA</v>
          </cell>
          <cell r="B1880">
            <v>2003</v>
          </cell>
          <cell r="C1880" t="str">
            <v>unpop_65up</v>
          </cell>
          <cell r="D1880">
            <v>1284977</v>
          </cell>
          <cell r="F1880" t="str">
            <v>UN-WPP Rev. 2024</v>
          </cell>
        </row>
        <row r="1881">
          <cell r="A1881" t="str">
            <v>LKA</v>
          </cell>
          <cell r="B1881">
            <v>2003</v>
          </cell>
          <cell r="C1881" t="str">
            <v>unpop_total</v>
          </cell>
          <cell r="D1881">
            <v>19951521.5</v>
          </cell>
          <cell r="F1881" t="str">
            <v>UN-WPP Rev. 2024</v>
          </cell>
        </row>
        <row r="1882">
          <cell r="A1882" t="str">
            <v>LKA</v>
          </cell>
          <cell r="B1882">
            <v>2004</v>
          </cell>
          <cell r="C1882" t="str">
            <v>unpop_0014</v>
          </cell>
          <cell r="D1882">
            <v>5213689</v>
          </cell>
          <cell r="F1882" t="str">
            <v>UN-WPP Rev. 2024</v>
          </cell>
        </row>
        <row r="1883">
          <cell r="A1883" t="str">
            <v>LKA</v>
          </cell>
          <cell r="B1883">
            <v>2004</v>
          </cell>
          <cell r="C1883" t="str">
            <v>unpop_1564</v>
          </cell>
          <cell r="D1883">
            <v>13562847</v>
          </cell>
          <cell r="F1883" t="str">
            <v>UN-WPP Rev. 2024</v>
          </cell>
        </row>
        <row r="1884">
          <cell r="A1884" t="str">
            <v>LKA</v>
          </cell>
          <cell r="B1884">
            <v>2004</v>
          </cell>
          <cell r="C1884" t="str">
            <v>unpop_15up</v>
          </cell>
          <cell r="D1884">
            <v>14873916</v>
          </cell>
          <cell r="F1884" t="str">
            <v>UN-WPP Rev. 2024</v>
          </cell>
        </row>
        <row r="1885">
          <cell r="A1885" t="str">
            <v>LKA</v>
          </cell>
          <cell r="B1885">
            <v>2004</v>
          </cell>
          <cell r="C1885" t="str">
            <v>unpop_65up</v>
          </cell>
          <cell r="D1885">
            <v>1311069</v>
          </cell>
          <cell r="F1885" t="str">
            <v>UN-WPP Rev. 2024</v>
          </cell>
        </row>
        <row r="1886">
          <cell r="A1886" t="str">
            <v>LKA</v>
          </cell>
          <cell r="B1886">
            <v>2004</v>
          </cell>
          <cell r="C1886" t="str">
            <v>unpop_total</v>
          </cell>
          <cell r="D1886">
            <v>20087605</v>
          </cell>
          <cell r="F1886" t="str">
            <v>UN-WPP Rev. 2024</v>
          </cell>
        </row>
        <row r="1887">
          <cell r="A1887" t="str">
            <v>LKA</v>
          </cell>
          <cell r="B1887">
            <v>2005</v>
          </cell>
          <cell r="C1887" t="str">
            <v>unpop_0014</v>
          </cell>
          <cell r="D1887">
            <v>5223446</v>
          </cell>
          <cell r="F1887" t="str">
            <v>UN-WPP Rev. 2024</v>
          </cell>
        </row>
        <row r="1888">
          <cell r="A1888" t="str">
            <v>LKA</v>
          </cell>
          <cell r="B1888">
            <v>2005</v>
          </cell>
          <cell r="C1888" t="str">
            <v>unpop_1564</v>
          </cell>
          <cell r="D1888">
            <v>13654483</v>
          </cell>
          <cell r="F1888" t="str">
            <v>UN-WPP Rev. 2024</v>
          </cell>
        </row>
        <row r="1889">
          <cell r="A1889" t="str">
            <v>LKA</v>
          </cell>
          <cell r="B1889">
            <v>2005</v>
          </cell>
          <cell r="C1889" t="str">
            <v>unpop_15up</v>
          </cell>
          <cell r="D1889">
            <v>14993078.5</v>
          </cell>
          <cell r="F1889" t="str">
            <v>UN-WPP Rev. 2024</v>
          </cell>
        </row>
        <row r="1890">
          <cell r="A1890" t="str">
            <v>LKA</v>
          </cell>
          <cell r="B1890">
            <v>2005</v>
          </cell>
          <cell r="C1890" t="str">
            <v>unpop_65up</v>
          </cell>
          <cell r="D1890">
            <v>1338595.5</v>
          </cell>
          <cell r="F1890" t="str">
            <v>UN-WPP Rev. 2024</v>
          </cell>
        </row>
        <row r="1891">
          <cell r="A1891" t="str">
            <v>LKA</v>
          </cell>
          <cell r="B1891">
            <v>2005</v>
          </cell>
          <cell r="C1891" t="str">
            <v>unpop_total</v>
          </cell>
          <cell r="D1891">
            <v>20216524.5</v>
          </cell>
          <cell r="F1891" t="str">
            <v>UN-WPP Rev. 2024</v>
          </cell>
        </row>
        <row r="1892">
          <cell r="A1892" t="str">
            <v>LKA</v>
          </cell>
          <cell r="B1892">
            <v>2006</v>
          </cell>
          <cell r="C1892" t="str">
            <v>unpop_0014</v>
          </cell>
          <cell r="D1892">
            <v>5239778.5</v>
          </cell>
          <cell r="F1892" t="str">
            <v>UN-WPP Rev. 2024</v>
          </cell>
        </row>
        <row r="1893">
          <cell r="A1893" t="str">
            <v>LKA</v>
          </cell>
          <cell r="B1893">
            <v>2006</v>
          </cell>
          <cell r="C1893" t="str">
            <v>unpop_1564</v>
          </cell>
          <cell r="D1893">
            <v>13741707</v>
          </cell>
          <cell r="F1893" t="str">
            <v>UN-WPP Rev. 2024</v>
          </cell>
        </row>
        <row r="1894">
          <cell r="A1894" t="str">
            <v>LKA</v>
          </cell>
          <cell r="B1894">
            <v>2006</v>
          </cell>
          <cell r="C1894" t="str">
            <v>unpop_15up</v>
          </cell>
          <cell r="D1894">
            <v>15112632.5</v>
          </cell>
          <cell r="F1894" t="str">
            <v>UN-WPP Rev. 2024</v>
          </cell>
        </row>
        <row r="1895">
          <cell r="A1895" t="str">
            <v>LKA</v>
          </cell>
          <cell r="B1895">
            <v>2006</v>
          </cell>
          <cell r="C1895" t="str">
            <v>unpop_65up</v>
          </cell>
          <cell r="D1895">
            <v>1370925.5</v>
          </cell>
          <cell r="F1895" t="str">
            <v>UN-WPP Rev. 2024</v>
          </cell>
        </row>
        <row r="1896">
          <cell r="A1896" t="str">
            <v>LKA</v>
          </cell>
          <cell r="B1896">
            <v>2006</v>
          </cell>
          <cell r="C1896" t="str">
            <v>unpop_total</v>
          </cell>
          <cell r="D1896">
            <v>20352411</v>
          </cell>
          <cell r="F1896" t="str">
            <v>UN-WPP Rev. 2024</v>
          </cell>
        </row>
        <row r="1897">
          <cell r="A1897" t="str">
            <v>LKA</v>
          </cell>
          <cell r="B1897">
            <v>2007</v>
          </cell>
          <cell r="C1897" t="str">
            <v>unpop_0014</v>
          </cell>
          <cell r="D1897">
            <v>5259468.5</v>
          </cell>
          <cell r="F1897" t="str">
            <v>UN-WPP Rev. 2024</v>
          </cell>
        </row>
        <row r="1898">
          <cell r="A1898" t="str">
            <v>LKA</v>
          </cell>
          <cell r="B1898">
            <v>2007</v>
          </cell>
          <cell r="C1898" t="str">
            <v>unpop_1564</v>
          </cell>
          <cell r="D1898">
            <v>13825021.5</v>
          </cell>
          <cell r="F1898" t="str">
            <v>UN-WPP Rev. 2024</v>
          </cell>
        </row>
        <row r="1899">
          <cell r="A1899" t="str">
            <v>LKA</v>
          </cell>
          <cell r="B1899">
            <v>2007</v>
          </cell>
          <cell r="C1899" t="str">
            <v>unpop_15up</v>
          </cell>
          <cell r="D1899">
            <v>15233076.5</v>
          </cell>
          <cell r="F1899" t="str">
            <v>UN-WPP Rev. 2024</v>
          </cell>
        </row>
        <row r="1900">
          <cell r="A1900" t="str">
            <v>LKA</v>
          </cell>
          <cell r="B1900">
            <v>2007</v>
          </cell>
          <cell r="C1900" t="str">
            <v>unpop_65up</v>
          </cell>
          <cell r="D1900">
            <v>1408055</v>
          </cell>
          <cell r="F1900" t="str">
            <v>UN-WPP Rev. 2024</v>
          </cell>
        </row>
        <row r="1901">
          <cell r="A1901" t="str">
            <v>LKA</v>
          </cell>
          <cell r="B1901">
            <v>2007</v>
          </cell>
          <cell r="C1901" t="str">
            <v>unpop_total</v>
          </cell>
          <cell r="D1901">
            <v>20492545</v>
          </cell>
          <cell r="F1901" t="str">
            <v>UN-WPP Rev. 2024</v>
          </cell>
        </row>
        <row r="1902">
          <cell r="A1902" t="str">
            <v>LKA</v>
          </cell>
          <cell r="B1902">
            <v>2008</v>
          </cell>
          <cell r="C1902" t="str">
            <v>unpop_0014</v>
          </cell>
          <cell r="D1902">
            <v>5278483</v>
          </cell>
          <cell r="F1902" t="str">
            <v>UN-WPP Rev. 2024</v>
          </cell>
        </row>
        <row r="1903">
          <cell r="A1903" t="str">
            <v>LKA</v>
          </cell>
          <cell r="B1903">
            <v>2008</v>
          </cell>
          <cell r="C1903" t="str">
            <v>unpop_1564</v>
          </cell>
          <cell r="D1903">
            <v>13900287</v>
          </cell>
          <cell r="F1903" t="str">
            <v>UN-WPP Rev. 2024</v>
          </cell>
        </row>
        <row r="1904">
          <cell r="A1904" t="str">
            <v>LKA</v>
          </cell>
          <cell r="B1904">
            <v>2008</v>
          </cell>
          <cell r="C1904" t="str">
            <v>unpop_15up</v>
          </cell>
          <cell r="D1904">
            <v>15350895</v>
          </cell>
          <cell r="F1904" t="str">
            <v>UN-WPP Rev. 2024</v>
          </cell>
        </row>
        <row r="1905">
          <cell r="A1905" t="str">
            <v>LKA</v>
          </cell>
          <cell r="B1905">
            <v>2008</v>
          </cell>
          <cell r="C1905" t="str">
            <v>unpop_65up</v>
          </cell>
          <cell r="D1905">
            <v>1450608</v>
          </cell>
          <cell r="F1905" t="str">
            <v>UN-WPP Rev. 2024</v>
          </cell>
        </row>
        <row r="1906">
          <cell r="A1906" t="str">
            <v>LKA</v>
          </cell>
          <cell r="B1906">
            <v>2008</v>
          </cell>
          <cell r="C1906" t="str">
            <v>unpop_total</v>
          </cell>
          <cell r="D1906">
            <v>20629378</v>
          </cell>
          <cell r="F1906" t="str">
            <v>UN-WPP Rev. 2024</v>
          </cell>
        </row>
        <row r="1907">
          <cell r="A1907" t="str">
            <v>LKA</v>
          </cell>
          <cell r="B1907">
            <v>2009</v>
          </cell>
          <cell r="C1907" t="str">
            <v>unpop_0014</v>
          </cell>
          <cell r="D1907">
            <v>5294622.5</v>
          </cell>
          <cell r="F1907" t="str">
            <v>UN-WPP Rev. 2024</v>
          </cell>
        </row>
        <row r="1908">
          <cell r="A1908" t="str">
            <v>LKA</v>
          </cell>
          <cell r="B1908">
            <v>2009</v>
          </cell>
          <cell r="C1908" t="str">
            <v>unpop_1564</v>
          </cell>
          <cell r="D1908">
            <v>13964262.5</v>
          </cell>
          <cell r="F1908" t="str">
            <v>UN-WPP Rev. 2024</v>
          </cell>
        </row>
        <row r="1909">
          <cell r="A1909" t="str">
            <v>LKA</v>
          </cell>
          <cell r="B1909">
            <v>2009</v>
          </cell>
          <cell r="C1909" t="str">
            <v>unpop_15up</v>
          </cell>
          <cell r="D1909">
            <v>15461812.5</v>
          </cell>
          <cell r="F1909" t="str">
            <v>UN-WPP Rev. 2024</v>
          </cell>
        </row>
        <row r="1910">
          <cell r="A1910" t="str">
            <v>LKA</v>
          </cell>
          <cell r="B1910">
            <v>2009</v>
          </cell>
          <cell r="C1910" t="str">
            <v>unpop_65up</v>
          </cell>
          <cell r="D1910">
            <v>1497550</v>
          </cell>
          <cell r="F1910" t="str">
            <v>UN-WPP Rev. 2024</v>
          </cell>
        </row>
        <row r="1911">
          <cell r="A1911" t="str">
            <v>LKA</v>
          </cell>
          <cell r="B1911">
            <v>2009</v>
          </cell>
          <cell r="C1911" t="str">
            <v>unpop_total</v>
          </cell>
          <cell r="D1911">
            <v>20756435</v>
          </cell>
          <cell r="F1911" t="str">
            <v>UN-WPP Rev. 2024</v>
          </cell>
        </row>
        <row r="1912">
          <cell r="A1912" t="str">
            <v>LKA</v>
          </cell>
          <cell r="B1912">
            <v>2010</v>
          </cell>
          <cell r="C1912" t="str">
            <v>unpop_0014</v>
          </cell>
          <cell r="D1912">
            <v>5307368.5</v>
          </cell>
          <cell r="F1912" t="str">
            <v>UN-WPP Rev. 2024</v>
          </cell>
        </row>
        <row r="1913">
          <cell r="A1913" t="str">
            <v>LKA</v>
          </cell>
          <cell r="B1913">
            <v>2010</v>
          </cell>
          <cell r="C1913" t="str">
            <v>unpop_1564</v>
          </cell>
          <cell r="D1913">
            <v>14020983</v>
          </cell>
          <cell r="F1913" t="str">
            <v>UN-WPP Rev. 2024</v>
          </cell>
        </row>
        <row r="1914">
          <cell r="A1914" t="str">
            <v>LKA</v>
          </cell>
          <cell r="B1914">
            <v>2010</v>
          </cell>
          <cell r="C1914" t="str">
            <v>unpop_15up</v>
          </cell>
          <cell r="D1914">
            <v>15571720.5</v>
          </cell>
          <cell r="F1914" t="str">
            <v>UN-WPP Rev. 2024</v>
          </cell>
        </row>
        <row r="1915">
          <cell r="A1915" t="str">
            <v>LKA</v>
          </cell>
          <cell r="B1915">
            <v>2010</v>
          </cell>
          <cell r="C1915" t="str">
            <v>unpop_65up</v>
          </cell>
          <cell r="D1915">
            <v>1550737.5</v>
          </cell>
          <cell r="F1915" t="str">
            <v>UN-WPP Rev. 2024</v>
          </cell>
        </row>
        <row r="1916">
          <cell r="A1916" t="str">
            <v>LKA</v>
          </cell>
          <cell r="B1916">
            <v>2010</v>
          </cell>
          <cell r="C1916" t="str">
            <v>unpop_total</v>
          </cell>
          <cell r="D1916">
            <v>20879089</v>
          </cell>
          <cell r="F1916" t="str">
            <v>UN-WPP Rev. 2024</v>
          </cell>
        </row>
        <row r="1917">
          <cell r="A1917" t="str">
            <v>LKA</v>
          </cell>
          <cell r="B1917">
            <v>2011</v>
          </cell>
          <cell r="C1917" t="str">
            <v>unpop_0014</v>
          </cell>
          <cell r="D1917">
            <v>5318138.5</v>
          </cell>
          <cell r="F1917" t="str">
            <v>UN-WPP Rev. 2024</v>
          </cell>
        </row>
        <row r="1918">
          <cell r="A1918" t="str">
            <v>LKA</v>
          </cell>
          <cell r="B1918">
            <v>2011</v>
          </cell>
          <cell r="C1918" t="str">
            <v>unpop_1564</v>
          </cell>
          <cell r="D1918">
            <v>14077404.5</v>
          </cell>
          <cell r="F1918" t="str">
            <v>UN-WPP Rev. 2024</v>
          </cell>
        </row>
        <row r="1919">
          <cell r="A1919" t="str">
            <v>LKA</v>
          </cell>
          <cell r="B1919">
            <v>2011</v>
          </cell>
          <cell r="C1919" t="str">
            <v>unpop_15up</v>
          </cell>
          <cell r="D1919">
            <v>15690909.5</v>
          </cell>
          <cell r="F1919" t="str">
            <v>UN-WPP Rev. 2024</v>
          </cell>
        </row>
        <row r="1920">
          <cell r="A1920" t="str">
            <v>LKA</v>
          </cell>
          <cell r="B1920">
            <v>2011</v>
          </cell>
          <cell r="C1920" t="str">
            <v>unpop_65up</v>
          </cell>
          <cell r="D1920">
            <v>1613505</v>
          </cell>
          <cell r="F1920" t="str">
            <v>UN-WPP Rev. 2024</v>
          </cell>
        </row>
        <row r="1921">
          <cell r="A1921" t="str">
            <v>LKA</v>
          </cell>
          <cell r="B1921">
            <v>2011</v>
          </cell>
          <cell r="C1921" t="str">
            <v>unpop_total</v>
          </cell>
          <cell r="D1921">
            <v>21009048</v>
          </cell>
          <cell r="F1921" t="str">
            <v>UN-WPP Rev. 2024</v>
          </cell>
        </row>
        <row r="1922">
          <cell r="A1922" t="str">
            <v>LKA</v>
          </cell>
          <cell r="B1922">
            <v>2012</v>
          </cell>
          <cell r="C1922" t="str">
            <v>unpop_0014</v>
          </cell>
          <cell r="D1922">
            <v>5330135</v>
          </cell>
          <cell r="F1922" t="str">
            <v>UN-WPP Rev. 2024</v>
          </cell>
        </row>
        <row r="1923">
          <cell r="A1923" t="str">
            <v>LKA</v>
          </cell>
          <cell r="B1923">
            <v>2012</v>
          </cell>
          <cell r="C1923" t="str">
            <v>unpop_1564</v>
          </cell>
          <cell r="D1923">
            <v>14152031.5</v>
          </cell>
          <cell r="F1923" t="str">
            <v>UN-WPP Rev. 2024</v>
          </cell>
        </row>
        <row r="1924">
          <cell r="A1924" t="str">
            <v>LKA</v>
          </cell>
          <cell r="B1924">
            <v>2012</v>
          </cell>
          <cell r="C1924" t="str">
            <v>unpop_15up</v>
          </cell>
          <cell r="D1924">
            <v>15839323</v>
          </cell>
          <cell r="F1924" t="str">
            <v>UN-WPP Rev. 2024</v>
          </cell>
        </row>
        <row r="1925">
          <cell r="A1925" t="str">
            <v>LKA</v>
          </cell>
          <cell r="B1925">
            <v>2012</v>
          </cell>
          <cell r="C1925" t="str">
            <v>unpop_65up</v>
          </cell>
          <cell r="D1925">
            <v>1687291.5</v>
          </cell>
          <cell r="F1925" t="str">
            <v>UN-WPP Rev. 2024</v>
          </cell>
        </row>
        <row r="1926">
          <cell r="A1926" t="str">
            <v>LKA</v>
          </cell>
          <cell r="B1926">
            <v>2012</v>
          </cell>
          <cell r="C1926" t="str">
            <v>unpop_total</v>
          </cell>
          <cell r="D1926">
            <v>21169458</v>
          </cell>
          <cell r="F1926" t="str">
            <v>UN-WPP Rev. 2024</v>
          </cell>
        </row>
        <row r="1927">
          <cell r="A1927" t="str">
            <v>LKA</v>
          </cell>
          <cell r="B1927">
            <v>2013</v>
          </cell>
          <cell r="C1927" t="str">
            <v>unpop_0014</v>
          </cell>
          <cell r="D1927">
            <v>5345468.5</v>
          </cell>
          <cell r="F1927" t="str">
            <v>UN-WPP Rev. 2024</v>
          </cell>
        </row>
        <row r="1928">
          <cell r="A1928" t="str">
            <v>LKA</v>
          </cell>
          <cell r="B1928">
            <v>2013</v>
          </cell>
          <cell r="C1928" t="str">
            <v>unpop_1564</v>
          </cell>
          <cell r="D1928">
            <v>14242213</v>
          </cell>
          <cell r="F1928" t="str">
            <v>UN-WPP Rev. 2024</v>
          </cell>
        </row>
        <row r="1929">
          <cell r="A1929" t="str">
            <v>LKA</v>
          </cell>
          <cell r="B1929">
            <v>2013</v>
          </cell>
          <cell r="C1929" t="str">
            <v>unpop_15up</v>
          </cell>
          <cell r="D1929">
            <v>16013358.5</v>
          </cell>
          <cell r="F1929" t="str">
            <v>UN-WPP Rev. 2024</v>
          </cell>
        </row>
        <row r="1930">
          <cell r="A1930" t="str">
            <v>LKA</v>
          </cell>
          <cell r="B1930">
            <v>2013</v>
          </cell>
          <cell r="C1930" t="str">
            <v>unpop_65up</v>
          </cell>
          <cell r="D1930">
            <v>1771145.5</v>
          </cell>
          <cell r="F1930" t="str">
            <v>UN-WPP Rev. 2024</v>
          </cell>
        </row>
        <row r="1931">
          <cell r="A1931" t="str">
            <v>LKA</v>
          </cell>
          <cell r="B1931">
            <v>2013</v>
          </cell>
          <cell r="C1931" t="str">
            <v>unpop_total</v>
          </cell>
          <cell r="D1931">
            <v>21358827</v>
          </cell>
          <cell r="F1931" t="str">
            <v>UN-WPP Rev. 2024</v>
          </cell>
        </row>
        <row r="1932">
          <cell r="A1932" t="str">
            <v>LKA</v>
          </cell>
          <cell r="B1932">
            <v>2014</v>
          </cell>
          <cell r="C1932" t="str">
            <v>unpop_0014</v>
          </cell>
          <cell r="D1932">
            <v>5359333</v>
          </cell>
          <cell r="F1932" t="str">
            <v>UN-WPP Rev. 2024</v>
          </cell>
        </row>
        <row r="1933">
          <cell r="A1933" t="str">
            <v>LKA</v>
          </cell>
          <cell r="B1933">
            <v>2014</v>
          </cell>
          <cell r="C1933" t="str">
            <v>unpop_1564</v>
          </cell>
          <cell r="D1933">
            <v>14327354.5</v>
          </cell>
          <cell r="F1933" t="str">
            <v>UN-WPP Rev. 2024</v>
          </cell>
        </row>
        <row r="1934">
          <cell r="A1934" t="str">
            <v>LKA</v>
          </cell>
          <cell r="B1934">
            <v>2014</v>
          </cell>
          <cell r="C1934" t="str">
            <v>unpop_15up</v>
          </cell>
          <cell r="D1934">
            <v>16188123</v>
          </cell>
          <cell r="F1934" t="str">
            <v>UN-WPP Rev. 2024</v>
          </cell>
        </row>
        <row r="1935">
          <cell r="A1935" t="str">
            <v>LKA</v>
          </cell>
          <cell r="B1935">
            <v>2014</v>
          </cell>
          <cell r="C1935" t="str">
            <v>unpop_65up</v>
          </cell>
          <cell r="D1935">
            <v>1860768.5</v>
          </cell>
          <cell r="F1935" t="str">
            <v>UN-WPP Rev. 2024</v>
          </cell>
        </row>
        <row r="1936">
          <cell r="A1936" t="str">
            <v>LKA</v>
          </cell>
          <cell r="B1936">
            <v>2014</v>
          </cell>
          <cell r="C1936" t="str">
            <v>unpop_total</v>
          </cell>
          <cell r="D1936">
            <v>21547456</v>
          </cell>
          <cell r="F1936" t="str">
            <v>UN-WPP Rev. 2024</v>
          </cell>
        </row>
        <row r="1937">
          <cell r="A1937" t="str">
            <v>LKA</v>
          </cell>
          <cell r="B1937">
            <v>2015</v>
          </cell>
          <cell r="C1937" t="str">
            <v>unpop_0014</v>
          </cell>
          <cell r="D1937">
            <v>5365756</v>
          </cell>
          <cell r="F1937" t="str">
            <v>UN-WPP Rev. 2024</v>
          </cell>
        </row>
        <row r="1938">
          <cell r="A1938" t="str">
            <v>LKA</v>
          </cell>
          <cell r="B1938">
            <v>2015</v>
          </cell>
          <cell r="C1938" t="str">
            <v>unpop_1564</v>
          </cell>
          <cell r="D1938">
            <v>14410572.5</v>
          </cell>
          <cell r="F1938" t="str">
            <v>UN-WPP Rev. 2024</v>
          </cell>
        </row>
        <row r="1939">
          <cell r="A1939" t="str">
            <v>LKA</v>
          </cell>
          <cell r="B1939">
            <v>2015</v>
          </cell>
          <cell r="C1939" t="str">
            <v>unpop_15up</v>
          </cell>
          <cell r="D1939">
            <v>16364215.5</v>
          </cell>
          <cell r="F1939" t="str">
            <v>UN-WPP Rev. 2024</v>
          </cell>
        </row>
        <row r="1940">
          <cell r="A1940" t="str">
            <v>LKA</v>
          </cell>
          <cell r="B1940">
            <v>2015</v>
          </cell>
          <cell r="C1940" t="str">
            <v>unpop_65up</v>
          </cell>
          <cell r="D1940">
            <v>1953643</v>
          </cell>
          <cell r="F1940" t="str">
            <v>UN-WPP Rev. 2024</v>
          </cell>
        </row>
        <row r="1941">
          <cell r="A1941" t="str">
            <v>LKA</v>
          </cell>
          <cell r="B1941">
            <v>2015</v>
          </cell>
          <cell r="C1941" t="str">
            <v>unpop_total</v>
          </cell>
          <cell r="D1941">
            <v>21729971.5</v>
          </cell>
          <cell r="F1941" t="str">
            <v>UN-WPP Rev. 2024</v>
          </cell>
        </row>
        <row r="1942">
          <cell r="A1942" t="str">
            <v>LKA</v>
          </cell>
          <cell r="B1942">
            <v>2016</v>
          </cell>
          <cell r="C1942" t="str">
            <v>unpop_0014</v>
          </cell>
          <cell r="D1942">
            <v>5363394</v>
          </cell>
          <cell r="F1942" t="str">
            <v>UN-WPP Rev. 2024</v>
          </cell>
        </row>
        <row r="1943">
          <cell r="A1943" t="str">
            <v>LKA</v>
          </cell>
          <cell r="B1943">
            <v>2016</v>
          </cell>
          <cell r="C1943" t="str">
            <v>unpop_1564</v>
          </cell>
          <cell r="D1943">
            <v>14499705.5</v>
          </cell>
          <cell r="F1943" t="str">
            <v>UN-WPP Rev. 2024</v>
          </cell>
        </row>
        <row r="1944">
          <cell r="A1944" t="str">
            <v>LKA</v>
          </cell>
          <cell r="B1944">
            <v>2016</v>
          </cell>
          <cell r="C1944" t="str">
            <v>unpop_15up</v>
          </cell>
          <cell r="D1944">
            <v>16547378.5</v>
          </cell>
          <cell r="F1944" t="str">
            <v>UN-WPP Rev. 2024</v>
          </cell>
        </row>
        <row r="1945">
          <cell r="A1945" t="str">
            <v>LKA</v>
          </cell>
          <cell r="B1945">
            <v>2016</v>
          </cell>
          <cell r="C1945" t="str">
            <v>unpop_65up</v>
          </cell>
          <cell r="D1945">
            <v>2047673</v>
          </cell>
          <cell r="F1945" t="str">
            <v>UN-WPP Rev. 2024</v>
          </cell>
        </row>
        <row r="1946">
          <cell r="A1946" t="str">
            <v>LKA</v>
          </cell>
          <cell r="B1946">
            <v>2016</v>
          </cell>
          <cell r="C1946" t="str">
            <v>unpop_total</v>
          </cell>
          <cell r="D1946">
            <v>21910772.5</v>
          </cell>
          <cell r="F1946" t="str">
            <v>UN-WPP Rev. 2024</v>
          </cell>
        </row>
        <row r="1947">
          <cell r="A1947" t="str">
            <v>LKA</v>
          </cell>
          <cell r="B1947">
            <v>2017</v>
          </cell>
          <cell r="C1947" t="str">
            <v>unpop_0014</v>
          </cell>
          <cell r="D1947">
            <v>5351604</v>
          </cell>
          <cell r="F1947" t="str">
            <v>UN-WPP Rev. 2024</v>
          </cell>
        </row>
        <row r="1948">
          <cell r="A1948" t="str">
            <v>LKA</v>
          </cell>
          <cell r="B1948">
            <v>2017</v>
          </cell>
          <cell r="C1948" t="str">
            <v>unpop_1564</v>
          </cell>
          <cell r="D1948">
            <v>14594823</v>
          </cell>
          <cell r="F1948" t="str">
            <v>UN-WPP Rev. 2024</v>
          </cell>
        </row>
        <row r="1949">
          <cell r="A1949" t="str">
            <v>LKA</v>
          </cell>
          <cell r="B1949">
            <v>2017</v>
          </cell>
          <cell r="C1949" t="str">
            <v>unpop_15up</v>
          </cell>
          <cell r="D1949">
            <v>16735918</v>
          </cell>
          <cell r="F1949" t="str">
            <v>UN-WPP Rev. 2024</v>
          </cell>
        </row>
        <row r="1950">
          <cell r="A1950" t="str">
            <v>LKA</v>
          </cell>
          <cell r="B1950">
            <v>2017</v>
          </cell>
          <cell r="C1950" t="str">
            <v>unpop_65up</v>
          </cell>
          <cell r="D1950">
            <v>2141095</v>
          </cell>
          <cell r="F1950" t="str">
            <v>UN-WPP Rev. 2024</v>
          </cell>
        </row>
        <row r="1951">
          <cell r="A1951" t="str">
            <v>LKA</v>
          </cell>
          <cell r="B1951">
            <v>2017</v>
          </cell>
          <cell r="C1951" t="str">
            <v>unpop_total</v>
          </cell>
          <cell r="D1951">
            <v>22087522</v>
          </cell>
          <cell r="F1951" t="str">
            <v>UN-WPP Rev. 2024</v>
          </cell>
        </row>
        <row r="1952">
          <cell r="A1952" t="str">
            <v>LKA</v>
          </cell>
          <cell r="B1952">
            <v>2018</v>
          </cell>
          <cell r="C1952" t="str">
            <v>unpop_0014</v>
          </cell>
          <cell r="D1952">
            <v>5330296</v>
          </cell>
          <cell r="F1952" t="str">
            <v>UN-WPP Rev. 2024</v>
          </cell>
        </row>
        <row r="1953">
          <cell r="A1953" t="str">
            <v>LKA</v>
          </cell>
          <cell r="B1953">
            <v>2018</v>
          </cell>
          <cell r="C1953" t="str">
            <v>unpop_1564</v>
          </cell>
          <cell r="D1953">
            <v>14689505</v>
          </cell>
          <cell r="F1953" t="str">
            <v>UN-WPP Rev. 2024</v>
          </cell>
        </row>
        <row r="1954">
          <cell r="A1954" t="str">
            <v>LKA</v>
          </cell>
          <cell r="B1954">
            <v>2018</v>
          </cell>
          <cell r="C1954" t="str">
            <v>unpop_15up</v>
          </cell>
          <cell r="D1954">
            <v>16922822</v>
          </cell>
          <cell r="F1954" t="str">
            <v>UN-WPP Rev. 2024</v>
          </cell>
        </row>
        <row r="1955">
          <cell r="A1955" t="str">
            <v>LKA</v>
          </cell>
          <cell r="B1955">
            <v>2018</v>
          </cell>
          <cell r="C1955" t="str">
            <v>unpop_65up</v>
          </cell>
          <cell r="D1955">
            <v>2233317</v>
          </cell>
          <cell r="F1955" t="str">
            <v>UN-WPP Rev. 2024</v>
          </cell>
        </row>
        <row r="1956">
          <cell r="A1956" t="str">
            <v>LKA</v>
          </cell>
          <cell r="B1956">
            <v>2018</v>
          </cell>
          <cell r="C1956" t="str">
            <v>unpop_total</v>
          </cell>
          <cell r="D1956">
            <v>22253118</v>
          </cell>
          <cell r="F1956" t="str">
            <v>UN-WPP Rev. 2024</v>
          </cell>
        </row>
        <row r="1957">
          <cell r="A1957" t="str">
            <v>LKA</v>
          </cell>
          <cell r="B1957">
            <v>2019</v>
          </cell>
          <cell r="C1957" t="str">
            <v>unpop_0014</v>
          </cell>
          <cell r="D1957">
            <v>5301101</v>
          </cell>
          <cell r="F1957" t="str">
            <v>UN-WPP Rev. 2024</v>
          </cell>
        </row>
        <row r="1958">
          <cell r="A1958" t="str">
            <v>LKA</v>
          </cell>
          <cell r="B1958">
            <v>2019</v>
          </cell>
          <cell r="C1958" t="str">
            <v>unpop_1564</v>
          </cell>
          <cell r="D1958">
            <v>14784252.5</v>
          </cell>
          <cell r="F1958" t="str">
            <v>UN-WPP Rev. 2024</v>
          </cell>
        </row>
        <row r="1959">
          <cell r="A1959" t="str">
            <v>LKA</v>
          </cell>
          <cell r="B1959">
            <v>2019</v>
          </cell>
          <cell r="C1959" t="str">
            <v>unpop_15up</v>
          </cell>
          <cell r="D1959">
            <v>17109450.5</v>
          </cell>
          <cell r="F1959" t="str">
            <v>UN-WPP Rev. 2024</v>
          </cell>
        </row>
        <row r="1960">
          <cell r="A1960" t="str">
            <v>LKA</v>
          </cell>
          <cell r="B1960">
            <v>2019</v>
          </cell>
          <cell r="C1960" t="str">
            <v>unpop_65up</v>
          </cell>
          <cell r="D1960">
            <v>2325198</v>
          </cell>
          <cell r="F1960" t="str">
            <v>UN-WPP Rev. 2024</v>
          </cell>
        </row>
        <row r="1961">
          <cell r="A1961" t="str">
            <v>LKA</v>
          </cell>
          <cell r="B1961">
            <v>2019</v>
          </cell>
          <cell r="C1961" t="str">
            <v>unpop_total</v>
          </cell>
          <cell r="D1961">
            <v>22410551.5</v>
          </cell>
          <cell r="F1961" t="str">
            <v>UN-WPP Rev. 2024</v>
          </cell>
        </row>
        <row r="1962">
          <cell r="A1962" t="str">
            <v>LKA</v>
          </cell>
          <cell r="B1962">
            <v>2020</v>
          </cell>
          <cell r="C1962" t="str">
            <v>unpop_0014</v>
          </cell>
          <cell r="D1962">
            <v>5265351</v>
          </cell>
          <cell r="F1962" t="str">
            <v>UN-WPP Rev. 2024</v>
          </cell>
        </row>
        <row r="1963">
          <cell r="A1963" t="str">
            <v>LKA</v>
          </cell>
          <cell r="B1963">
            <v>2020</v>
          </cell>
          <cell r="C1963" t="str">
            <v>unpop_1564</v>
          </cell>
          <cell r="D1963">
            <v>14878798</v>
          </cell>
          <cell r="F1963" t="str">
            <v>UN-WPP Rev. 2024</v>
          </cell>
        </row>
        <row r="1964">
          <cell r="A1964" t="str">
            <v>LKA</v>
          </cell>
          <cell r="B1964">
            <v>2020</v>
          </cell>
          <cell r="C1964" t="str">
            <v>unpop_15up</v>
          </cell>
          <cell r="D1964">
            <v>17296456</v>
          </cell>
          <cell r="F1964" t="str">
            <v>UN-WPP Rev. 2024</v>
          </cell>
        </row>
        <row r="1965">
          <cell r="A1965" t="str">
            <v>LKA</v>
          </cell>
          <cell r="B1965">
            <v>2020</v>
          </cell>
          <cell r="C1965" t="str">
            <v>unpop_65up</v>
          </cell>
          <cell r="D1965">
            <v>2417658</v>
          </cell>
          <cell r="F1965" t="str">
            <v>UN-WPP Rev. 2024</v>
          </cell>
        </row>
        <row r="1966">
          <cell r="A1966" t="str">
            <v>LKA</v>
          </cell>
          <cell r="B1966">
            <v>2020</v>
          </cell>
          <cell r="C1966" t="str">
            <v>unpop_total</v>
          </cell>
          <cell r="D1966">
            <v>22561807</v>
          </cell>
          <cell r="F1966" t="str">
            <v>UN-WPP Rev. 2024</v>
          </cell>
        </row>
        <row r="1967">
          <cell r="A1967" t="str">
            <v>LKA</v>
          </cell>
          <cell r="B1967">
            <v>2021</v>
          </cell>
          <cell r="C1967" t="str">
            <v>unpop_0014</v>
          </cell>
          <cell r="D1967">
            <v>5224716</v>
          </cell>
          <cell r="F1967" t="str">
            <v>UN-WPP Rev. 2024</v>
          </cell>
        </row>
        <row r="1968">
          <cell r="A1968" t="str">
            <v>LKA</v>
          </cell>
          <cell r="B1968">
            <v>2021</v>
          </cell>
          <cell r="C1968" t="str">
            <v>unpop_1564</v>
          </cell>
          <cell r="D1968">
            <v>14968253.5</v>
          </cell>
          <cell r="F1968" t="str">
            <v>UN-WPP Rev. 2024</v>
          </cell>
        </row>
        <row r="1969">
          <cell r="A1969" t="str">
            <v>LKA</v>
          </cell>
          <cell r="B1969">
            <v>2021</v>
          </cell>
          <cell r="C1969" t="str">
            <v>unpop_15up</v>
          </cell>
          <cell r="D1969">
            <v>17475656</v>
          </cell>
          <cell r="F1969" t="str">
            <v>UN-WPP Rev. 2024</v>
          </cell>
        </row>
        <row r="1970">
          <cell r="A1970" t="str">
            <v>LKA</v>
          </cell>
          <cell r="B1970">
            <v>2021</v>
          </cell>
          <cell r="C1970" t="str">
            <v>unpop_65up</v>
          </cell>
          <cell r="D1970">
            <v>2507402.5</v>
          </cell>
          <cell r="F1970" t="str">
            <v>UN-WPP Rev. 2024</v>
          </cell>
        </row>
        <row r="1971">
          <cell r="A1971" t="str">
            <v>LKA</v>
          </cell>
          <cell r="B1971">
            <v>2021</v>
          </cell>
          <cell r="C1971" t="str">
            <v>unpop_total</v>
          </cell>
          <cell r="D1971">
            <v>22700372</v>
          </cell>
          <cell r="F1971" t="str">
            <v>UN-WPP Rev. 2024</v>
          </cell>
        </row>
        <row r="1972">
          <cell r="A1972" t="str">
            <v>LKA</v>
          </cell>
          <cell r="B1972">
            <v>2022</v>
          </cell>
          <cell r="C1972" t="str">
            <v>unpop_0014</v>
          </cell>
          <cell r="D1972">
            <v>5181323</v>
          </cell>
          <cell r="F1972" t="str">
            <v>UN-WPP Rev. 2024</v>
          </cell>
        </row>
        <row r="1973">
          <cell r="A1973" t="str">
            <v>LKA</v>
          </cell>
          <cell r="B1973">
            <v>2022</v>
          </cell>
          <cell r="C1973" t="str">
            <v>unpop_1564</v>
          </cell>
          <cell r="D1973">
            <v>15054467</v>
          </cell>
          <cell r="F1973" t="str">
            <v>UN-WPP Rev. 2024</v>
          </cell>
        </row>
        <row r="1974">
          <cell r="A1974" t="str">
            <v>LKA</v>
          </cell>
          <cell r="B1974">
            <v>2022</v>
          </cell>
          <cell r="C1974" t="str">
            <v>unpop_15up</v>
          </cell>
          <cell r="D1974">
            <v>17653642</v>
          </cell>
          <cell r="F1974" t="str">
            <v>UN-WPP Rev. 2024</v>
          </cell>
        </row>
        <row r="1975">
          <cell r="A1975" t="str">
            <v>LKA</v>
          </cell>
          <cell r="B1975">
            <v>2022</v>
          </cell>
          <cell r="C1975" t="str">
            <v>unpop_65up</v>
          </cell>
          <cell r="D1975">
            <v>2599175</v>
          </cell>
          <cell r="F1975" t="str">
            <v>UN-WPP Rev. 2024</v>
          </cell>
        </row>
        <row r="1976">
          <cell r="A1976" t="str">
            <v>LKA</v>
          </cell>
          <cell r="B1976">
            <v>2022</v>
          </cell>
          <cell r="C1976" t="str">
            <v>unpop_total</v>
          </cell>
          <cell r="D1976">
            <v>22834965</v>
          </cell>
          <cell r="F1976" t="str">
            <v>UN-WPP Rev. 2024</v>
          </cell>
        </row>
        <row r="1977">
          <cell r="A1977" t="str">
            <v>LKA</v>
          </cell>
          <cell r="B1977">
            <v>2023</v>
          </cell>
          <cell r="C1977" t="str">
            <v>unpop_0014</v>
          </cell>
          <cell r="D1977">
            <v>5136746</v>
          </cell>
          <cell r="F1977" t="str">
            <v>UN-WPP Rev. 2024</v>
          </cell>
        </row>
        <row r="1978">
          <cell r="A1978" t="str">
            <v>LKA</v>
          </cell>
          <cell r="B1978">
            <v>2023</v>
          </cell>
          <cell r="C1978" t="str">
            <v>unpop_1564</v>
          </cell>
          <cell r="D1978">
            <v>15138299.5</v>
          </cell>
          <cell r="F1978" t="str">
            <v>UN-WPP Rev. 2024</v>
          </cell>
        </row>
        <row r="1979">
          <cell r="A1979" t="str">
            <v>LKA</v>
          </cell>
          <cell r="B1979">
            <v>2023</v>
          </cell>
          <cell r="C1979" t="str">
            <v>unpop_15up</v>
          </cell>
          <cell r="D1979">
            <v>17834871</v>
          </cell>
          <cell r="F1979" t="str">
            <v>UN-WPP Rev. 2024</v>
          </cell>
        </row>
        <row r="1980">
          <cell r="A1980" t="str">
            <v>LKA</v>
          </cell>
          <cell r="B1980">
            <v>2023</v>
          </cell>
          <cell r="C1980" t="str">
            <v>unpop_65up</v>
          </cell>
          <cell r="D1980">
            <v>2696571.5</v>
          </cell>
          <cell r="F1980" t="str">
            <v>UN-WPP Rev. 2024</v>
          </cell>
        </row>
        <row r="1981">
          <cell r="A1981" t="str">
            <v>LKA</v>
          </cell>
          <cell r="B1981">
            <v>2023</v>
          </cell>
          <cell r="C1981" t="str">
            <v>unpop_total</v>
          </cell>
          <cell r="D1981">
            <v>22971617</v>
          </cell>
          <cell r="F1981" t="str">
            <v>UN-WPP Rev. 2024</v>
          </cell>
        </row>
        <row r="1982">
          <cell r="A1982" t="str">
            <v>LKA</v>
          </cell>
          <cell r="B1982">
            <v>2024</v>
          </cell>
          <cell r="C1982" t="str">
            <v>unpop_0014</v>
          </cell>
          <cell r="D1982">
            <v>5089781.5</v>
          </cell>
          <cell r="F1982" t="str">
            <v>UN-WPP Rev. 2024</v>
          </cell>
        </row>
        <row r="1983">
          <cell r="A1983" t="str">
            <v>LKA</v>
          </cell>
          <cell r="B1983">
            <v>2024</v>
          </cell>
          <cell r="C1983" t="str">
            <v>unpop_1564</v>
          </cell>
          <cell r="D1983">
            <v>15217341.5</v>
          </cell>
          <cell r="F1983" t="str">
            <v>UN-WPP Rev. 2024</v>
          </cell>
        </row>
        <row r="1984">
          <cell r="A1984" t="str">
            <v>LKA</v>
          </cell>
          <cell r="B1984">
            <v>2024</v>
          </cell>
          <cell r="C1984" t="str">
            <v>unpop_15up</v>
          </cell>
          <cell r="D1984">
            <v>18013783</v>
          </cell>
          <cell r="F1984" t="str">
            <v>UN-WPP Rev. 2024</v>
          </cell>
        </row>
        <row r="1985">
          <cell r="A1985" t="str">
            <v>LKA</v>
          </cell>
          <cell r="B1985">
            <v>2024</v>
          </cell>
          <cell r="C1985" t="str">
            <v>unpop_65up</v>
          </cell>
          <cell r="D1985">
            <v>2796441.5</v>
          </cell>
          <cell r="F1985" t="str">
            <v>UN-WPP Rev. 2024</v>
          </cell>
        </row>
        <row r="1986">
          <cell r="A1986" t="str">
            <v>LKA</v>
          </cell>
          <cell r="B1986">
            <v>2024</v>
          </cell>
          <cell r="C1986" t="str">
            <v>unpop_total</v>
          </cell>
          <cell r="D1986">
            <v>23103564.5</v>
          </cell>
          <cell r="F1986" t="str">
            <v>UN-WPP Rev. 2024</v>
          </cell>
        </row>
        <row r="1987">
          <cell r="A1987" t="str">
            <v>LKA</v>
          </cell>
          <cell r="B1987">
            <v>2025</v>
          </cell>
          <cell r="C1987" t="str">
            <v>unpop_0014</v>
          </cell>
          <cell r="D1987">
            <v>5040984.5</v>
          </cell>
          <cell r="F1987" t="str">
            <v>UN-WPP Rev. 2024</v>
          </cell>
        </row>
        <row r="1988">
          <cell r="A1988" t="str">
            <v>LKA</v>
          </cell>
          <cell r="B1988">
            <v>2025</v>
          </cell>
          <cell r="C1988" t="str">
            <v>unpop_1564</v>
          </cell>
          <cell r="D1988">
            <v>15290676</v>
          </cell>
          <cell r="F1988" t="str">
            <v>UN-WPP Rev. 2024</v>
          </cell>
        </row>
        <row r="1989">
          <cell r="A1989" t="str">
            <v>LKA</v>
          </cell>
          <cell r="B1989">
            <v>2025</v>
          </cell>
          <cell r="C1989" t="str">
            <v>unpop_15up</v>
          </cell>
          <cell r="D1989">
            <v>18188486</v>
          </cell>
          <cell r="F1989" t="str">
            <v>UN-WPP Rev. 2024</v>
          </cell>
        </row>
        <row r="1990">
          <cell r="A1990" t="str">
            <v>LKA</v>
          </cell>
          <cell r="B1990">
            <v>2025</v>
          </cell>
          <cell r="C1990" t="str">
            <v>unpop_65up</v>
          </cell>
          <cell r="D1990">
            <v>2897810</v>
          </cell>
          <cell r="F1990" t="str">
            <v>UN-WPP Rev. 2024</v>
          </cell>
        </row>
        <row r="1991">
          <cell r="A1991" t="str">
            <v>LKA</v>
          </cell>
          <cell r="B1991">
            <v>2025</v>
          </cell>
          <cell r="C1991" t="str">
            <v>unpop_total</v>
          </cell>
          <cell r="D1991">
            <v>23229470.5</v>
          </cell>
          <cell r="F1991" t="str">
            <v>UN-WPP Rev. 2024</v>
          </cell>
        </row>
        <row r="1992">
          <cell r="A1992" t="str">
            <v>LKA</v>
          </cell>
          <cell r="B1992">
            <v>2026</v>
          </cell>
          <cell r="C1992" t="str">
            <v>unpop_0014</v>
          </cell>
          <cell r="D1992">
            <v>4993550</v>
          </cell>
          <cell r="F1992" t="str">
            <v>UN-WPP Rev. 2024</v>
          </cell>
        </row>
        <row r="1993">
          <cell r="A1993" t="str">
            <v>LKA</v>
          </cell>
          <cell r="B1993">
            <v>2026</v>
          </cell>
          <cell r="C1993" t="str">
            <v>unpop_1564</v>
          </cell>
          <cell r="D1993">
            <v>15357163.5</v>
          </cell>
          <cell r="F1993" t="str">
            <v>UN-WPP Rev. 2024</v>
          </cell>
        </row>
        <row r="1994">
          <cell r="A1994" t="str">
            <v>LKA</v>
          </cell>
          <cell r="B1994">
            <v>2026</v>
          </cell>
          <cell r="C1994" t="str">
            <v>unpop_15up</v>
          </cell>
          <cell r="D1994">
            <v>18354765</v>
          </cell>
          <cell r="F1994" t="str">
            <v>UN-WPP Rev. 2024</v>
          </cell>
        </row>
        <row r="1995">
          <cell r="A1995" t="str">
            <v>LKA</v>
          </cell>
          <cell r="B1995">
            <v>2026</v>
          </cell>
          <cell r="C1995" t="str">
            <v>unpop_65up</v>
          </cell>
          <cell r="D1995">
            <v>2997601.5</v>
          </cell>
          <cell r="F1995" t="str">
            <v>UN-WPP Rev. 2024</v>
          </cell>
        </row>
        <row r="1996">
          <cell r="A1996" t="str">
            <v>LKA</v>
          </cell>
          <cell r="B1996">
            <v>2026</v>
          </cell>
          <cell r="C1996" t="str">
            <v>unpop_total</v>
          </cell>
          <cell r="D1996">
            <v>23348315</v>
          </cell>
          <cell r="F1996" t="str">
            <v>UN-WPP Rev. 2024</v>
          </cell>
        </row>
        <row r="1997">
          <cell r="A1997" t="str">
            <v>LKA</v>
          </cell>
          <cell r="B1997">
            <v>2027</v>
          </cell>
          <cell r="C1997" t="str">
            <v>unpop_0014</v>
          </cell>
          <cell r="D1997">
            <v>4945735</v>
          </cell>
          <cell r="F1997" t="str">
            <v>UN-WPP Rev. 2024</v>
          </cell>
        </row>
        <row r="1998">
          <cell r="A1998" t="str">
            <v>LKA</v>
          </cell>
          <cell r="B1998">
            <v>2027</v>
          </cell>
          <cell r="C1998" t="str">
            <v>unpop_1564</v>
          </cell>
          <cell r="D1998">
            <v>15421106.5</v>
          </cell>
          <cell r="F1998" t="str">
            <v>UN-WPP Rev. 2024</v>
          </cell>
        </row>
        <row r="1999">
          <cell r="A1999" t="str">
            <v>LKA</v>
          </cell>
          <cell r="B1999">
            <v>2027</v>
          </cell>
          <cell r="C1999" t="str">
            <v>unpop_15up</v>
          </cell>
          <cell r="D1999">
            <v>18515825.5</v>
          </cell>
          <cell r="F1999" t="str">
            <v>UN-WPP Rev. 2024</v>
          </cell>
        </row>
        <row r="2000">
          <cell r="A2000" t="str">
            <v>LKA</v>
          </cell>
          <cell r="B2000">
            <v>2027</v>
          </cell>
          <cell r="C2000" t="str">
            <v>unpop_65up</v>
          </cell>
          <cell r="D2000">
            <v>3094719</v>
          </cell>
          <cell r="F2000" t="str">
            <v>UN-WPP Rev. 2024</v>
          </cell>
        </row>
        <row r="2001">
          <cell r="A2001" t="str">
            <v>LKA</v>
          </cell>
          <cell r="B2001">
            <v>2027</v>
          </cell>
          <cell r="C2001" t="str">
            <v>unpop_total</v>
          </cell>
          <cell r="D2001">
            <v>23461560.5</v>
          </cell>
          <cell r="F2001" t="str">
            <v>UN-WPP Rev. 2024</v>
          </cell>
        </row>
        <row r="2002">
          <cell r="A2002" t="str">
            <v>LKA</v>
          </cell>
          <cell r="B2002">
            <v>2028</v>
          </cell>
          <cell r="C2002" t="str">
            <v>unpop_0014</v>
          </cell>
          <cell r="D2002">
            <v>4895209</v>
          </cell>
          <cell r="F2002" t="str">
            <v>UN-WPP Rev. 2024</v>
          </cell>
        </row>
        <row r="2003">
          <cell r="A2003" t="str">
            <v>LKA</v>
          </cell>
          <cell r="B2003">
            <v>2028</v>
          </cell>
          <cell r="C2003" t="str">
            <v>unpop_1564</v>
          </cell>
          <cell r="D2003">
            <v>15485231</v>
          </cell>
          <cell r="F2003" t="str">
            <v>UN-WPP Rev. 2024</v>
          </cell>
        </row>
        <row r="2004">
          <cell r="A2004" t="str">
            <v>LKA</v>
          </cell>
          <cell r="B2004">
            <v>2028</v>
          </cell>
          <cell r="C2004" t="str">
            <v>unpop_15up</v>
          </cell>
          <cell r="D2004">
            <v>18673965.5</v>
          </cell>
          <cell r="F2004" t="str">
            <v>UN-WPP Rev. 2024</v>
          </cell>
        </row>
        <row r="2005">
          <cell r="A2005" t="str">
            <v>LKA</v>
          </cell>
          <cell r="B2005">
            <v>2028</v>
          </cell>
          <cell r="C2005" t="str">
            <v>unpop_65up</v>
          </cell>
          <cell r="D2005">
            <v>3188734.5</v>
          </cell>
          <cell r="F2005" t="str">
            <v>UN-WPP Rev. 2024</v>
          </cell>
        </row>
        <row r="2006">
          <cell r="A2006" t="str">
            <v>LKA</v>
          </cell>
          <cell r="B2006">
            <v>2028</v>
          </cell>
          <cell r="C2006" t="str">
            <v>unpop_total</v>
          </cell>
          <cell r="D2006">
            <v>23569174.5</v>
          </cell>
          <cell r="F2006" t="str">
            <v>UN-WPP Rev. 2024</v>
          </cell>
        </row>
        <row r="2007">
          <cell r="A2007" t="str">
            <v>LKA</v>
          </cell>
          <cell r="B2007">
            <v>2029</v>
          </cell>
          <cell r="C2007" t="str">
            <v>unpop_0014</v>
          </cell>
          <cell r="D2007">
            <v>4846391.5</v>
          </cell>
          <cell r="F2007" t="str">
            <v>UN-WPP Rev. 2024</v>
          </cell>
        </row>
        <row r="2008">
          <cell r="A2008" t="str">
            <v>LKA</v>
          </cell>
          <cell r="B2008">
            <v>2029</v>
          </cell>
          <cell r="C2008" t="str">
            <v>unpop_1564</v>
          </cell>
          <cell r="D2008">
            <v>15544230</v>
          </cell>
          <cell r="F2008" t="str">
            <v>UN-WPP Rev. 2024</v>
          </cell>
        </row>
        <row r="2009">
          <cell r="A2009" t="str">
            <v>LKA</v>
          </cell>
          <cell r="B2009">
            <v>2029</v>
          </cell>
          <cell r="C2009" t="str">
            <v>unpop_15up</v>
          </cell>
          <cell r="D2009">
            <v>18824245.5</v>
          </cell>
          <cell r="F2009" t="str">
            <v>UN-WPP Rev. 2024</v>
          </cell>
        </row>
        <row r="2010">
          <cell r="A2010" t="str">
            <v>LKA</v>
          </cell>
          <cell r="B2010">
            <v>2029</v>
          </cell>
          <cell r="C2010" t="str">
            <v>unpop_65up</v>
          </cell>
          <cell r="D2010">
            <v>3280015.5</v>
          </cell>
          <cell r="F2010" t="str">
            <v>UN-WPP Rev. 2024</v>
          </cell>
        </row>
        <row r="2011">
          <cell r="A2011" t="str">
            <v>LKA</v>
          </cell>
          <cell r="B2011">
            <v>2029</v>
          </cell>
          <cell r="C2011" t="str">
            <v>unpop_total</v>
          </cell>
          <cell r="D2011">
            <v>23670637</v>
          </cell>
          <cell r="F2011" t="str">
            <v>UN-WPP Rev. 2024</v>
          </cell>
        </row>
        <row r="2012">
          <cell r="A2012" t="str">
            <v>LKA</v>
          </cell>
          <cell r="B2012">
            <v>2030</v>
          </cell>
          <cell r="C2012" t="str">
            <v>unpop_0014</v>
          </cell>
          <cell r="D2012">
            <v>4804294.5</v>
          </cell>
          <cell r="F2012" t="str">
            <v>UN-WPP Rev. 2024</v>
          </cell>
        </row>
        <row r="2013">
          <cell r="A2013" t="str">
            <v>LKA</v>
          </cell>
          <cell r="B2013">
            <v>2030</v>
          </cell>
          <cell r="C2013" t="str">
            <v>unpop_1564</v>
          </cell>
          <cell r="D2013">
            <v>15594421</v>
          </cell>
          <cell r="F2013" t="str">
            <v>UN-WPP Rev. 2024</v>
          </cell>
        </row>
        <row r="2014">
          <cell r="A2014" t="str">
            <v>LKA</v>
          </cell>
          <cell r="B2014">
            <v>2030</v>
          </cell>
          <cell r="C2014" t="str">
            <v>unpop_15up</v>
          </cell>
          <cell r="D2014">
            <v>18963657.5</v>
          </cell>
          <cell r="F2014" t="str">
            <v>UN-WPP Rev. 2024</v>
          </cell>
        </row>
        <row r="2015">
          <cell r="A2015" t="str">
            <v>LKA</v>
          </cell>
          <cell r="B2015">
            <v>2030</v>
          </cell>
          <cell r="C2015" t="str">
            <v>unpop_65up</v>
          </cell>
          <cell r="D2015">
            <v>3369236.5</v>
          </cell>
          <cell r="F2015" t="str">
            <v>UN-WPP Rev. 2024</v>
          </cell>
        </row>
        <row r="2016">
          <cell r="A2016" t="str">
            <v>LKA</v>
          </cell>
          <cell r="B2016">
            <v>2030</v>
          </cell>
          <cell r="C2016" t="str">
            <v>unpop_total</v>
          </cell>
          <cell r="D2016">
            <v>23767952</v>
          </cell>
          <cell r="F2016" t="str">
            <v>UN-WPP Rev. 2024</v>
          </cell>
        </row>
        <row r="2017">
          <cell r="A2017" t="str">
            <v>MDV</v>
          </cell>
          <cell r="B2017">
            <v>2000</v>
          </cell>
          <cell r="C2017" t="str">
            <v>unpop_0014</v>
          </cell>
          <cell r="D2017">
            <v>113360</v>
          </cell>
          <cell r="F2017" t="str">
            <v>UN-WPP Rev. 2024</v>
          </cell>
        </row>
        <row r="2018">
          <cell r="A2018" t="str">
            <v>MDV</v>
          </cell>
          <cell r="B2018">
            <v>2000</v>
          </cell>
          <cell r="C2018" t="str">
            <v>unpop_1564</v>
          </cell>
          <cell r="D2018">
            <v>158052</v>
          </cell>
          <cell r="F2018" t="str">
            <v>UN-WPP Rev. 2024</v>
          </cell>
        </row>
        <row r="2019">
          <cell r="A2019" t="str">
            <v>MDV</v>
          </cell>
          <cell r="B2019">
            <v>2000</v>
          </cell>
          <cell r="C2019" t="str">
            <v>unpop_15up</v>
          </cell>
          <cell r="D2019">
            <v>168658.5</v>
          </cell>
          <cell r="F2019" t="str">
            <v>UN-WPP Rev. 2024</v>
          </cell>
        </row>
        <row r="2020">
          <cell r="A2020" t="str">
            <v>MDV</v>
          </cell>
          <cell r="B2020">
            <v>2000</v>
          </cell>
          <cell r="C2020" t="str">
            <v>unpop_65up</v>
          </cell>
          <cell r="D2020">
            <v>10606.5</v>
          </cell>
          <cell r="F2020" t="str">
            <v>UN-WPP Rev. 2024</v>
          </cell>
        </row>
        <row r="2021">
          <cell r="A2021" t="str">
            <v>MDV</v>
          </cell>
          <cell r="B2021">
            <v>2000</v>
          </cell>
          <cell r="C2021" t="str">
            <v>unpop_total</v>
          </cell>
          <cell r="D2021">
            <v>282018.5</v>
          </cell>
          <cell r="F2021" t="str">
            <v>UN-WPP Rev. 2024</v>
          </cell>
        </row>
        <row r="2022">
          <cell r="A2022" t="str">
            <v>MDV</v>
          </cell>
          <cell r="B2022">
            <v>2001</v>
          </cell>
          <cell r="C2022" t="str">
            <v>unpop_0014</v>
          </cell>
          <cell r="D2022">
            <v>110864</v>
          </cell>
          <cell r="F2022" t="str">
            <v>UN-WPP Rev. 2024</v>
          </cell>
        </row>
        <row r="2023">
          <cell r="A2023" t="str">
            <v>MDV</v>
          </cell>
          <cell r="B2023">
            <v>2001</v>
          </cell>
          <cell r="C2023" t="str">
            <v>unpop_1564</v>
          </cell>
          <cell r="D2023">
            <v>164646</v>
          </cell>
          <cell r="F2023" t="str">
            <v>UN-WPP Rev. 2024</v>
          </cell>
        </row>
        <row r="2024">
          <cell r="A2024" t="str">
            <v>MDV</v>
          </cell>
          <cell r="B2024">
            <v>2001</v>
          </cell>
          <cell r="C2024" t="str">
            <v>unpop_15up</v>
          </cell>
          <cell r="D2024">
            <v>175903.5</v>
          </cell>
          <cell r="F2024" t="str">
            <v>UN-WPP Rev. 2024</v>
          </cell>
        </row>
        <row r="2025">
          <cell r="A2025" t="str">
            <v>MDV</v>
          </cell>
          <cell r="B2025">
            <v>2001</v>
          </cell>
          <cell r="C2025" t="str">
            <v>unpop_65up</v>
          </cell>
          <cell r="D2025">
            <v>11257.5</v>
          </cell>
          <cell r="F2025" t="str">
            <v>UN-WPP Rev. 2024</v>
          </cell>
        </row>
        <row r="2026">
          <cell r="A2026" t="str">
            <v>MDV</v>
          </cell>
          <cell r="B2026">
            <v>2001</v>
          </cell>
          <cell r="C2026" t="str">
            <v>unpop_total</v>
          </cell>
          <cell r="D2026">
            <v>286767.5</v>
          </cell>
          <cell r="F2026" t="str">
            <v>UN-WPP Rev. 2024</v>
          </cell>
        </row>
        <row r="2027">
          <cell r="A2027" t="str">
            <v>MDV</v>
          </cell>
          <cell r="B2027">
            <v>2002</v>
          </cell>
          <cell r="C2027" t="str">
            <v>unpop_0014</v>
          </cell>
          <cell r="D2027">
            <v>108291.5</v>
          </cell>
          <cell r="F2027" t="str">
            <v>UN-WPP Rev. 2024</v>
          </cell>
        </row>
        <row r="2028">
          <cell r="A2028" t="str">
            <v>MDV</v>
          </cell>
          <cell r="B2028">
            <v>2002</v>
          </cell>
          <cell r="C2028" t="str">
            <v>unpop_1564</v>
          </cell>
          <cell r="D2028">
            <v>171381.5</v>
          </cell>
          <cell r="F2028" t="str">
            <v>UN-WPP Rev. 2024</v>
          </cell>
        </row>
        <row r="2029">
          <cell r="A2029" t="str">
            <v>MDV</v>
          </cell>
          <cell r="B2029">
            <v>2002</v>
          </cell>
          <cell r="C2029" t="str">
            <v>unpop_15up</v>
          </cell>
          <cell r="D2029">
            <v>183324.5</v>
          </cell>
          <cell r="F2029" t="str">
            <v>UN-WPP Rev. 2024</v>
          </cell>
        </row>
        <row r="2030">
          <cell r="A2030" t="str">
            <v>MDV</v>
          </cell>
          <cell r="B2030">
            <v>2002</v>
          </cell>
          <cell r="C2030" t="str">
            <v>unpop_65up</v>
          </cell>
          <cell r="D2030">
            <v>11943</v>
          </cell>
          <cell r="F2030" t="str">
            <v>UN-WPP Rev. 2024</v>
          </cell>
        </row>
        <row r="2031">
          <cell r="A2031" t="str">
            <v>MDV</v>
          </cell>
          <cell r="B2031">
            <v>2002</v>
          </cell>
          <cell r="C2031" t="str">
            <v>unpop_total</v>
          </cell>
          <cell r="D2031">
            <v>291616</v>
          </cell>
          <cell r="F2031" t="str">
            <v>UN-WPP Rev. 2024</v>
          </cell>
        </row>
        <row r="2032">
          <cell r="A2032" t="str">
            <v>MDV</v>
          </cell>
          <cell r="B2032">
            <v>2003</v>
          </cell>
          <cell r="C2032" t="str">
            <v>unpop_0014</v>
          </cell>
          <cell r="D2032">
            <v>105683.5</v>
          </cell>
          <cell r="F2032" t="str">
            <v>UN-WPP Rev. 2024</v>
          </cell>
        </row>
        <row r="2033">
          <cell r="A2033" t="str">
            <v>MDV</v>
          </cell>
          <cell r="B2033">
            <v>2003</v>
          </cell>
          <cell r="C2033" t="str">
            <v>unpop_1564</v>
          </cell>
          <cell r="D2033">
            <v>178157</v>
          </cell>
          <cell r="F2033" t="str">
            <v>UN-WPP Rev. 2024</v>
          </cell>
        </row>
        <row r="2034">
          <cell r="A2034" t="str">
            <v>MDV</v>
          </cell>
          <cell r="B2034">
            <v>2003</v>
          </cell>
          <cell r="C2034" t="str">
            <v>unpop_15up</v>
          </cell>
          <cell r="D2034">
            <v>190807.5</v>
          </cell>
          <cell r="F2034" t="str">
            <v>UN-WPP Rev. 2024</v>
          </cell>
        </row>
        <row r="2035">
          <cell r="A2035" t="str">
            <v>MDV</v>
          </cell>
          <cell r="B2035">
            <v>2003</v>
          </cell>
          <cell r="C2035" t="str">
            <v>unpop_65up</v>
          </cell>
          <cell r="D2035">
            <v>12650.5</v>
          </cell>
          <cell r="F2035" t="str">
            <v>UN-WPP Rev. 2024</v>
          </cell>
        </row>
        <row r="2036">
          <cell r="A2036" t="str">
            <v>MDV</v>
          </cell>
          <cell r="B2036">
            <v>2003</v>
          </cell>
          <cell r="C2036" t="str">
            <v>unpop_total</v>
          </cell>
          <cell r="D2036">
            <v>296491</v>
          </cell>
          <cell r="F2036" t="str">
            <v>UN-WPP Rev. 2024</v>
          </cell>
        </row>
        <row r="2037">
          <cell r="A2037" t="str">
            <v>MDV</v>
          </cell>
          <cell r="B2037">
            <v>2004</v>
          </cell>
          <cell r="C2037" t="str">
            <v>unpop_0014</v>
          </cell>
          <cell r="D2037">
            <v>103007.5</v>
          </cell>
          <cell r="F2037" t="str">
            <v>UN-WPP Rev. 2024</v>
          </cell>
        </row>
        <row r="2038">
          <cell r="A2038" t="str">
            <v>MDV</v>
          </cell>
          <cell r="B2038">
            <v>2004</v>
          </cell>
          <cell r="C2038" t="str">
            <v>unpop_1564</v>
          </cell>
          <cell r="D2038">
            <v>185039.5</v>
          </cell>
          <cell r="F2038" t="str">
            <v>UN-WPP Rev. 2024</v>
          </cell>
        </row>
        <row r="2039">
          <cell r="A2039" t="str">
            <v>MDV</v>
          </cell>
          <cell r="B2039">
            <v>2004</v>
          </cell>
          <cell r="C2039" t="str">
            <v>unpop_15up</v>
          </cell>
          <cell r="D2039">
            <v>198405</v>
          </cell>
          <cell r="F2039" t="str">
            <v>UN-WPP Rev. 2024</v>
          </cell>
        </row>
        <row r="2040">
          <cell r="A2040" t="str">
            <v>MDV</v>
          </cell>
          <cell r="B2040">
            <v>2004</v>
          </cell>
          <cell r="C2040" t="str">
            <v>unpop_65up</v>
          </cell>
          <cell r="D2040">
            <v>13365.5</v>
          </cell>
          <cell r="F2040" t="str">
            <v>UN-WPP Rev. 2024</v>
          </cell>
        </row>
        <row r="2041">
          <cell r="A2041" t="str">
            <v>MDV</v>
          </cell>
          <cell r="B2041">
            <v>2004</v>
          </cell>
          <cell r="C2041" t="str">
            <v>unpop_total</v>
          </cell>
          <cell r="D2041">
            <v>301412.5</v>
          </cell>
          <cell r="F2041" t="str">
            <v>UN-WPP Rev. 2024</v>
          </cell>
        </row>
        <row r="2042">
          <cell r="A2042" t="str">
            <v>MDV</v>
          </cell>
          <cell r="B2042">
            <v>2005</v>
          </cell>
          <cell r="C2042" t="str">
            <v>unpop_0014</v>
          </cell>
          <cell r="D2042">
            <v>100322.5</v>
          </cell>
          <cell r="F2042" t="str">
            <v>UN-WPP Rev. 2024</v>
          </cell>
        </row>
        <row r="2043">
          <cell r="A2043" t="str">
            <v>MDV</v>
          </cell>
          <cell r="B2043">
            <v>2005</v>
          </cell>
          <cell r="C2043" t="str">
            <v>unpop_1564</v>
          </cell>
          <cell r="D2043">
            <v>192029</v>
          </cell>
          <cell r="F2043" t="str">
            <v>UN-WPP Rev. 2024</v>
          </cell>
        </row>
        <row r="2044">
          <cell r="A2044" t="str">
            <v>MDV</v>
          </cell>
          <cell r="B2044">
            <v>2005</v>
          </cell>
          <cell r="C2044" t="str">
            <v>unpop_15up</v>
          </cell>
          <cell r="D2044">
            <v>206106.5</v>
          </cell>
          <cell r="F2044" t="str">
            <v>UN-WPP Rev. 2024</v>
          </cell>
        </row>
        <row r="2045">
          <cell r="A2045" t="str">
            <v>MDV</v>
          </cell>
          <cell r="B2045">
            <v>2005</v>
          </cell>
          <cell r="C2045" t="str">
            <v>unpop_65up</v>
          </cell>
          <cell r="D2045">
            <v>14077.5</v>
          </cell>
          <cell r="F2045" t="str">
            <v>UN-WPP Rev. 2024</v>
          </cell>
        </row>
        <row r="2046">
          <cell r="A2046" t="str">
            <v>MDV</v>
          </cell>
          <cell r="B2046">
            <v>2005</v>
          </cell>
          <cell r="C2046" t="str">
            <v>unpop_total</v>
          </cell>
          <cell r="D2046">
            <v>306429</v>
          </cell>
          <cell r="F2046" t="str">
            <v>UN-WPP Rev. 2024</v>
          </cell>
        </row>
        <row r="2047">
          <cell r="A2047" t="str">
            <v>MDV</v>
          </cell>
          <cell r="B2047">
            <v>2006</v>
          </cell>
          <cell r="C2047" t="str">
            <v>unpop_0014</v>
          </cell>
          <cell r="D2047">
            <v>97869</v>
          </cell>
          <cell r="F2047" t="str">
            <v>UN-WPP Rev. 2024</v>
          </cell>
        </row>
        <row r="2048">
          <cell r="A2048" t="str">
            <v>MDV</v>
          </cell>
          <cell r="B2048">
            <v>2006</v>
          </cell>
          <cell r="C2048" t="str">
            <v>unpop_1564</v>
          </cell>
          <cell r="D2048">
            <v>201306</v>
          </cell>
          <cell r="F2048" t="str">
            <v>UN-WPP Rev. 2024</v>
          </cell>
        </row>
        <row r="2049">
          <cell r="A2049" t="str">
            <v>MDV</v>
          </cell>
          <cell r="B2049">
            <v>2006</v>
          </cell>
          <cell r="C2049" t="str">
            <v>unpop_15up</v>
          </cell>
          <cell r="D2049">
            <v>215982</v>
          </cell>
          <cell r="F2049" t="str">
            <v>UN-WPP Rev. 2024</v>
          </cell>
        </row>
        <row r="2050">
          <cell r="A2050" t="str">
            <v>MDV</v>
          </cell>
          <cell r="B2050">
            <v>2006</v>
          </cell>
          <cell r="C2050" t="str">
            <v>unpop_65up</v>
          </cell>
          <cell r="D2050">
            <v>14676</v>
          </cell>
          <cell r="F2050" t="str">
            <v>UN-WPP Rev. 2024</v>
          </cell>
        </row>
        <row r="2051">
          <cell r="A2051" t="str">
            <v>MDV</v>
          </cell>
          <cell r="B2051">
            <v>2006</v>
          </cell>
          <cell r="C2051" t="str">
            <v>unpop_total</v>
          </cell>
          <cell r="D2051">
            <v>313851</v>
          </cell>
          <cell r="F2051" t="str">
            <v>UN-WPP Rev. 2024</v>
          </cell>
        </row>
        <row r="2052">
          <cell r="A2052" t="str">
            <v>MDV</v>
          </cell>
          <cell r="B2052">
            <v>2007</v>
          </cell>
          <cell r="C2052" t="str">
            <v>unpop_0014</v>
          </cell>
          <cell r="D2052">
            <v>95765.5</v>
          </cell>
          <cell r="F2052" t="str">
            <v>UN-WPP Rev. 2024</v>
          </cell>
        </row>
        <row r="2053">
          <cell r="A2053" t="str">
            <v>MDV</v>
          </cell>
          <cell r="B2053">
            <v>2007</v>
          </cell>
          <cell r="C2053" t="str">
            <v>unpop_1564</v>
          </cell>
          <cell r="D2053">
            <v>213604</v>
          </cell>
          <cell r="F2053" t="str">
            <v>UN-WPP Rev. 2024</v>
          </cell>
        </row>
        <row r="2054">
          <cell r="A2054" t="str">
            <v>MDV</v>
          </cell>
          <cell r="B2054">
            <v>2007</v>
          </cell>
          <cell r="C2054" t="str">
            <v>unpop_15up</v>
          </cell>
          <cell r="D2054">
            <v>228713.5</v>
          </cell>
          <cell r="F2054" t="str">
            <v>UN-WPP Rev. 2024</v>
          </cell>
        </row>
        <row r="2055">
          <cell r="A2055" t="str">
            <v>MDV</v>
          </cell>
          <cell r="B2055">
            <v>2007</v>
          </cell>
          <cell r="C2055" t="str">
            <v>unpop_65up</v>
          </cell>
          <cell r="D2055">
            <v>15109.5</v>
          </cell>
          <cell r="F2055" t="str">
            <v>UN-WPP Rev. 2024</v>
          </cell>
        </row>
        <row r="2056">
          <cell r="A2056" t="str">
            <v>MDV</v>
          </cell>
          <cell r="B2056">
            <v>2007</v>
          </cell>
          <cell r="C2056" t="str">
            <v>unpop_total</v>
          </cell>
          <cell r="D2056">
            <v>324479</v>
          </cell>
          <cell r="F2056" t="str">
            <v>UN-WPP Rev. 2024</v>
          </cell>
        </row>
        <row r="2057">
          <cell r="A2057" t="str">
            <v>MDV</v>
          </cell>
          <cell r="B2057">
            <v>2008</v>
          </cell>
          <cell r="C2057" t="str">
            <v>unpop_0014</v>
          </cell>
          <cell r="D2057">
            <v>94069</v>
          </cell>
          <cell r="F2057" t="str">
            <v>UN-WPP Rev. 2024</v>
          </cell>
        </row>
        <row r="2058">
          <cell r="A2058" t="str">
            <v>MDV</v>
          </cell>
          <cell r="B2058">
            <v>2008</v>
          </cell>
          <cell r="C2058" t="str">
            <v>unpop_1564</v>
          </cell>
          <cell r="D2058">
            <v>226642</v>
          </cell>
          <cell r="F2058" t="str">
            <v>UN-WPP Rev. 2024</v>
          </cell>
        </row>
        <row r="2059">
          <cell r="A2059" t="str">
            <v>MDV</v>
          </cell>
          <cell r="B2059">
            <v>2008</v>
          </cell>
          <cell r="C2059" t="str">
            <v>unpop_15up</v>
          </cell>
          <cell r="D2059">
            <v>242101</v>
          </cell>
          <cell r="F2059" t="str">
            <v>UN-WPP Rev. 2024</v>
          </cell>
        </row>
        <row r="2060">
          <cell r="A2060" t="str">
            <v>MDV</v>
          </cell>
          <cell r="B2060">
            <v>2008</v>
          </cell>
          <cell r="C2060" t="str">
            <v>unpop_65up</v>
          </cell>
          <cell r="D2060">
            <v>15459</v>
          </cell>
          <cell r="F2060" t="str">
            <v>UN-WPP Rev. 2024</v>
          </cell>
        </row>
        <row r="2061">
          <cell r="A2061" t="str">
            <v>MDV</v>
          </cell>
          <cell r="B2061">
            <v>2008</v>
          </cell>
          <cell r="C2061" t="str">
            <v>unpop_total</v>
          </cell>
          <cell r="D2061">
            <v>336170</v>
          </cell>
          <cell r="F2061" t="str">
            <v>UN-WPP Rev. 2024</v>
          </cell>
        </row>
        <row r="2062">
          <cell r="A2062" t="str">
            <v>MDV</v>
          </cell>
          <cell r="B2062">
            <v>2009</v>
          </cell>
          <cell r="C2062" t="str">
            <v>unpop_0014</v>
          </cell>
          <cell r="D2062">
            <v>92979.5</v>
          </cell>
          <cell r="F2062" t="str">
            <v>UN-WPP Rev. 2024</v>
          </cell>
        </row>
        <row r="2063">
          <cell r="A2063" t="str">
            <v>MDV</v>
          </cell>
          <cell r="B2063">
            <v>2009</v>
          </cell>
          <cell r="C2063" t="str">
            <v>unpop_1564</v>
          </cell>
          <cell r="D2063">
            <v>239531.5</v>
          </cell>
          <cell r="F2063" t="str">
            <v>UN-WPP Rev. 2024</v>
          </cell>
        </row>
        <row r="2064">
          <cell r="A2064" t="str">
            <v>MDV</v>
          </cell>
          <cell r="B2064">
            <v>2009</v>
          </cell>
          <cell r="C2064" t="str">
            <v>unpop_15up</v>
          </cell>
          <cell r="D2064">
            <v>255295.5</v>
          </cell>
          <cell r="F2064" t="str">
            <v>UN-WPP Rev. 2024</v>
          </cell>
        </row>
        <row r="2065">
          <cell r="A2065" t="str">
            <v>MDV</v>
          </cell>
          <cell r="B2065">
            <v>2009</v>
          </cell>
          <cell r="C2065" t="str">
            <v>unpop_65up</v>
          </cell>
          <cell r="D2065">
            <v>15764</v>
          </cell>
          <cell r="F2065" t="str">
            <v>UN-WPP Rev. 2024</v>
          </cell>
        </row>
        <row r="2066">
          <cell r="A2066" t="str">
            <v>MDV</v>
          </cell>
          <cell r="B2066">
            <v>2009</v>
          </cell>
          <cell r="C2066" t="str">
            <v>unpop_total</v>
          </cell>
          <cell r="D2066">
            <v>348275</v>
          </cell>
          <cell r="F2066" t="str">
            <v>UN-WPP Rev. 2024</v>
          </cell>
        </row>
        <row r="2067">
          <cell r="A2067" t="str">
            <v>MDV</v>
          </cell>
          <cell r="B2067">
            <v>2010</v>
          </cell>
          <cell r="C2067" t="str">
            <v>unpop_0014</v>
          </cell>
          <cell r="D2067">
            <v>92595</v>
          </cell>
          <cell r="F2067" t="str">
            <v>UN-WPP Rev. 2024</v>
          </cell>
        </row>
        <row r="2068">
          <cell r="A2068" t="str">
            <v>MDV</v>
          </cell>
          <cell r="B2068">
            <v>2010</v>
          </cell>
          <cell r="C2068" t="str">
            <v>unpop_1564</v>
          </cell>
          <cell r="D2068">
            <v>252164</v>
          </cell>
          <cell r="F2068" t="str">
            <v>UN-WPP Rev. 2024</v>
          </cell>
        </row>
        <row r="2069">
          <cell r="A2069" t="str">
            <v>MDV</v>
          </cell>
          <cell r="B2069">
            <v>2010</v>
          </cell>
          <cell r="C2069" t="str">
            <v>unpop_15up</v>
          </cell>
          <cell r="D2069">
            <v>268197</v>
          </cell>
          <cell r="F2069" t="str">
            <v>UN-WPP Rev. 2024</v>
          </cell>
        </row>
        <row r="2070">
          <cell r="A2070" t="str">
            <v>MDV</v>
          </cell>
          <cell r="B2070">
            <v>2010</v>
          </cell>
          <cell r="C2070" t="str">
            <v>unpop_65up</v>
          </cell>
          <cell r="D2070">
            <v>16033</v>
          </cell>
          <cell r="F2070" t="str">
            <v>UN-WPP Rev. 2024</v>
          </cell>
        </row>
        <row r="2071">
          <cell r="A2071" t="str">
            <v>MDV</v>
          </cell>
          <cell r="B2071">
            <v>2010</v>
          </cell>
          <cell r="C2071" t="str">
            <v>unpop_total</v>
          </cell>
          <cell r="D2071">
            <v>360792</v>
          </cell>
          <cell r="F2071" t="str">
            <v>UN-WPP Rev. 2024</v>
          </cell>
        </row>
        <row r="2072">
          <cell r="A2072" t="str">
            <v>MDV</v>
          </cell>
          <cell r="B2072">
            <v>2011</v>
          </cell>
          <cell r="C2072" t="str">
            <v>unpop_0014</v>
          </cell>
          <cell r="D2072">
            <v>92909</v>
          </cell>
          <cell r="F2072" t="str">
            <v>UN-WPP Rev. 2024</v>
          </cell>
        </row>
        <row r="2073">
          <cell r="A2073" t="str">
            <v>MDV</v>
          </cell>
          <cell r="B2073">
            <v>2011</v>
          </cell>
          <cell r="C2073" t="str">
            <v>unpop_1564</v>
          </cell>
          <cell r="D2073">
            <v>264489</v>
          </cell>
          <cell r="F2073" t="str">
            <v>UN-WPP Rev. 2024</v>
          </cell>
        </row>
        <row r="2074">
          <cell r="A2074" t="str">
            <v>MDV</v>
          </cell>
          <cell r="B2074">
            <v>2011</v>
          </cell>
          <cell r="C2074" t="str">
            <v>unpop_15up</v>
          </cell>
          <cell r="D2074">
            <v>280765</v>
          </cell>
          <cell r="F2074" t="str">
            <v>UN-WPP Rev. 2024</v>
          </cell>
        </row>
        <row r="2075">
          <cell r="A2075" t="str">
            <v>MDV</v>
          </cell>
          <cell r="B2075">
            <v>2011</v>
          </cell>
          <cell r="C2075" t="str">
            <v>unpop_65up</v>
          </cell>
          <cell r="D2075">
            <v>16276</v>
          </cell>
          <cell r="F2075" t="str">
            <v>UN-WPP Rev. 2024</v>
          </cell>
        </row>
        <row r="2076">
          <cell r="A2076" t="str">
            <v>MDV</v>
          </cell>
          <cell r="B2076">
            <v>2011</v>
          </cell>
          <cell r="C2076" t="str">
            <v>unpop_total</v>
          </cell>
          <cell r="D2076">
            <v>373674</v>
          </cell>
          <cell r="F2076" t="str">
            <v>UN-WPP Rev. 2024</v>
          </cell>
        </row>
        <row r="2077">
          <cell r="A2077" t="str">
            <v>MDV</v>
          </cell>
          <cell r="B2077">
            <v>2012</v>
          </cell>
          <cell r="C2077" t="str">
            <v>unpop_0014</v>
          </cell>
          <cell r="D2077">
            <v>93898.5</v>
          </cell>
          <cell r="F2077" t="str">
            <v>UN-WPP Rev. 2024</v>
          </cell>
        </row>
        <row r="2078">
          <cell r="A2078" t="str">
            <v>MDV</v>
          </cell>
          <cell r="B2078">
            <v>2012</v>
          </cell>
          <cell r="C2078" t="str">
            <v>unpop_1564</v>
          </cell>
          <cell r="D2078">
            <v>276430</v>
          </cell>
          <cell r="F2078" t="str">
            <v>UN-WPP Rev. 2024</v>
          </cell>
        </row>
        <row r="2079">
          <cell r="A2079" t="str">
            <v>MDV</v>
          </cell>
          <cell r="B2079">
            <v>2012</v>
          </cell>
          <cell r="C2079" t="str">
            <v>unpop_15up</v>
          </cell>
          <cell r="D2079">
            <v>292919.5</v>
          </cell>
          <cell r="F2079" t="str">
            <v>UN-WPP Rev. 2024</v>
          </cell>
        </row>
        <row r="2080">
          <cell r="A2080" t="str">
            <v>MDV</v>
          </cell>
          <cell r="B2080">
            <v>2012</v>
          </cell>
          <cell r="C2080" t="str">
            <v>unpop_65up</v>
          </cell>
          <cell r="D2080">
            <v>16489.5</v>
          </cell>
          <cell r="F2080" t="str">
            <v>UN-WPP Rev. 2024</v>
          </cell>
        </row>
        <row r="2081">
          <cell r="A2081" t="str">
            <v>MDV</v>
          </cell>
          <cell r="B2081">
            <v>2012</v>
          </cell>
          <cell r="C2081" t="str">
            <v>unpop_total</v>
          </cell>
          <cell r="D2081">
            <v>386818</v>
          </cell>
          <cell r="F2081" t="str">
            <v>UN-WPP Rev. 2024</v>
          </cell>
        </row>
        <row r="2082">
          <cell r="A2082" t="str">
            <v>MDV</v>
          </cell>
          <cell r="B2082">
            <v>2013</v>
          </cell>
          <cell r="C2082" t="str">
            <v>unpop_0014</v>
          </cell>
          <cell r="D2082">
            <v>95422.5</v>
          </cell>
          <cell r="F2082" t="str">
            <v>UN-WPP Rev. 2024</v>
          </cell>
        </row>
        <row r="2083">
          <cell r="A2083" t="str">
            <v>MDV</v>
          </cell>
          <cell r="B2083">
            <v>2013</v>
          </cell>
          <cell r="C2083" t="str">
            <v>unpop_1564</v>
          </cell>
          <cell r="D2083">
            <v>287942</v>
          </cell>
          <cell r="F2083" t="str">
            <v>UN-WPP Rev. 2024</v>
          </cell>
        </row>
        <row r="2084">
          <cell r="A2084" t="str">
            <v>MDV</v>
          </cell>
          <cell r="B2084">
            <v>2013</v>
          </cell>
          <cell r="C2084" t="str">
            <v>unpop_15up</v>
          </cell>
          <cell r="D2084">
            <v>304648</v>
          </cell>
          <cell r="F2084" t="str">
            <v>UN-WPP Rev. 2024</v>
          </cell>
        </row>
        <row r="2085">
          <cell r="A2085" t="str">
            <v>MDV</v>
          </cell>
          <cell r="B2085">
            <v>2013</v>
          </cell>
          <cell r="C2085" t="str">
            <v>unpop_65up</v>
          </cell>
          <cell r="D2085">
            <v>16706</v>
          </cell>
          <cell r="F2085" t="str">
            <v>UN-WPP Rev. 2024</v>
          </cell>
        </row>
        <row r="2086">
          <cell r="A2086" t="str">
            <v>MDV</v>
          </cell>
          <cell r="B2086">
            <v>2013</v>
          </cell>
          <cell r="C2086" t="str">
            <v>unpop_total</v>
          </cell>
          <cell r="D2086">
            <v>400070.5</v>
          </cell>
          <cell r="F2086" t="str">
            <v>UN-WPP Rev. 2024</v>
          </cell>
        </row>
        <row r="2087">
          <cell r="A2087" t="str">
            <v>MDV</v>
          </cell>
          <cell r="B2087">
            <v>2014</v>
          </cell>
          <cell r="C2087" t="str">
            <v>unpop_0014</v>
          </cell>
          <cell r="D2087">
            <v>97319</v>
          </cell>
          <cell r="F2087" t="str">
            <v>UN-WPP Rev. 2024</v>
          </cell>
        </row>
        <row r="2088">
          <cell r="A2088" t="str">
            <v>MDV</v>
          </cell>
          <cell r="B2088">
            <v>2014</v>
          </cell>
          <cell r="C2088" t="str">
            <v>unpop_1564</v>
          </cell>
          <cell r="D2088">
            <v>299348</v>
          </cell>
          <cell r="F2088" t="str">
            <v>UN-WPP Rev. 2024</v>
          </cell>
        </row>
        <row r="2089">
          <cell r="A2089" t="str">
            <v>MDV</v>
          </cell>
          <cell r="B2089">
            <v>2014</v>
          </cell>
          <cell r="C2089" t="str">
            <v>unpop_15up</v>
          </cell>
          <cell r="D2089">
            <v>316298</v>
          </cell>
          <cell r="F2089" t="str">
            <v>UN-WPP Rev. 2024</v>
          </cell>
        </row>
        <row r="2090">
          <cell r="A2090" t="str">
            <v>MDV</v>
          </cell>
          <cell r="B2090">
            <v>2014</v>
          </cell>
          <cell r="C2090" t="str">
            <v>unpop_65up</v>
          </cell>
          <cell r="D2090">
            <v>16950</v>
          </cell>
          <cell r="F2090" t="str">
            <v>UN-WPP Rev. 2024</v>
          </cell>
        </row>
        <row r="2091">
          <cell r="A2091" t="str">
            <v>MDV</v>
          </cell>
          <cell r="B2091">
            <v>2014</v>
          </cell>
          <cell r="C2091" t="str">
            <v>unpop_total</v>
          </cell>
          <cell r="D2091">
            <v>413617</v>
          </cell>
          <cell r="F2091" t="str">
            <v>UN-WPP Rev. 2024</v>
          </cell>
        </row>
        <row r="2092">
          <cell r="A2092" t="str">
            <v>MDV</v>
          </cell>
          <cell r="B2092">
            <v>2015</v>
          </cell>
          <cell r="C2092" t="str">
            <v>unpop_0014</v>
          </cell>
          <cell r="D2092">
            <v>99375.5</v>
          </cell>
          <cell r="F2092" t="str">
            <v>UN-WPP Rev. 2024</v>
          </cell>
        </row>
        <row r="2093">
          <cell r="A2093" t="str">
            <v>MDV</v>
          </cell>
          <cell r="B2093">
            <v>2015</v>
          </cell>
          <cell r="C2093" t="str">
            <v>unpop_1564</v>
          </cell>
          <cell r="D2093">
            <v>311589</v>
          </cell>
          <cell r="F2093" t="str">
            <v>UN-WPP Rev. 2024</v>
          </cell>
        </row>
        <row r="2094">
          <cell r="A2094" t="str">
            <v>MDV</v>
          </cell>
          <cell r="B2094">
            <v>2015</v>
          </cell>
          <cell r="C2094" t="str">
            <v>unpop_15up</v>
          </cell>
          <cell r="D2094">
            <v>328778.5</v>
          </cell>
          <cell r="F2094" t="str">
            <v>UN-WPP Rev. 2024</v>
          </cell>
        </row>
        <row r="2095">
          <cell r="A2095" t="str">
            <v>MDV</v>
          </cell>
          <cell r="B2095">
            <v>2015</v>
          </cell>
          <cell r="C2095" t="str">
            <v>unpop_65up</v>
          </cell>
          <cell r="D2095">
            <v>17189.5</v>
          </cell>
          <cell r="F2095" t="str">
            <v>UN-WPP Rev. 2024</v>
          </cell>
        </row>
        <row r="2096">
          <cell r="A2096" t="str">
            <v>MDV</v>
          </cell>
          <cell r="B2096">
            <v>2015</v>
          </cell>
          <cell r="C2096" t="str">
            <v>unpop_total</v>
          </cell>
          <cell r="D2096">
            <v>428154</v>
          </cell>
          <cell r="F2096" t="str">
            <v>UN-WPP Rev. 2024</v>
          </cell>
        </row>
        <row r="2097">
          <cell r="A2097" t="str">
            <v>MDV</v>
          </cell>
          <cell r="B2097">
            <v>2016</v>
          </cell>
          <cell r="C2097" t="str">
            <v>unpop_0014</v>
          </cell>
          <cell r="D2097">
            <v>101283</v>
          </cell>
          <cell r="F2097" t="str">
            <v>UN-WPP Rev. 2024</v>
          </cell>
        </row>
        <row r="2098">
          <cell r="A2098" t="str">
            <v>MDV</v>
          </cell>
          <cell r="B2098">
            <v>2016</v>
          </cell>
          <cell r="C2098" t="str">
            <v>unpop_1564</v>
          </cell>
          <cell r="D2098">
            <v>324593.5</v>
          </cell>
          <cell r="F2098" t="str">
            <v>UN-WPP Rev. 2024</v>
          </cell>
        </row>
        <row r="2099">
          <cell r="A2099" t="str">
            <v>MDV</v>
          </cell>
          <cell r="B2099">
            <v>2016</v>
          </cell>
          <cell r="C2099" t="str">
            <v>unpop_15up</v>
          </cell>
          <cell r="D2099">
            <v>342025</v>
          </cell>
          <cell r="F2099" t="str">
            <v>UN-WPP Rev. 2024</v>
          </cell>
        </row>
        <row r="2100">
          <cell r="A2100" t="str">
            <v>MDV</v>
          </cell>
          <cell r="B2100">
            <v>2016</v>
          </cell>
          <cell r="C2100" t="str">
            <v>unpop_65up</v>
          </cell>
          <cell r="D2100">
            <v>17431.5</v>
          </cell>
          <cell r="F2100" t="str">
            <v>UN-WPP Rev. 2024</v>
          </cell>
        </row>
        <row r="2101">
          <cell r="A2101" t="str">
            <v>MDV</v>
          </cell>
          <cell r="B2101">
            <v>2016</v>
          </cell>
          <cell r="C2101" t="str">
            <v>unpop_total</v>
          </cell>
          <cell r="D2101">
            <v>443308</v>
          </cell>
          <cell r="F2101" t="str">
            <v>UN-WPP Rev. 2024</v>
          </cell>
        </row>
        <row r="2102">
          <cell r="A2102" t="str">
            <v>MDV</v>
          </cell>
          <cell r="B2102">
            <v>2017</v>
          </cell>
          <cell r="C2102" t="str">
            <v>unpop_0014</v>
          </cell>
          <cell r="D2102">
            <v>102945</v>
          </cell>
          <cell r="F2102" t="str">
            <v>UN-WPP Rev. 2024</v>
          </cell>
        </row>
        <row r="2103">
          <cell r="A2103" t="str">
            <v>MDV</v>
          </cell>
          <cell r="B2103">
            <v>2017</v>
          </cell>
          <cell r="C2103" t="str">
            <v>unpop_1564</v>
          </cell>
          <cell r="D2103">
            <v>337617</v>
          </cell>
          <cell r="F2103" t="str">
            <v>UN-WPP Rev. 2024</v>
          </cell>
        </row>
        <row r="2104">
          <cell r="A2104" t="str">
            <v>MDV</v>
          </cell>
          <cell r="B2104">
            <v>2017</v>
          </cell>
          <cell r="C2104" t="str">
            <v>unpop_15up</v>
          </cell>
          <cell r="D2104">
            <v>355342</v>
          </cell>
          <cell r="F2104" t="str">
            <v>UN-WPP Rev. 2024</v>
          </cell>
        </row>
        <row r="2105">
          <cell r="A2105" t="str">
            <v>MDV</v>
          </cell>
          <cell r="B2105">
            <v>2017</v>
          </cell>
          <cell r="C2105" t="str">
            <v>unpop_65up</v>
          </cell>
          <cell r="D2105">
            <v>17725</v>
          </cell>
          <cell r="F2105" t="str">
            <v>UN-WPP Rev. 2024</v>
          </cell>
        </row>
        <row r="2106">
          <cell r="A2106" t="str">
            <v>MDV</v>
          </cell>
          <cell r="B2106">
            <v>2017</v>
          </cell>
          <cell r="C2106" t="str">
            <v>unpop_total</v>
          </cell>
          <cell r="D2106">
            <v>458287</v>
          </cell>
          <cell r="F2106" t="str">
            <v>UN-WPP Rev. 2024</v>
          </cell>
        </row>
        <row r="2107">
          <cell r="A2107" t="str">
            <v>MDV</v>
          </cell>
          <cell r="B2107">
            <v>2018</v>
          </cell>
          <cell r="C2107" t="str">
            <v>unpop_0014</v>
          </cell>
          <cell r="D2107">
            <v>104419</v>
          </cell>
          <cell r="F2107" t="str">
            <v>UN-WPP Rev. 2024</v>
          </cell>
        </row>
        <row r="2108">
          <cell r="A2108" t="str">
            <v>MDV</v>
          </cell>
          <cell r="B2108">
            <v>2018</v>
          </cell>
          <cell r="C2108" t="str">
            <v>unpop_1564</v>
          </cell>
          <cell r="D2108">
            <v>350552</v>
          </cell>
          <cell r="F2108" t="str">
            <v>UN-WPP Rev. 2024</v>
          </cell>
        </row>
        <row r="2109">
          <cell r="A2109" t="str">
            <v>MDV</v>
          </cell>
          <cell r="B2109">
            <v>2018</v>
          </cell>
          <cell r="C2109" t="str">
            <v>unpop_15up</v>
          </cell>
          <cell r="D2109">
            <v>368679.5</v>
          </cell>
          <cell r="F2109" t="str">
            <v>UN-WPP Rev. 2024</v>
          </cell>
        </row>
        <row r="2110">
          <cell r="A2110" t="str">
            <v>MDV</v>
          </cell>
          <cell r="B2110">
            <v>2018</v>
          </cell>
          <cell r="C2110" t="str">
            <v>unpop_65up</v>
          </cell>
          <cell r="D2110">
            <v>18127.5</v>
          </cell>
          <cell r="F2110" t="str">
            <v>UN-WPP Rev. 2024</v>
          </cell>
        </row>
        <row r="2111">
          <cell r="A2111" t="str">
            <v>MDV</v>
          </cell>
          <cell r="B2111">
            <v>2018</v>
          </cell>
          <cell r="C2111" t="str">
            <v>unpop_total</v>
          </cell>
          <cell r="D2111">
            <v>473098.5</v>
          </cell>
          <cell r="F2111" t="str">
            <v>UN-WPP Rev. 2024</v>
          </cell>
        </row>
        <row r="2112">
          <cell r="A2112" t="str">
            <v>MDV</v>
          </cell>
          <cell r="B2112">
            <v>2019</v>
          </cell>
          <cell r="C2112" t="str">
            <v>unpop_0014</v>
          </cell>
          <cell r="D2112">
            <v>105693</v>
          </cell>
          <cell r="F2112" t="str">
            <v>UN-WPP Rev. 2024</v>
          </cell>
        </row>
        <row r="2113">
          <cell r="A2113" t="str">
            <v>MDV</v>
          </cell>
          <cell r="B2113">
            <v>2019</v>
          </cell>
          <cell r="C2113" t="str">
            <v>unpop_1564</v>
          </cell>
          <cell r="D2113">
            <v>363344</v>
          </cell>
          <cell r="F2113" t="str">
            <v>UN-WPP Rev. 2024</v>
          </cell>
        </row>
        <row r="2114">
          <cell r="A2114" t="str">
            <v>MDV</v>
          </cell>
          <cell r="B2114">
            <v>2019</v>
          </cell>
          <cell r="C2114" t="str">
            <v>unpop_15up</v>
          </cell>
          <cell r="D2114">
            <v>382038</v>
          </cell>
          <cell r="F2114" t="str">
            <v>UN-WPP Rev. 2024</v>
          </cell>
        </row>
        <row r="2115">
          <cell r="A2115" t="str">
            <v>MDV</v>
          </cell>
          <cell r="B2115">
            <v>2019</v>
          </cell>
          <cell r="C2115" t="str">
            <v>unpop_65up</v>
          </cell>
          <cell r="D2115">
            <v>18694</v>
          </cell>
          <cell r="F2115" t="str">
            <v>UN-WPP Rev. 2024</v>
          </cell>
        </row>
        <row r="2116">
          <cell r="A2116" t="str">
            <v>MDV</v>
          </cell>
          <cell r="B2116">
            <v>2019</v>
          </cell>
          <cell r="C2116" t="str">
            <v>unpop_total</v>
          </cell>
          <cell r="D2116">
            <v>487731</v>
          </cell>
          <cell r="F2116" t="str">
            <v>UN-WPP Rev. 2024</v>
          </cell>
        </row>
        <row r="2117">
          <cell r="A2117" t="str">
            <v>MDV</v>
          </cell>
          <cell r="B2117">
            <v>2020</v>
          </cell>
          <cell r="C2117" t="str">
            <v>unpop_0014</v>
          </cell>
          <cell r="D2117">
            <v>106666</v>
          </cell>
          <cell r="F2117" t="str">
            <v>UN-WPP Rev. 2024</v>
          </cell>
        </row>
        <row r="2118">
          <cell r="A2118" t="str">
            <v>MDV</v>
          </cell>
          <cell r="B2118">
            <v>2020</v>
          </cell>
          <cell r="C2118" t="str">
            <v>unpop_1564</v>
          </cell>
          <cell r="D2118">
            <v>376022</v>
          </cell>
          <cell r="F2118" t="str">
            <v>UN-WPP Rev. 2024</v>
          </cell>
        </row>
        <row r="2119">
          <cell r="A2119" t="str">
            <v>MDV</v>
          </cell>
          <cell r="B2119">
            <v>2020</v>
          </cell>
          <cell r="C2119" t="str">
            <v>unpop_15up</v>
          </cell>
          <cell r="D2119">
            <v>395452.5</v>
          </cell>
          <cell r="F2119" t="str">
            <v>UN-WPP Rev. 2024</v>
          </cell>
        </row>
        <row r="2120">
          <cell r="A2120" t="str">
            <v>MDV</v>
          </cell>
          <cell r="B2120">
            <v>2020</v>
          </cell>
          <cell r="C2120" t="str">
            <v>unpop_65up</v>
          </cell>
          <cell r="D2120">
            <v>19430.5</v>
          </cell>
          <cell r="F2120" t="str">
            <v>UN-WPP Rev. 2024</v>
          </cell>
        </row>
        <row r="2121">
          <cell r="A2121" t="str">
            <v>MDV</v>
          </cell>
          <cell r="B2121">
            <v>2020</v>
          </cell>
          <cell r="C2121" t="str">
            <v>unpop_total</v>
          </cell>
          <cell r="D2121">
            <v>502118.5</v>
          </cell>
          <cell r="F2121" t="str">
            <v>UN-WPP Rev. 2024</v>
          </cell>
        </row>
        <row r="2122">
          <cell r="A2122" t="str">
            <v>MDV</v>
          </cell>
          <cell r="B2122">
            <v>2021</v>
          </cell>
          <cell r="C2122" t="str">
            <v>unpop_0014</v>
          </cell>
          <cell r="D2122">
            <v>107192.5</v>
          </cell>
          <cell r="F2122" t="str">
            <v>UN-WPP Rev. 2024</v>
          </cell>
        </row>
        <row r="2123">
          <cell r="A2123" t="str">
            <v>MDV</v>
          </cell>
          <cell r="B2123">
            <v>2021</v>
          </cell>
          <cell r="C2123" t="str">
            <v>unpop_1564</v>
          </cell>
          <cell r="D2123">
            <v>388687</v>
          </cell>
          <cell r="F2123" t="str">
            <v>UN-WPP Rev. 2024</v>
          </cell>
        </row>
        <row r="2124">
          <cell r="A2124" t="str">
            <v>MDV</v>
          </cell>
          <cell r="B2124">
            <v>2021</v>
          </cell>
          <cell r="C2124" t="str">
            <v>unpop_15up</v>
          </cell>
          <cell r="D2124">
            <v>408961</v>
          </cell>
          <cell r="F2124" t="str">
            <v>UN-WPP Rev. 2024</v>
          </cell>
        </row>
        <row r="2125">
          <cell r="A2125" t="str">
            <v>MDV</v>
          </cell>
          <cell r="B2125">
            <v>2021</v>
          </cell>
          <cell r="C2125" t="str">
            <v>unpop_65up</v>
          </cell>
          <cell r="D2125">
            <v>20274</v>
          </cell>
          <cell r="F2125" t="str">
            <v>UN-WPP Rev. 2024</v>
          </cell>
        </row>
        <row r="2126">
          <cell r="A2126" t="str">
            <v>MDV</v>
          </cell>
          <cell r="B2126">
            <v>2021</v>
          </cell>
          <cell r="C2126" t="str">
            <v>unpop_total</v>
          </cell>
          <cell r="D2126">
            <v>516153.5</v>
          </cell>
          <cell r="F2126" t="str">
            <v>UN-WPP Rev. 2024</v>
          </cell>
        </row>
        <row r="2127">
          <cell r="A2127" t="str">
            <v>MDV</v>
          </cell>
          <cell r="B2127">
            <v>2022</v>
          </cell>
          <cell r="C2127" t="str">
            <v>unpop_0014</v>
          </cell>
          <cell r="D2127">
            <v>106825.5</v>
          </cell>
          <cell r="F2127" t="str">
            <v>UN-WPP Rev. 2024</v>
          </cell>
        </row>
        <row r="2128">
          <cell r="A2128" t="str">
            <v>MDV</v>
          </cell>
          <cell r="B2128">
            <v>2022</v>
          </cell>
          <cell r="C2128" t="str">
            <v>unpop_1564</v>
          </cell>
          <cell r="D2128">
            <v>395889</v>
          </cell>
          <cell r="F2128" t="str">
            <v>UN-WPP Rev. 2024</v>
          </cell>
        </row>
        <row r="2129">
          <cell r="A2129" t="str">
            <v>MDV</v>
          </cell>
          <cell r="B2129">
            <v>2022</v>
          </cell>
          <cell r="C2129" t="str">
            <v>unpop_15up</v>
          </cell>
          <cell r="D2129">
            <v>417281</v>
          </cell>
          <cell r="F2129" t="str">
            <v>UN-WPP Rev. 2024</v>
          </cell>
        </row>
        <row r="2130">
          <cell r="A2130" t="str">
            <v>MDV</v>
          </cell>
          <cell r="B2130">
            <v>2022</v>
          </cell>
          <cell r="C2130" t="str">
            <v>unpop_65up</v>
          </cell>
          <cell r="D2130">
            <v>21392</v>
          </cell>
          <cell r="F2130" t="str">
            <v>UN-WPP Rev. 2024</v>
          </cell>
        </row>
        <row r="2131">
          <cell r="A2131" t="str">
            <v>MDV</v>
          </cell>
          <cell r="B2131">
            <v>2022</v>
          </cell>
          <cell r="C2131" t="str">
            <v>unpop_total</v>
          </cell>
          <cell r="D2131">
            <v>524106.5</v>
          </cell>
          <cell r="F2131" t="str">
            <v>UN-WPP Rev. 2024</v>
          </cell>
        </row>
        <row r="2132">
          <cell r="A2132" t="str">
            <v>MDV</v>
          </cell>
          <cell r="B2132">
            <v>2023</v>
          </cell>
          <cell r="C2132" t="str">
            <v>unpop_0014</v>
          </cell>
          <cell r="D2132">
            <v>105456.5</v>
          </cell>
          <cell r="F2132" t="str">
            <v>UN-WPP Rev. 2024</v>
          </cell>
        </row>
        <row r="2133">
          <cell r="A2133" t="str">
            <v>MDV</v>
          </cell>
          <cell r="B2133">
            <v>2023</v>
          </cell>
          <cell r="C2133" t="str">
            <v>unpop_1564</v>
          </cell>
          <cell r="D2133">
            <v>397682.5</v>
          </cell>
          <cell r="F2133" t="str">
            <v>UN-WPP Rev. 2024</v>
          </cell>
        </row>
        <row r="2134">
          <cell r="A2134" t="str">
            <v>MDV</v>
          </cell>
          <cell r="B2134">
            <v>2023</v>
          </cell>
          <cell r="C2134" t="str">
            <v>unpop_15up</v>
          </cell>
          <cell r="D2134">
            <v>420537.5</v>
          </cell>
          <cell r="F2134" t="str">
            <v>UN-WPP Rev. 2024</v>
          </cell>
        </row>
        <row r="2135">
          <cell r="A2135" t="str">
            <v>MDV</v>
          </cell>
          <cell r="B2135">
            <v>2023</v>
          </cell>
          <cell r="C2135" t="str">
            <v>unpop_65up</v>
          </cell>
          <cell r="D2135">
            <v>22855</v>
          </cell>
          <cell r="F2135" t="str">
            <v>UN-WPP Rev. 2024</v>
          </cell>
        </row>
        <row r="2136">
          <cell r="A2136" t="str">
            <v>MDV</v>
          </cell>
          <cell r="B2136">
            <v>2023</v>
          </cell>
          <cell r="C2136" t="str">
            <v>unpop_total</v>
          </cell>
          <cell r="D2136">
            <v>525994</v>
          </cell>
          <cell r="F2136" t="str">
            <v>UN-WPP Rev. 2024</v>
          </cell>
        </row>
        <row r="2137">
          <cell r="A2137" t="str">
            <v>MDV</v>
          </cell>
          <cell r="B2137">
            <v>2024</v>
          </cell>
          <cell r="C2137" t="str">
            <v>unpop_0014</v>
          </cell>
          <cell r="D2137">
            <v>103406.5</v>
          </cell>
          <cell r="F2137" t="str">
            <v>UN-WPP Rev. 2024</v>
          </cell>
        </row>
        <row r="2138">
          <cell r="A2138" t="str">
            <v>MDV</v>
          </cell>
          <cell r="B2138">
            <v>2024</v>
          </cell>
          <cell r="C2138" t="str">
            <v>unpop_1564</v>
          </cell>
          <cell r="D2138">
            <v>399901.5</v>
          </cell>
          <cell r="F2138" t="str">
            <v>UN-WPP Rev. 2024</v>
          </cell>
        </row>
        <row r="2139">
          <cell r="A2139" t="str">
            <v>MDV</v>
          </cell>
          <cell r="B2139">
            <v>2024</v>
          </cell>
          <cell r="C2139" t="str">
            <v>unpop_15up</v>
          </cell>
          <cell r="D2139">
            <v>424392.5</v>
          </cell>
          <cell r="F2139" t="str">
            <v>UN-WPP Rev. 2024</v>
          </cell>
        </row>
        <row r="2140">
          <cell r="A2140" t="str">
            <v>MDV</v>
          </cell>
          <cell r="B2140">
            <v>2024</v>
          </cell>
          <cell r="C2140" t="str">
            <v>unpop_65up</v>
          </cell>
          <cell r="D2140">
            <v>24491</v>
          </cell>
          <cell r="F2140" t="str">
            <v>UN-WPP Rev. 2024</v>
          </cell>
        </row>
        <row r="2141">
          <cell r="A2141" t="str">
            <v>MDV</v>
          </cell>
          <cell r="B2141">
            <v>2024</v>
          </cell>
          <cell r="C2141" t="str">
            <v>unpop_total</v>
          </cell>
          <cell r="D2141">
            <v>527799</v>
          </cell>
          <cell r="F2141" t="str">
            <v>UN-WPP Rev. 2024</v>
          </cell>
        </row>
        <row r="2142">
          <cell r="A2142" t="str">
            <v>MDV</v>
          </cell>
          <cell r="B2142">
            <v>2025</v>
          </cell>
          <cell r="C2142" t="str">
            <v>unpop_0014</v>
          </cell>
          <cell r="D2142">
            <v>100832</v>
          </cell>
          <cell r="F2142" t="str">
            <v>UN-WPP Rev. 2024</v>
          </cell>
        </row>
        <row r="2143">
          <cell r="A2143" t="str">
            <v>MDV</v>
          </cell>
          <cell r="B2143">
            <v>2025</v>
          </cell>
          <cell r="C2143" t="str">
            <v>unpop_1564</v>
          </cell>
          <cell r="D2143">
            <v>402581.5</v>
          </cell>
          <cell r="F2143" t="str">
            <v>UN-WPP Rev. 2024</v>
          </cell>
        </row>
        <row r="2144">
          <cell r="A2144" t="str">
            <v>MDV</v>
          </cell>
          <cell r="B2144">
            <v>2025</v>
          </cell>
          <cell r="C2144" t="str">
            <v>unpop_15up</v>
          </cell>
          <cell r="D2144">
            <v>428844</v>
          </cell>
          <cell r="F2144" t="str">
            <v>UN-WPP Rev. 2024</v>
          </cell>
        </row>
        <row r="2145">
          <cell r="A2145" t="str">
            <v>MDV</v>
          </cell>
          <cell r="B2145">
            <v>2025</v>
          </cell>
          <cell r="C2145" t="str">
            <v>unpop_65up</v>
          </cell>
          <cell r="D2145">
            <v>26262.5</v>
          </cell>
          <cell r="F2145" t="str">
            <v>UN-WPP Rev. 2024</v>
          </cell>
        </row>
        <row r="2146">
          <cell r="A2146" t="str">
            <v>MDV</v>
          </cell>
          <cell r="B2146">
            <v>2025</v>
          </cell>
          <cell r="C2146" t="str">
            <v>unpop_total</v>
          </cell>
          <cell r="D2146">
            <v>529676</v>
          </cell>
          <cell r="F2146" t="str">
            <v>UN-WPP Rev. 2024</v>
          </cell>
        </row>
        <row r="2147">
          <cell r="A2147" t="str">
            <v>MDV</v>
          </cell>
          <cell r="B2147">
            <v>2026</v>
          </cell>
          <cell r="C2147" t="str">
            <v>unpop_0014</v>
          </cell>
          <cell r="D2147">
            <v>97937</v>
          </cell>
          <cell r="F2147" t="str">
            <v>UN-WPP Rev. 2024</v>
          </cell>
        </row>
        <row r="2148">
          <cell r="A2148" t="str">
            <v>MDV</v>
          </cell>
          <cell r="B2148">
            <v>2026</v>
          </cell>
          <cell r="C2148" t="str">
            <v>unpop_1564</v>
          </cell>
          <cell r="D2148">
            <v>405456</v>
          </cell>
          <cell r="F2148" t="str">
            <v>UN-WPP Rev. 2024</v>
          </cell>
        </row>
        <row r="2149">
          <cell r="A2149" t="str">
            <v>MDV</v>
          </cell>
          <cell r="B2149">
            <v>2026</v>
          </cell>
          <cell r="C2149" t="str">
            <v>unpop_15up</v>
          </cell>
          <cell r="D2149">
            <v>433580</v>
          </cell>
          <cell r="F2149" t="str">
            <v>UN-WPP Rev. 2024</v>
          </cell>
        </row>
        <row r="2150">
          <cell r="A2150" t="str">
            <v>MDV</v>
          </cell>
          <cell r="B2150">
            <v>2026</v>
          </cell>
          <cell r="C2150" t="str">
            <v>unpop_65up</v>
          </cell>
          <cell r="D2150">
            <v>28124</v>
          </cell>
          <cell r="F2150" t="str">
            <v>UN-WPP Rev. 2024</v>
          </cell>
        </row>
        <row r="2151">
          <cell r="A2151" t="str">
            <v>MDV</v>
          </cell>
          <cell r="B2151">
            <v>2026</v>
          </cell>
          <cell r="C2151" t="str">
            <v>unpop_total</v>
          </cell>
          <cell r="D2151">
            <v>531517</v>
          </cell>
          <cell r="F2151" t="str">
            <v>UN-WPP Rev. 2024</v>
          </cell>
        </row>
        <row r="2152">
          <cell r="A2152" t="str">
            <v>MDV</v>
          </cell>
          <cell r="B2152">
            <v>2027</v>
          </cell>
          <cell r="C2152" t="str">
            <v>unpop_0014</v>
          </cell>
          <cell r="D2152">
            <v>94936.5</v>
          </cell>
          <cell r="F2152" t="str">
            <v>UN-WPP Rev. 2024</v>
          </cell>
        </row>
        <row r="2153">
          <cell r="A2153" t="str">
            <v>MDV</v>
          </cell>
          <cell r="B2153">
            <v>2027</v>
          </cell>
          <cell r="C2153" t="str">
            <v>unpop_1564</v>
          </cell>
          <cell r="D2153">
            <v>408466</v>
          </cell>
          <cell r="F2153" t="str">
            <v>UN-WPP Rev. 2024</v>
          </cell>
        </row>
        <row r="2154">
          <cell r="A2154" t="str">
            <v>MDV</v>
          </cell>
          <cell r="B2154">
            <v>2027</v>
          </cell>
          <cell r="C2154" t="str">
            <v>unpop_15up</v>
          </cell>
          <cell r="D2154">
            <v>438494.5</v>
          </cell>
          <cell r="F2154" t="str">
            <v>UN-WPP Rev. 2024</v>
          </cell>
        </row>
        <row r="2155">
          <cell r="A2155" t="str">
            <v>MDV</v>
          </cell>
          <cell r="B2155">
            <v>2027</v>
          </cell>
          <cell r="C2155" t="str">
            <v>unpop_65up</v>
          </cell>
          <cell r="D2155">
            <v>30028.5</v>
          </cell>
          <cell r="F2155" t="str">
            <v>UN-WPP Rev. 2024</v>
          </cell>
        </row>
        <row r="2156">
          <cell r="A2156" t="str">
            <v>MDV</v>
          </cell>
          <cell r="B2156">
            <v>2027</v>
          </cell>
          <cell r="C2156" t="str">
            <v>unpop_total</v>
          </cell>
          <cell r="D2156">
            <v>533431</v>
          </cell>
          <cell r="F2156" t="str">
            <v>UN-WPP Rev. 2024</v>
          </cell>
        </row>
        <row r="2157">
          <cell r="A2157" t="str">
            <v>MDV</v>
          </cell>
          <cell r="B2157">
            <v>2028</v>
          </cell>
          <cell r="C2157" t="str">
            <v>unpop_0014</v>
          </cell>
          <cell r="D2157">
            <v>92009</v>
          </cell>
          <cell r="F2157" t="str">
            <v>UN-WPP Rev. 2024</v>
          </cell>
        </row>
        <row r="2158">
          <cell r="A2158" t="str">
            <v>MDV</v>
          </cell>
          <cell r="B2158">
            <v>2028</v>
          </cell>
          <cell r="C2158" t="str">
            <v>unpop_1564</v>
          </cell>
          <cell r="D2158">
            <v>411516.5</v>
          </cell>
          <cell r="F2158" t="str">
            <v>UN-WPP Rev. 2024</v>
          </cell>
        </row>
        <row r="2159">
          <cell r="A2159" t="str">
            <v>MDV</v>
          </cell>
          <cell r="B2159">
            <v>2028</v>
          </cell>
          <cell r="C2159" t="str">
            <v>unpop_15up</v>
          </cell>
          <cell r="D2159">
            <v>443484.5</v>
          </cell>
          <cell r="F2159" t="str">
            <v>UN-WPP Rev. 2024</v>
          </cell>
        </row>
        <row r="2160">
          <cell r="A2160" t="str">
            <v>MDV</v>
          </cell>
          <cell r="B2160">
            <v>2028</v>
          </cell>
          <cell r="C2160" t="str">
            <v>unpop_65up</v>
          </cell>
          <cell r="D2160">
            <v>31968</v>
          </cell>
          <cell r="F2160" t="str">
            <v>UN-WPP Rev. 2024</v>
          </cell>
        </row>
        <row r="2161">
          <cell r="A2161" t="str">
            <v>MDV</v>
          </cell>
          <cell r="B2161">
            <v>2028</v>
          </cell>
          <cell r="C2161" t="str">
            <v>unpop_total</v>
          </cell>
          <cell r="D2161">
            <v>535493.5</v>
          </cell>
          <cell r="F2161" t="str">
            <v>UN-WPP Rev. 2024</v>
          </cell>
        </row>
        <row r="2162">
          <cell r="A2162" t="str">
            <v>MDV</v>
          </cell>
          <cell r="B2162">
            <v>2029</v>
          </cell>
          <cell r="C2162" t="str">
            <v>unpop_0014</v>
          </cell>
          <cell r="D2162">
            <v>89227.5</v>
          </cell>
          <cell r="F2162" t="str">
            <v>UN-WPP Rev. 2024</v>
          </cell>
        </row>
        <row r="2163">
          <cell r="A2163" t="str">
            <v>MDV</v>
          </cell>
          <cell r="B2163">
            <v>2029</v>
          </cell>
          <cell r="C2163" t="str">
            <v>unpop_1564</v>
          </cell>
          <cell r="D2163">
            <v>414389.5</v>
          </cell>
          <cell r="F2163" t="str">
            <v>UN-WPP Rev. 2024</v>
          </cell>
        </row>
        <row r="2164">
          <cell r="A2164" t="str">
            <v>MDV</v>
          </cell>
          <cell r="B2164">
            <v>2029</v>
          </cell>
          <cell r="C2164" t="str">
            <v>unpop_15up</v>
          </cell>
          <cell r="D2164">
            <v>448343</v>
          </cell>
          <cell r="F2164" t="str">
            <v>UN-WPP Rev. 2024</v>
          </cell>
        </row>
        <row r="2165">
          <cell r="A2165" t="str">
            <v>MDV</v>
          </cell>
          <cell r="B2165">
            <v>2029</v>
          </cell>
          <cell r="C2165" t="str">
            <v>unpop_65up</v>
          </cell>
          <cell r="D2165">
            <v>33953.5</v>
          </cell>
          <cell r="F2165" t="str">
            <v>UN-WPP Rev. 2024</v>
          </cell>
        </row>
        <row r="2166">
          <cell r="A2166" t="str">
            <v>MDV</v>
          </cell>
          <cell r="B2166">
            <v>2029</v>
          </cell>
          <cell r="C2166" t="str">
            <v>unpop_total</v>
          </cell>
          <cell r="D2166">
            <v>537570.5</v>
          </cell>
          <cell r="F2166" t="str">
            <v>UN-WPP Rev. 2024</v>
          </cell>
        </row>
        <row r="2167">
          <cell r="A2167" t="str">
            <v>MDV</v>
          </cell>
          <cell r="B2167">
            <v>2030</v>
          </cell>
          <cell r="C2167" t="str">
            <v>unpop_0014</v>
          </cell>
          <cell r="D2167">
            <v>86612</v>
          </cell>
          <cell r="F2167" t="str">
            <v>UN-WPP Rev. 2024</v>
          </cell>
        </row>
        <row r="2168">
          <cell r="A2168" t="str">
            <v>MDV</v>
          </cell>
          <cell r="B2168">
            <v>2030</v>
          </cell>
          <cell r="C2168" t="str">
            <v>unpop_1564</v>
          </cell>
          <cell r="D2168">
            <v>417043</v>
          </cell>
          <cell r="F2168" t="str">
            <v>UN-WPP Rev. 2024</v>
          </cell>
        </row>
        <row r="2169">
          <cell r="A2169" t="str">
            <v>MDV</v>
          </cell>
          <cell r="B2169">
            <v>2030</v>
          </cell>
          <cell r="C2169" t="str">
            <v>unpop_15up</v>
          </cell>
          <cell r="D2169">
            <v>453055</v>
          </cell>
          <cell r="F2169" t="str">
            <v>UN-WPP Rev. 2024</v>
          </cell>
        </row>
        <row r="2170">
          <cell r="A2170" t="str">
            <v>MDV</v>
          </cell>
          <cell r="B2170">
            <v>2030</v>
          </cell>
          <cell r="C2170" t="str">
            <v>unpop_65up</v>
          </cell>
          <cell r="D2170">
            <v>36012</v>
          </cell>
          <cell r="F2170" t="str">
            <v>UN-WPP Rev. 2024</v>
          </cell>
        </row>
        <row r="2171">
          <cell r="A2171" t="str">
            <v>MDV</v>
          </cell>
          <cell r="B2171">
            <v>2030</v>
          </cell>
          <cell r="C2171" t="str">
            <v>unpop_total</v>
          </cell>
          <cell r="D2171">
            <v>539667</v>
          </cell>
          <cell r="F2171" t="str">
            <v>UN-WPP Rev. 2024</v>
          </cell>
        </row>
        <row r="2172">
          <cell r="A2172" t="str">
            <v>NPL</v>
          </cell>
          <cell r="B2172">
            <v>2000</v>
          </cell>
          <cell r="C2172" t="str">
            <v>unpop_0014</v>
          </cell>
          <cell r="D2172">
            <v>10051613.5</v>
          </cell>
          <cell r="F2172" t="str">
            <v>UN-WPP Rev. 2024</v>
          </cell>
        </row>
        <row r="2173">
          <cell r="A2173" t="str">
            <v>NPL</v>
          </cell>
          <cell r="B2173">
            <v>2000</v>
          </cell>
          <cell r="C2173" t="str">
            <v>unpop_1564</v>
          </cell>
          <cell r="D2173">
            <v>13558268.5</v>
          </cell>
          <cell r="F2173" t="str">
            <v>UN-WPP Rev. 2024</v>
          </cell>
        </row>
        <row r="2174">
          <cell r="A2174" t="str">
            <v>NPL</v>
          </cell>
          <cell r="B2174">
            <v>2000</v>
          </cell>
          <cell r="C2174" t="str">
            <v>unpop_15up</v>
          </cell>
          <cell r="D2174">
            <v>14494895.5</v>
          </cell>
          <cell r="F2174" t="str">
            <v>UN-WPP Rev. 2024</v>
          </cell>
        </row>
        <row r="2175">
          <cell r="A2175" t="str">
            <v>NPL</v>
          </cell>
          <cell r="B2175">
            <v>2000</v>
          </cell>
          <cell r="C2175" t="str">
            <v>unpop_65up</v>
          </cell>
          <cell r="D2175">
            <v>936627</v>
          </cell>
          <cell r="F2175" t="str">
            <v>UN-WPP Rev. 2024</v>
          </cell>
        </row>
        <row r="2176">
          <cell r="A2176" t="str">
            <v>NPL</v>
          </cell>
          <cell r="B2176">
            <v>2000</v>
          </cell>
          <cell r="C2176" t="str">
            <v>unpop_total</v>
          </cell>
          <cell r="D2176">
            <v>24546509</v>
          </cell>
          <cell r="F2176" t="str">
            <v>UN-WPP Rev. 2024</v>
          </cell>
        </row>
        <row r="2177">
          <cell r="A2177" t="str">
            <v>NPL</v>
          </cell>
          <cell r="B2177">
            <v>2001</v>
          </cell>
          <cell r="C2177" t="str">
            <v>unpop_0014</v>
          </cell>
          <cell r="D2177">
            <v>10157129.5</v>
          </cell>
          <cell r="F2177" t="str">
            <v>UN-WPP Rev. 2024</v>
          </cell>
        </row>
        <row r="2178">
          <cell r="A2178" t="str">
            <v>NPL</v>
          </cell>
          <cell r="B2178">
            <v>2001</v>
          </cell>
          <cell r="C2178" t="str">
            <v>unpop_1564</v>
          </cell>
          <cell r="D2178">
            <v>13828027</v>
          </cell>
          <cell r="F2178" t="str">
            <v>UN-WPP Rev. 2024</v>
          </cell>
        </row>
        <row r="2179">
          <cell r="A2179" t="str">
            <v>NPL</v>
          </cell>
          <cell r="B2179">
            <v>2001</v>
          </cell>
          <cell r="C2179" t="str">
            <v>unpop_15up</v>
          </cell>
          <cell r="D2179">
            <v>14789618.5</v>
          </cell>
          <cell r="F2179" t="str">
            <v>UN-WPP Rev. 2024</v>
          </cell>
        </row>
        <row r="2180">
          <cell r="A2180" t="str">
            <v>NPL</v>
          </cell>
          <cell r="B2180">
            <v>2001</v>
          </cell>
          <cell r="C2180" t="str">
            <v>unpop_65up</v>
          </cell>
          <cell r="D2180">
            <v>961591.5</v>
          </cell>
          <cell r="F2180" t="str">
            <v>UN-WPP Rev. 2024</v>
          </cell>
        </row>
        <row r="2181">
          <cell r="A2181" t="str">
            <v>NPL</v>
          </cell>
          <cell r="B2181">
            <v>2001</v>
          </cell>
          <cell r="C2181" t="str">
            <v>unpop_total</v>
          </cell>
          <cell r="D2181">
            <v>24946748</v>
          </cell>
          <cell r="F2181" t="str">
            <v>UN-WPP Rev. 2024</v>
          </cell>
        </row>
        <row r="2182">
          <cell r="A2182" t="str">
            <v>NPL</v>
          </cell>
          <cell r="B2182">
            <v>2002</v>
          </cell>
          <cell r="C2182" t="str">
            <v>unpop_0014</v>
          </cell>
          <cell r="D2182">
            <v>10235883</v>
          </cell>
          <cell r="F2182" t="str">
            <v>UN-WPP Rev. 2024</v>
          </cell>
        </row>
        <row r="2183">
          <cell r="A2183" t="str">
            <v>NPL</v>
          </cell>
          <cell r="B2183">
            <v>2002</v>
          </cell>
          <cell r="C2183" t="str">
            <v>unpop_1564</v>
          </cell>
          <cell r="D2183">
            <v>14103951.5</v>
          </cell>
          <cell r="F2183" t="str">
            <v>UN-WPP Rev. 2024</v>
          </cell>
        </row>
        <row r="2184">
          <cell r="A2184" t="str">
            <v>NPL</v>
          </cell>
          <cell r="B2184">
            <v>2002</v>
          </cell>
          <cell r="C2184" t="str">
            <v>unpop_15up</v>
          </cell>
          <cell r="D2184">
            <v>15093098</v>
          </cell>
          <cell r="F2184" t="str">
            <v>UN-WPP Rev. 2024</v>
          </cell>
        </row>
        <row r="2185">
          <cell r="A2185" t="str">
            <v>NPL</v>
          </cell>
          <cell r="B2185">
            <v>2002</v>
          </cell>
          <cell r="C2185" t="str">
            <v>unpop_65up</v>
          </cell>
          <cell r="D2185">
            <v>989146.5</v>
          </cell>
          <cell r="F2185" t="str">
            <v>UN-WPP Rev. 2024</v>
          </cell>
        </row>
        <row r="2186">
          <cell r="A2186" t="str">
            <v>NPL</v>
          </cell>
          <cell r="B2186">
            <v>2002</v>
          </cell>
          <cell r="C2186" t="str">
            <v>unpop_total</v>
          </cell>
          <cell r="D2186">
            <v>25328981</v>
          </cell>
          <cell r="F2186" t="str">
            <v>UN-WPP Rev. 2024</v>
          </cell>
        </row>
        <row r="2187">
          <cell r="A2187" t="str">
            <v>NPL</v>
          </cell>
          <cell r="B2187">
            <v>2003</v>
          </cell>
          <cell r="C2187" t="str">
            <v>unpop_0014</v>
          </cell>
          <cell r="D2187">
            <v>10287375.5</v>
          </cell>
          <cell r="F2187" t="str">
            <v>UN-WPP Rev. 2024</v>
          </cell>
        </row>
        <row r="2188">
          <cell r="A2188" t="str">
            <v>NPL</v>
          </cell>
          <cell r="B2188">
            <v>2003</v>
          </cell>
          <cell r="C2188" t="str">
            <v>unpop_1564</v>
          </cell>
          <cell r="D2188">
            <v>14382275.5</v>
          </cell>
          <cell r="F2188" t="str">
            <v>UN-WPP Rev. 2024</v>
          </cell>
        </row>
        <row r="2189">
          <cell r="A2189" t="str">
            <v>NPL</v>
          </cell>
          <cell r="B2189">
            <v>2003</v>
          </cell>
          <cell r="C2189" t="str">
            <v>unpop_15up</v>
          </cell>
          <cell r="D2189">
            <v>15401383</v>
          </cell>
          <cell r="F2189" t="str">
            <v>UN-WPP Rev. 2024</v>
          </cell>
        </row>
        <row r="2190">
          <cell r="A2190" t="str">
            <v>NPL</v>
          </cell>
          <cell r="B2190">
            <v>2003</v>
          </cell>
          <cell r="C2190" t="str">
            <v>unpop_65up</v>
          </cell>
          <cell r="D2190">
            <v>1019107.5</v>
          </cell>
          <cell r="F2190" t="str">
            <v>UN-WPP Rev. 2024</v>
          </cell>
        </row>
        <row r="2191">
          <cell r="A2191" t="str">
            <v>NPL</v>
          </cell>
          <cell r="B2191">
            <v>2003</v>
          </cell>
          <cell r="C2191" t="str">
            <v>unpop_total</v>
          </cell>
          <cell r="D2191">
            <v>25688758.5</v>
          </cell>
          <cell r="F2191" t="str">
            <v>UN-WPP Rev. 2024</v>
          </cell>
        </row>
        <row r="2192">
          <cell r="A2192" t="str">
            <v>NPL</v>
          </cell>
          <cell r="B2192">
            <v>2004</v>
          </cell>
          <cell r="C2192" t="str">
            <v>unpop_0014</v>
          </cell>
          <cell r="D2192">
            <v>10312211</v>
          </cell>
          <cell r="F2192" t="str">
            <v>UN-WPP Rev. 2024</v>
          </cell>
        </row>
        <row r="2193">
          <cell r="A2193" t="str">
            <v>NPL</v>
          </cell>
          <cell r="B2193">
            <v>2004</v>
          </cell>
          <cell r="C2193" t="str">
            <v>unpop_1564</v>
          </cell>
          <cell r="D2193">
            <v>14654852.5</v>
          </cell>
          <cell r="F2193" t="str">
            <v>UN-WPP Rev. 2024</v>
          </cell>
        </row>
        <row r="2194">
          <cell r="A2194" t="str">
            <v>NPL</v>
          </cell>
          <cell r="B2194">
            <v>2004</v>
          </cell>
          <cell r="C2194" t="str">
            <v>unpop_15up</v>
          </cell>
          <cell r="D2194">
            <v>15704445</v>
          </cell>
          <cell r="F2194" t="str">
            <v>UN-WPP Rev. 2024</v>
          </cell>
        </row>
        <row r="2195">
          <cell r="A2195" t="str">
            <v>NPL</v>
          </cell>
          <cell r="B2195">
            <v>2004</v>
          </cell>
          <cell r="C2195" t="str">
            <v>unpop_65up</v>
          </cell>
          <cell r="D2195">
            <v>1049592.5</v>
          </cell>
          <cell r="F2195" t="str">
            <v>UN-WPP Rev. 2024</v>
          </cell>
        </row>
        <row r="2196">
          <cell r="A2196" t="str">
            <v>NPL</v>
          </cell>
          <cell r="B2196">
            <v>2004</v>
          </cell>
          <cell r="C2196" t="str">
            <v>unpop_total</v>
          </cell>
          <cell r="D2196">
            <v>26016656</v>
          </cell>
          <cell r="F2196" t="str">
            <v>UN-WPP Rev. 2024</v>
          </cell>
        </row>
        <row r="2197">
          <cell r="A2197" t="str">
            <v>NPL</v>
          </cell>
          <cell r="B2197">
            <v>2005</v>
          </cell>
          <cell r="C2197" t="str">
            <v>unpop_0014</v>
          </cell>
          <cell r="D2197">
            <v>10307054.5</v>
          </cell>
          <cell r="F2197" t="str">
            <v>UN-WPP Rev. 2024</v>
          </cell>
        </row>
        <row r="2198">
          <cell r="A2198" t="str">
            <v>NPL</v>
          </cell>
          <cell r="B2198">
            <v>2005</v>
          </cell>
          <cell r="C2198" t="str">
            <v>unpop_1564</v>
          </cell>
          <cell r="D2198">
            <v>14918321</v>
          </cell>
          <cell r="F2198" t="str">
            <v>UN-WPP Rev. 2024</v>
          </cell>
        </row>
        <row r="2199">
          <cell r="A2199" t="str">
            <v>NPL</v>
          </cell>
          <cell r="B2199">
            <v>2005</v>
          </cell>
          <cell r="C2199" t="str">
            <v>unpop_15up</v>
          </cell>
          <cell r="D2199">
            <v>16002403.5</v>
          </cell>
          <cell r="F2199" t="str">
            <v>UN-WPP Rev. 2024</v>
          </cell>
        </row>
        <row r="2200">
          <cell r="A2200" t="str">
            <v>NPL</v>
          </cell>
          <cell r="B2200">
            <v>2005</v>
          </cell>
          <cell r="C2200" t="str">
            <v>unpop_65up</v>
          </cell>
          <cell r="D2200">
            <v>1084082.5</v>
          </cell>
          <cell r="F2200" t="str">
            <v>UN-WPP Rev. 2024</v>
          </cell>
        </row>
        <row r="2201">
          <cell r="A2201" t="str">
            <v>NPL</v>
          </cell>
          <cell r="B2201">
            <v>2005</v>
          </cell>
          <cell r="C2201" t="str">
            <v>unpop_total</v>
          </cell>
          <cell r="D2201">
            <v>26309458</v>
          </cell>
          <cell r="F2201" t="str">
            <v>UN-WPP Rev. 2024</v>
          </cell>
        </row>
        <row r="2202">
          <cell r="A2202" t="str">
            <v>NPL</v>
          </cell>
          <cell r="B2202">
            <v>2006</v>
          </cell>
          <cell r="C2202" t="str">
            <v>unpop_0014</v>
          </cell>
          <cell r="D2202">
            <v>10269664</v>
          </cell>
          <cell r="F2202" t="str">
            <v>UN-WPP Rev. 2024</v>
          </cell>
        </row>
        <row r="2203">
          <cell r="A2203" t="str">
            <v>NPL</v>
          </cell>
          <cell r="B2203">
            <v>2006</v>
          </cell>
          <cell r="C2203" t="str">
            <v>unpop_1564</v>
          </cell>
          <cell r="D2203">
            <v>15171872.5</v>
          </cell>
          <cell r="F2203" t="str">
            <v>UN-WPP Rev. 2024</v>
          </cell>
        </row>
        <row r="2204">
          <cell r="A2204" t="str">
            <v>NPL</v>
          </cell>
          <cell r="B2204">
            <v>2006</v>
          </cell>
          <cell r="C2204" t="str">
            <v>unpop_15up</v>
          </cell>
          <cell r="D2204">
            <v>16295760.5</v>
          </cell>
          <cell r="F2204" t="str">
            <v>UN-WPP Rev. 2024</v>
          </cell>
        </row>
        <row r="2205">
          <cell r="A2205" t="str">
            <v>NPL</v>
          </cell>
          <cell r="B2205">
            <v>2006</v>
          </cell>
          <cell r="C2205" t="str">
            <v>unpop_65up</v>
          </cell>
          <cell r="D2205">
            <v>1123888</v>
          </cell>
          <cell r="F2205" t="str">
            <v>UN-WPP Rev. 2024</v>
          </cell>
        </row>
        <row r="2206">
          <cell r="A2206" t="str">
            <v>NPL</v>
          </cell>
          <cell r="B2206">
            <v>2006</v>
          </cell>
          <cell r="C2206" t="str">
            <v>unpop_total</v>
          </cell>
          <cell r="D2206">
            <v>26565424.5</v>
          </cell>
          <cell r="F2206" t="str">
            <v>UN-WPP Rev. 2024</v>
          </cell>
        </row>
        <row r="2207">
          <cell r="A2207" t="str">
            <v>NPL</v>
          </cell>
          <cell r="B2207">
            <v>2007</v>
          </cell>
          <cell r="C2207" t="str">
            <v>unpop_0014</v>
          </cell>
          <cell r="D2207">
            <v>10203855.5</v>
          </cell>
          <cell r="F2207" t="str">
            <v>UN-WPP Rev. 2024</v>
          </cell>
        </row>
        <row r="2208">
          <cell r="A2208" t="str">
            <v>NPL</v>
          </cell>
          <cell r="B2208">
            <v>2007</v>
          </cell>
          <cell r="C2208" t="str">
            <v>unpop_1564</v>
          </cell>
          <cell r="D2208">
            <v>15418610.5</v>
          </cell>
          <cell r="F2208" t="str">
            <v>UN-WPP Rev. 2024</v>
          </cell>
        </row>
        <row r="2209">
          <cell r="A2209" t="str">
            <v>NPL</v>
          </cell>
          <cell r="B2209">
            <v>2007</v>
          </cell>
          <cell r="C2209" t="str">
            <v>unpop_15up</v>
          </cell>
          <cell r="D2209">
            <v>16584636.5</v>
          </cell>
          <cell r="F2209" t="str">
            <v>UN-WPP Rev. 2024</v>
          </cell>
        </row>
        <row r="2210">
          <cell r="A2210" t="str">
            <v>NPL</v>
          </cell>
          <cell r="B2210">
            <v>2007</v>
          </cell>
          <cell r="C2210" t="str">
            <v>unpop_65up</v>
          </cell>
          <cell r="D2210">
            <v>1166026</v>
          </cell>
          <cell r="F2210" t="str">
            <v>UN-WPP Rev. 2024</v>
          </cell>
        </row>
        <row r="2211">
          <cell r="A2211" t="str">
            <v>NPL</v>
          </cell>
          <cell r="B2211">
            <v>2007</v>
          </cell>
          <cell r="C2211" t="str">
            <v>unpop_total</v>
          </cell>
          <cell r="D2211">
            <v>26788492</v>
          </cell>
          <cell r="F2211" t="str">
            <v>UN-WPP Rev. 2024</v>
          </cell>
        </row>
        <row r="2212">
          <cell r="A2212" t="str">
            <v>NPL</v>
          </cell>
          <cell r="B2212">
            <v>2008</v>
          </cell>
          <cell r="C2212" t="str">
            <v>unpop_0014</v>
          </cell>
          <cell r="D2212">
            <v>10108181</v>
          </cell>
          <cell r="F2212" t="str">
            <v>UN-WPP Rev. 2024</v>
          </cell>
        </row>
        <row r="2213">
          <cell r="A2213" t="str">
            <v>NPL</v>
          </cell>
          <cell r="B2213">
            <v>2008</v>
          </cell>
          <cell r="C2213" t="str">
            <v>unpop_1564</v>
          </cell>
          <cell r="D2213">
            <v>15672718</v>
          </cell>
          <cell r="F2213" t="str">
            <v>UN-WPP Rev. 2024</v>
          </cell>
        </row>
        <row r="2214">
          <cell r="A2214" t="str">
            <v>NPL</v>
          </cell>
          <cell r="B2214">
            <v>2008</v>
          </cell>
          <cell r="C2214" t="str">
            <v>unpop_15up</v>
          </cell>
          <cell r="D2214">
            <v>16881856</v>
          </cell>
          <cell r="F2214" t="str">
            <v>UN-WPP Rev. 2024</v>
          </cell>
        </row>
        <row r="2215">
          <cell r="A2215" t="str">
            <v>NPL</v>
          </cell>
          <cell r="B2215">
            <v>2008</v>
          </cell>
          <cell r="C2215" t="str">
            <v>unpop_65up</v>
          </cell>
          <cell r="D2215">
            <v>1209138</v>
          </cell>
          <cell r="F2215" t="str">
            <v>UN-WPP Rev. 2024</v>
          </cell>
        </row>
        <row r="2216">
          <cell r="A2216" t="str">
            <v>NPL</v>
          </cell>
          <cell r="B2216">
            <v>2008</v>
          </cell>
          <cell r="C2216" t="str">
            <v>unpop_total</v>
          </cell>
          <cell r="D2216">
            <v>26990037</v>
          </cell>
          <cell r="F2216" t="str">
            <v>UN-WPP Rev. 2024</v>
          </cell>
        </row>
        <row r="2217">
          <cell r="A2217" t="str">
            <v>NPL</v>
          </cell>
          <cell r="B2217">
            <v>2009</v>
          </cell>
          <cell r="C2217" t="str">
            <v>unpop_0014</v>
          </cell>
          <cell r="D2217">
            <v>9985059</v>
          </cell>
          <cell r="F2217" t="str">
            <v>UN-WPP Rev. 2024</v>
          </cell>
        </row>
        <row r="2218">
          <cell r="A2218" t="str">
            <v>NPL</v>
          </cell>
          <cell r="B2218">
            <v>2009</v>
          </cell>
          <cell r="C2218" t="str">
            <v>unpop_1564</v>
          </cell>
          <cell r="D2218">
            <v>15936033.5</v>
          </cell>
          <cell r="F2218" t="str">
            <v>UN-WPP Rev. 2024</v>
          </cell>
        </row>
        <row r="2219">
          <cell r="A2219" t="str">
            <v>NPL</v>
          </cell>
          <cell r="B2219">
            <v>2009</v>
          </cell>
          <cell r="C2219" t="str">
            <v>unpop_15up</v>
          </cell>
          <cell r="D2219">
            <v>17187975.5</v>
          </cell>
          <cell r="F2219" t="str">
            <v>UN-WPP Rev. 2024</v>
          </cell>
        </row>
        <row r="2220">
          <cell r="A2220" t="str">
            <v>NPL</v>
          </cell>
          <cell r="B2220">
            <v>2009</v>
          </cell>
          <cell r="C2220" t="str">
            <v>unpop_65up</v>
          </cell>
          <cell r="D2220">
            <v>1251942</v>
          </cell>
          <cell r="F2220" t="str">
            <v>UN-WPP Rev. 2024</v>
          </cell>
        </row>
        <row r="2221">
          <cell r="A2221" t="str">
            <v>NPL</v>
          </cell>
          <cell r="B2221">
            <v>2009</v>
          </cell>
          <cell r="C2221" t="str">
            <v>unpop_total</v>
          </cell>
          <cell r="D2221">
            <v>27173034.5</v>
          </cell>
          <cell r="F2221" t="str">
            <v>UN-WPP Rev. 2024</v>
          </cell>
        </row>
        <row r="2222">
          <cell r="A2222" t="str">
            <v>NPL</v>
          </cell>
          <cell r="B2222">
            <v>2010</v>
          </cell>
          <cell r="C2222" t="str">
            <v>unpop_0014</v>
          </cell>
          <cell r="D2222">
            <v>9843318.5</v>
          </cell>
          <cell r="F2222" t="str">
            <v>UN-WPP Rev. 2024</v>
          </cell>
        </row>
        <row r="2223">
          <cell r="A2223" t="str">
            <v>NPL</v>
          </cell>
          <cell r="B2223">
            <v>2010</v>
          </cell>
          <cell r="C2223" t="str">
            <v>unpop_1564</v>
          </cell>
          <cell r="D2223">
            <v>16205224.5</v>
          </cell>
          <cell r="F2223" t="str">
            <v>UN-WPP Rev. 2024</v>
          </cell>
        </row>
        <row r="2224">
          <cell r="A2224" t="str">
            <v>NPL</v>
          </cell>
          <cell r="B2224">
            <v>2010</v>
          </cell>
          <cell r="C2224" t="str">
            <v>unpop_15up</v>
          </cell>
          <cell r="D2224">
            <v>17498634</v>
          </cell>
          <cell r="F2224" t="str">
            <v>UN-WPP Rev. 2024</v>
          </cell>
        </row>
        <row r="2225">
          <cell r="A2225" t="str">
            <v>NPL</v>
          </cell>
          <cell r="B2225">
            <v>2010</v>
          </cell>
          <cell r="C2225" t="str">
            <v>unpop_65up</v>
          </cell>
          <cell r="D2225">
            <v>1293409.5</v>
          </cell>
          <cell r="F2225" t="str">
            <v>UN-WPP Rev. 2024</v>
          </cell>
        </row>
        <row r="2226">
          <cell r="A2226" t="str">
            <v>NPL</v>
          </cell>
          <cell r="B2226">
            <v>2010</v>
          </cell>
          <cell r="C2226" t="str">
            <v>unpop_total</v>
          </cell>
          <cell r="D2226">
            <v>27341952.5</v>
          </cell>
          <cell r="F2226" t="str">
            <v>UN-WPP Rev. 2024</v>
          </cell>
        </row>
        <row r="2227">
          <cell r="A2227" t="str">
            <v>NPL</v>
          </cell>
          <cell r="B2227">
            <v>2011</v>
          </cell>
          <cell r="C2227" t="str">
            <v>unpop_0014</v>
          </cell>
          <cell r="D2227">
            <v>9694497.5</v>
          </cell>
          <cell r="F2227" t="str">
            <v>UN-WPP Rev. 2024</v>
          </cell>
        </row>
        <row r="2228">
          <cell r="A2228" t="str">
            <v>NPL</v>
          </cell>
          <cell r="B2228">
            <v>2011</v>
          </cell>
          <cell r="C2228" t="str">
            <v>unpop_1564</v>
          </cell>
          <cell r="D2228">
            <v>16434939</v>
          </cell>
          <cell r="F2228" t="str">
            <v>UN-WPP Rev. 2024</v>
          </cell>
        </row>
        <row r="2229">
          <cell r="A2229" t="str">
            <v>NPL</v>
          </cell>
          <cell r="B2229">
            <v>2011</v>
          </cell>
          <cell r="C2229" t="str">
            <v>unpop_15up</v>
          </cell>
          <cell r="D2229">
            <v>17769996.5</v>
          </cell>
          <cell r="F2229" t="str">
            <v>UN-WPP Rev. 2024</v>
          </cell>
        </row>
        <row r="2230">
          <cell r="A2230" t="str">
            <v>NPL</v>
          </cell>
          <cell r="B2230">
            <v>2011</v>
          </cell>
          <cell r="C2230" t="str">
            <v>unpop_65up</v>
          </cell>
          <cell r="D2230">
            <v>1335057.5</v>
          </cell>
          <cell r="F2230" t="str">
            <v>UN-WPP Rev. 2024</v>
          </cell>
        </row>
        <row r="2231">
          <cell r="A2231" t="str">
            <v>NPL</v>
          </cell>
          <cell r="B2231">
            <v>2011</v>
          </cell>
          <cell r="C2231" t="str">
            <v>unpop_total</v>
          </cell>
          <cell r="D2231">
            <v>27464494</v>
          </cell>
          <cell r="F2231" t="str">
            <v>UN-WPP Rev. 2024</v>
          </cell>
        </row>
        <row r="2232">
          <cell r="A2232" t="str">
            <v>NPL</v>
          </cell>
          <cell r="B2232">
            <v>2012</v>
          </cell>
          <cell r="C2232" t="str">
            <v>unpop_0014</v>
          </cell>
          <cell r="D2232">
            <v>9556216</v>
          </cell>
          <cell r="F2232" t="str">
            <v>UN-WPP Rev. 2024</v>
          </cell>
        </row>
        <row r="2233">
          <cell r="A2233" t="str">
            <v>NPL</v>
          </cell>
          <cell r="B2233">
            <v>2012</v>
          </cell>
          <cell r="C2233" t="str">
            <v>unpop_1564</v>
          </cell>
          <cell r="D2233">
            <v>16598827.5</v>
          </cell>
          <cell r="F2233" t="str">
            <v>UN-WPP Rev. 2024</v>
          </cell>
        </row>
        <row r="2234">
          <cell r="A2234" t="str">
            <v>NPL</v>
          </cell>
          <cell r="B2234">
            <v>2012</v>
          </cell>
          <cell r="C2234" t="str">
            <v>unpop_15up</v>
          </cell>
          <cell r="D2234">
            <v>17978699</v>
          </cell>
          <cell r="F2234" t="str">
            <v>UN-WPP Rev. 2024</v>
          </cell>
        </row>
        <row r="2235">
          <cell r="A2235" t="str">
            <v>NPL</v>
          </cell>
          <cell r="B2235">
            <v>2012</v>
          </cell>
          <cell r="C2235" t="str">
            <v>unpop_65up</v>
          </cell>
          <cell r="D2235">
            <v>1379871.5</v>
          </cell>
          <cell r="F2235" t="str">
            <v>UN-WPP Rev. 2024</v>
          </cell>
        </row>
        <row r="2236">
          <cell r="A2236" t="str">
            <v>NPL</v>
          </cell>
          <cell r="B2236">
            <v>2012</v>
          </cell>
          <cell r="C2236" t="str">
            <v>unpop_total</v>
          </cell>
          <cell r="D2236">
            <v>27534915</v>
          </cell>
          <cell r="F2236" t="str">
            <v>UN-WPP Rev. 2024</v>
          </cell>
        </row>
        <row r="2237">
          <cell r="A2237" t="str">
            <v>NPL</v>
          </cell>
          <cell r="B2237">
            <v>2013</v>
          </cell>
          <cell r="C2237" t="str">
            <v>unpop_0014</v>
          </cell>
          <cell r="D2237">
            <v>9428381</v>
          </cell>
          <cell r="F2237" t="str">
            <v>UN-WPP Rev. 2024</v>
          </cell>
        </row>
        <row r="2238">
          <cell r="A2238" t="str">
            <v>NPL</v>
          </cell>
          <cell r="B2238">
            <v>2013</v>
          </cell>
          <cell r="C2238" t="str">
            <v>unpop_1564</v>
          </cell>
          <cell r="D2238">
            <v>16732523</v>
          </cell>
          <cell r="F2238" t="str">
            <v>UN-WPP Rev. 2024</v>
          </cell>
        </row>
        <row r="2239">
          <cell r="A2239" t="str">
            <v>NPL</v>
          </cell>
          <cell r="B2239">
            <v>2013</v>
          </cell>
          <cell r="C2239" t="str">
            <v>unpop_15up</v>
          </cell>
          <cell r="D2239">
            <v>18161615</v>
          </cell>
          <cell r="F2239" t="str">
            <v>UN-WPP Rev. 2024</v>
          </cell>
        </row>
        <row r="2240">
          <cell r="A2240" t="str">
            <v>NPL</v>
          </cell>
          <cell r="B2240">
            <v>2013</v>
          </cell>
          <cell r="C2240" t="str">
            <v>unpop_65up</v>
          </cell>
          <cell r="D2240">
            <v>1429092</v>
          </cell>
          <cell r="F2240" t="str">
            <v>UN-WPP Rev. 2024</v>
          </cell>
        </row>
        <row r="2241">
          <cell r="A2241" t="str">
            <v>NPL</v>
          </cell>
          <cell r="B2241">
            <v>2013</v>
          </cell>
          <cell r="C2241" t="str">
            <v>unpop_total</v>
          </cell>
          <cell r="D2241">
            <v>27589996</v>
          </cell>
          <cell r="F2241" t="str">
            <v>UN-WPP Rev. 2024</v>
          </cell>
        </row>
        <row r="2242">
          <cell r="A2242" t="str">
            <v>NPL</v>
          </cell>
          <cell r="B2242">
            <v>2014</v>
          </cell>
          <cell r="C2242" t="str">
            <v>unpop_0014</v>
          </cell>
          <cell r="D2242">
            <v>9307328</v>
          </cell>
          <cell r="F2242" t="str">
            <v>UN-WPP Rev. 2024</v>
          </cell>
        </row>
        <row r="2243">
          <cell r="A2243" t="str">
            <v>NPL</v>
          </cell>
          <cell r="B2243">
            <v>2014</v>
          </cell>
          <cell r="C2243" t="str">
            <v>unpop_1564</v>
          </cell>
          <cell r="D2243">
            <v>16886461.5</v>
          </cell>
          <cell r="F2243" t="str">
            <v>UN-WPP Rev. 2024</v>
          </cell>
        </row>
        <row r="2244">
          <cell r="A2244" t="str">
            <v>NPL</v>
          </cell>
          <cell r="B2244">
            <v>2014</v>
          </cell>
          <cell r="C2244" t="str">
            <v>unpop_15up</v>
          </cell>
          <cell r="D2244">
            <v>18365041.5</v>
          </cell>
          <cell r="F2244" t="str">
            <v>UN-WPP Rev. 2024</v>
          </cell>
        </row>
        <row r="2245">
          <cell r="A2245" t="str">
            <v>NPL</v>
          </cell>
          <cell r="B2245">
            <v>2014</v>
          </cell>
          <cell r="C2245" t="str">
            <v>unpop_65up</v>
          </cell>
          <cell r="D2245">
            <v>1478580</v>
          </cell>
          <cell r="F2245" t="str">
            <v>UN-WPP Rev. 2024</v>
          </cell>
        </row>
        <row r="2246">
          <cell r="A2246" t="str">
            <v>NPL</v>
          </cell>
          <cell r="B2246">
            <v>2014</v>
          </cell>
          <cell r="C2246" t="str">
            <v>unpop_total</v>
          </cell>
          <cell r="D2246">
            <v>27672369.5</v>
          </cell>
          <cell r="F2246" t="str">
            <v>UN-WPP Rev. 2024</v>
          </cell>
        </row>
        <row r="2247">
          <cell r="A2247" t="str">
            <v>NPL</v>
          </cell>
          <cell r="B2247">
            <v>2015</v>
          </cell>
          <cell r="C2247" t="str">
            <v>unpop_0014</v>
          </cell>
          <cell r="D2247">
            <v>9194606.5</v>
          </cell>
          <cell r="F2247" t="str">
            <v>UN-WPP Rev. 2024</v>
          </cell>
        </row>
        <row r="2248">
          <cell r="A2248" t="str">
            <v>NPL</v>
          </cell>
          <cell r="B2248">
            <v>2015</v>
          </cell>
          <cell r="C2248" t="str">
            <v>unpop_1564</v>
          </cell>
          <cell r="D2248">
            <v>17103563</v>
          </cell>
          <cell r="F2248" t="str">
            <v>UN-WPP Rev. 2024</v>
          </cell>
        </row>
        <row r="2249">
          <cell r="A2249" t="str">
            <v>NPL</v>
          </cell>
          <cell r="B2249">
            <v>2015</v>
          </cell>
          <cell r="C2249" t="str">
            <v>unpop_15up</v>
          </cell>
          <cell r="D2249">
            <v>18629022.5</v>
          </cell>
          <cell r="F2249" t="str">
            <v>UN-WPP Rev. 2024</v>
          </cell>
        </row>
        <row r="2250">
          <cell r="A2250" t="str">
            <v>NPL</v>
          </cell>
          <cell r="B2250">
            <v>2015</v>
          </cell>
          <cell r="C2250" t="str">
            <v>unpop_65up</v>
          </cell>
          <cell r="D2250">
            <v>1525459.5</v>
          </cell>
          <cell r="F2250" t="str">
            <v>UN-WPP Rev. 2024</v>
          </cell>
        </row>
        <row r="2251">
          <cell r="A2251" t="str">
            <v>NPL</v>
          </cell>
          <cell r="B2251">
            <v>2015</v>
          </cell>
          <cell r="C2251" t="str">
            <v>unpop_total</v>
          </cell>
          <cell r="D2251">
            <v>27823629</v>
          </cell>
          <cell r="F2251" t="str">
            <v>UN-WPP Rev. 2024</v>
          </cell>
        </row>
        <row r="2252">
          <cell r="A2252" t="str">
            <v>NPL</v>
          </cell>
          <cell r="B2252">
            <v>2016</v>
          </cell>
          <cell r="C2252" t="str">
            <v>unpop_0014</v>
          </cell>
          <cell r="D2252">
            <v>9086050.5</v>
          </cell>
          <cell r="F2252" t="str">
            <v>UN-WPP Rev. 2024</v>
          </cell>
        </row>
        <row r="2253">
          <cell r="A2253" t="str">
            <v>NPL</v>
          </cell>
          <cell r="B2253">
            <v>2016</v>
          </cell>
          <cell r="C2253" t="str">
            <v>unpop_1564</v>
          </cell>
          <cell r="D2253">
            <v>17296685</v>
          </cell>
          <cell r="F2253" t="str">
            <v>UN-WPP Rev. 2024</v>
          </cell>
        </row>
        <row r="2254">
          <cell r="A2254" t="str">
            <v>NPL</v>
          </cell>
          <cell r="B2254">
            <v>2016</v>
          </cell>
          <cell r="C2254" t="str">
            <v>unpop_15up</v>
          </cell>
          <cell r="D2254">
            <v>18869411.5</v>
          </cell>
          <cell r="F2254" t="str">
            <v>UN-WPP Rev. 2024</v>
          </cell>
        </row>
        <row r="2255">
          <cell r="A2255" t="str">
            <v>NPL</v>
          </cell>
          <cell r="B2255">
            <v>2016</v>
          </cell>
          <cell r="C2255" t="str">
            <v>unpop_65up</v>
          </cell>
          <cell r="D2255">
            <v>1572726.5</v>
          </cell>
          <cell r="F2255" t="str">
            <v>UN-WPP Rev. 2024</v>
          </cell>
        </row>
        <row r="2256">
          <cell r="A2256" t="str">
            <v>NPL</v>
          </cell>
          <cell r="B2256">
            <v>2016</v>
          </cell>
          <cell r="C2256" t="str">
            <v>unpop_total</v>
          </cell>
          <cell r="D2256">
            <v>27955462</v>
          </cell>
          <cell r="F2256" t="str">
            <v>UN-WPP Rev. 2024</v>
          </cell>
        </row>
        <row r="2257">
          <cell r="A2257" t="str">
            <v>NPL</v>
          </cell>
          <cell r="B2257">
            <v>2017</v>
          </cell>
          <cell r="C2257" t="str">
            <v>unpop_0014</v>
          </cell>
          <cell r="D2257">
            <v>8980309</v>
          </cell>
          <cell r="F2257" t="str">
            <v>UN-WPP Rev. 2024</v>
          </cell>
        </row>
        <row r="2258">
          <cell r="A2258" t="str">
            <v>NPL</v>
          </cell>
          <cell r="B2258">
            <v>2017</v>
          </cell>
          <cell r="C2258" t="str">
            <v>unpop_1564</v>
          </cell>
          <cell r="D2258">
            <v>17409806</v>
          </cell>
          <cell r="F2258" t="str">
            <v>UN-WPP Rev. 2024</v>
          </cell>
        </row>
        <row r="2259">
          <cell r="A2259" t="str">
            <v>NPL</v>
          </cell>
          <cell r="B2259">
            <v>2017</v>
          </cell>
          <cell r="C2259" t="str">
            <v>unpop_15up</v>
          </cell>
          <cell r="D2259">
            <v>19030949</v>
          </cell>
          <cell r="F2259" t="str">
            <v>UN-WPP Rev. 2024</v>
          </cell>
        </row>
        <row r="2260">
          <cell r="A2260" t="str">
            <v>NPL</v>
          </cell>
          <cell r="B2260">
            <v>2017</v>
          </cell>
          <cell r="C2260" t="str">
            <v>unpop_65up</v>
          </cell>
          <cell r="D2260">
            <v>1621143</v>
          </cell>
          <cell r="F2260" t="str">
            <v>UN-WPP Rev. 2024</v>
          </cell>
        </row>
        <row r="2261">
          <cell r="A2261" t="str">
            <v>NPL</v>
          </cell>
          <cell r="B2261">
            <v>2017</v>
          </cell>
          <cell r="C2261" t="str">
            <v>unpop_total</v>
          </cell>
          <cell r="D2261">
            <v>28011258</v>
          </cell>
          <cell r="F2261" t="str">
            <v>UN-WPP Rev. 2024</v>
          </cell>
        </row>
        <row r="2262">
          <cell r="A2262" t="str">
            <v>NPL</v>
          </cell>
          <cell r="B2262">
            <v>2018</v>
          </cell>
          <cell r="C2262" t="str">
            <v>unpop_0014</v>
          </cell>
          <cell r="D2262">
            <v>8879657.5</v>
          </cell>
          <cell r="F2262" t="str">
            <v>UN-WPP Rev. 2024</v>
          </cell>
        </row>
        <row r="2263">
          <cell r="A2263" t="str">
            <v>NPL</v>
          </cell>
          <cell r="B2263">
            <v>2018</v>
          </cell>
          <cell r="C2263" t="str">
            <v>unpop_1564</v>
          </cell>
          <cell r="D2263">
            <v>17530204.5</v>
          </cell>
          <cell r="F2263" t="str">
            <v>UN-WPP Rev. 2024</v>
          </cell>
        </row>
        <row r="2264">
          <cell r="A2264" t="str">
            <v>NPL</v>
          </cell>
          <cell r="B2264">
            <v>2018</v>
          </cell>
          <cell r="C2264" t="str">
            <v>unpop_15up</v>
          </cell>
          <cell r="D2264">
            <v>19200031.5</v>
          </cell>
          <cell r="F2264" t="str">
            <v>UN-WPP Rev. 2024</v>
          </cell>
        </row>
        <row r="2265">
          <cell r="A2265" t="str">
            <v>NPL</v>
          </cell>
          <cell r="B2265">
            <v>2018</v>
          </cell>
          <cell r="C2265" t="str">
            <v>unpop_65up</v>
          </cell>
          <cell r="D2265">
            <v>1669827</v>
          </cell>
          <cell r="F2265" t="str">
            <v>UN-WPP Rev. 2024</v>
          </cell>
        </row>
        <row r="2266">
          <cell r="A2266" t="str">
            <v>NPL</v>
          </cell>
          <cell r="B2266">
            <v>2018</v>
          </cell>
          <cell r="C2266" t="str">
            <v>unpop_total</v>
          </cell>
          <cell r="D2266">
            <v>28079689</v>
          </cell>
          <cell r="F2266" t="str">
            <v>UN-WPP Rev. 2024</v>
          </cell>
        </row>
        <row r="2267">
          <cell r="A2267" t="str">
            <v>NPL</v>
          </cell>
          <cell r="B2267">
            <v>2019</v>
          </cell>
          <cell r="C2267" t="str">
            <v>unpop_0014</v>
          </cell>
          <cell r="D2267">
            <v>8791282.5</v>
          </cell>
          <cell r="F2267" t="str">
            <v>UN-WPP Rev. 2024</v>
          </cell>
        </row>
        <row r="2268">
          <cell r="A2268" t="str">
            <v>NPL</v>
          </cell>
          <cell r="B2268">
            <v>2019</v>
          </cell>
          <cell r="C2268" t="str">
            <v>unpop_1564</v>
          </cell>
          <cell r="D2268">
            <v>17904241.5</v>
          </cell>
          <cell r="F2268" t="str">
            <v>UN-WPP Rev. 2024</v>
          </cell>
        </row>
        <row r="2269">
          <cell r="A2269" t="str">
            <v>NPL</v>
          </cell>
          <cell r="B2269">
            <v>2019</v>
          </cell>
          <cell r="C2269" t="str">
            <v>unpop_15up</v>
          </cell>
          <cell r="D2269">
            <v>19622781</v>
          </cell>
          <cell r="F2269" t="str">
            <v>UN-WPP Rev. 2024</v>
          </cell>
        </row>
        <row r="2270">
          <cell r="A2270" t="str">
            <v>NPL</v>
          </cell>
          <cell r="B2270">
            <v>2019</v>
          </cell>
          <cell r="C2270" t="str">
            <v>unpop_65up</v>
          </cell>
          <cell r="D2270">
            <v>1718539.5</v>
          </cell>
          <cell r="F2270" t="str">
            <v>UN-WPP Rev. 2024</v>
          </cell>
        </row>
        <row r="2271">
          <cell r="A2271" t="str">
            <v>NPL</v>
          </cell>
          <cell r="B2271">
            <v>2019</v>
          </cell>
          <cell r="C2271" t="str">
            <v>unpop_total</v>
          </cell>
          <cell r="D2271">
            <v>28414063.5</v>
          </cell>
          <cell r="F2271" t="str">
            <v>UN-WPP Rev. 2024</v>
          </cell>
        </row>
        <row r="2272">
          <cell r="A2272" t="str">
            <v>NPL</v>
          </cell>
          <cell r="B2272">
            <v>2020</v>
          </cell>
          <cell r="C2272" t="str">
            <v>unpop_0014</v>
          </cell>
          <cell r="D2272">
            <v>8711984</v>
          </cell>
          <cell r="F2272" t="str">
            <v>UN-WPP Rev. 2024</v>
          </cell>
        </row>
        <row r="2273">
          <cell r="A2273" t="str">
            <v>NPL</v>
          </cell>
          <cell r="B2273">
            <v>2020</v>
          </cell>
          <cell r="C2273" t="str">
            <v>unpop_1564</v>
          </cell>
          <cell r="D2273">
            <v>18490953.5</v>
          </cell>
          <cell r="F2273" t="str">
            <v>UN-WPP Rev. 2024</v>
          </cell>
        </row>
        <row r="2274">
          <cell r="A2274" t="str">
            <v>NPL</v>
          </cell>
          <cell r="B2274">
            <v>2020</v>
          </cell>
          <cell r="C2274" t="str">
            <v>unpop_15up</v>
          </cell>
          <cell r="D2274">
            <v>20254590.5</v>
          </cell>
          <cell r="F2274" t="str">
            <v>UN-WPP Rev. 2024</v>
          </cell>
        </row>
        <row r="2275">
          <cell r="A2275" t="str">
            <v>NPL</v>
          </cell>
          <cell r="B2275">
            <v>2020</v>
          </cell>
          <cell r="C2275" t="str">
            <v>unpop_65up</v>
          </cell>
          <cell r="D2275">
            <v>1763637</v>
          </cell>
          <cell r="F2275" t="str">
            <v>UN-WPP Rev. 2024</v>
          </cell>
        </row>
        <row r="2276">
          <cell r="A2276" t="str">
            <v>NPL</v>
          </cell>
          <cell r="B2276">
            <v>2020</v>
          </cell>
          <cell r="C2276" t="str">
            <v>unpop_total</v>
          </cell>
          <cell r="D2276">
            <v>28966574.5</v>
          </cell>
          <cell r="F2276" t="str">
            <v>UN-WPP Rev. 2024</v>
          </cell>
        </row>
        <row r="2277">
          <cell r="A2277" t="str">
            <v>NPL</v>
          </cell>
          <cell r="B2277">
            <v>2021</v>
          </cell>
          <cell r="C2277" t="str">
            <v>unpop_0014</v>
          </cell>
          <cell r="D2277">
            <v>8654134.5</v>
          </cell>
          <cell r="F2277" t="str">
            <v>UN-WPP Rev. 2024</v>
          </cell>
        </row>
        <row r="2278">
          <cell r="A2278" t="str">
            <v>NPL</v>
          </cell>
          <cell r="B2278">
            <v>2021</v>
          </cell>
          <cell r="C2278" t="str">
            <v>unpop_1564</v>
          </cell>
          <cell r="D2278">
            <v>19019696</v>
          </cell>
          <cell r="F2278" t="str">
            <v>UN-WPP Rev. 2024</v>
          </cell>
        </row>
        <row r="2279">
          <cell r="A2279" t="str">
            <v>NPL</v>
          </cell>
          <cell r="B2279">
            <v>2021</v>
          </cell>
          <cell r="C2279" t="str">
            <v>unpop_15up</v>
          </cell>
          <cell r="D2279">
            <v>20820875.5</v>
          </cell>
          <cell r="F2279" t="str">
            <v>UN-WPP Rev. 2024</v>
          </cell>
        </row>
        <row r="2280">
          <cell r="A2280" t="str">
            <v>NPL</v>
          </cell>
          <cell r="B2280">
            <v>2021</v>
          </cell>
          <cell r="C2280" t="str">
            <v>unpop_65up</v>
          </cell>
          <cell r="D2280">
            <v>1801179.5</v>
          </cell>
          <cell r="F2280" t="str">
            <v>UN-WPP Rev. 2024</v>
          </cell>
        </row>
        <row r="2281">
          <cell r="A2281" t="str">
            <v>NPL</v>
          </cell>
          <cell r="B2281">
            <v>2021</v>
          </cell>
          <cell r="C2281" t="str">
            <v>unpop_total</v>
          </cell>
          <cell r="D2281">
            <v>29475010</v>
          </cell>
          <cell r="F2281" t="str">
            <v>UN-WPP Rev. 2024</v>
          </cell>
        </row>
        <row r="2282">
          <cell r="A2282" t="str">
            <v>NPL</v>
          </cell>
          <cell r="B2282">
            <v>2022</v>
          </cell>
          <cell r="C2282" t="str">
            <v>unpop_0014</v>
          </cell>
          <cell r="D2282">
            <v>8598828</v>
          </cell>
          <cell r="F2282" t="str">
            <v>UN-WPP Rev. 2024</v>
          </cell>
        </row>
        <row r="2283">
          <cell r="A2283" t="str">
            <v>NPL</v>
          </cell>
          <cell r="B2283">
            <v>2022</v>
          </cell>
          <cell r="C2283" t="str">
            <v>unpop_1564</v>
          </cell>
          <cell r="D2283">
            <v>19274988</v>
          </cell>
          <cell r="F2283" t="str">
            <v>UN-WPP Rev. 2024</v>
          </cell>
        </row>
        <row r="2284">
          <cell r="A2284" t="str">
            <v>NPL</v>
          </cell>
          <cell r="B2284">
            <v>2022</v>
          </cell>
          <cell r="C2284" t="str">
            <v>unpop_15up</v>
          </cell>
          <cell r="D2284">
            <v>21116608</v>
          </cell>
          <cell r="F2284" t="str">
            <v>UN-WPP Rev. 2024</v>
          </cell>
        </row>
        <row r="2285">
          <cell r="A2285" t="str">
            <v>NPL</v>
          </cell>
          <cell r="B2285">
            <v>2022</v>
          </cell>
          <cell r="C2285" t="str">
            <v>unpop_65up</v>
          </cell>
          <cell r="D2285">
            <v>1841620</v>
          </cell>
          <cell r="F2285" t="str">
            <v>UN-WPP Rev. 2024</v>
          </cell>
        </row>
        <row r="2286">
          <cell r="A2286" t="str">
            <v>NPL</v>
          </cell>
          <cell r="B2286">
            <v>2022</v>
          </cell>
          <cell r="C2286" t="str">
            <v>unpop_total</v>
          </cell>
          <cell r="D2286">
            <v>29715436</v>
          </cell>
          <cell r="F2286" t="str">
            <v>UN-WPP Rev. 2024</v>
          </cell>
        </row>
        <row r="2287">
          <cell r="A2287" t="str">
            <v>NPL</v>
          </cell>
          <cell r="B2287">
            <v>2023</v>
          </cell>
          <cell r="C2287" t="str">
            <v>unpop_0014</v>
          </cell>
          <cell r="D2287">
            <v>8526401</v>
          </cell>
          <cell r="F2287" t="str">
            <v>UN-WPP Rev. 2024</v>
          </cell>
        </row>
        <row r="2288">
          <cell r="A2288" t="str">
            <v>NPL</v>
          </cell>
          <cell r="B2288">
            <v>2023</v>
          </cell>
          <cell r="C2288" t="str">
            <v>unpop_1564</v>
          </cell>
          <cell r="D2288">
            <v>19279461.5</v>
          </cell>
          <cell r="F2288" t="str">
            <v>UN-WPP Rev. 2024</v>
          </cell>
        </row>
        <row r="2289">
          <cell r="A2289" t="str">
            <v>NPL</v>
          </cell>
          <cell r="B2289">
            <v>2023</v>
          </cell>
          <cell r="C2289" t="str">
            <v>unpop_15up</v>
          </cell>
          <cell r="D2289">
            <v>21168213.5</v>
          </cell>
          <cell r="F2289" t="str">
            <v>UN-WPP Rev. 2024</v>
          </cell>
        </row>
        <row r="2290">
          <cell r="A2290" t="str">
            <v>NPL</v>
          </cell>
          <cell r="B2290">
            <v>2023</v>
          </cell>
          <cell r="C2290" t="str">
            <v>unpop_65up</v>
          </cell>
          <cell r="D2290">
            <v>1888752</v>
          </cell>
          <cell r="F2290" t="str">
            <v>UN-WPP Rev. 2024</v>
          </cell>
        </row>
        <row r="2291">
          <cell r="A2291" t="str">
            <v>NPL</v>
          </cell>
          <cell r="B2291">
            <v>2023</v>
          </cell>
          <cell r="C2291" t="str">
            <v>unpop_total</v>
          </cell>
          <cell r="D2291">
            <v>29694614.5</v>
          </cell>
          <cell r="F2291" t="str">
            <v>UN-WPP Rev. 2024</v>
          </cell>
        </row>
        <row r="2292">
          <cell r="A2292" t="str">
            <v>NPL</v>
          </cell>
          <cell r="B2292">
            <v>2024</v>
          </cell>
          <cell r="C2292" t="str">
            <v>unpop_0014</v>
          </cell>
          <cell r="D2292">
            <v>8429548.5</v>
          </cell>
          <cell r="F2292" t="str">
            <v>UN-WPP Rev. 2024</v>
          </cell>
        </row>
        <row r="2293">
          <cell r="A2293" t="str">
            <v>NPL</v>
          </cell>
          <cell r="B2293">
            <v>2024</v>
          </cell>
          <cell r="C2293" t="str">
            <v>unpop_1564</v>
          </cell>
          <cell r="D2293">
            <v>19293162</v>
          </cell>
          <cell r="F2293" t="str">
            <v>UN-WPP Rev. 2024</v>
          </cell>
        </row>
        <row r="2294">
          <cell r="A2294" t="str">
            <v>NPL</v>
          </cell>
          <cell r="B2294">
            <v>2024</v>
          </cell>
          <cell r="C2294" t="str">
            <v>unpop_15up</v>
          </cell>
          <cell r="D2294">
            <v>21221506</v>
          </cell>
          <cell r="F2294" t="str">
            <v>UN-WPP Rev. 2024</v>
          </cell>
        </row>
        <row r="2295">
          <cell r="A2295" t="str">
            <v>NPL</v>
          </cell>
          <cell r="B2295">
            <v>2024</v>
          </cell>
          <cell r="C2295" t="str">
            <v>unpop_65up</v>
          </cell>
          <cell r="D2295">
            <v>1928344</v>
          </cell>
          <cell r="F2295" t="str">
            <v>UN-WPP Rev. 2024</v>
          </cell>
        </row>
        <row r="2296">
          <cell r="A2296" t="str">
            <v>NPL</v>
          </cell>
          <cell r="B2296">
            <v>2024</v>
          </cell>
          <cell r="C2296" t="str">
            <v>unpop_total</v>
          </cell>
          <cell r="D2296">
            <v>29651054.5</v>
          </cell>
          <cell r="F2296" t="str">
            <v>UN-WPP Rev. 2024</v>
          </cell>
        </row>
        <row r="2297">
          <cell r="A2297" t="str">
            <v>NPL</v>
          </cell>
          <cell r="B2297">
            <v>2025</v>
          </cell>
          <cell r="C2297" t="str">
            <v>unpop_0014</v>
          </cell>
          <cell r="D2297">
            <v>8308466</v>
          </cell>
          <cell r="F2297" t="str">
            <v>UN-WPP Rev. 2024</v>
          </cell>
        </row>
        <row r="2298">
          <cell r="A2298" t="str">
            <v>NPL</v>
          </cell>
          <cell r="B2298">
            <v>2025</v>
          </cell>
          <cell r="C2298" t="str">
            <v>unpop_1564</v>
          </cell>
          <cell r="D2298">
            <v>19347691.5</v>
          </cell>
          <cell r="F2298" t="str">
            <v>UN-WPP Rev. 2024</v>
          </cell>
        </row>
        <row r="2299">
          <cell r="A2299" t="str">
            <v>NPL</v>
          </cell>
          <cell r="B2299">
            <v>2025</v>
          </cell>
          <cell r="C2299" t="str">
            <v>unpop_15up</v>
          </cell>
          <cell r="D2299">
            <v>21309651.5</v>
          </cell>
          <cell r="F2299" t="str">
            <v>UN-WPP Rev. 2024</v>
          </cell>
        </row>
        <row r="2300">
          <cell r="A2300" t="str">
            <v>NPL</v>
          </cell>
          <cell r="B2300">
            <v>2025</v>
          </cell>
          <cell r="C2300" t="str">
            <v>unpop_65up</v>
          </cell>
          <cell r="D2300">
            <v>1961960</v>
          </cell>
          <cell r="F2300" t="str">
            <v>UN-WPP Rev. 2024</v>
          </cell>
        </row>
        <row r="2301">
          <cell r="A2301" t="str">
            <v>NPL</v>
          </cell>
          <cell r="B2301">
            <v>2025</v>
          </cell>
          <cell r="C2301" t="str">
            <v>unpop_total</v>
          </cell>
          <cell r="D2301">
            <v>29618117.5</v>
          </cell>
          <cell r="F2301" t="str">
            <v>UN-WPP Rev. 2024</v>
          </cell>
        </row>
        <row r="2302">
          <cell r="A2302" t="str">
            <v>NPL</v>
          </cell>
          <cell r="B2302">
            <v>2026</v>
          </cell>
          <cell r="C2302" t="str">
            <v>unpop_0014</v>
          </cell>
          <cell r="D2302">
            <v>8197785.5</v>
          </cell>
          <cell r="F2302" t="str">
            <v>UN-WPP Rev. 2024</v>
          </cell>
        </row>
        <row r="2303">
          <cell r="A2303" t="str">
            <v>NPL</v>
          </cell>
          <cell r="B2303">
            <v>2026</v>
          </cell>
          <cell r="C2303" t="str">
            <v>unpop_1564</v>
          </cell>
          <cell r="D2303">
            <v>19433686.5</v>
          </cell>
          <cell r="F2303" t="str">
            <v>UN-WPP Rev. 2024</v>
          </cell>
        </row>
        <row r="2304">
          <cell r="A2304" t="str">
            <v>NPL</v>
          </cell>
          <cell r="B2304">
            <v>2026</v>
          </cell>
          <cell r="C2304" t="str">
            <v>unpop_15up</v>
          </cell>
          <cell r="D2304">
            <v>21431624</v>
          </cell>
          <cell r="F2304" t="str">
            <v>UN-WPP Rev. 2024</v>
          </cell>
        </row>
        <row r="2305">
          <cell r="A2305" t="str">
            <v>NPL</v>
          </cell>
          <cell r="B2305">
            <v>2026</v>
          </cell>
          <cell r="C2305" t="str">
            <v>unpop_65up</v>
          </cell>
          <cell r="D2305">
            <v>1997937.5</v>
          </cell>
          <cell r="F2305" t="str">
            <v>UN-WPP Rev. 2024</v>
          </cell>
        </row>
        <row r="2306">
          <cell r="A2306" t="str">
            <v>NPL</v>
          </cell>
          <cell r="B2306">
            <v>2026</v>
          </cell>
          <cell r="C2306" t="str">
            <v>unpop_total</v>
          </cell>
          <cell r="D2306">
            <v>29629409.5</v>
          </cell>
          <cell r="F2306" t="str">
            <v>UN-WPP Rev. 2024</v>
          </cell>
        </row>
        <row r="2307">
          <cell r="A2307" t="str">
            <v>NPL</v>
          </cell>
          <cell r="B2307">
            <v>2027</v>
          </cell>
          <cell r="C2307" t="str">
            <v>unpop_0014</v>
          </cell>
          <cell r="D2307">
            <v>8105296.5</v>
          </cell>
          <cell r="F2307" t="str">
            <v>UN-WPP Rev. 2024</v>
          </cell>
        </row>
        <row r="2308">
          <cell r="A2308" t="str">
            <v>NPL</v>
          </cell>
          <cell r="B2308">
            <v>2027</v>
          </cell>
          <cell r="C2308" t="str">
            <v>unpop_1564</v>
          </cell>
          <cell r="D2308">
            <v>19585284.5</v>
          </cell>
          <cell r="F2308" t="str">
            <v>UN-WPP Rev. 2024</v>
          </cell>
        </row>
        <row r="2309">
          <cell r="A2309" t="str">
            <v>NPL</v>
          </cell>
          <cell r="B2309">
            <v>2027</v>
          </cell>
          <cell r="C2309" t="str">
            <v>unpop_15up</v>
          </cell>
          <cell r="D2309">
            <v>21621866</v>
          </cell>
          <cell r="F2309" t="str">
            <v>UN-WPP Rev. 2024</v>
          </cell>
        </row>
        <row r="2310">
          <cell r="A2310" t="str">
            <v>NPL</v>
          </cell>
          <cell r="B2310">
            <v>2027</v>
          </cell>
          <cell r="C2310" t="str">
            <v>unpop_65up</v>
          </cell>
          <cell r="D2310">
            <v>2036581.5</v>
          </cell>
          <cell r="F2310" t="str">
            <v>UN-WPP Rev. 2024</v>
          </cell>
        </row>
        <row r="2311">
          <cell r="A2311" t="str">
            <v>NPL</v>
          </cell>
          <cell r="B2311">
            <v>2027</v>
          </cell>
          <cell r="C2311" t="str">
            <v>unpop_total</v>
          </cell>
          <cell r="D2311">
            <v>29727162.5</v>
          </cell>
          <cell r="F2311" t="str">
            <v>UN-WPP Rev. 2024</v>
          </cell>
        </row>
        <row r="2312">
          <cell r="A2312" t="str">
            <v>NPL</v>
          </cell>
          <cell r="B2312">
            <v>2028</v>
          </cell>
          <cell r="C2312" t="str">
            <v>unpop_0014</v>
          </cell>
          <cell r="D2312">
            <v>8037404</v>
          </cell>
          <cell r="F2312" t="str">
            <v>UN-WPP Rev. 2024</v>
          </cell>
        </row>
        <row r="2313">
          <cell r="A2313" t="str">
            <v>NPL</v>
          </cell>
          <cell r="B2313">
            <v>2028</v>
          </cell>
          <cell r="C2313" t="str">
            <v>unpop_1564</v>
          </cell>
          <cell r="D2313">
            <v>19831257.5</v>
          </cell>
          <cell r="F2313" t="str">
            <v>UN-WPP Rev. 2024</v>
          </cell>
        </row>
        <row r="2314">
          <cell r="A2314" t="str">
            <v>NPL</v>
          </cell>
          <cell r="B2314">
            <v>2028</v>
          </cell>
          <cell r="C2314" t="str">
            <v>unpop_15up</v>
          </cell>
          <cell r="D2314">
            <v>21910180.5</v>
          </cell>
          <cell r="F2314" t="str">
            <v>UN-WPP Rev. 2024</v>
          </cell>
        </row>
        <row r="2315">
          <cell r="A2315" t="str">
            <v>NPL</v>
          </cell>
          <cell r="B2315">
            <v>2028</v>
          </cell>
          <cell r="C2315" t="str">
            <v>unpop_65up</v>
          </cell>
          <cell r="D2315">
            <v>2078923</v>
          </cell>
          <cell r="F2315" t="str">
            <v>UN-WPP Rev. 2024</v>
          </cell>
        </row>
        <row r="2316">
          <cell r="A2316" t="str">
            <v>NPL</v>
          </cell>
          <cell r="B2316">
            <v>2028</v>
          </cell>
          <cell r="C2316" t="str">
            <v>unpop_total</v>
          </cell>
          <cell r="D2316">
            <v>29947584.5</v>
          </cell>
          <cell r="F2316" t="str">
            <v>UN-WPP Rev. 2024</v>
          </cell>
        </row>
        <row r="2317">
          <cell r="A2317" t="str">
            <v>NPL</v>
          </cell>
          <cell r="B2317">
            <v>2029</v>
          </cell>
          <cell r="C2317" t="str">
            <v>unpop_0014</v>
          </cell>
          <cell r="D2317">
            <v>7983523.5</v>
          </cell>
          <cell r="F2317" t="str">
            <v>UN-WPP Rev. 2024</v>
          </cell>
        </row>
        <row r="2318">
          <cell r="A2318" t="str">
            <v>NPL</v>
          </cell>
          <cell r="B2318">
            <v>2029</v>
          </cell>
          <cell r="C2318" t="str">
            <v>unpop_1564</v>
          </cell>
          <cell r="D2318">
            <v>20124706.5</v>
          </cell>
          <cell r="F2318" t="str">
            <v>UN-WPP Rev. 2024</v>
          </cell>
        </row>
        <row r="2319">
          <cell r="A2319" t="str">
            <v>NPL</v>
          </cell>
          <cell r="B2319">
            <v>2029</v>
          </cell>
          <cell r="C2319" t="str">
            <v>unpop_15up</v>
          </cell>
          <cell r="D2319">
            <v>22248588.5</v>
          </cell>
          <cell r="F2319" t="str">
            <v>UN-WPP Rev. 2024</v>
          </cell>
        </row>
        <row r="2320">
          <cell r="A2320" t="str">
            <v>NPL</v>
          </cell>
          <cell r="B2320">
            <v>2029</v>
          </cell>
          <cell r="C2320" t="str">
            <v>unpop_65up</v>
          </cell>
          <cell r="D2320">
            <v>2123882</v>
          </cell>
          <cell r="F2320" t="str">
            <v>UN-WPP Rev. 2024</v>
          </cell>
        </row>
        <row r="2321">
          <cell r="A2321" t="str">
            <v>NPL</v>
          </cell>
          <cell r="B2321">
            <v>2029</v>
          </cell>
          <cell r="C2321" t="str">
            <v>unpop_total</v>
          </cell>
          <cell r="D2321">
            <v>30232112</v>
          </cell>
          <cell r="F2321" t="str">
            <v>UN-WPP Rev. 2024</v>
          </cell>
        </row>
        <row r="2322">
          <cell r="A2322" t="str">
            <v>NPL</v>
          </cell>
          <cell r="B2322">
            <v>2030</v>
          </cell>
          <cell r="C2322" t="str">
            <v>unpop_0014</v>
          </cell>
          <cell r="D2322">
            <v>7927321</v>
          </cell>
          <cell r="F2322" t="str">
            <v>UN-WPP Rev. 2024</v>
          </cell>
        </row>
        <row r="2323">
          <cell r="A2323" t="str">
            <v>NPL</v>
          </cell>
          <cell r="B2323">
            <v>2030</v>
          </cell>
          <cell r="C2323" t="str">
            <v>unpop_1564</v>
          </cell>
          <cell r="D2323">
            <v>20412721.5</v>
          </cell>
          <cell r="F2323" t="str">
            <v>UN-WPP Rev. 2024</v>
          </cell>
        </row>
        <row r="2324">
          <cell r="A2324" t="str">
            <v>NPL</v>
          </cell>
          <cell r="B2324">
            <v>2030</v>
          </cell>
          <cell r="C2324" t="str">
            <v>unpop_15up</v>
          </cell>
          <cell r="D2324">
            <v>22582674.5</v>
          </cell>
          <cell r="F2324" t="str">
            <v>UN-WPP Rev. 2024</v>
          </cell>
        </row>
        <row r="2325">
          <cell r="A2325" t="str">
            <v>NPL</v>
          </cell>
          <cell r="B2325">
            <v>2030</v>
          </cell>
          <cell r="C2325" t="str">
            <v>unpop_65up</v>
          </cell>
          <cell r="D2325">
            <v>2169953</v>
          </cell>
          <cell r="F2325" t="str">
            <v>UN-WPP Rev. 2024</v>
          </cell>
        </row>
        <row r="2326">
          <cell r="A2326" t="str">
            <v>NPL</v>
          </cell>
          <cell r="B2326">
            <v>2030</v>
          </cell>
          <cell r="C2326" t="str">
            <v>unpop_total</v>
          </cell>
          <cell r="D2326">
            <v>30509995.5</v>
          </cell>
          <cell r="F2326" t="str">
            <v>UN-WPP Rev. 2024</v>
          </cell>
        </row>
        <row r="2327">
          <cell r="A2327" t="str">
            <v>PAK</v>
          </cell>
          <cell r="B2327">
            <v>2000</v>
          </cell>
          <cell r="C2327" t="str">
            <v>unpop_0014</v>
          </cell>
          <cell r="D2327">
            <v>67033314</v>
          </cell>
          <cell r="F2327" t="str">
            <v>UN-WPP Rev. 2024</v>
          </cell>
        </row>
        <row r="2328">
          <cell r="A2328" t="str">
            <v>PAK</v>
          </cell>
          <cell r="B2328">
            <v>2000</v>
          </cell>
          <cell r="C2328" t="str">
            <v>unpop_1564</v>
          </cell>
          <cell r="D2328">
            <v>82458583.5</v>
          </cell>
          <cell r="F2328" t="str">
            <v>UN-WPP Rev. 2024</v>
          </cell>
        </row>
        <row r="2329">
          <cell r="A2329" t="str">
            <v>PAK</v>
          </cell>
          <cell r="B2329">
            <v>2000</v>
          </cell>
          <cell r="C2329" t="str">
            <v>unpop_15up</v>
          </cell>
          <cell r="D2329">
            <v>87845812.5</v>
          </cell>
          <cell r="F2329" t="str">
            <v>UN-WPP Rev. 2024</v>
          </cell>
        </row>
        <row r="2330">
          <cell r="A2330" t="str">
            <v>PAK</v>
          </cell>
          <cell r="B2330">
            <v>2000</v>
          </cell>
          <cell r="C2330" t="str">
            <v>unpop_65up</v>
          </cell>
          <cell r="D2330">
            <v>5387229</v>
          </cell>
          <cell r="F2330" t="str">
            <v>UN-WPP Rev. 2024</v>
          </cell>
        </row>
        <row r="2331">
          <cell r="A2331" t="str">
            <v>PAK</v>
          </cell>
          <cell r="B2331">
            <v>2000</v>
          </cell>
          <cell r="C2331" t="str">
            <v>unpop_total</v>
          </cell>
          <cell r="D2331">
            <v>154879126.5</v>
          </cell>
          <cell r="F2331" t="str">
            <v>UN-WPP Rev. 2024</v>
          </cell>
        </row>
        <row r="2332">
          <cell r="A2332" t="str">
            <v>PAK</v>
          </cell>
          <cell r="B2332">
            <v>2001</v>
          </cell>
          <cell r="C2332" t="str">
            <v>unpop_0014</v>
          </cell>
          <cell r="D2332">
            <v>68351238.5</v>
          </cell>
          <cell r="F2332" t="str">
            <v>UN-WPP Rev. 2024</v>
          </cell>
        </row>
        <row r="2333">
          <cell r="A2333" t="str">
            <v>PAK</v>
          </cell>
          <cell r="B2333">
            <v>2001</v>
          </cell>
          <cell r="C2333" t="str">
            <v>unpop_1564</v>
          </cell>
          <cell r="D2333">
            <v>85364540.5</v>
          </cell>
          <cell r="F2333" t="str">
            <v>UN-WPP Rev. 2024</v>
          </cell>
        </row>
        <row r="2334">
          <cell r="A2334" t="str">
            <v>PAK</v>
          </cell>
          <cell r="B2334">
            <v>2001</v>
          </cell>
          <cell r="C2334" t="str">
            <v>unpop_15up</v>
          </cell>
          <cell r="D2334">
            <v>90919668.5</v>
          </cell>
          <cell r="F2334" t="str">
            <v>UN-WPP Rev. 2024</v>
          </cell>
        </row>
        <row r="2335">
          <cell r="A2335" t="str">
            <v>PAK</v>
          </cell>
          <cell r="B2335">
            <v>2001</v>
          </cell>
          <cell r="C2335" t="str">
            <v>unpop_65up</v>
          </cell>
          <cell r="D2335">
            <v>5555128</v>
          </cell>
          <cell r="F2335" t="str">
            <v>UN-WPP Rev. 2024</v>
          </cell>
        </row>
        <row r="2336">
          <cell r="A2336" t="str">
            <v>PAK</v>
          </cell>
          <cell r="B2336">
            <v>2001</v>
          </cell>
          <cell r="C2336" t="str">
            <v>unpop_total</v>
          </cell>
          <cell r="D2336">
            <v>159270907</v>
          </cell>
          <cell r="F2336" t="str">
            <v>UN-WPP Rev. 2024</v>
          </cell>
        </row>
        <row r="2337">
          <cell r="A2337" t="str">
            <v>PAK</v>
          </cell>
          <cell r="B2337">
            <v>2002</v>
          </cell>
          <cell r="C2337" t="str">
            <v>unpop_0014</v>
          </cell>
          <cell r="D2337">
            <v>69532827.5</v>
          </cell>
          <cell r="F2337" t="str">
            <v>UN-WPP Rev. 2024</v>
          </cell>
        </row>
        <row r="2338">
          <cell r="A2338" t="str">
            <v>PAK</v>
          </cell>
          <cell r="B2338">
            <v>2002</v>
          </cell>
          <cell r="C2338" t="str">
            <v>unpop_1564</v>
          </cell>
          <cell r="D2338">
            <v>87969274.5</v>
          </cell>
          <cell r="F2338" t="str">
            <v>UN-WPP Rev. 2024</v>
          </cell>
        </row>
        <row r="2339">
          <cell r="A2339" t="str">
            <v>PAK</v>
          </cell>
          <cell r="B2339">
            <v>2002</v>
          </cell>
          <cell r="C2339" t="str">
            <v>unpop_15up</v>
          </cell>
          <cell r="D2339">
            <v>93689722</v>
          </cell>
          <cell r="F2339" t="str">
            <v>UN-WPP Rev. 2024</v>
          </cell>
        </row>
        <row r="2340">
          <cell r="A2340" t="str">
            <v>PAK</v>
          </cell>
          <cell r="B2340">
            <v>2002</v>
          </cell>
          <cell r="C2340" t="str">
            <v>unpop_65up</v>
          </cell>
          <cell r="D2340">
            <v>5720447.5</v>
          </cell>
          <cell r="F2340" t="str">
            <v>UN-WPP Rev. 2024</v>
          </cell>
        </row>
        <row r="2341">
          <cell r="A2341" t="str">
            <v>PAK</v>
          </cell>
          <cell r="B2341">
            <v>2002</v>
          </cell>
          <cell r="C2341" t="str">
            <v>unpop_total</v>
          </cell>
          <cell r="D2341">
            <v>163222549.5</v>
          </cell>
          <cell r="F2341" t="str">
            <v>UN-WPP Rev. 2024</v>
          </cell>
        </row>
        <row r="2342">
          <cell r="A2342" t="str">
            <v>PAK</v>
          </cell>
          <cell r="B2342">
            <v>2003</v>
          </cell>
          <cell r="C2342" t="str">
            <v>unpop_0014</v>
          </cell>
          <cell r="D2342">
            <v>70615983</v>
          </cell>
          <cell r="F2342" t="str">
            <v>UN-WPP Rev. 2024</v>
          </cell>
        </row>
        <row r="2343">
          <cell r="A2343" t="str">
            <v>PAK</v>
          </cell>
          <cell r="B2343">
            <v>2003</v>
          </cell>
          <cell r="C2343" t="str">
            <v>unpop_1564</v>
          </cell>
          <cell r="D2343">
            <v>90604082.5</v>
          </cell>
          <cell r="F2343" t="str">
            <v>UN-WPP Rev. 2024</v>
          </cell>
        </row>
        <row r="2344">
          <cell r="A2344" t="str">
            <v>PAK</v>
          </cell>
          <cell r="B2344">
            <v>2003</v>
          </cell>
          <cell r="C2344" t="str">
            <v>unpop_15up</v>
          </cell>
          <cell r="D2344">
            <v>96494265</v>
          </cell>
          <cell r="F2344" t="str">
            <v>UN-WPP Rev. 2024</v>
          </cell>
        </row>
        <row r="2345">
          <cell r="A2345" t="str">
            <v>PAK</v>
          </cell>
          <cell r="B2345">
            <v>2003</v>
          </cell>
          <cell r="C2345" t="str">
            <v>unpop_65up</v>
          </cell>
          <cell r="D2345">
            <v>5890182.5</v>
          </cell>
          <cell r="F2345" t="str">
            <v>UN-WPP Rev. 2024</v>
          </cell>
        </row>
        <row r="2346">
          <cell r="A2346" t="str">
            <v>PAK</v>
          </cell>
          <cell r="B2346">
            <v>2003</v>
          </cell>
          <cell r="C2346" t="str">
            <v>unpop_total</v>
          </cell>
          <cell r="D2346">
            <v>167110248</v>
          </cell>
          <cell r="F2346" t="str">
            <v>UN-WPP Rev. 2024</v>
          </cell>
        </row>
        <row r="2347">
          <cell r="A2347" t="str">
            <v>PAK</v>
          </cell>
          <cell r="B2347">
            <v>2004</v>
          </cell>
          <cell r="C2347" t="str">
            <v>unpop_0014</v>
          </cell>
          <cell r="D2347">
            <v>71617551.5</v>
          </cell>
          <cell r="F2347" t="str">
            <v>UN-WPP Rev. 2024</v>
          </cell>
        </row>
        <row r="2348">
          <cell r="A2348" t="str">
            <v>PAK</v>
          </cell>
          <cell r="B2348">
            <v>2004</v>
          </cell>
          <cell r="C2348" t="str">
            <v>unpop_1564</v>
          </cell>
          <cell r="D2348">
            <v>93596982</v>
          </cell>
          <cell r="F2348" t="str">
            <v>UN-WPP Rev. 2024</v>
          </cell>
        </row>
        <row r="2349">
          <cell r="A2349" t="str">
            <v>PAK</v>
          </cell>
          <cell r="B2349">
            <v>2004</v>
          </cell>
          <cell r="C2349" t="str">
            <v>unpop_15up</v>
          </cell>
          <cell r="D2349">
            <v>99668448.5</v>
          </cell>
          <cell r="F2349" t="str">
            <v>UN-WPP Rev. 2024</v>
          </cell>
        </row>
        <row r="2350">
          <cell r="A2350" t="str">
            <v>PAK</v>
          </cell>
          <cell r="B2350">
            <v>2004</v>
          </cell>
          <cell r="C2350" t="str">
            <v>unpop_65up</v>
          </cell>
          <cell r="D2350">
            <v>6071466.5</v>
          </cell>
          <cell r="F2350" t="str">
            <v>UN-WPP Rev. 2024</v>
          </cell>
        </row>
        <row r="2351">
          <cell r="A2351" t="str">
            <v>PAK</v>
          </cell>
          <cell r="B2351">
            <v>2004</v>
          </cell>
          <cell r="C2351" t="str">
            <v>unpop_total</v>
          </cell>
          <cell r="D2351">
            <v>171286000</v>
          </cell>
          <cell r="F2351" t="str">
            <v>UN-WPP Rev. 2024</v>
          </cell>
        </row>
        <row r="2352">
          <cell r="A2352" t="str">
            <v>PAK</v>
          </cell>
          <cell r="B2352">
            <v>2005</v>
          </cell>
          <cell r="C2352" t="str">
            <v>unpop_0014</v>
          </cell>
          <cell r="D2352">
            <v>72526743.5</v>
          </cell>
          <cell r="F2352" t="str">
            <v>UN-WPP Rev. 2024</v>
          </cell>
        </row>
        <row r="2353">
          <cell r="A2353" t="str">
            <v>PAK</v>
          </cell>
          <cell r="B2353">
            <v>2005</v>
          </cell>
          <cell r="C2353" t="str">
            <v>unpop_1564</v>
          </cell>
          <cell r="D2353">
            <v>96669010.5</v>
          </cell>
          <cell r="F2353" t="str">
            <v>UN-WPP Rev. 2024</v>
          </cell>
        </row>
        <row r="2354">
          <cell r="A2354" t="str">
            <v>PAK</v>
          </cell>
          <cell r="B2354">
            <v>2005</v>
          </cell>
          <cell r="C2354" t="str">
            <v>unpop_15up</v>
          </cell>
          <cell r="D2354">
            <v>102926469</v>
          </cell>
          <cell r="F2354" t="str">
            <v>UN-WPP Rev. 2024</v>
          </cell>
        </row>
        <row r="2355">
          <cell r="A2355" t="str">
            <v>PAK</v>
          </cell>
          <cell r="B2355">
            <v>2005</v>
          </cell>
          <cell r="C2355" t="str">
            <v>unpop_65up</v>
          </cell>
          <cell r="D2355">
            <v>6257458.5</v>
          </cell>
          <cell r="F2355" t="str">
            <v>UN-WPP Rev. 2024</v>
          </cell>
        </row>
        <row r="2356">
          <cell r="A2356" t="str">
            <v>PAK</v>
          </cell>
          <cell r="B2356">
            <v>2005</v>
          </cell>
          <cell r="C2356" t="str">
            <v>unpop_total</v>
          </cell>
          <cell r="D2356">
            <v>175453212.5</v>
          </cell>
          <cell r="F2356" t="str">
            <v>UN-WPP Rev. 2024</v>
          </cell>
        </row>
        <row r="2357">
          <cell r="A2357" t="str">
            <v>PAK</v>
          </cell>
          <cell r="B2357">
            <v>2006</v>
          </cell>
          <cell r="C2357" t="str">
            <v>unpop_0014</v>
          </cell>
          <cell r="D2357">
            <v>73463183</v>
          </cell>
          <cell r="F2357" t="str">
            <v>UN-WPP Rev. 2024</v>
          </cell>
        </row>
        <row r="2358">
          <cell r="A2358" t="str">
            <v>PAK</v>
          </cell>
          <cell r="B2358">
            <v>2006</v>
          </cell>
          <cell r="C2358" t="str">
            <v>unpop_1564</v>
          </cell>
          <cell r="D2358">
            <v>99768276</v>
          </cell>
          <cell r="F2358" t="str">
            <v>UN-WPP Rev. 2024</v>
          </cell>
        </row>
        <row r="2359">
          <cell r="A2359" t="str">
            <v>PAK</v>
          </cell>
          <cell r="B2359">
            <v>2006</v>
          </cell>
          <cell r="C2359" t="str">
            <v>unpop_15up</v>
          </cell>
          <cell r="D2359">
            <v>106219507</v>
          </cell>
          <cell r="F2359" t="str">
            <v>UN-WPP Rev. 2024</v>
          </cell>
        </row>
        <row r="2360">
          <cell r="A2360" t="str">
            <v>PAK</v>
          </cell>
          <cell r="B2360">
            <v>2006</v>
          </cell>
          <cell r="C2360" t="str">
            <v>unpop_65up</v>
          </cell>
          <cell r="D2360">
            <v>6451231</v>
          </cell>
          <cell r="F2360" t="str">
            <v>UN-WPP Rev. 2024</v>
          </cell>
        </row>
        <row r="2361">
          <cell r="A2361" t="str">
            <v>PAK</v>
          </cell>
          <cell r="B2361">
            <v>2006</v>
          </cell>
          <cell r="C2361" t="str">
            <v>unpop_total</v>
          </cell>
          <cell r="D2361">
            <v>179682690</v>
          </cell>
          <cell r="F2361" t="str">
            <v>UN-WPP Rev. 2024</v>
          </cell>
        </row>
        <row r="2362">
          <cell r="A2362" t="str">
            <v>PAK</v>
          </cell>
          <cell r="B2362">
            <v>2007</v>
          </cell>
          <cell r="C2362" t="str">
            <v>unpop_0014</v>
          </cell>
          <cell r="D2362">
            <v>74538900.5</v>
          </cell>
          <cell r="F2362" t="str">
            <v>UN-WPP Rev. 2024</v>
          </cell>
        </row>
        <row r="2363">
          <cell r="A2363" t="str">
            <v>PAK</v>
          </cell>
          <cell r="B2363">
            <v>2007</v>
          </cell>
          <cell r="C2363" t="str">
            <v>unpop_1564</v>
          </cell>
          <cell r="D2363">
            <v>103290202.5</v>
          </cell>
          <cell r="F2363" t="str">
            <v>UN-WPP Rev. 2024</v>
          </cell>
        </row>
        <row r="2364">
          <cell r="A2364" t="str">
            <v>PAK</v>
          </cell>
          <cell r="B2364">
            <v>2007</v>
          </cell>
          <cell r="C2364" t="str">
            <v>unpop_15up</v>
          </cell>
          <cell r="D2364">
            <v>109954330</v>
          </cell>
          <cell r="F2364" t="str">
            <v>UN-WPP Rev. 2024</v>
          </cell>
        </row>
        <row r="2365">
          <cell r="A2365" t="str">
            <v>PAK</v>
          </cell>
          <cell r="B2365">
            <v>2007</v>
          </cell>
          <cell r="C2365" t="str">
            <v>unpop_65up</v>
          </cell>
          <cell r="D2365">
            <v>6664127.5</v>
          </cell>
          <cell r="F2365" t="str">
            <v>UN-WPP Rev. 2024</v>
          </cell>
        </row>
        <row r="2366">
          <cell r="A2366" t="str">
            <v>PAK</v>
          </cell>
          <cell r="B2366">
            <v>2007</v>
          </cell>
          <cell r="C2366" t="str">
            <v>unpop_total</v>
          </cell>
          <cell r="D2366">
            <v>184493230.5</v>
          </cell>
          <cell r="F2366" t="str">
            <v>UN-WPP Rev. 2024</v>
          </cell>
        </row>
        <row r="2367">
          <cell r="A2367" t="str">
            <v>PAK</v>
          </cell>
          <cell r="B2367">
            <v>2008</v>
          </cell>
          <cell r="C2367" t="str">
            <v>unpop_0014</v>
          </cell>
          <cell r="D2367">
            <v>75733993</v>
          </cell>
          <cell r="F2367" t="str">
            <v>UN-WPP Rev. 2024</v>
          </cell>
        </row>
        <row r="2368">
          <cell r="A2368" t="str">
            <v>PAK</v>
          </cell>
          <cell r="B2368">
            <v>2008</v>
          </cell>
          <cell r="C2368" t="str">
            <v>unpop_1564</v>
          </cell>
          <cell r="D2368">
            <v>106876927</v>
          </cell>
          <cell r="F2368" t="str">
            <v>UN-WPP Rev. 2024</v>
          </cell>
        </row>
        <row r="2369">
          <cell r="A2369" t="str">
            <v>PAK</v>
          </cell>
          <cell r="B2369">
            <v>2008</v>
          </cell>
          <cell r="C2369" t="str">
            <v>unpop_15up</v>
          </cell>
          <cell r="D2369">
            <v>113765120</v>
          </cell>
          <cell r="F2369" t="str">
            <v>UN-WPP Rev. 2024</v>
          </cell>
        </row>
        <row r="2370">
          <cell r="A2370" t="str">
            <v>PAK</v>
          </cell>
          <cell r="B2370">
            <v>2008</v>
          </cell>
          <cell r="C2370" t="str">
            <v>unpop_65up</v>
          </cell>
          <cell r="D2370">
            <v>6888193</v>
          </cell>
          <cell r="F2370" t="str">
            <v>UN-WPP Rev. 2024</v>
          </cell>
        </row>
        <row r="2371">
          <cell r="A2371" t="str">
            <v>PAK</v>
          </cell>
          <cell r="B2371">
            <v>2008</v>
          </cell>
          <cell r="C2371" t="str">
            <v>unpop_total</v>
          </cell>
          <cell r="D2371">
            <v>189499113</v>
          </cell>
          <cell r="F2371" t="str">
            <v>UN-WPP Rev. 2024</v>
          </cell>
        </row>
        <row r="2372">
          <cell r="A2372" t="str">
            <v>PAK</v>
          </cell>
          <cell r="B2372">
            <v>2009</v>
          </cell>
          <cell r="C2372" t="str">
            <v>unpop_0014</v>
          </cell>
          <cell r="D2372">
            <v>77020429</v>
          </cell>
          <cell r="F2372" t="str">
            <v>UN-WPP Rev. 2024</v>
          </cell>
        </row>
        <row r="2373">
          <cell r="A2373" t="str">
            <v>PAK</v>
          </cell>
          <cell r="B2373">
            <v>2009</v>
          </cell>
          <cell r="C2373" t="str">
            <v>unpop_1564</v>
          </cell>
          <cell r="D2373">
            <v>110238042.5</v>
          </cell>
          <cell r="F2373" t="str">
            <v>UN-WPP Rev. 2024</v>
          </cell>
        </row>
        <row r="2374">
          <cell r="A2374" t="str">
            <v>PAK</v>
          </cell>
          <cell r="B2374">
            <v>2009</v>
          </cell>
          <cell r="C2374" t="str">
            <v>unpop_15up</v>
          </cell>
          <cell r="D2374">
            <v>117356105</v>
          </cell>
          <cell r="F2374" t="str">
            <v>UN-WPP Rev. 2024</v>
          </cell>
        </row>
        <row r="2375">
          <cell r="A2375" t="str">
            <v>PAK</v>
          </cell>
          <cell r="B2375">
            <v>2009</v>
          </cell>
          <cell r="C2375" t="str">
            <v>unpop_65up</v>
          </cell>
          <cell r="D2375">
            <v>7118062.5</v>
          </cell>
          <cell r="F2375" t="str">
            <v>UN-WPP Rev. 2024</v>
          </cell>
        </row>
        <row r="2376">
          <cell r="A2376" t="str">
            <v>PAK</v>
          </cell>
          <cell r="B2376">
            <v>2009</v>
          </cell>
          <cell r="C2376" t="str">
            <v>unpop_total</v>
          </cell>
          <cell r="D2376">
            <v>194376534</v>
          </cell>
          <cell r="F2376" t="str">
            <v>UN-WPP Rev. 2024</v>
          </cell>
        </row>
        <row r="2377">
          <cell r="A2377" t="str">
            <v>PAK</v>
          </cell>
          <cell r="B2377">
            <v>2010</v>
          </cell>
          <cell r="C2377" t="str">
            <v>unpop_0014</v>
          </cell>
          <cell r="D2377">
            <v>78381577</v>
          </cell>
          <cell r="F2377" t="str">
            <v>UN-WPP Rev. 2024</v>
          </cell>
        </row>
        <row r="2378">
          <cell r="A2378" t="str">
            <v>PAK</v>
          </cell>
          <cell r="B2378">
            <v>2010</v>
          </cell>
          <cell r="C2378" t="str">
            <v>unpop_1564</v>
          </cell>
          <cell r="D2378">
            <v>113502966.5</v>
          </cell>
          <cell r="F2378" t="str">
            <v>UN-WPP Rev. 2024</v>
          </cell>
        </row>
        <row r="2379">
          <cell r="A2379" t="str">
            <v>PAK</v>
          </cell>
          <cell r="B2379">
            <v>2010</v>
          </cell>
          <cell r="C2379" t="str">
            <v>unpop_15up</v>
          </cell>
          <cell r="D2379">
            <v>120857470</v>
          </cell>
          <cell r="F2379" t="str">
            <v>UN-WPP Rev. 2024</v>
          </cell>
        </row>
        <row r="2380">
          <cell r="A2380" t="str">
            <v>PAK</v>
          </cell>
          <cell r="B2380">
            <v>2010</v>
          </cell>
          <cell r="C2380" t="str">
            <v>unpop_65up</v>
          </cell>
          <cell r="D2380">
            <v>7354503.5</v>
          </cell>
          <cell r="F2380" t="str">
            <v>UN-WPP Rev. 2024</v>
          </cell>
        </row>
        <row r="2381">
          <cell r="A2381" t="str">
            <v>PAK</v>
          </cell>
          <cell r="B2381">
            <v>2010</v>
          </cell>
          <cell r="C2381" t="str">
            <v>unpop_total</v>
          </cell>
          <cell r="D2381">
            <v>199239047</v>
          </cell>
          <cell r="F2381" t="str">
            <v>UN-WPP Rev. 2024</v>
          </cell>
        </row>
        <row r="2382">
          <cell r="A2382" t="str">
            <v>PAK</v>
          </cell>
          <cell r="B2382">
            <v>2011</v>
          </cell>
          <cell r="C2382" t="str">
            <v>unpop_0014</v>
          </cell>
          <cell r="D2382">
            <v>79737391</v>
          </cell>
          <cell r="F2382" t="str">
            <v>UN-WPP Rev. 2024</v>
          </cell>
        </row>
        <row r="2383">
          <cell r="A2383" t="str">
            <v>PAK</v>
          </cell>
          <cell r="B2383">
            <v>2011</v>
          </cell>
          <cell r="C2383" t="str">
            <v>unpop_1564</v>
          </cell>
          <cell r="D2383">
            <v>116419645</v>
          </cell>
          <cell r="F2383" t="str">
            <v>UN-WPP Rev. 2024</v>
          </cell>
        </row>
        <row r="2384">
          <cell r="A2384" t="str">
            <v>PAK</v>
          </cell>
          <cell r="B2384">
            <v>2011</v>
          </cell>
          <cell r="C2384" t="str">
            <v>unpop_15up</v>
          </cell>
          <cell r="D2384">
            <v>124008673.5</v>
          </cell>
          <cell r="F2384" t="str">
            <v>UN-WPP Rev. 2024</v>
          </cell>
        </row>
        <row r="2385">
          <cell r="A2385" t="str">
            <v>PAK</v>
          </cell>
          <cell r="B2385">
            <v>2011</v>
          </cell>
          <cell r="C2385" t="str">
            <v>unpop_65up</v>
          </cell>
          <cell r="D2385">
            <v>7589028.5</v>
          </cell>
          <cell r="F2385" t="str">
            <v>UN-WPP Rev. 2024</v>
          </cell>
        </row>
        <row r="2386">
          <cell r="A2386" t="str">
            <v>PAK</v>
          </cell>
          <cell r="B2386">
            <v>2011</v>
          </cell>
          <cell r="C2386" t="str">
            <v>unpop_total</v>
          </cell>
          <cell r="D2386">
            <v>203746064.5</v>
          </cell>
          <cell r="F2386" t="str">
            <v>UN-WPP Rev. 2024</v>
          </cell>
        </row>
        <row r="2387">
          <cell r="A2387" t="str">
            <v>PAK</v>
          </cell>
          <cell r="B2387">
            <v>2012</v>
          </cell>
          <cell r="C2387" t="str">
            <v>unpop_0014</v>
          </cell>
          <cell r="D2387">
            <v>81013806.5</v>
          </cell>
          <cell r="F2387" t="str">
            <v>UN-WPP Rev. 2024</v>
          </cell>
        </row>
        <row r="2388">
          <cell r="A2388" t="str">
            <v>PAK</v>
          </cell>
          <cell r="B2388">
            <v>2012</v>
          </cell>
          <cell r="C2388" t="str">
            <v>unpop_1564</v>
          </cell>
          <cell r="D2388">
            <v>118843602.5</v>
          </cell>
          <cell r="F2388" t="str">
            <v>UN-WPP Rev. 2024</v>
          </cell>
        </row>
        <row r="2389">
          <cell r="A2389" t="str">
            <v>PAK</v>
          </cell>
          <cell r="B2389">
            <v>2012</v>
          </cell>
          <cell r="C2389" t="str">
            <v>unpop_15up</v>
          </cell>
          <cell r="D2389">
            <v>126653318</v>
          </cell>
          <cell r="F2389" t="str">
            <v>UN-WPP Rev. 2024</v>
          </cell>
        </row>
        <row r="2390">
          <cell r="A2390" t="str">
            <v>PAK</v>
          </cell>
          <cell r="B2390">
            <v>2012</v>
          </cell>
          <cell r="C2390" t="str">
            <v>unpop_65up</v>
          </cell>
          <cell r="D2390">
            <v>7809715.5</v>
          </cell>
          <cell r="F2390" t="str">
            <v>UN-WPP Rev. 2024</v>
          </cell>
        </row>
        <row r="2391">
          <cell r="A2391" t="str">
            <v>PAK</v>
          </cell>
          <cell r="B2391">
            <v>2012</v>
          </cell>
          <cell r="C2391" t="str">
            <v>unpop_total</v>
          </cell>
          <cell r="D2391">
            <v>207667124.5</v>
          </cell>
          <cell r="F2391" t="str">
            <v>UN-WPP Rev. 2024</v>
          </cell>
        </row>
        <row r="2392">
          <cell r="A2392" t="str">
            <v>PAK</v>
          </cell>
          <cell r="B2392">
            <v>2013</v>
          </cell>
          <cell r="C2392" t="str">
            <v>unpop_0014</v>
          </cell>
          <cell r="D2392">
            <v>82198384.5</v>
          </cell>
          <cell r="F2392" t="str">
            <v>UN-WPP Rev. 2024</v>
          </cell>
        </row>
        <row r="2393">
          <cell r="A2393" t="str">
            <v>PAK</v>
          </cell>
          <cell r="B2393">
            <v>2013</v>
          </cell>
          <cell r="C2393" t="str">
            <v>unpop_1564</v>
          </cell>
          <cell r="D2393">
            <v>120876003.5</v>
          </cell>
          <cell r="F2393" t="str">
            <v>UN-WPP Rev. 2024</v>
          </cell>
        </row>
        <row r="2394">
          <cell r="A2394" t="str">
            <v>PAK</v>
          </cell>
          <cell r="B2394">
            <v>2013</v>
          </cell>
          <cell r="C2394" t="str">
            <v>unpop_15up</v>
          </cell>
          <cell r="D2394">
            <v>128875594</v>
          </cell>
          <cell r="F2394" t="str">
            <v>UN-WPP Rev. 2024</v>
          </cell>
        </row>
        <row r="2395">
          <cell r="A2395" t="str">
            <v>PAK</v>
          </cell>
          <cell r="B2395">
            <v>2013</v>
          </cell>
          <cell r="C2395" t="str">
            <v>unpop_65up</v>
          </cell>
          <cell r="D2395">
            <v>7999590.5</v>
          </cell>
          <cell r="F2395" t="str">
            <v>UN-WPP Rev. 2024</v>
          </cell>
        </row>
        <row r="2396">
          <cell r="A2396" t="str">
            <v>PAK</v>
          </cell>
          <cell r="B2396">
            <v>2013</v>
          </cell>
          <cell r="C2396" t="str">
            <v>unpop_total</v>
          </cell>
          <cell r="D2396">
            <v>211073978.5</v>
          </cell>
          <cell r="F2396" t="str">
            <v>UN-WPP Rev. 2024</v>
          </cell>
        </row>
        <row r="2397">
          <cell r="A2397" t="str">
            <v>PAK</v>
          </cell>
          <cell r="B2397">
            <v>2014</v>
          </cell>
          <cell r="C2397" t="str">
            <v>unpop_0014</v>
          </cell>
          <cell r="D2397">
            <v>83271013.5</v>
          </cell>
          <cell r="F2397" t="str">
            <v>UN-WPP Rev. 2024</v>
          </cell>
        </row>
        <row r="2398">
          <cell r="A2398" t="str">
            <v>PAK</v>
          </cell>
          <cell r="B2398">
            <v>2014</v>
          </cell>
          <cell r="C2398" t="str">
            <v>unpop_1564</v>
          </cell>
          <cell r="D2398">
            <v>122840125.5</v>
          </cell>
          <cell r="F2398" t="str">
            <v>UN-WPP Rev. 2024</v>
          </cell>
        </row>
        <row r="2399">
          <cell r="A2399" t="str">
            <v>PAK</v>
          </cell>
          <cell r="B2399">
            <v>2014</v>
          </cell>
          <cell r="C2399" t="str">
            <v>unpop_15up</v>
          </cell>
          <cell r="D2399">
            <v>130993633</v>
          </cell>
          <cell r="F2399" t="str">
            <v>UN-WPP Rev. 2024</v>
          </cell>
        </row>
        <row r="2400">
          <cell r="A2400" t="str">
            <v>PAK</v>
          </cell>
          <cell r="B2400">
            <v>2014</v>
          </cell>
          <cell r="C2400" t="str">
            <v>unpop_65up</v>
          </cell>
          <cell r="D2400">
            <v>8153507.5</v>
          </cell>
          <cell r="F2400" t="str">
            <v>UN-WPP Rev. 2024</v>
          </cell>
        </row>
        <row r="2401">
          <cell r="A2401" t="str">
            <v>PAK</v>
          </cell>
          <cell r="B2401">
            <v>2014</v>
          </cell>
          <cell r="C2401" t="str">
            <v>unpop_total</v>
          </cell>
          <cell r="D2401">
            <v>214264646.5</v>
          </cell>
          <cell r="F2401" t="str">
            <v>UN-WPP Rev. 2024</v>
          </cell>
        </row>
        <row r="2402">
          <cell r="A2402" t="str">
            <v>PAK</v>
          </cell>
          <cell r="B2402">
            <v>2015</v>
          </cell>
          <cell r="C2402" t="str">
            <v>unpop_0014</v>
          </cell>
          <cell r="D2402">
            <v>84224579</v>
          </cell>
          <cell r="F2402" t="str">
            <v>UN-WPP Rev. 2024</v>
          </cell>
        </row>
        <row r="2403">
          <cell r="A2403" t="str">
            <v>PAK</v>
          </cell>
          <cell r="B2403">
            <v>2015</v>
          </cell>
          <cell r="C2403" t="str">
            <v>unpop_1564</v>
          </cell>
          <cell r="D2403">
            <v>124763794</v>
          </cell>
          <cell r="F2403" t="str">
            <v>UN-WPP Rev. 2024</v>
          </cell>
        </row>
        <row r="2404">
          <cell r="A2404" t="str">
            <v>PAK</v>
          </cell>
          <cell r="B2404">
            <v>2015</v>
          </cell>
          <cell r="C2404" t="str">
            <v>unpop_15up</v>
          </cell>
          <cell r="D2404">
            <v>133066303.5</v>
          </cell>
          <cell r="F2404" t="str">
            <v>UN-WPP Rev. 2024</v>
          </cell>
        </row>
        <row r="2405">
          <cell r="A2405" t="str">
            <v>PAK</v>
          </cell>
          <cell r="B2405">
            <v>2015</v>
          </cell>
          <cell r="C2405" t="str">
            <v>unpop_65up</v>
          </cell>
          <cell r="D2405">
            <v>8302509.5</v>
          </cell>
          <cell r="F2405" t="str">
            <v>UN-WPP Rev. 2024</v>
          </cell>
        </row>
        <row r="2406">
          <cell r="A2406" t="str">
            <v>PAK</v>
          </cell>
          <cell r="B2406">
            <v>2015</v>
          </cell>
          <cell r="C2406" t="str">
            <v>unpop_total</v>
          </cell>
          <cell r="D2406">
            <v>217290882.5</v>
          </cell>
          <cell r="F2406" t="str">
            <v>UN-WPP Rev. 2024</v>
          </cell>
        </row>
        <row r="2407">
          <cell r="A2407" t="str">
            <v>PAK</v>
          </cell>
          <cell r="B2407">
            <v>2016</v>
          </cell>
          <cell r="C2407" t="str">
            <v>unpop_0014</v>
          </cell>
          <cell r="D2407">
            <v>85083359</v>
          </cell>
          <cell r="F2407" t="str">
            <v>UN-WPP Rev. 2024</v>
          </cell>
        </row>
        <row r="2408">
          <cell r="A2408" t="str">
            <v>PAK</v>
          </cell>
          <cell r="B2408">
            <v>2016</v>
          </cell>
          <cell r="C2408" t="str">
            <v>unpop_1564</v>
          </cell>
          <cell r="D2408">
            <v>126579241.5</v>
          </cell>
          <cell r="F2408" t="str">
            <v>UN-WPP Rev. 2024</v>
          </cell>
        </row>
        <row r="2409">
          <cell r="A2409" t="str">
            <v>PAK</v>
          </cell>
          <cell r="B2409">
            <v>2016</v>
          </cell>
          <cell r="C2409" t="str">
            <v>unpop_15up</v>
          </cell>
          <cell r="D2409">
            <v>135055509.5</v>
          </cell>
          <cell r="F2409" t="str">
            <v>UN-WPP Rev. 2024</v>
          </cell>
        </row>
        <row r="2410">
          <cell r="A2410" t="str">
            <v>PAK</v>
          </cell>
          <cell r="B2410">
            <v>2016</v>
          </cell>
          <cell r="C2410" t="str">
            <v>unpop_65up</v>
          </cell>
          <cell r="D2410">
            <v>8476268</v>
          </cell>
          <cell r="F2410" t="str">
            <v>UN-WPP Rev. 2024</v>
          </cell>
        </row>
        <row r="2411">
          <cell r="A2411" t="str">
            <v>PAK</v>
          </cell>
          <cell r="B2411">
            <v>2016</v>
          </cell>
          <cell r="C2411" t="str">
            <v>unpop_total</v>
          </cell>
          <cell r="D2411">
            <v>220138868.5</v>
          </cell>
          <cell r="F2411" t="str">
            <v>UN-WPP Rev. 2024</v>
          </cell>
        </row>
        <row r="2412">
          <cell r="A2412" t="str">
            <v>PAK</v>
          </cell>
          <cell r="B2412">
            <v>2017</v>
          </cell>
          <cell r="C2412" t="str">
            <v>unpop_0014</v>
          </cell>
          <cell r="D2412">
            <v>85959934.5</v>
          </cell>
          <cell r="F2412" t="str">
            <v>UN-WPP Rev. 2024</v>
          </cell>
        </row>
        <row r="2413">
          <cell r="A2413" t="str">
            <v>PAK</v>
          </cell>
          <cell r="B2413">
            <v>2017</v>
          </cell>
          <cell r="C2413" t="str">
            <v>unpop_1564</v>
          </cell>
          <cell r="D2413">
            <v>128631209</v>
          </cell>
          <cell r="F2413" t="str">
            <v>UN-WPP Rev. 2024</v>
          </cell>
        </row>
        <row r="2414">
          <cell r="A2414" t="str">
            <v>PAK</v>
          </cell>
          <cell r="B2414">
            <v>2017</v>
          </cell>
          <cell r="C2414" t="str">
            <v>unpop_15up</v>
          </cell>
          <cell r="D2414">
            <v>137314033</v>
          </cell>
          <cell r="F2414" t="str">
            <v>UN-WPP Rev. 2024</v>
          </cell>
        </row>
        <row r="2415">
          <cell r="A2415" t="str">
            <v>PAK</v>
          </cell>
          <cell r="B2415">
            <v>2017</v>
          </cell>
          <cell r="C2415" t="str">
            <v>unpop_65up</v>
          </cell>
          <cell r="D2415">
            <v>8682824</v>
          </cell>
          <cell r="F2415" t="str">
            <v>UN-WPP Rev. 2024</v>
          </cell>
        </row>
        <row r="2416">
          <cell r="A2416" t="str">
            <v>PAK</v>
          </cell>
          <cell r="B2416">
            <v>2017</v>
          </cell>
          <cell r="C2416" t="str">
            <v>unpop_total</v>
          </cell>
          <cell r="D2416">
            <v>223273967.5</v>
          </cell>
          <cell r="F2416" t="str">
            <v>UN-WPP Rev. 2024</v>
          </cell>
        </row>
        <row r="2417">
          <cell r="A2417" t="str">
            <v>PAK</v>
          </cell>
          <cell r="B2417">
            <v>2018</v>
          </cell>
          <cell r="C2417" t="str">
            <v>unpop_0014</v>
          </cell>
          <cell r="D2417">
            <v>86909037</v>
          </cell>
          <cell r="F2417" t="str">
            <v>UN-WPP Rev. 2024</v>
          </cell>
        </row>
        <row r="2418">
          <cell r="A2418" t="str">
            <v>PAK</v>
          </cell>
          <cell r="B2418">
            <v>2018</v>
          </cell>
          <cell r="C2418" t="str">
            <v>unpop_1564</v>
          </cell>
          <cell r="D2418">
            <v>131095161</v>
          </cell>
          <cell r="F2418" t="str">
            <v>UN-WPP Rev. 2024</v>
          </cell>
        </row>
        <row r="2419">
          <cell r="A2419" t="str">
            <v>PAK</v>
          </cell>
          <cell r="B2419">
            <v>2018</v>
          </cell>
          <cell r="C2419" t="str">
            <v>unpop_15up</v>
          </cell>
          <cell r="D2419">
            <v>140019855.5</v>
          </cell>
          <cell r="F2419" t="str">
            <v>UN-WPP Rev. 2024</v>
          </cell>
        </row>
        <row r="2420">
          <cell r="A2420" t="str">
            <v>PAK</v>
          </cell>
          <cell r="B2420">
            <v>2018</v>
          </cell>
          <cell r="C2420" t="str">
            <v>unpop_65up</v>
          </cell>
          <cell r="D2420">
            <v>8924694.5</v>
          </cell>
          <cell r="F2420" t="str">
            <v>UN-WPP Rev. 2024</v>
          </cell>
        </row>
        <row r="2421">
          <cell r="A2421" t="str">
            <v>PAK</v>
          </cell>
          <cell r="B2421">
            <v>2018</v>
          </cell>
          <cell r="C2421" t="str">
            <v>unpop_total</v>
          </cell>
          <cell r="D2421">
            <v>226928892.5</v>
          </cell>
          <cell r="F2421" t="str">
            <v>UN-WPP Rev. 2024</v>
          </cell>
        </row>
        <row r="2422">
          <cell r="A2422" t="str">
            <v>PAK</v>
          </cell>
          <cell r="B2422">
            <v>2019</v>
          </cell>
          <cell r="C2422" t="str">
            <v>unpop_0014</v>
          </cell>
          <cell r="D2422">
            <v>87908959</v>
          </cell>
          <cell r="F2422" t="str">
            <v>UN-WPP Rev. 2024</v>
          </cell>
        </row>
        <row r="2423">
          <cell r="A2423" t="str">
            <v>PAK</v>
          </cell>
          <cell r="B2423">
            <v>2019</v>
          </cell>
          <cell r="C2423" t="str">
            <v>unpop_1564</v>
          </cell>
          <cell r="D2423">
            <v>133695735.5</v>
          </cell>
          <cell r="F2423" t="str">
            <v>UN-WPP Rev. 2024</v>
          </cell>
        </row>
        <row r="2424">
          <cell r="A2424" t="str">
            <v>PAK</v>
          </cell>
          <cell r="B2424">
            <v>2019</v>
          </cell>
          <cell r="C2424" t="str">
            <v>unpop_15up</v>
          </cell>
          <cell r="D2424">
            <v>142891939.5</v>
          </cell>
          <cell r="F2424" t="str">
            <v>UN-WPP Rev. 2024</v>
          </cell>
        </row>
        <row r="2425">
          <cell r="A2425" t="str">
            <v>PAK</v>
          </cell>
          <cell r="B2425">
            <v>2019</v>
          </cell>
          <cell r="C2425" t="str">
            <v>unpop_65up</v>
          </cell>
          <cell r="D2425">
            <v>9196204</v>
          </cell>
          <cell r="F2425" t="str">
            <v>UN-WPP Rev. 2024</v>
          </cell>
        </row>
        <row r="2426">
          <cell r="A2426" t="str">
            <v>PAK</v>
          </cell>
          <cell r="B2426">
            <v>2019</v>
          </cell>
          <cell r="C2426" t="str">
            <v>unpop_total</v>
          </cell>
          <cell r="D2426">
            <v>230800898.5</v>
          </cell>
          <cell r="F2426" t="str">
            <v>UN-WPP Rev. 2024</v>
          </cell>
        </row>
        <row r="2427">
          <cell r="A2427" t="str">
            <v>PAK</v>
          </cell>
          <cell r="B2427">
            <v>2020</v>
          </cell>
          <cell r="C2427" t="str">
            <v>unpop_0014</v>
          </cell>
          <cell r="D2427">
            <v>88971255</v>
          </cell>
          <cell r="F2427" t="str">
            <v>UN-WPP Rev. 2024</v>
          </cell>
        </row>
        <row r="2428">
          <cell r="A2428" t="str">
            <v>PAK</v>
          </cell>
          <cell r="B2428">
            <v>2020</v>
          </cell>
          <cell r="C2428" t="str">
            <v>unpop_1564</v>
          </cell>
          <cell r="D2428">
            <v>136577175</v>
          </cell>
          <cell r="F2428" t="str">
            <v>UN-WPP Rev. 2024</v>
          </cell>
        </row>
        <row r="2429">
          <cell r="A2429" t="str">
            <v>PAK</v>
          </cell>
          <cell r="B2429">
            <v>2020</v>
          </cell>
          <cell r="C2429" t="str">
            <v>unpop_15up</v>
          </cell>
          <cell r="D2429">
            <v>146030491</v>
          </cell>
          <cell r="F2429" t="str">
            <v>UN-WPP Rev. 2024</v>
          </cell>
        </row>
        <row r="2430">
          <cell r="A2430" t="str">
            <v>PAK</v>
          </cell>
          <cell r="B2430">
            <v>2020</v>
          </cell>
          <cell r="C2430" t="str">
            <v>unpop_65up</v>
          </cell>
          <cell r="D2430">
            <v>9453316</v>
          </cell>
          <cell r="F2430" t="str">
            <v>UN-WPP Rev. 2024</v>
          </cell>
        </row>
        <row r="2431">
          <cell r="A2431" t="str">
            <v>PAK</v>
          </cell>
          <cell r="B2431">
            <v>2020</v>
          </cell>
          <cell r="C2431" t="str">
            <v>unpop_total</v>
          </cell>
          <cell r="D2431">
            <v>235001746</v>
          </cell>
          <cell r="F2431" t="str">
            <v>UN-WPP Rev. 2024</v>
          </cell>
        </row>
        <row r="2432">
          <cell r="A2432" t="str">
            <v>PAK</v>
          </cell>
          <cell r="B2432">
            <v>2021</v>
          </cell>
          <cell r="C2432" t="str">
            <v>unpop_0014</v>
          </cell>
          <cell r="D2432">
            <v>90009369</v>
          </cell>
          <cell r="F2432" t="str">
            <v>UN-WPP Rev. 2024</v>
          </cell>
        </row>
        <row r="2433">
          <cell r="A2433" t="str">
            <v>PAK</v>
          </cell>
          <cell r="B2433">
            <v>2021</v>
          </cell>
          <cell r="C2433" t="str">
            <v>unpop_1564</v>
          </cell>
          <cell r="D2433">
            <v>139764374.5</v>
          </cell>
          <cell r="F2433" t="str">
            <v>UN-WPP Rev. 2024</v>
          </cell>
        </row>
        <row r="2434">
          <cell r="A2434" t="str">
            <v>PAK</v>
          </cell>
          <cell r="B2434">
            <v>2021</v>
          </cell>
          <cell r="C2434" t="str">
            <v>unpop_15up</v>
          </cell>
          <cell r="D2434">
            <v>149468431.5</v>
          </cell>
          <cell r="F2434" t="str">
            <v>UN-WPP Rev. 2024</v>
          </cell>
        </row>
        <row r="2435">
          <cell r="A2435" t="str">
            <v>PAK</v>
          </cell>
          <cell r="B2435">
            <v>2021</v>
          </cell>
          <cell r="C2435" t="str">
            <v>unpop_65up</v>
          </cell>
          <cell r="D2435">
            <v>9704057</v>
          </cell>
          <cell r="F2435" t="str">
            <v>UN-WPP Rev. 2024</v>
          </cell>
        </row>
        <row r="2436">
          <cell r="A2436" t="str">
            <v>PAK</v>
          </cell>
          <cell r="B2436">
            <v>2021</v>
          </cell>
          <cell r="C2436" t="str">
            <v>unpop_total</v>
          </cell>
          <cell r="D2436">
            <v>239477800.5</v>
          </cell>
          <cell r="F2436" t="str">
            <v>UN-WPP Rev. 2024</v>
          </cell>
        </row>
        <row r="2437">
          <cell r="A2437" t="str">
            <v>PAK</v>
          </cell>
          <cell r="B2437">
            <v>2022</v>
          </cell>
          <cell r="C2437" t="str">
            <v>unpop_0014</v>
          </cell>
          <cell r="D2437">
            <v>90924189.5</v>
          </cell>
          <cell r="F2437" t="str">
            <v>UN-WPP Rev. 2024</v>
          </cell>
        </row>
        <row r="2438">
          <cell r="A2438" t="str">
            <v>PAK</v>
          </cell>
          <cell r="B2438">
            <v>2022</v>
          </cell>
          <cell r="C2438" t="str">
            <v>unpop_1564</v>
          </cell>
          <cell r="D2438">
            <v>142756293</v>
          </cell>
          <cell r="F2438" t="str">
            <v>UN-WPP Rev. 2024</v>
          </cell>
        </row>
        <row r="2439">
          <cell r="A2439" t="str">
            <v>PAK</v>
          </cell>
          <cell r="B2439">
            <v>2022</v>
          </cell>
          <cell r="C2439" t="str">
            <v>unpop_15up</v>
          </cell>
          <cell r="D2439">
            <v>152776477.5</v>
          </cell>
          <cell r="F2439" t="str">
            <v>UN-WPP Rev. 2024</v>
          </cell>
        </row>
        <row r="2440">
          <cell r="A2440" t="str">
            <v>PAK</v>
          </cell>
          <cell r="B2440">
            <v>2022</v>
          </cell>
          <cell r="C2440" t="str">
            <v>unpop_65up</v>
          </cell>
          <cell r="D2440">
            <v>10020184.5</v>
          </cell>
          <cell r="F2440" t="str">
            <v>UN-WPP Rev. 2024</v>
          </cell>
        </row>
        <row r="2441">
          <cell r="A2441" t="str">
            <v>PAK</v>
          </cell>
          <cell r="B2441">
            <v>2022</v>
          </cell>
          <cell r="C2441" t="str">
            <v>unpop_total</v>
          </cell>
          <cell r="D2441">
            <v>243700667</v>
          </cell>
          <cell r="F2441" t="str">
            <v>UN-WPP Rev. 2024</v>
          </cell>
        </row>
        <row r="2442">
          <cell r="A2442" t="str">
            <v>PAK</v>
          </cell>
          <cell r="B2442">
            <v>2023</v>
          </cell>
          <cell r="C2442" t="str">
            <v>unpop_0014</v>
          </cell>
          <cell r="D2442">
            <v>91670867</v>
          </cell>
          <cell r="F2442" t="str">
            <v>UN-WPP Rev. 2024</v>
          </cell>
        </row>
        <row r="2443">
          <cell r="A2443" t="str">
            <v>PAK</v>
          </cell>
          <cell r="B2443">
            <v>2023</v>
          </cell>
          <cell r="C2443" t="str">
            <v>unpop_1564</v>
          </cell>
          <cell r="D2443">
            <v>145447668</v>
          </cell>
          <cell r="F2443" t="str">
            <v>UN-WPP Rev. 2024</v>
          </cell>
        </row>
        <row r="2444">
          <cell r="A2444" t="str">
            <v>PAK</v>
          </cell>
          <cell r="B2444">
            <v>2023</v>
          </cell>
          <cell r="C2444" t="str">
            <v>unpop_15up</v>
          </cell>
          <cell r="D2444">
            <v>155833628.5</v>
          </cell>
          <cell r="F2444" t="str">
            <v>UN-WPP Rev. 2024</v>
          </cell>
        </row>
        <row r="2445">
          <cell r="A2445" t="str">
            <v>PAK</v>
          </cell>
          <cell r="B2445">
            <v>2023</v>
          </cell>
          <cell r="C2445" t="str">
            <v>unpop_65up</v>
          </cell>
          <cell r="D2445">
            <v>10385960.5</v>
          </cell>
          <cell r="F2445" t="str">
            <v>UN-WPP Rev. 2024</v>
          </cell>
        </row>
        <row r="2446">
          <cell r="A2446" t="str">
            <v>PAK</v>
          </cell>
          <cell r="B2446">
            <v>2023</v>
          </cell>
          <cell r="C2446" t="str">
            <v>unpop_total</v>
          </cell>
          <cell r="D2446">
            <v>247504495.5</v>
          </cell>
          <cell r="F2446" t="str">
            <v>UN-WPP Rev. 2024</v>
          </cell>
        </row>
        <row r="2447">
          <cell r="A2447" t="str">
            <v>PAK</v>
          </cell>
          <cell r="B2447">
            <v>2024</v>
          </cell>
          <cell r="C2447" t="str">
            <v>unpop_0014</v>
          </cell>
          <cell r="D2447">
            <v>92177916.5</v>
          </cell>
          <cell r="F2447" t="str">
            <v>UN-WPP Rev. 2024</v>
          </cell>
        </row>
        <row r="2448">
          <cell r="A2448" t="str">
            <v>PAK</v>
          </cell>
          <cell r="B2448">
            <v>2024</v>
          </cell>
          <cell r="C2448" t="str">
            <v>unpop_1564</v>
          </cell>
          <cell r="D2448">
            <v>148335347</v>
          </cell>
          <cell r="F2448" t="str">
            <v>UN-WPP Rev. 2024</v>
          </cell>
        </row>
        <row r="2449">
          <cell r="A2449" t="str">
            <v>PAK</v>
          </cell>
          <cell r="B2449">
            <v>2024</v>
          </cell>
          <cell r="C2449" t="str">
            <v>unpop_15up</v>
          </cell>
          <cell r="D2449">
            <v>159091247.5</v>
          </cell>
          <cell r="F2449" t="str">
            <v>UN-WPP Rev. 2024</v>
          </cell>
        </row>
        <row r="2450">
          <cell r="A2450" t="str">
            <v>PAK</v>
          </cell>
          <cell r="B2450">
            <v>2024</v>
          </cell>
          <cell r="C2450" t="str">
            <v>unpop_65up</v>
          </cell>
          <cell r="D2450">
            <v>10755900.5</v>
          </cell>
          <cell r="F2450" t="str">
            <v>UN-WPP Rev. 2024</v>
          </cell>
        </row>
        <row r="2451">
          <cell r="A2451" t="str">
            <v>PAK</v>
          </cell>
          <cell r="B2451">
            <v>2024</v>
          </cell>
          <cell r="C2451" t="str">
            <v>unpop_total</v>
          </cell>
          <cell r="D2451">
            <v>251269164</v>
          </cell>
          <cell r="F2451" t="str">
            <v>UN-WPP Rev. 2024</v>
          </cell>
        </row>
        <row r="2452">
          <cell r="A2452" t="str">
            <v>PAK</v>
          </cell>
          <cell r="B2452">
            <v>2025</v>
          </cell>
          <cell r="C2452" t="str">
            <v>unpop_0014</v>
          </cell>
          <cell r="D2452">
            <v>92502034.5</v>
          </cell>
          <cell r="F2452" t="str">
            <v>UN-WPP Rev. 2024</v>
          </cell>
        </row>
        <row r="2453">
          <cell r="A2453" t="str">
            <v>PAK</v>
          </cell>
          <cell r="B2453">
            <v>2025</v>
          </cell>
          <cell r="C2453" t="str">
            <v>unpop_1564</v>
          </cell>
          <cell r="D2453">
            <v>151585194</v>
          </cell>
          <cell r="F2453" t="str">
            <v>UN-WPP Rev. 2024</v>
          </cell>
        </row>
        <row r="2454">
          <cell r="A2454" t="str">
            <v>PAK</v>
          </cell>
          <cell r="B2454">
            <v>2025</v>
          </cell>
          <cell r="C2454" t="str">
            <v>unpop_15up</v>
          </cell>
          <cell r="D2454">
            <v>162717520</v>
          </cell>
          <cell r="F2454" t="str">
            <v>UN-WPP Rev. 2024</v>
          </cell>
        </row>
        <row r="2455">
          <cell r="A2455" t="str">
            <v>PAK</v>
          </cell>
          <cell r="B2455">
            <v>2025</v>
          </cell>
          <cell r="C2455" t="str">
            <v>unpop_65up</v>
          </cell>
          <cell r="D2455">
            <v>11132326</v>
          </cell>
          <cell r="F2455" t="str">
            <v>UN-WPP Rev. 2024</v>
          </cell>
        </row>
        <row r="2456">
          <cell r="A2456" t="str">
            <v>PAK</v>
          </cell>
          <cell r="B2456">
            <v>2025</v>
          </cell>
          <cell r="C2456" t="str">
            <v>unpop_total</v>
          </cell>
          <cell r="D2456">
            <v>255219554.5</v>
          </cell>
          <cell r="F2456" t="str">
            <v>UN-WPP Rev. 2024</v>
          </cell>
        </row>
        <row r="2457">
          <cell r="A2457" t="str">
            <v>PAK</v>
          </cell>
          <cell r="B2457">
            <v>2026</v>
          </cell>
          <cell r="C2457" t="str">
            <v>unpop_0014</v>
          </cell>
          <cell r="D2457">
            <v>92798799.5</v>
          </cell>
          <cell r="F2457" t="str">
            <v>UN-WPP Rev. 2024</v>
          </cell>
        </row>
        <row r="2458">
          <cell r="A2458" t="str">
            <v>PAK</v>
          </cell>
          <cell r="B2458">
            <v>2026</v>
          </cell>
          <cell r="C2458" t="str">
            <v>unpop_1564</v>
          </cell>
          <cell r="D2458">
            <v>154978123.5</v>
          </cell>
          <cell r="F2458" t="str">
            <v>UN-WPP Rev. 2024</v>
          </cell>
        </row>
        <row r="2459">
          <cell r="A2459" t="str">
            <v>PAK</v>
          </cell>
          <cell r="B2459">
            <v>2026</v>
          </cell>
          <cell r="C2459" t="str">
            <v>unpop_15up</v>
          </cell>
          <cell r="D2459">
            <v>166500992</v>
          </cell>
          <cell r="F2459" t="str">
            <v>UN-WPP Rev. 2024</v>
          </cell>
        </row>
        <row r="2460">
          <cell r="A2460" t="str">
            <v>PAK</v>
          </cell>
          <cell r="B2460">
            <v>2026</v>
          </cell>
          <cell r="C2460" t="str">
            <v>unpop_65up</v>
          </cell>
          <cell r="D2460">
            <v>11522868.5</v>
          </cell>
          <cell r="F2460" t="str">
            <v>UN-WPP Rev. 2024</v>
          </cell>
        </row>
        <row r="2461">
          <cell r="A2461" t="str">
            <v>PAK</v>
          </cell>
          <cell r="B2461">
            <v>2026</v>
          </cell>
          <cell r="C2461" t="str">
            <v>unpop_total</v>
          </cell>
          <cell r="D2461">
            <v>259299791.5</v>
          </cell>
          <cell r="F2461" t="str">
            <v>UN-WPP Rev. 2024</v>
          </cell>
        </row>
        <row r="2462">
          <cell r="A2462" t="str">
            <v>PAK</v>
          </cell>
          <cell r="B2462">
            <v>2027</v>
          </cell>
          <cell r="C2462" t="str">
            <v>unpop_0014</v>
          </cell>
          <cell r="D2462">
            <v>93131353.5</v>
          </cell>
          <cell r="F2462" t="str">
            <v>UN-WPP Rev. 2024</v>
          </cell>
        </row>
        <row r="2463">
          <cell r="A2463" t="str">
            <v>PAK</v>
          </cell>
          <cell r="B2463">
            <v>2027</v>
          </cell>
          <cell r="C2463" t="str">
            <v>unpop_1564</v>
          </cell>
          <cell r="D2463">
            <v>158461337.5</v>
          </cell>
          <cell r="F2463" t="str">
            <v>UN-WPP Rev. 2024</v>
          </cell>
        </row>
        <row r="2464">
          <cell r="A2464" t="str">
            <v>PAK</v>
          </cell>
          <cell r="B2464">
            <v>2027</v>
          </cell>
          <cell r="C2464" t="str">
            <v>unpop_15up</v>
          </cell>
          <cell r="D2464">
            <v>170384472.5</v>
          </cell>
          <cell r="F2464" t="str">
            <v>UN-WPP Rev. 2024</v>
          </cell>
        </row>
        <row r="2465">
          <cell r="A2465" t="str">
            <v>PAK</v>
          </cell>
          <cell r="B2465">
            <v>2027</v>
          </cell>
          <cell r="C2465" t="str">
            <v>unpop_65up</v>
          </cell>
          <cell r="D2465">
            <v>11923135</v>
          </cell>
          <cell r="F2465" t="str">
            <v>UN-WPP Rev. 2024</v>
          </cell>
        </row>
        <row r="2466">
          <cell r="A2466" t="str">
            <v>PAK</v>
          </cell>
          <cell r="B2466">
            <v>2027</v>
          </cell>
          <cell r="C2466" t="str">
            <v>unpop_total</v>
          </cell>
          <cell r="D2466">
            <v>263515826</v>
          </cell>
          <cell r="F2466" t="str">
            <v>UN-WPP Rev. 2024</v>
          </cell>
        </row>
        <row r="2467">
          <cell r="A2467" t="str">
            <v>PAK</v>
          </cell>
          <cell r="B2467">
            <v>2028</v>
          </cell>
          <cell r="C2467" t="str">
            <v>unpop_0014</v>
          </cell>
          <cell r="D2467">
            <v>93534848.5</v>
          </cell>
          <cell r="F2467" t="str">
            <v>UN-WPP Rev. 2024</v>
          </cell>
        </row>
        <row r="2468">
          <cell r="A2468" t="str">
            <v>PAK</v>
          </cell>
          <cell r="B2468">
            <v>2028</v>
          </cell>
          <cell r="C2468" t="str">
            <v>unpop_1564</v>
          </cell>
          <cell r="D2468">
            <v>162017162.5</v>
          </cell>
          <cell r="F2468" t="str">
            <v>UN-WPP Rev. 2024</v>
          </cell>
        </row>
        <row r="2469">
          <cell r="A2469" t="str">
            <v>PAK</v>
          </cell>
          <cell r="B2469">
            <v>2028</v>
          </cell>
          <cell r="C2469" t="str">
            <v>unpop_15up</v>
          </cell>
          <cell r="D2469">
            <v>174347067</v>
          </cell>
          <cell r="F2469" t="str">
            <v>UN-WPP Rev. 2024</v>
          </cell>
        </row>
        <row r="2470">
          <cell r="A2470" t="str">
            <v>PAK</v>
          </cell>
          <cell r="B2470">
            <v>2028</v>
          </cell>
          <cell r="C2470" t="str">
            <v>unpop_65up</v>
          </cell>
          <cell r="D2470">
            <v>12329904.5</v>
          </cell>
          <cell r="F2470" t="str">
            <v>UN-WPP Rev. 2024</v>
          </cell>
        </row>
        <row r="2471">
          <cell r="A2471" t="str">
            <v>PAK</v>
          </cell>
          <cell r="B2471">
            <v>2028</v>
          </cell>
          <cell r="C2471" t="str">
            <v>unpop_total</v>
          </cell>
          <cell r="D2471">
            <v>267881915.5</v>
          </cell>
          <cell r="F2471" t="str">
            <v>UN-WPP Rev. 2024</v>
          </cell>
        </row>
        <row r="2472">
          <cell r="A2472" t="str">
            <v>PAK</v>
          </cell>
          <cell r="B2472">
            <v>2029</v>
          </cell>
          <cell r="C2472" t="str">
            <v>unpop_0014</v>
          </cell>
          <cell r="D2472">
            <v>94017674.5</v>
          </cell>
          <cell r="F2472" t="str">
            <v>UN-WPP Rev. 2024</v>
          </cell>
        </row>
        <row r="2473">
          <cell r="A2473" t="str">
            <v>PAK</v>
          </cell>
          <cell r="B2473">
            <v>2029</v>
          </cell>
          <cell r="C2473" t="str">
            <v>unpop_1564</v>
          </cell>
          <cell r="D2473">
            <v>165580839.5</v>
          </cell>
          <cell r="F2473" t="str">
            <v>UN-WPP Rev. 2024</v>
          </cell>
        </row>
        <row r="2474">
          <cell r="A2474" t="str">
            <v>PAK</v>
          </cell>
          <cell r="B2474">
            <v>2029</v>
          </cell>
          <cell r="C2474" t="str">
            <v>unpop_15up</v>
          </cell>
          <cell r="D2474">
            <v>178319845</v>
          </cell>
          <cell r="F2474" t="str">
            <v>UN-WPP Rev. 2024</v>
          </cell>
        </row>
        <row r="2475">
          <cell r="A2475" t="str">
            <v>PAK</v>
          </cell>
          <cell r="B2475">
            <v>2029</v>
          </cell>
          <cell r="C2475" t="str">
            <v>unpop_65up</v>
          </cell>
          <cell r="D2475">
            <v>12739005.5</v>
          </cell>
          <cell r="F2475" t="str">
            <v>UN-WPP Rev. 2024</v>
          </cell>
        </row>
        <row r="2476">
          <cell r="A2476" t="str">
            <v>PAK</v>
          </cell>
          <cell r="B2476">
            <v>2029</v>
          </cell>
          <cell r="C2476" t="str">
            <v>unpop_total</v>
          </cell>
          <cell r="D2476">
            <v>272337519.5</v>
          </cell>
          <cell r="F2476" t="str">
            <v>UN-WPP Rev. 2024</v>
          </cell>
        </row>
        <row r="2477">
          <cell r="A2477" t="str">
            <v>PAK</v>
          </cell>
          <cell r="B2477">
            <v>2030</v>
          </cell>
          <cell r="C2477" t="str">
            <v>unpop_0014</v>
          </cell>
          <cell r="D2477">
            <v>94592380.5</v>
          </cell>
          <cell r="F2477" t="str">
            <v>UN-WPP Rev. 2024</v>
          </cell>
        </row>
        <row r="2478">
          <cell r="A2478" t="str">
            <v>PAK</v>
          </cell>
          <cell r="B2478">
            <v>2030</v>
          </cell>
          <cell r="C2478" t="str">
            <v>unpop_1564</v>
          </cell>
          <cell r="D2478">
            <v>169141860</v>
          </cell>
          <cell r="F2478" t="str">
            <v>UN-WPP Rev. 2024</v>
          </cell>
        </row>
        <row r="2479">
          <cell r="A2479" t="str">
            <v>PAK</v>
          </cell>
          <cell r="B2479">
            <v>2030</v>
          </cell>
          <cell r="C2479" t="str">
            <v>unpop_15up</v>
          </cell>
          <cell r="D2479">
            <v>182290874.5</v>
          </cell>
          <cell r="F2479" t="str">
            <v>UN-WPP Rev. 2024</v>
          </cell>
        </row>
        <row r="2480">
          <cell r="A2480" t="str">
            <v>PAK</v>
          </cell>
          <cell r="B2480">
            <v>2030</v>
          </cell>
          <cell r="C2480" t="str">
            <v>unpop_65up</v>
          </cell>
          <cell r="D2480">
            <v>13149014.5</v>
          </cell>
          <cell r="F2480" t="str">
            <v>UN-WPP Rev. 2024</v>
          </cell>
        </row>
        <row r="2481">
          <cell r="A2481" t="str">
            <v>PAK</v>
          </cell>
          <cell r="B2481">
            <v>2030</v>
          </cell>
          <cell r="C2481" t="str">
            <v>unpop_total</v>
          </cell>
          <cell r="D2481">
            <v>276883255</v>
          </cell>
          <cell r="F2481" t="str">
            <v>UN-WPP Rev. 2024</v>
          </cell>
        </row>
        <row r="2482">
          <cell r="A2482" t="str">
            <v>AFG</v>
          </cell>
          <cell r="B2482">
            <v>2007</v>
          </cell>
          <cell r="C2482" t="str">
            <v>pvgdp</v>
          </cell>
          <cell r="D2482">
            <v>611527.1875</v>
          </cell>
          <cell r="F2482" t="str">
            <v>Sep-16-2024</v>
          </cell>
        </row>
        <row r="2483">
          <cell r="A2483" t="str">
            <v>AFG</v>
          </cell>
          <cell r="B2483">
            <v>2007</v>
          </cell>
          <cell r="C2483" t="str">
            <v>pvgdp_agriculture</v>
          </cell>
          <cell r="D2483">
            <v>250504.5625</v>
          </cell>
          <cell r="F2483" t="str">
            <v>Sep-16-2024</v>
          </cell>
        </row>
        <row r="2484">
          <cell r="A2484" t="str">
            <v>AFG</v>
          </cell>
          <cell r="B2484">
            <v>2007</v>
          </cell>
          <cell r="C2484" t="str">
            <v>pvgdp_industry</v>
          </cell>
          <cell r="D2484">
            <v>82330.0390625</v>
          </cell>
          <cell r="F2484" t="str">
            <v>Sep-16-2024</v>
          </cell>
        </row>
        <row r="2485">
          <cell r="A2485" t="str">
            <v>AFG</v>
          </cell>
          <cell r="B2485">
            <v>2007</v>
          </cell>
          <cell r="C2485" t="str">
            <v>pvgdp_services</v>
          </cell>
          <cell r="D2485">
            <v>256696.03125</v>
          </cell>
          <cell r="F2485" t="str">
            <v>Sep-16-2024</v>
          </cell>
        </row>
        <row r="2486">
          <cell r="A2486" t="str">
            <v>AFG</v>
          </cell>
          <cell r="B2486">
            <v>2007</v>
          </cell>
          <cell r="C2486" t="str">
            <v>pvgdppc</v>
          </cell>
          <cell r="D2486">
            <v>23608.07921188679</v>
          </cell>
          <cell r="F2486" t="str">
            <v>Sep-16-2024</v>
          </cell>
        </row>
        <row r="2487">
          <cell r="A2487" t="str">
            <v>AFG</v>
          </cell>
          <cell r="B2487">
            <v>2007</v>
          </cell>
          <cell r="C2487" t="str">
            <v>pvpop_total</v>
          </cell>
          <cell r="D2487">
            <v>25903301.239013672</v>
          </cell>
          <cell r="F2487" t="str">
            <v>Sep-16-2024</v>
          </cell>
        </row>
        <row r="2488">
          <cell r="A2488" t="str">
            <v>AFG</v>
          </cell>
          <cell r="B2488">
            <v>2007</v>
          </cell>
          <cell r="C2488" t="str">
            <v>pvpop_15up</v>
          </cell>
          <cell r="D2488">
            <v>13030555.120234899</v>
          </cell>
          <cell r="F2488" t="str">
            <v>Sep-16-2024</v>
          </cell>
        </row>
        <row r="2489">
          <cell r="A2489" t="str">
            <v>AFG</v>
          </cell>
          <cell r="B2489">
            <v>2007</v>
          </cell>
          <cell r="C2489" t="str">
            <v>pvprivpc</v>
          </cell>
          <cell r="D2489">
            <v>26146.22818731458</v>
          </cell>
          <cell r="F2489" t="str">
            <v>Sep-16-2024</v>
          </cell>
        </row>
        <row r="2490">
          <cell r="A2490" t="str">
            <v>AFG</v>
          </cell>
          <cell r="B2490">
            <v>2008</v>
          </cell>
          <cell r="C2490" t="str">
            <v>pvgdp</v>
          </cell>
          <cell r="D2490">
            <v>627902.6875</v>
          </cell>
          <cell r="F2490" t="str">
            <v>Sep-16-2024</v>
          </cell>
        </row>
        <row r="2491">
          <cell r="A2491" t="str">
            <v>AFG</v>
          </cell>
          <cell r="B2491">
            <v>2008</v>
          </cell>
          <cell r="C2491" t="str">
            <v>pvgdp_agriculture</v>
          </cell>
          <cell r="D2491">
            <v>213138.484375</v>
          </cell>
          <cell r="F2491" t="str">
            <v>Sep-16-2024</v>
          </cell>
        </row>
        <row r="2492">
          <cell r="A2492" t="str">
            <v>AFG</v>
          </cell>
          <cell r="B2492">
            <v>2008</v>
          </cell>
          <cell r="C2492" t="str">
            <v>pvgdp_industry</v>
          </cell>
          <cell r="D2492">
            <v>87057.28125</v>
          </cell>
          <cell r="F2492" t="str">
            <v>Sep-16-2024</v>
          </cell>
        </row>
        <row r="2493">
          <cell r="A2493" t="str">
            <v>AFG</v>
          </cell>
          <cell r="B2493">
            <v>2008</v>
          </cell>
          <cell r="C2493" t="str">
            <v>pvgdp_services</v>
          </cell>
          <cell r="D2493">
            <v>307216.75</v>
          </cell>
          <cell r="F2493" t="str">
            <v>Sep-16-2024</v>
          </cell>
        </row>
        <row r="2494">
          <cell r="A2494" t="str">
            <v>AFG</v>
          </cell>
          <cell r="B2494">
            <v>2008</v>
          </cell>
          <cell r="C2494" t="str">
            <v>pvgdppc</v>
          </cell>
          <cell r="D2494">
            <v>23759.714433505396</v>
          </cell>
          <cell r="F2494" t="str">
            <v>Sep-16-2024</v>
          </cell>
        </row>
        <row r="2495">
          <cell r="A2495" t="str">
            <v>AFG</v>
          </cell>
          <cell r="B2495">
            <v>2008</v>
          </cell>
          <cell r="C2495" t="str">
            <v>pvpop_total</v>
          </cell>
          <cell r="D2495">
            <v>26427198.41003418</v>
          </cell>
          <cell r="F2495" t="str">
            <v>Sep-16-2024</v>
          </cell>
        </row>
        <row r="2496">
          <cell r="A2496" t="str">
            <v>AFG</v>
          </cell>
          <cell r="B2496">
            <v>2008</v>
          </cell>
          <cell r="C2496" t="str">
            <v>pvpop_15up</v>
          </cell>
          <cell r="D2496">
            <v>13242547.704370838</v>
          </cell>
          <cell r="F2496" t="str">
            <v>Sep-16-2024</v>
          </cell>
        </row>
        <row r="2497">
          <cell r="A2497" t="str">
            <v>AFG</v>
          </cell>
          <cell r="B2497">
            <v>2008</v>
          </cell>
          <cell r="C2497" t="str">
            <v>pvprivpc</v>
          </cell>
          <cell r="D2497">
            <v>23608.239334333324</v>
          </cell>
          <cell r="F2497" t="str">
            <v>Sep-16-2024</v>
          </cell>
        </row>
        <row r="2498">
          <cell r="A2498" t="str">
            <v>AFG</v>
          </cell>
          <cell r="B2498">
            <v>2009</v>
          </cell>
          <cell r="C2498" t="str">
            <v>pvgdp</v>
          </cell>
          <cell r="D2498">
            <v>774565.25</v>
          </cell>
          <cell r="F2498" t="str">
            <v>Sep-16-2024</v>
          </cell>
        </row>
        <row r="2499">
          <cell r="A2499" t="str">
            <v>AFG</v>
          </cell>
          <cell r="B2499">
            <v>2009</v>
          </cell>
          <cell r="C2499" t="str">
            <v>pvgdp_agriculture</v>
          </cell>
          <cell r="D2499">
            <v>308119.28125</v>
          </cell>
          <cell r="F2499" t="str">
            <v>Sep-16-2024</v>
          </cell>
        </row>
        <row r="2500">
          <cell r="A2500" t="str">
            <v>AFG</v>
          </cell>
          <cell r="B2500">
            <v>2009</v>
          </cell>
          <cell r="C2500" t="str">
            <v>pvgdp_industry</v>
          </cell>
          <cell r="D2500">
            <v>92373.9921875</v>
          </cell>
          <cell r="F2500" t="str">
            <v>Sep-16-2024</v>
          </cell>
        </row>
        <row r="2501">
          <cell r="A2501" t="str">
            <v>AFG</v>
          </cell>
          <cell r="B2501">
            <v>2009</v>
          </cell>
          <cell r="C2501" t="str">
            <v>pvgdp_services</v>
          </cell>
          <cell r="D2501">
            <v>352852.125</v>
          </cell>
          <cell r="F2501" t="str">
            <v>Sep-16-2024</v>
          </cell>
        </row>
        <row r="2502">
          <cell r="A2502" t="str">
            <v>AFG</v>
          </cell>
          <cell r="B2502">
            <v>2009</v>
          </cell>
          <cell r="C2502" t="str">
            <v>pvgdppc</v>
          </cell>
          <cell r="D2502">
            <v>28283.971444069241</v>
          </cell>
          <cell r="F2502" t="str">
            <v>Sep-16-2024</v>
          </cell>
        </row>
        <row r="2503">
          <cell r="A2503" t="str">
            <v>AFG</v>
          </cell>
          <cell r="B2503">
            <v>2009</v>
          </cell>
          <cell r="C2503" t="str">
            <v>pvpop_total</v>
          </cell>
          <cell r="D2503">
            <v>27385307.312011719</v>
          </cell>
          <cell r="F2503" t="str">
            <v>Sep-16-2024</v>
          </cell>
        </row>
        <row r="2504">
          <cell r="A2504" t="str">
            <v>AFG</v>
          </cell>
          <cell r="B2504">
            <v>2009</v>
          </cell>
          <cell r="C2504" t="str">
            <v>pvpop_15up</v>
          </cell>
          <cell r="D2504">
            <v>13879008.15812907</v>
          </cell>
          <cell r="F2504" t="str">
            <v>Sep-16-2024</v>
          </cell>
        </row>
        <row r="2505">
          <cell r="A2505" t="str">
            <v>AFG</v>
          </cell>
          <cell r="B2505">
            <v>2009</v>
          </cell>
          <cell r="C2505" t="str">
            <v>pvprivpc</v>
          </cell>
          <cell r="D2505">
            <v>24911.446756004476</v>
          </cell>
          <cell r="F2505" t="str">
            <v>Sep-16-2024</v>
          </cell>
        </row>
        <row r="2506">
          <cell r="A2506" t="str">
            <v>AFG</v>
          </cell>
          <cell r="B2506">
            <v>2010</v>
          </cell>
          <cell r="C2506" t="str">
            <v>pvgdp</v>
          </cell>
          <cell r="D2506">
            <v>836729.875</v>
          </cell>
          <cell r="F2506" t="str">
            <v>Sep-16-2024</v>
          </cell>
        </row>
        <row r="2507">
          <cell r="A2507" t="str">
            <v>AFG</v>
          </cell>
          <cell r="B2507">
            <v>2010</v>
          </cell>
          <cell r="C2507" t="str">
            <v>pvgdp_agriculture</v>
          </cell>
          <cell r="D2507">
            <v>288476.28125</v>
          </cell>
          <cell r="F2507" t="str">
            <v>Sep-16-2024</v>
          </cell>
        </row>
        <row r="2508">
          <cell r="A2508" t="str">
            <v>AFG</v>
          </cell>
          <cell r="B2508">
            <v>2010</v>
          </cell>
          <cell r="C2508" t="str">
            <v>pvgdp_industry</v>
          </cell>
          <cell r="D2508">
            <v>98166.3984375</v>
          </cell>
          <cell r="F2508" t="str">
            <v>Sep-16-2024</v>
          </cell>
        </row>
        <row r="2509">
          <cell r="A2509" t="str">
            <v>AFG</v>
          </cell>
          <cell r="B2509">
            <v>2010</v>
          </cell>
          <cell r="C2509" t="str">
            <v>pvgdp_services</v>
          </cell>
          <cell r="D2509">
            <v>416306.84375</v>
          </cell>
          <cell r="F2509" t="str">
            <v>Sep-16-2024</v>
          </cell>
        </row>
        <row r="2510">
          <cell r="A2510" t="str">
            <v>AFG</v>
          </cell>
          <cell r="B2510">
            <v>2010</v>
          </cell>
          <cell r="C2510" t="str">
            <v>pvgdppc</v>
          </cell>
          <cell r="D2510">
            <v>29682.142489867896</v>
          </cell>
          <cell r="F2510" t="str">
            <v>Sep-16-2024</v>
          </cell>
        </row>
        <row r="2511">
          <cell r="A2511" t="str">
            <v>AFG</v>
          </cell>
          <cell r="B2511">
            <v>2010</v>
          </cell>
          <cell r="C2511" t="str">
            <v>pvpop_total</v>
          </cell>
          <cell r="D2511">
            <v>28189672.470092773</v>
          </cell>
          <cell r="F2511" t="str">
            <v>Sep-16-2024</v>
          </cell>
        </row>
        <row r="2512">
          <cell r="A2512" t="str">
            <v>AFG</v>
          </cell>
          <cell r="B2512">
            <v>2010</v>
          </cell>
          <cell r="C2512" t="str">
            <v>pvpop_15up</v>
          </cell>
          <cell r="D2512">
            <v>14385472.239893053</v>
          </cell>
          <cell r="F2512" t="str">
            <v>Sep-16-2024</v>
          </cell>
        </row>
        <row r="2513">
          <cell r="A2513" t="str">
            <v>AFG</v>
          </cell>
          <cell r="B2513">
            <v>2010</v>
          </cell>
          <cell r="C2513" t="str">
            <v>pvprivpc</v>
          </cell>
          <cell r="D2513">
            <v>25100.739490701551</v>
          </cell>
          <cell r="F2513" t="str">
            <v>Sep-16-2024</v>
          </cell>
        </row>
        <row r="2514">
          <cell r="A2514" t="str">
            <v>AFG</v>
          </cell>
          <cell r="B2514">
            <v>2011</v>
          </cell>
          <cell r="C2514" t="str">
            <v>pvgdp</v>
          </cell>
          <cell r="D2514">
            <v>904302.8125</v>
          </cell>
          <cell r="F2514" t="str">
            <v>Sep-16-2024</v>
          </cell>
        </row>
        <row r="2515">
          <cell r="A2515" t="str">
            <v>AFG</v>
          </cell>
          <cell r="B2515">
            <v>2011</v>
          </cell>
          <cell r="C2515" t="str">
            <v>pvgdp_agriculture</v>
          </cell>
          <cell r="D2515">
            <v>266574.21875</v>
          </cell>
          <cell r="F2515" t="str">
            <v>Sep-16-2024</v>
          </cell>
        </row>
        <row r="2516">
          <cell r="A2516" t="str">
            <v>AFG</v>
          </cell>
          <cell r="B2516">
            <v>2011</v>
          </cell>
          <cell r="C2516" t="str">
            <v>pvgdp_industry</v>
          </cell>
          <cell r="D2516">
            <v>107794.234375</v>
          </cell>
          <cell r="F2516" t="str">
            <v>Sep-16-2024</v>
          </cell>
        </row>
        <row r="2517">
          <cell r="A2517" t="str">
            <v>AFG</v>
          </cell>
          <cell r="B2517">
            <v>2011</v>
          </cell>
          <cell r="C2517" t="str">
            <v>pvgdp_services</v>
          </cell>
          <cell r="D2517">
            <v>492721.65625</v>
          </cell>
          <cell r="F2517" t="str">
            <v>Sep-16-2024</v>
          </cell>
        </row>
        <row r="2518">
          <cell r="A2518" t="str">
            <v>AFG</v>
          </cell>
          <cell r="B2518">
            <v>2011</v>
          </cell>
          <cell r="C2518" t="str">
            <v>pvgdppc</v>
          </cell>
          <cell r="D2518">
            <v>30917.22657124736</v>
          </cell>
          <cell r="F2518" t="str">
            <v>Sep-16-2024</v>
          </cell>
        </row>
        <row r="2519">
          <cell r="A2519" t="str">
            <v>AFG</v>
          </cell>
          <cell r="B2519">
            <v>2011</v>
          </cell>
          <cell r="C2519" t="str">
            <v>pvpop_total</v>
          </cell>
          <cell r="D2519">
            <v>29249156.951904297</v>
          </cell>
          <cell r="F2519" t="str">
            <v>Sep-16-2024</v>
          </cell>
        </row>
        <row r="2520">
          <cell r="A2520" t="str">
            <v>AFG</v>
          </cell>
          <cell r="B2520">
            <v>2011</v>
          </cell>
          <cell r="C2520" t="str">
            <v>pvpop_15up</v>
          </cell>
          <cell r="D2520">
            <v>15132237.975117382</v>
          </cell>
          <cell r="F2520" t="str">
            <v>Sep-16-2024</v>
          </cell>
        </row>
        <row r="2521">
          <cell r="A2521" t="str">
            <v>AFG</v>
          </cell>
          <cell r="B2521">
            <v>2011</v>
          </cell>
          <cell r="C2521" t="str">
            <v>pvprivpc</v>
          </cell>
          <cell r="D2521">
            <v>25393.148551983955</v>
          </cell>
          <cell r="F2521" t="str">
            <v>Sep-16-2024</v>
          </cell>
        </row>
        <row r="2522">
          <cell r="A2522" t="str">
            <v>AFG</v>
          </cell>
          <cell r="B2522">
            <v>2012</v>
          </cell>
          <cell r="C2522" t="str">
            <v>pvgdp</v>
          </cell>
          <cell r="D2522">
            <v>1092200.25</v>
          </cell>
          <cell r="F2522" t="str">
            <v>Sep-16-2024</v>
          </cell>
        </row>
        <row r="2523">
          <cell r="A2523" t="str">
            <v>AFG</v>
          </cell>
          <cell r="B2523">
            <v>2012</v>
          </cell>
          <cell r="C2523" t="str">
            <v>pvgdp_agriculture</v>
          </cell>
          <cell r="D2523">
            <v>315156.8125</v>
          </cell>
          <cell r="F2523" t="str">
            <v>Sep-16-2024</v>
          </cell>
        </row>
        <row r="2524">
          <cell r="A2524" t="str">
            <v>AFG</v>
          </cell>
          <cell r="B2524">
            <v>2012</v>
          </cell>
          <cell r="C2524" t="str">
            <v>pvgdp_industry</v>
          </cell>
          <cell r="D2524">
            <v>114686.671875</v>
          </cell>
          <cell r="F2524" t="str">
            <v>Sep-16-2024</v>
          </cell>
        </row>
        <row r="2525">
          <cell r="A2525" t="str">
            <v>AFG</v>
          </cell>
          <cell r="B2525">
            <v>2012</v>
          </cell>
          <cell r="C2525" t="str">
            <v>pvgdp_services</v>
          </cell>
          <cell r="D2525">
            <v>614843.5625</v>
          </cell>
          <cell r="F2525" t="str">
            <v>Sep-16-2024</v>
          </cell>
        </row>
        <row r="2526">
          <cell r="A2526" t="str">
            <v>AFG</v>
          </cell>
          <cell r="B2526">
            <v>2012</v>
          </cell>
          <cell r="C2526" t="str">
            <v>pvgdppc</v>
          </cell>
          <cell r="D2526">
            <v>35849.245112362834</v>
          </cell>
          <cell r="F2526" t="str">
            <v>Sep-16-2024</v>
          </cell>
        </row>
        <row r="2527">
          <cell r="A2527" t="str">
            <v>AFG</v>
          </cell>
          <cell r="B2527">
            <v>2012</v>
          </cell>
          <cell r="C2527" t="str">
            <v>pvpop_total</v>
          </cell>
          <cell r="D2527">
            <v>30466478.34777832</v>
          </cell>
          <cell r="F2527" t="str">
            <v>Sep-16-2024</v>
          </cell>
        </row>
        <row r="2528">
          <cell r="A2528" t="str">
            <v>AFG</v>
          </cell>
          <cell r="B2528">
            <v>2012</v>
          </cell>
          <cell r="C2528" t="str">
            <v>pvpop_15up</v>
          </cell>
          <cell r="D2528">
            <v>16015469.657143293</v>
          </cell>
          <cell r="F2528" t="str">
            <v>Sep-16-2024</v>
          </cell>
        </row>
        <row r="2529">
          <cell r="A2529" t="str">
            <v>AFG</v>
          </cell>
          <cell r="B2529">
            <v>2012</v>
          </cell>
          <cell r="C2529" t="str">
            <v>pvprivpc</v>
          </cell>
          <cell r="D2529">
            <v>29642.94854465374</v>
          </cell>
          <cell r="F2529" t="str">
            <v>Sep-16-2024</v>
          </cell>
        </row>
        <row r="2530">
          <cell r="A2530" t="str">
            <v>AFG</v>
          </cell>
          <cell r="B2530">
            <v>2013</v>
          </cell>
          <cell r="C2530" t="str">
            <v>pvgdp</v>
          </cell>
          <cell r="D2530">
            <v>1150839.5</v>
          </cell>
          <cell r="F2530" t="str">
            <v>Sep-16-2024</v>
          </cell>
        </row>
        <row r="2531">
          <cell r="A2531" t="str">
            <v>AFG</v>
          </cell>
          <cell r="B2531">
            <v>2013</v>
          </cell>
          <cell r="C2531" t="str">
            <v>pvgdp_agriculture</v>
          </cell>
          <cell r="D2531">
            <v>315173.40625</v>
          </cell>
          <cell r="F2531" t="str">
            <v>Sep-16-2024</v>
          </cell>
        </row>
        <row r="2532">
          <cell r="A2532" t="str">
            <v>AFG</v>
          </cell>
          <cell r="B2532">
            <v>2013</v>
          </cell>
          <cell r="C2532" t="str">
            <v>pvgdp_industry</v>
          </cell>
          <cell r="D2532">
            <v>120490.953125</v>
          </cell>
          <cell r="F2532" t="str">
            <v>Sep-16-2024</v>
          </cell>
        </row>
        <row r="2533">
          <cell r="A2533" t="str">
            <v>AFG</v>
          </cell>
          <cell r="B2533">
            <v>2013</v>
          </cell>
          <cell r="C2533" t="str">
            <v>pvgdp_services</v>
          </cell>
          <cell r="D2533">
            <v>662964.625</v>
          </cell>
          <cell r="F2533" t="str">
            <v>Sep-16-2024</v>
          </cell>
        </row>
        <row r="2534">
          <cell r="A2534" t="str">
            <v>AFG</v>
          </cell>
          <cell r="B2534">
            <v>2013</v>
          </cell>
          <cell r="C2534" t="str">
            <v>pvgdppc</v>
          </cell>
          <cell r="D2534">
            <v>36486.855235547024</v>
          </cell>
          <cell r="F2534" t="str">
            <v>Sep-16-2024</v>
          </cell>
        </row>
        <row r="2535">
          <cell r="A2535" t="str">
            <v>AFG</v>
          </cell>
          <cell r="B2535">
            <v>2013</v>
          </cell>
          <cell r="C2535" t="str">
            <v>pvpop_total</v>
          </cell>
          <cell r="D2535">
            <v>31541208.267211914</v>
          </cell>
          <cell r="F2535" t="str">
            <v>Sep-16-2024</v>
          </cell>
        </row>
        <row r="2536">
          <cell r="A2536" t="str">
            <v>AFG</v>
          </cell>
          <cell r="B2536">
            <v>2013</v>
          </cell>
          <cell r="C2536" t="str">
            <v>pvpop_15up</v>
          </cell>
          <cell r="D2536">
            <v>16758594.610652253</v>
          </cell>
          <cell r="F2536" t="str">
            <v>Sep-16-2024</v>
          </cell>
        </row>
        <row r="2537">
          <cell r="A2537" t="str">
            <v>AFG</v>
          </cell>
          <cell r="B2537">
            <v>2013</v>
          </cell>
          <cell r="C2537" t="str">
            <v>pvprivpc</v>
          </cell>
          <cell r="D2537">
            <v>33060.89065027998</v>
          </cell>
          <cell r="F2537" t="str">
            <v>Sep-16-2024</v>
          </cell>
        </row>
        <row r="2538">
          <cell r="A2538" t="str">
            <v>AFG</v>
          </cell>
          <cell r="B2538">
            <v>2014</v>
          </cell>
          <cell r="C2538" t="str">
            <v>pvgdp</v>
          </cell>
          <cell r="D2538">
            <v>1179889.375</v>
          </cell>
          <cell r="F2538" t="str">
            <v>Sep-16-2024</v>
          </cell>
        </row>
        <row r="2539">
          <cell r="A2539" t="str">
            <v>AFG</v>
          </cell>
          <cell r="B2539">
            <v>2014</v>
          </cell>
          <cell r="C2539" t="str">
            <v>pvgdp_agriculture</v>
          </cell>
          <cell r="D2539">
            <v>314856</v>
          </cell>
          <cell r="F2539" t="str">
            <v>Sep-16-2024</v>
          </cell>
        </row>
        <row r="2540">
          <cell r="A2540" t="str">
            <v>AFG</v>
          </cell>
          <cell r="B2540">
            <v>2014</v>
          </cell>
          <cell r="C2540" t="str">
            <v>pvgdp_industry</v>
          </cell>
          <cell r="D2540">
            <v>123823.46875</v>
          </cell>
          <cell r="F2540" t="str">
            <v>Sep-16-2024</v>
          </cell>
        </row>
        <row r="2541">
          <cell r="A2541" t="str">
            <v>AFG</v>
          </cell>
          <cell r="B2541">
            <v>2014</v>
          </cell>
          <cell r="C2541" t="str">
            <v>pvgdp_services</v>
          </cell>
          <cell r="D2541">
            <v>692997.9375</v>
          </cell>
          <cell r="F2541" t="str">
            <v>Sep-16-2024</v>
          </cell>
        </row>
        <row r="2542">
          <cell r="A2542" t="str">
            <v>AFG</v>
          </cell>
          <cell r="B2542">
            <v>2014</v>
          </cell>
          <cell r="C2542" t="str">
            <v>pvgdppc</v>
          </cell>
          <cell r="D2542">
            <v>36064.366753346818</v>
          </cell>
          <cell r="F2542" t="str">
            <v>Sep-16-2024</v>
          </cell>
        </row>
        <row r="2543">
          <cell r="A2543" t="str">
            <v>AFG</v>
          </cell>
          <cell r="B2543">
            <v>2014</v>
          </cell>
          <cell r="C2543" t="str">
            <v>pvpop_total</v>
          </cell>
          <cell r="D2543">
            <v>32716209.411621094</v>
          </cell>
          <cell r="F2543" t="str">
            <v>Sep-16-2024</v>
          </cell>
        </row>
        <row r="2544">
          <cell r="A2544" t="str">
            <v>AFG</v>
          </cell>
          <cell r="B2544">
            <v>2014</v>
          </cell>
          <cell r="C2544" t="str">
            <v>pvpop_15up</v>
          </cell>
          <cell r="D2544">
            <v>17591002.683637712</v>
          </cell>
          <cell r="F2544" t="str">
            <v>Sep-16-2024</v>
          </cell>
        </row>
        <row r="2545">
          <cell r="A2545" t="str">
            <v>AFG</v>
          </cell>
          <cell r="B2545">
            <v>2014</v>
          </cell>
          <cell r="C2545" t="str">
            <v>pvprivpc</v>
          </cell>
          <cell r="D2545">
            <v>34350.445702942903</v>
          </cell>
          <cell r="F2545" t="str">
            <v>Sep-16-2024</v>
          </cell>
        </row>
        <row r="2546">
          <cell r="A2546" t="str">
            <v>AFG</v>
          </cell>
          <cell r="B2546">
            <v>2015</v>
          </cell>
          <cell r="C2546" t="str">
            <v>pvgdp</v>
          </cell>
          <cell r="D2546">
            <v>1187297.5</v>
          </cell>
          <cell r="F2546" t="str">
            <v>Sep-16-2024</v>
          </cell>
        </row>
        <row r="2547">
          <cell r="A2547" t="str">
            <v>AFG</v>
          </cell>
          <cell r="B2547">
            <v>2015</v>
          </cell>
          <cell r="C2547" t="str">
            <v>pvgdp_agriculture</v>
          </cell>
          <cell r="D2547">
            <v>297043.90625</v>
          </cell>
          <cell r="F2547" t="str">
            <v>Sep-16-2024</v>
          </cell>
        </row>
        <row r="2548">
          <cell r="A2548" t="str">
            <v>AFG</v>
          </cell>
          <cell r="B2548">
            <v>2015</v>
          </cell>
          <cell r="C2548" t="str">
            <v>pvgdp_industry</v>
          </cell>
          <cell r="D2548">
            <v>128988.296875</v>
          </cell>
          <cell r="F2548" t="str">
            <v>Sep-16-2024</v>
          </cell>
        </row>
        <row r="2549">
          <cell r="A2549" t="str">
            <v>AFG</v>
          </cell>
          <cell r="B2549">
            <v>2015</v>
          </cell>
          <cell r="C2549" t="str">
            <v>pvgdp_services</v>
          </cell>
          <cell r="D2549">
            <v>707794.1875</v>
          </cell>
          <cell r="F2549" t="str">
            <v>Sep-16-2024</v>
          </cell>
        </row>
        <row r="2550">
          <cell r="A2550" t="str">
            <v>AFG</v>
          </cell>
          <cell r="B2550">
            <v>2015</v>
          </cell>
          <cell r="C2550" t="str">
            <v>pvgdppc</v>
          </cell>
          <cell r="D2550">
            <v>35175.539355289169</v>
          </cell>
          <cell r="F2550" t="str">
            <v>Sep-16-2024</v>
          </cell>
        </row>
        <row r="2551">
          <cell r="A2551" t="str">
            <v>AFG</v>
          </cell>
          <cell r="B2551">
            <v>2015</v>
          </cell>
          <cell r="C2551" t="str">
            <v>pvpop_total</v>
          </cell>
          <cell r="D2551">
            <v>33753498.077392578</v>
          </cell>
          <cell r="F2551" t="str">
            <v>Sep-16-2024</v>
          </cell>
        </row>
        <row r="2552">
          <cell r="A2552" t="str">
            <v>AFG</v>
          </cell>
          <cell r="B2552">
            <v>2015</v>
          </cell>
          <cell r="C2552" t="str">
            <v>pvpop_15up</v>
          </cell>
          <cell r="D2552">
            <v>18297060.499873947</v>
          </cell>
          <cell r="F2552" t="str">
            <v>Sep-16-2024</v>
          </cell>
        </row>
        <row r="2553">
          <cell r="A2553" t="str">
            <v>AFG</v>
          </cell>
          <cell r="B2553">
            <v>2015</v>
          </cell>
          <cell r="C2553" t="str">
            <v>pvprivpc</v>
          </cell>
          <cell r="D2553">
            <v>36052.178124170387</v>
          </cell>
          <cell r="F2553" t="str">
            <v>Sep-16-2024</v>
          </cell>
        </row>
        <row r="2554">
          <cell r="A2554" t="str">
            <v>AFG</v>
          </cell>
          <cell r="B2554">
            <v>2016</v>
          </cell>
          <cell r="C2554" t="str">
            <v>pvgdp</v>
          </cell>
          <cell r="D2554">
            <v>1222916.875</v>
          </cell>
          <cell r="F2554" t="str">
            <v>Sep-16-2024</v>
          </cell>
        </row>
        <row r="2555">
          <cell r="A2555" t="str">
            <v>AFG</v>
          </cell>
          <cell r="B2555">
            <v>2016</v>
          </cell>
          <cell r="C2555" t="str">
            <v>pvgdp_agriculture</v>
          </cell>
          <cell r="D2555">
            <v>314782.65625</v>
          </cell>
          <cell r="F2555" t="str">
            <v>Sep-16-2024</v>
          </cell>
        </row>
        <row r="2556">
          <cell r="A2556" t="str">
            <v>AFG</v>
          </cell>
          <cell r="B2556">
            <v>2016</v>
          </cell>
          <cell r="C2556" t="str">
            <v>pvgdp_industry</v>
          </cell>
          <cell r="D2556">
            <v>128000.359375</v>
          </cell>
          <cell r="F2556" t="str">
            <v>Sep-16-2024</v>
          </cell>
        </row>
        <row r="2557">
          <cell r="A2557" t="str">
            <v>AFG</v>
          </cell>
          <cell r="B2557">
            <v>2016</v>
          </cell>
          <cell r="C2557" t="str">
            <v>pvgdp_services</v>
          </cell>
          <cell r="D2557">
            <v>721804.875</v>
          </cell>
          <cell r="F2557" t="str">
            <v>Sep-16-2024</v>
          </cell>
        </row>
        <row r="2558">
          <cell r="A2558" t="str">
            <v>AFG</v>
          </cell>
          <cell r="B2558">
            <v>2016</v>
          </cell>
          <cell r="C2558" t="str">
            <v>pvgdppc</v>
          </cell>
          <cell r="D2558">
            <v>35307.470431207112</v>
          </cell>
          <cell r="F2558" t="str">
            <v>Sep-16-2024</v>
          </cell>
        </row>
        <row r="2559">
          <cell r="A2559" t="str">
            <v>AFG</v>
          </cell>
          <cell r="B2559">
            <v>2016</v>
          </cell>
          <cell r="C2559" t="str">
            <v>pvpop_total</v>
          </cell>
          <cell r="D2559">
            <v>34636207.580566406</v>
          </cell>
          <cell r="F2559" t="str">
            <v>Sep-16-2024</v>
          </cell>
        </row>
        <row r="2560">
          <cell r="A2560" t="str">
            <v>AFG</v>
          </cell>
          <cell r="B2560">
            <v>2016</v>
          </cell>
          <cell r="C2560" t="str">
            <v>pvpop_15up</v>
          </cell>
          <cell r="D2560">
            <v>18869471.316286974</v>
          </cell>
          <cell r="F2560" t="str">
            <v>Sep-16-2024</v>
          </cell>
        </row>
        <row r="2561">
          <cell r="A2561" t="str">
            <v>AFG</v>
          </cell>
          <cell r="B2561">
            <v>2016</v>
          </cell>
          <cell r="C2561" t="str">
            <v>pvprivpc</v>
          </cell>
          <cell r="D2561">
            <v>33797.767763027616</v>
          </cell>
          <cell r="F2561" t="str">
            <v>Sep-16-2024</v>
          </cell>
        </row>
        <row r="2562">
          <cell r="A2562" t="str">
            <v>AFG</v>
          </cell>
          <cell r="B2562">
            <v>2017</v>
          </cell>
          <cell r="C2562" t="str">
            <v>pvgdp</v>
          </cell>
          <cell r="D2562">
            <v>1255287.5</v>
          </cell>
          <cell r="F2562" t="str">
            <v>Sep-16-2024</v>
          </cell>
        </row>
        <row r="2563">
          <cell r="A2563" t="str">
            <v>AFG</v>
          </cell>
          <cell r="B2563">
            <v>2017</v>
          </cell>
          <cell r="C2563" t="str">
            <v>pvgdp_agriculture</v>
          </cell>
          <cell r="D2563">
            <v>334963.53125</v>
          </cell>
          <cell r="F2563" t="str">
            <v>Sep-16-2024</v>
          </cell>
        </row>
        <row r="2564">
          <cell r="A2564" t="str">
            <v>AFG</v>
          </cell>
          <cell r="B2564">
            <v>2017</v>
          </cell>
          <cell r="C2564" t="str">
            <v>pvgdp_industry</v>
          </cell>
          <cell r="D2564">
            <v>139785.078125</v>
          </cell>
          <cell r="F2564" t="str">
            <v>Sep-16-2024</v>
          </cell>
        </row>
        <row r="2565">
          <cell r="A2565" t="str">
            <v>AFG</v>
          </cell>
          <cell r="B2565">
            <v>2017</v>
          </cell>
          <cell r="C2565" t="str">
            <v>pvgdp_services</v>
          </cell>
          <cell r="D2565">
            <v>716878.25</v>
          </cell>
          <cell r="F2565" t="str">
            <v>Sep-16-2024</v>
          </cell>
        </row>
        <row r="2566">
          <cell r="A2566" t="str">
            <v>AFG</v>
          </cell>
          <cell r="B2566">
            <v>2017</v>
          </cell>
          <cell r="C2566" t="str">
            <v>pvgdppc</v>
          </cell>
          <cell r="D2566">
            <v>35217.93343713224</v>
          </cell>
          <cell r="F2566" t="str">
            <v>Sep-16-2024</v>
          </cell>
        </row>
        <row r="2567">
          <cell r="A2567" t="str">
            <v>AFG</v>
          </cell>
          <cell r="B2567">
            <v>2017</v>
          </cell>
          <cell r="C2567" t="str">
            <v>pvpop_total</v>
          </cell>
          <cell r="D2567">
            <v>35643417.358398438</v>
          </cell>
          <cell r="F2567" t="str">
            <v>Sep-16-2024</v>
          </cell>
        </row>
        <row r="2568">
          <cell r="A2568" t="str">
            <v>AFG</v>
          </cell>
          <cell r="B2568">
            <v>2017</v>
          </cell>
          <cell r="C2568" t="str">
            <v>pvpop_15up</v>
          </cell>
          <cell r="D2568">
            <v>19561600.647880185</v>
          </cell>
          <cell r="F2568" t="str">
            <v>Sep-16-2024</v>
          </cell>
        </row>
        <row r="2569">
          <cell r="A2569" t="str">
            <v>AFG</v>
          </cell>
          <cell r="B2569">
            <v>2017</v>
          </cell>
          <cell r="C2569" t="str">
            <v>pvprivpc</v>
          </cell>
          <cell r="D2569">
            <v>33992.142583222849</v>
          </cell>
          <cell r="F2569" t="str">
            <v>Sep-16-2024</v>
          </cell>
        </row>
        <row r="2570">
          <cell r="A2570" t="str">
            <v>AFG</v>
          </cell>
          <cell r="B2570">
            <v>2018</v>
          </cell>
          <cell r="C2570" t="str">
            <v>pvgdp</v>
          </cell>
          <cell r="D2570">
            <v>1270215.75</v>
          </cell>
          <cell r="F2570" t="str">
            <v>Sep-16-2024</v>
          </cell>
        </row>
        <row r="2571">
          <cell r="A2571" t="str">
            <v>AFG</v>
          </cell>
          <cell r="B2571">
            <v>2018</v>
          </cell>
          <cell r="C2571" t="str">
            <v>pvgdp_agriculture</v>
          </cell>
          <cell r="D2571">
            <v>320173.875</v>
          </cell>
          <cell r="F2571" t="str">
            <v>Sep-16-2024</v>
          </cell>
        </row>
        <row r="2572">
          <cell r="A2572" t="str">
            <v>AFG</v>
          </cell>
          <cell r="B2572">
            <v>2018</v>
          </cell>
          <cell r="C2572" t="str">
            <v>pvgdp_industry</v>
          </cell>
          <cell r="D2572">
            <v>155265.78125</v>
          </cell>
          <cell r="F2572" t="str">
            <v>Sep-16-2024</v>
          </cell>
        </row>
        <row r="2573">
          <cell r="A2573" t="str">
            <v>AFG</v>
          </cell>
          <cell r="B2573">
            <v>2018</v>
          </cell>
          <cell r="C2573" t="str">
            <v>pvgdp_services</v>
          </cell>
          <cell r="D2573">
            <v>730772.5625</v>
          </cell>
          <cell r="F2573" t="str">
            <v>Sep-16-2024</v>
          </cell>
        </row>
        <row r="2574">
          <cell r="A2574" t="str">
            <v>AFG</v>
          </cell>
          <cell r="B2574">
            <v>2018</v>
          </cell>
          <cell r="C2574" t="str">
            <v>pvgdppc</v>
          </cell>
          <cell r="D2574">
            <v>34623.252620611776</v>
          </cell>
          <cell r="F2574" t="str">
            <v>Sep-16-2024</v>
          </cell>
        </row>
        <row r="2575">
          <cell r="A2575" t="str">
            <v>AFG</v>
          </cell>
          <cell r="B2575">
            <v>2018</v>
          </cell>
          <cell r="C2575" t="str">
            <v>pvpop_total</v>
          </cell>
          <cell r="D2575">
            <v>36686782.836914063</v>
          </cell>
          <cell r="F2575" t="str">
            <v>Sep-16-2024</v>
          </cell>
        </row>
        <row r="2576">
          <cell r="A2576" t="str">
            <v>AFG</v>
          </cell>
          <cell r="B2576">
            <v>2018</v>
          </cell>
          <cell r="C2576" t="str">
            <v>pvpop_15up</v>
          </cell>
          <cell r="D2576">
            <v>20284693.356911678</v>
          </cell>
          <cell r="F2576" t="str">
            <v>Sep-16-2024</v>
          </cell>
        </row>
        <row r="2577">
          <cell r="A2577" t="str">
            <v>AFG</v>
          </cell>
          <cell r="B2577">
            <v>2018</v>
          </cell>
          <cell r="C2577" t="str">
            <v>pvprivpc</v>
          </cell>
          <cell r="D2577">
            <v>36319.578795535512</v>
          </cell>
          <cell r="F2577" t="str">
            <v>Sep-16-2024</v>
          </cell>
        </row>
        <row r="2578">
          <cell r="A2578" t="str">
            <v>AFG</v>
          </cell>
          <cell r="B2578">
            <v>2019</v>
          </cell>
          <cell r="C2578" t="str">
            <v>pvgdp</v>
          </cell>
          <cell r="D2578">
            <v>1319901.625</v>
          </cell>
          <cell r="F2578" t="str">
            <v>Sep-16-2024</v>
          </cell>
        </row>
        <row r="2579">
          <cell r="A2579" t="str">
            <v>AFG</v>
          </cell>
          <cell r="B2579">
            <v>2019</v>
          </cell>
          <cell r="C2579" t="str">
            <v>pvgdp_agriculture</v>
          </cell>
          <cell r="D2579">
            <v>376075.65625</v>
          </cell>
          <cell r="F2579" t="str">
            <v>Sep-16-2024</v>
          </cell>
        </row>
        <row r="2580">
          <cell r="A2580" t="str">
            <v>AFG</v>
          </cell>
          <cell r="B2580">
            <v>2019</v>
          </cell>
          <cell r="C2580" t="str">
            <v>pvgdp_industry</v>
          </cell>
          <cell r="D2580">
            <v>162794.421875</v>
          </cell>
          <cell r="F2580" t="str">
            <v>Sep-16-2024</v>
          </cell>
        </row>
        <row r="2581">
          <cell r="A2581" t="str">
            <v>AFG</v>
          </cell>
          <cell r="B2581">
            <v>2019</v>
          </cell>
          <cell r="C2581" t="str">
            <v>pvgdp_services</v>
          </cell>
          <cell r="D2581">
            <v>720646</v>
          </cell>
          <cell r="F2581" t="str">
            <v>Sep-16-2024</v>
          </cell>
        </row>
        <row r="2582">
          <cell r="A2582" t="str">
            <v>AFG</v>
          </cell>
          <cell r="B2582">
            <v>2019</v>
          </cell>
          <cell r="C2582" t="str">
            <v>pvgdppc</v>
          </cell>
          <cell r="D2582">
            <v>34946.229084436316</v>
          </cell>
          <cell r="F2582" t="str">
            <v>Sep-16-2024</v>
          </cell>
        </row>
        <row r="2583">
          <cell r="A2583" t="str">
            <v>AFG</v>
          </cell>
          <cell r="B2583">
            <v>2019</v>
          </cell>
          <cell r="C2583" t="str">
            <v>pvpop_total</v>
          </cell>
          <cell r="D2583">
            <v>37769500.732421875</v>
          </cell>
          <cell r="F2583" t="str">
            <v>Sep-16-2024</v>
          </cell>
        </row>
        <row r="2584">
          <cell r="A2584" t="str">
            <v>AFG</v>
          </cell>
          <cell r="B2584">
            <v>2019</v>
          </cell>
          <cell r="C2584" t="str">
            <v>pvpop_15up</v>
          </cell>
          <cell r="D2584">
            <v>21040878.965108838</v>
          </cell>
          <cell r="F2584" t="str">
            <v>Sep-16-2024</v>
          </cell>
        </row>
        <row r="2585">
          <cell r="A2585" t="str">
            <v>AFG</v>
          </cell>
          <cell r="B2585">
            <v>2019</v>
          </cell>
          <cell r="C2585" t="str">
            <v>pvprivpc</v>
          </cell>
          <cell r="D2585">
            <v>34572.855734867662</v>
          </cell>
          <cell r="F2585" t="str">
            <v>Sep-16-2024</v>
          </cell>
        </row>
        <row r="2586">
          <cell r="A2586" t="str">
            <v>AFG</v>
          </cell>
          <cell r="B2586">
            <v>2020</v>
          </cell>
          <cell r="C2586" t="str">
            <v>pvgdp</v>
          </cell>
          <cell r="D2586">
            <v>1294955.375</v>
          </cell>
          <cell r="F2586" t="str">
            <v>Sep-16-2024</v>
          </cell>
        </row>
        <row r="2587">
          <cell r="A2587" t="str">
            <v>AFG</v>
          </cell>
          <cell r="B2587">
            <v>2020</v>
          </cell>
          <cell r="C2587" t="str">
            <v>pvgdp_agriculture</v>
          </cell>
          <cell r="D2587">
            <v>395443.5625</v>
          </cell>
          <cell r="F2587" t="str">
            <v>Sep-16-2024</v>
          </cell>
        </row>
        <row r="2588">
          <cell r="A2588" t="str">
            <v>AFG</v>
          </cell>
          <cell r="B2588">
            <v>2020</v>
          </cell>
          <cell r="C2588" t="str">
            <v>pvgdp_industry</v>
          </cell>
          <cell r="D2588">
            <v>155566.34375</v>
          </cell>
          <cell r="F2588" t="str">
            <v>Sep-16-2024</v>
          </cell>
        </row>
        <row r="2589">
          <cell r="A2589" t="str">
            <v>AFG</v>
          </cell>
          <cell r="B2589">
            <v>2020</v>
          </cell>
          <cell r="C2589" t="str">
            <v>pvgdp_services</v>
          </cell>
          <cell r="D2589">
            <v>685154.5625</v>
          </cell>
          <cell r="F2589" t="str">
            <v>Sep-16-2024</v>
          </cell>
        </row>
        <row r="2590">
          <cell r="A2590" t="str">
            <v>AFG</v>
          </cell>
          <cell r="B2590">
            <v>2020</v>
          </cell>
          <cell r="C2590" t="str">
            <v>pvgdppc</v>
          </cell>
          <cell r="D2590">
            <v>33227.644609965842</v>
          </cell>
          <cell r="F2590" t="str">
            <v>Sep-16-2024</v>
          </cell>
        </row>
        <row r="2591">
          <cell r="A2591" t="str">
            <v>AFG</v>
          </cell>
          <cell r="B2591">
            <v>2020</v>
          </cell>
          <cell r="C2591" t="str">
            <v>pvpop_total</v>
          </cell>
          <cell r="D2591">
            <v>38972229.00390625</v>
          </cell>
          <cell r="F2591" t="str">
            <v>Sep-16-2024</v>
          </cell>
        </row>
        <row r="2592">
          <cell r="A2592" t="str">
            <v>AFG</v>
          </cell>
          <cell r="B2592">
            <v>2020</v>
          </cell>
          <cell r="C2592" t="str">
            <v>pvpop_15up</v>
          </cell>
          <cell r="D2592">
            <v>21899308.440274145</v>
          </cell>
          <cell r="F2592" t="str">
            <v>Sep-16-2024</v>
          </cell>
        </row>
        <row r="2593">
          <cell r="A2593" t="str">
            <v>AFG</v>
          </cell>
          <cell r="B2593">
            <v>2020</v>
          </cell>
          <cell r="C2593" t="str">
            <v>pvprivpc</v>
          </cell>
          <cell r="D2593">
            <v>32266.177920538245</v>
          </cell>
          <cell r="F2593" t="str">
            <v>Sep-16-2024</v>
          </cell>
        </row>
        <row r="2594">
          <cell r="A2594" t="str">
            <v>AFG</v>
          </cell>
          <cell r="B2594">
            <v>2021</v>
          </cell>
          <cell r="C2594" t="str">
            <v>pvgdp</v>
          </cell>
          <cell r="D2594">
            <v>1308034.5</v>
          </cell>
          <cell r="F2594" t="str">
            <v>Sep-16-2024</v>
          </cell>
        </row>
        <row r="2595">
          <cell r="A2595" t="str">
            <v>AFG</v>
          </cell>
          <cell r="B2595">
            <v>2021</v>
          </cell>
          <cell r="C2595" t="str">
            <v>pvgdp_agriculture</v>
          </cell>
          <cell r="D2595">
            <v>389353.71875</v>
          </cell>
          <cell r="F2595" t="str">
            <v>Sep-16-2024</v>
          </cell>
        </row>
        <row r="2596">
          <cell r="A2596" t="str">
            <v>AFG</v>
          </cell>
          <cell r="B2596">
            <v>2021</v>
          </cell>
          <cell r="C2596" t="str">
            <v>pvgdp_industry</v>
          </cell>
          <cell r="D2596">
            <v>158599.890625</v>
          </cell>
          <cell r="F2596" t="str">
            <v>Sep-16-2024</v>
          </cell>
        </row>
        <row r="2597">
          <cell r="A2597" t="str">
            <v>AFG</v>
          </cell>
          <cell r="B2597">
            <v>2021</v>
          </cell>
          <cell r="C2597" t="str">
            <v>pvgdp_services</v>
          </cell>
          <cell r="D2597">
            <v>700696.125</v>
          </cell>
          <cell r="F2597" t="str">
            <v>Sep-16-2024</v>
          </cell>
        </row>
        <row r="2598">
          <cell r="A2598" t="str">
            <v>AFG</v>
          </cell>
          <cell r="B2598">
            <v>2021</v>
          </cell>
          <cell r="C2598" t="str">
            <v>pvgdppc</v>
          </cell>
          <cell r="D2598">
            <v>32619.752993412279</v>
          </cell>
          <cell r="F2598" t="str">
            <v>Sep-16-2024</v>
          </cell>
        </row>
        <row r="2599">
          <cell r="A2599" t="str">
            <v>AFG</v>
          </cell>
          <cell r="B2599">
            <v>2021</v>
          </cell>
          <cell r="C2599" t="str">
            <v>pvpop_total</v>
          </cell>
          <cell r="D2599">
            <v>40099460.601806641</v>
          </cell>
          <cell r="F2599" t="str">
            <v>Sep-16-2024</v>
          </cell>
        </row>
        <row r="2600">
          <cell r="A2600" t="str">
            <v>AFG</v>
          </cell>
          <cell r="B2600">
            <v>2021</v>
          </cell>
          <cell r="C2600" t="str">
            <v>pvpop_15up</v>
          </cell>
          <cell r="D2600">
            <v>22686452.208965749</v>
          </cell>
          <cell r="F2600" t="str">
            <v>Sep-16-2024</v>
          </cell>
        </row>
        <row r="2601">
          <cell r="A2601" t="str">
            <v>AFG</v>
          </cell>
          <cell r="B2601">
            <v>2021</v>
          </cell>
          <cell r="C2601" t="str">
            <v>pvprivpc</v>
          </cell>
          <cell r="D2601">
            <v>31829.533511044174</v>
          </cell>
          <cell r="F2601" t="str">
            <v>Sep-16-2024</v>
          </cell>
        </row>
        <row r="2602">
          <cell r="A2602" t="str">
            <v>AFG</v>
          </cell>
          <cell r="B2602">
            <v>2022</v>
          </cell>
          <cell r="C2602" t="str">
            <v>pvgdp</v>
          </cell>
          <cell r="D2602">
            <v>1342305</v>
          </cell>
          <cell r="F2602" t="str">
            <v>Sep-16-2024</v>
          </cell>
        </row>
        <row r="2603">
          <cell r="A2603" t="str">
            <v>AFG</v>
          </cell>
          <cell r="B2603">
            <v>2022</v>
          </cell>
          <cell r="C2603" t="str">
            <v>pvgdp_agriculture</v>
          </cell>
          <cell r="D2603">
            <v>404733.1875</v>
          </cell>
          <cell r="F2603" t="str">
            <v>Sep-16-2024</v>
          </cell>
        </row>
        <row r="2604">
          <cell r="A2604" t="str">
            <v>AFG</v>
          </cell>
          <cell r="B2604">
            <v>2022</v>
          </cell>
          <cell r="C2604" t="str">
            <v>pvgdp_industry</v>
          </cell>
          <cell r="D2604">
            <v>161771.890625</v>
          </cell>
          <cell r="F2604" t="str">
            <v>Sep-16-2024</v>
          </cell>
        </row>
        <row r="2605">
          <cell r="A2605" t="str">
            <v>AFG</v>
          </cell>
          <cell r="B2605">
            <v>2022</v>
          </cell>
          <cell r="C2605" t="str">
            <v>pvgdp_services</v>
          </cell>
          <cell r="D2605">
            <v>714859.25</v>
          </cell>
          <cell r="F2605" t="str">
            <v>Sep-16-2024</v>
          </cell>
        </row>
        <row r="2606">
          <cell r="A2606" t="str">
            <v>AFG</v>
          </cell>
          <cell r="B2606">
            <v>2022</v>
          </cell>
          <cell r="C2606" t="str">
            <v>pvgdppc</v>
          </cell>
          <cell r="D2606">
            <v>32636.641229955199</v>
          </cell>
          <cell r="F2606" t="str">
            <v>Sep-16-2024</v>
          </cell>
        </row>
        <row r="2607">
          <cell r="A2607" t="str">
            <v>AFG</v>
          </cell>
          <cell r="B2607">
            <v>2022</v>
          </cell>
          <cell r="C2607" t="str">
            <v>pvpop_total</v>
          </cell>
          <cell r="D2607">
            <v>41128772.735595703</v>
          </cell>
          <cell r="F2607" t="str">
            <v>Sep-16-2024</v>
          </cell>
        </row>
        <row r="2608">
          <cell r="A2608" t="str">
            <v>AFG</v>
          </cell>
          <cell r="B2608">
            <v>2022</v>
          </cell>
          <cell r="C2608" t="str">
            <v>pvpop_15up</v>
          </cell>
          <cell r="D2608">
            <v>23389672.987022303</v>
          </cell>
          <cell r="F2608" t="str">
            <v>Sep-16-2024</v>
          </cell>
        </row>
        <row r="2609">
          <cell r="A2609" t="str">
            <v>AFG</v>
          </cell>
          <cell r="B2609">
            <v>2022</v>
          </cell>
          <cell r="C2609" t="str">
            <v>pvprivpc</v>
          </cell>
          <cell r="D2609">
            <v>31963.940024454489</v>
          </cell>
          <cell r="F2609" t="str">
            <v>Sep-16-2024</v>
          </cell>
        </row>
        <row r="2610">
          <cell r="A2610" t="str">
            <v>AFG</v>
          </cell>
          <cell r="B2610">
            <v>2023</v>
          </cell>
          <cell r="C2610" t="str">
            <v>pvgdp</v>
          </cell>
          <cell r="D2610">
            <v>1383111</v>
          </cell>
          <cell r="F2610" t="str">
            <v>Sep-16-2024</v>
          </cell>
        </row>
        <row r="2611">
          <cell r="A2611" t="str">
            <v>AFG</v>
          </cell>
          <cell r="B2611">
            <v>2023</v>
          </cell>
          <cell r="C2611" t="str">
            <v>pvgdp_agriculture</v>
          </cell>
          <cell r="D2611">
            <v>422743.8125</v>
          </cell>
          <cell r="F2611" t="str">
            <v>Sep-16-2024</v>
          </cell>
        </row>
        <row r="2612">
          <cell r="A2612" t="str">
            <v>AFG</v>
          </cell>
          <cell r="B2612">
            <v>2023</v>
          </cell>
          <cell r="C2612" t="str">
            <v>pvgdp_industry</v>
          </cell>
          <cell r="D2612">
            <v>164926.4375</v>
          </cell>
          <cell r="F2612" t="str">
            <v>Sep-16-2024</v>
          </cell>
        </row>
        <row r="2613">
          <cell r="A2613" t="str">
            <v>AFG</v>
          </cell>
          <cell r="B2613">
            <v>2023</v>
          </cell>
          <cell r="C2613" t="str">
            <v>pvgdp_services</v>
          </cell>
          <cell r="D2613">
            <v>732647.5625</v>
          </cell>
          <cell r="F2613" t="str">
            <v>Sep-16-2024</v>
          </cell>
        </row>
        <row r="2614">
          <cell r="A2614" t="str">
            <v>AFG</v>
          </cell>
          <cell r="B2614">
            <v>2023</v>
          </cell>
          <cell r="C2614" t="str">
            <v>pvgdppc</v>
          </cell>
          <cell r="D2614">
            <v>32744.219140671426</v>
          </cell>
          <cell r="F2614" t="str">
            <v>Sep-16-2024</v>
          </cell>
        </row>
        <row r="2615">
          <cell r="A2615" t="str">
            <v>AFG</v>
          </cell>
          <cell r="B2615">
            <v>2023</v>
          </cell>
          <cell r="C2615" t="str">
            <v>pvpop_total</v>
          </cell>
          <cell r="D2615">
            <v>42239852.905273438</v>
          </cell>
          <cell r="F2615" t="str">
            <v>Sep-16-2024</v>
          </cell>
        </row>
        <row r="2616">
          <cell r="A2616" t="str">
            <v>AFG</v>
          </cell>
          <cell r="B2616">
            <v>2023</v>
          </cell>
          <cell r="C2616" t="str">
            <v>pvpop_15up</v>
          </cell>
          <cell r="D2616">
            <v>24142139.374310292</v>
          </cell>
          <cell r="F2616" t="str">
            <v>Sep-16-2024</v>
          </cell>
        </row>
        <row r="2617">
          <cell r="A2617" t="str">
            <v>AFG</v>
          </cell>
          <cell r="B2617">
            <v>2023</v>
          </cell>
          <cell r="C2617" t="str">
            <v>pvprivpc</v>
          </cell>
          <cell r="D2617">
            <v>32212.467170550433</v>
          </cell>
          <cell r="F2617" t="str">
            <v>Sep-16-2024</v>
          </cell>
        </row>
        <row r="2618">
          <cell r="A2618" t="str">
            <v>AFG</v>
          </cell>
          <cell r="B2618">
            <v>2024</v>
          </cell>
          <cell r="C2618" t="str">
            <v>pvgdp</v>
          </cell>
          <cell r="D2618">
            <v>1425157.625</v>
          </cell>
          <cell r="F2618" t="str">
            <v>Sep-16-2024</v>
          </cell>
        </row>
        <row r="2619">
          <cell r="A2619" t="str">
            <v>AFG</v>
          </cell>
          <cell r="B2619">
            <v>2024</v>
          </cell>
          <cell r="C2619" t="str">
            <v>pvgdp_agriculture</v>
          </cell>
          <cell r="D2619">
            <v>441555.9375</v>
          </cell>
          <cell r="F2619" t="str">
            <v>Sep-16-2024</v>
          </cell>
        </row>
        <row r="2620">
          <cell r="A2620" t="str">
            <v>AFG</v>
          </cell>
          <cell r="B2620">
            <v>2024</v>
          </cell>
          <cell r="C2620" t="str">
            <v>pvgdp_industry</v>
          </cell>
          <cell r="D2620">
            <v>168142.5</v>
          </cell>
          <cell r="F2620" t="str">
            <v>Sep-16-2024</v>
          </cell>
        </row>
        <row r="2621">
          <cell r="A2621" t="str">
            <v>AFG</v>
          </cell>
          <cell r="B2621">
            <v>2024</v>
          </cell>
          <cell r="C2621" t="str">
            <v>pvgdp_services</v>
          </cell>
          <cell r="D2621">
            <v>750757.0625</v>
          </cell>
          <cell r="F2621" t="str">
            <v>Sep-16-2024</v>
          </cell>
        </row>
        <row r="2622">
          <cell r="A2622" t="str">
            <v>AFG</v>
          </cell>
          <cell r="B2622">
            <v>2024</v>
          </cell>
          <cell r="C2622" t="str">
            <v>pvgdppc</v>
          </cell>
          <cell r="D2622">
            <v>32858.211753270174</v>
          </cell>
          <cell r="F2622" t="str">
            <v>Sep-16-2024</v>
          </cell>
        </row>
        <row r="2623">
          <cell r="A2623" t="str">
            <v>AFG</v>
          </cell>
          <cell r="B2623">
            <v>2024</v>
          </cell>
          <cell r="C2623" t="str">
            <v>pvpop_total</v>
          </cell>
          <cell r="D2623">
            <v>43372951.507568359</v>
          </cell>
          <cell r="F2623" t="str">
            <v>Sep-16-2024</v>
          </cell>
        </row>
        <row r="2624">
          <cell r="A2624" t="str">
            <v>AFG</v>
          </cell>
          <cell r="B2624">
            <v>2024</v>
          </cell>
          <cell r="C2624" t="str">
            <v>pvpop_15up</v>
          </cell>
          <cell r="D2624">
            <v>24900074.865483299</v>
          </cell>
          <cell r="F2624" t="str">
            <v>Sep-16-2024</v>
          </cell>
        </row>
        <row r="2625">
          <cell r="A2625" t="str">
            <v>AFG</v>
          </cell>
          <cell r="B2625">
            <v>2024</v>
          </cell>
          <cell r="C2625" t="str">
            <v>pvprivpc</v>
          </cell>
          <cell r="D2625">
            <v>32468.913828800967</v>
          </cell>
          <cell r="F2625" t="str">
            <v>Sep-16-2024</v>
          </cell>
        </row>
        <row r="2626">
          <cell r="A2626" t="str">
            <v>AFG</v>
          </cell>
          <cell r="B2626">
            <v>2025</v>
          </cell>
          <cell r="C2626" t="str">
            <v>pvgdp</v>
          </cell>
          <cell r="D2626">
            <v>1468482.375</v>
          </cell>
          <cell r="F2626" t="str">
            <v>Sep-16-2024</v>
          </cell>
        </row>
        <row r="2627">
          <cell r="A2627" t="str">
            <v>AFG</v>
          </cell>
          <cell r="B2627">
            <v>2025</v>
          </cell>
          <cell r="C2627" t="str">
            <v>pvgdp_agriculture</v>
          </cell>
          <cell r="D2627">
            <v>461205.15625</v>
          </cell>
          <cell r="F2627" t="str">
            <v>Sep-16-2024</v>
          </cell>
        </row>
        <row r="2628">
          <cell r="A2628" t="str">
            <v>AFG</v>
          </cell>
          <cell r="B2628">
            <v>2025</v>
          </cell>
          <cell r="C2628" t="str">
            <v>pvgdp_industry</v>
          </cell>
          <cell r="D2628">
            <v>171421.28125</v>
          </cell>
          <cell r="F2628" t="str">
            <v>Sep-16-2024</v>
          </cell>
        </row>
        <row r="2629">
          <cell r="A2629" t="str">
            <v>AFG</v>
          </cell>
          <cell r="B2629">
            <v>2025</v>
          </cell>
          <cell r="C2629" t="str">
            <v>pvgdp_services</v>
          </cell>
          <cell r="D2629">
            <v>769186.875</v>
          </cell>
          <cell r="F2629" t="str">
            <v>Sep-16-2024</v>
          </cell>
        </row>
        <row r="2630">
          <cell r="A2630" t="str">
            <v>AFG</v>
          </cell>
          <cell r="B2630">
            <v>2025</v>
          </cell>
          <cell r="C2630" t="str">
            <v>pvgdppc</v>
          </cell>
          <cell r="D2630">
            <v>32987.89667877453</v>
          </cell>
          <cell r="F2630" t="str">
            <v>Sep-16-2024</v>
          </cell>
        </row>
        <row r="2631">
          <cell r="A2631" t="str">
            <v>AFG</v>
          </cell>
          <cell r="B2631">
            <v>2025</v>
          </cell>
          <cell r="C2631" t="str">
            <v>pvpop_total</v>
          </cell>
          <cell r="D2631">
            <v>44515792.846679688</v>
          </cell>
          <cell r="F2631" t="str">
            <v>Sep-16-2024</v>
          </cell>
        </row>
        <row r="2632">
          <cell r="A2632" t="str">
            <v>AFG</v>
          </cell>
          <cell r="B2632">
            <v>2025</v>
          </cell>
          <cell r="C2632" t="str">
            <v>pvpop_15up</v>
          </cell>
          <cell r="D2632">
            <v>25689193.911521848</v>
          </cell>
          <cell r="F2632" t="str">
            <v>Sep-16-2024</v>
          </cell>
        </row>
        <row r="2633">
          <cell r="A2633" t="str">
            <v>AFG</v>
          </cell>
          <cell r="B2633">
            <v>2025</v>
          </cell>
          <cell r="C2633" t="str">
            <v>pvprivpc</v>
          </cell>
          <cell r="D2633">
            <v>32742.587670405057</v>
          </cell>
          <cell r="F2633" t="str">
            <v>Sep-16-2024</v>
          </cell>
        </row>
        <row r="2634">
          <cell r="A2634" t="str">
            <v>AFG</v>
          </cell>
          <cell r="B2634">
            <v>2026</v>
          </cell>
          <cell r="C2634" t="str">
            <v>pvgdp</v>
          </cell>
          <cell r="D2634">
            <v>1513124.25</v>
          </cell>
          <cell r="F2634" t="str">
            <v>Sep-16-2024</v>
          </cell>
        </row>
        <row r="2635">
          <cell r="A2635" t="str">
            <v>AFG</v>
          </cell>
          <cell r="B2635">
            <v>2026</v>
          </cell>
          <cell r="C2635" t="str">
            <v>pvgdp_agriculture</v>
          </cell>
          <cell r="D2635">
            <v>481728.78125</v>
          </cell>
          <cell r="F2635" t="str">
            <v>Sep-16-2024</v>
          </cell>
        </row>
        <row r="2636">
          <cell r="A2636" t="str">
            <v>AFG</v>
          </cell>
          <cell r="B2636">
            <v>2026</v>
          </cell>
          <cell r="C2636" t="str">
            <v>pvgdp_industry</v>
          </cell>
          <cell r="D2636">
            <v>174764</v>
          </cell>
          <cell r="F2636" t="str">
            <v>Sep-16-2024</v>
          </cell>
        </row>
        <row r="2637">
          <cell r="A2637" t="str">
            <v>AFG</v>
          </cell>
          <cell r="B2637">
            <v>2026</v>
          </cell>
          <cell r="C2637" t="str">
            <v>pvgdp_services</v>
          </cell>
          <cell r="D2637">
            <v>787935.625</v>
          </cell>
          <cell r="F2637" t="str">
            <v>Sep-16-2024</v>
          </cell>
        </row>
        <row r="2638">
          <cell r="A2638" t="str">
            <v>AFG</v>
          </cell>
          <cell r="B2638">
            <v>2026</v>
          </cell>
          <cell r="C2638" t="str">
            <v>pvgdppc</v>
          </cell>
          <cell r="D2638">
            <v>33133.467390231148</v>
          </cell>
          <cell r="F2638" t="str">
            <v>Sep-16-2024</v>
          </cell>
        </row>
        <row r="2639">
          <cell r="A2639" t="str">
            <v>AFG</v>
          </cell>
          <cell r="B2639">
            <v>2026</v>
          </cell>
          <cell r="C2639" t="str">
            <v>pvpop_total</v>
          </cell>
          <cell r="D2639">
            <v>45667549.133300781</v>
          </cell>
          <cell r="F2639" t="str">
            <v>Sep-16-2024</v>
          </cell>
        </row>
        <row r="2640">
          <cell r="A2640" t="str">
            <v>AFG</v>
          </cell>
          <cell r="B2640">
            <v>2026</v>
          </cell>
          <cell r="C2640" t="str">
            <v>pvpop_15up</v>
          </cell>
          <cell r="D2640">
            <v>26495787.497151066</v>
          </cell>
          <cell r="F2640" t="str">
            <v>Sep-16-2024</v>
          </cell>
        </row>
        <row r="2641">
          <cell r="A2641" t="str">
            <v>AFG</v>
          </cell>
          <cell r="B2641">
            <v>2026</v>
          </cell>
          <cell r="C2641" t="str">
            <v>pvprivpc</v>
          </cell>
          <cell r="D2641">
            <v>33033.891759694758</v>
          </cell>
          <cell r="F2641" t="str">
            <v>Sep-16-2024</v>
          </cell>
        </row>
        <row r="2642">
          <cell r="A2642" t="str">
            <v>BGD</v>
          </cell>
          <cell r="B2642">
            <v>2007</v>
          </cell>
          <cell r="C2642" t="str">
            <v>pvgdp</v>
          </cell>
          <cell r="D2642">
            <v>12132113</v>
          </cell>
          <cell r="F2642" t="str">
            <v>Sep-16-2024</v>
          </cell>
        </row>
        <row r="2643">
          <cell r="A2643" t="str">
            <v>BGD</v>
          </cell>
          <cell r="B2643">
            <v>2007</v>
          </cell>
          <cell r="C2643" t="str">
            <v>pvgdp_agriculture</v>
          </cell>
          <cell r="D2643">
            <v>2174364.75</v>
          </cell>
          <cell r="F2643" t="str">
            <v>Sep-16-2024</v>
          </cell>
        </row>
        <row r="2644">
          <cell r="A2644" t="str">
            <v>BGD</v>
          </cell>
          <cell r="B2644">
            <v>2007</v>
          </cell>
          <cell r="C2644" t="str">
            <v>pvgdp_industry</v>
          </cell>
          <cell r="D2644">
            <v>2968767.25</v>
          </cell>
          <cell r="F2644" t="str">
            <v>Sep-16-2024</v>
          </cell>
        </row>
        <row r="2645">
          <cell r="A2645" t="str">
            <v>BGD</v>
          </cell>
          <cell r="B2645">
            <v>2007</v>
          </cell>
          <cell r="C2645" t="str">
            <v>pvgdp_services</v>
          </cell>
          <cell r="D2645">
            <v>6347065</v>
          </cell>
          <cell r="F2645" t="str">
            <v>Sep-16-2024</v>
          </cell>
        </row>
        <row r="2646">
          <cell r="A2646" t="str">
            <v>BGD</v>
          </cell>
          <cell r="B2646">
            <v>2007</v>
          </cell>
          <cell r="C2646" t="str">
            <v>pvgdppc</v>
          </cell>
          <cell r="D2646">
            <v>84171.324331445809</v>
          </cell>
          <cell r="F2646" t="str">
            <v>Sep-16-2024</v>
          </cell>
        </row>
        <row r="2647">
          <cell r="A2647" t="str">
            <v>BGD</v>
          </cell>
          <cell r="B2647">
            <v>2007</v>
          </cell>
          <cell r="C2647" t="str">
            <v>pvpop_total</v>
          </cell>
          <cell r="D2647">
            <v>144135940.55175781</v>
          </cell>
          <cell r="F2647" t="str">
            <v>Sep-16-2024</v>
          </cell>
        </row>
        <row r="2648">
          <cell r="A2648" t="str">
            <v>BGD</v>
          </cell>
          <cell r="B2648">
            <v>2007</v>
          </cell>
          <cell r="C2648" t="str">
            <v>pvpop_15up</v>
          </cell>
          <cell r="D2648">
            <v>94343178.288407549</v>
          </cell>
          <cell r="F2648" t="str">
            <v>Sep-16-2024</v>
          </cell>
        </row>
        <row r="2649">
          <cell r="A2649" t="str">
            <v>BGD</v>
          </cell>
          <cell r="B2649">
            <v>2007</v>
          </cell>
          <cell r="C2649" t="str">
            <v>pvprivpc</v>
          </cell>
          <cell r="D2649">
            <v>65504.571336318622</v>
          </cell>
          <cell r="F2649" t="str">
            <v>Sep-16-2024</v>
          </cell>
        </row>
        <row r="2650">
          <cell r="A2650" t="str">
            <v>BGD</v>
          </cell>
          <cell r="B2650">
            <v>2008</v>
          </cell>
          <cell r="C2650" t="str">
            <v>pvgdp</v>
          </cell>
          <cell r="D2650">
            <v>12861713</v>
          </cell>
          <cell r="F2650" t="str">
            <v>Sep-16-2024</v>
          </cell>
        </row>
        <row r="2651">
          <cell r="A2651" t="str">
            <v>BGD</v>
          </cell>
          <cell r="B2651">
            <v>2008</v>
          </cell>
          <cell r="C2651" t="str">
            <v>pvgdp_agriculture</v>
          </cell>
          <cell r="D2651">
            <v>2272078</v>
          </cell>
          <cell r="F2651" t="str">
            <v>Sep-16-2024</v>
          </cell>
        </row>
        <row r="2652">
          <cell r="A2652" t="str">
            <v>BGD</v>
          </cell>
          <cell r="B2652">
            <v>2008</v>
          </cell>
          <cell r="C2652" t="str">
            <v>pvgdp_industry</v>
          </cell>
          <cell r="D2652">
            <v>3177576.5</v>
          </cell>
          <cell r="F2652" t="str">
            <v>Sep-16-2024</v>
          </cell>
        </row>
        <row r="2653">
          <cell r="A2653" t="str">
            <v>BGD</v>
          </cell>
          <cell r="B2653">
            <v>2008</v>
          </cell>
          <cell r="C2653" t="str">
            <v>pvgdp_services</v>
          </cell>
          <cell r="D2653">
            <v>6712807.5</v>
          </cell>
          <cell r="F2653" t="str">
            <v>Sep-16-2024</v>
          </cell>
        </row>
        <row r="2654">
          <cell r="A2654" t="str">
            <v>BGD</v>
          </cell>
          <cell r="B2654">
            <v>2008</v>
          </cell>
          <cell r="C2654" t="str">
            <v>pvgdppc</v>
          </cell>
          <cell r="D2654">
            <v>88444.485628883194</v>
          </cell>
          <cell r="F2654" t="str">
            <v>Sep-16-2024</v>
          </cell>
        </row>
        <row r="2655">
          <cell r="A2655" t="str">
            <v>BGD</v>
          </cell>
          <cell r="B2655">
            <v>2008</v>
          </cell>
          <cell r="C2655" t="str">
            <v>pvpop_total</v>
          </cell>
          <cell r="D2655">
            <v>145421310.42480469</v>
          </cell>
          <cell r="F2655" t="str">
            <v>Sep-16-2024</v>
          </cell>
        </row>
        <row r="2656">
          <cell r="A2656" t="str">
            <v>BGD</v>
          </cell>
          <cell r="B2656">
            <v>2008</v>
          </cell>
          <cell r="C2656" t="str">
            <v>pvpop_15up</v>
          </cell>
          <cell r="D2656">
            <v>95622876.018873364</v>
          </cell>
          <cell r="F2656" t="str">
            <v>Sep-16-2024</v>
          </cell>
        </row>
        <row r="2657">
          <cell r="A2657" t="str">
            <v>BGD</v>
          </cell>
          <cell r="B2657">
            <v>2008</v>
          </cell>
          <cell r="C2657" t="str">
            <v>pvprivpc</v>
          </cell>
          <cell r="D2657">
            <v>67509.809747426407</v>
          </cell>
          <cell r="F2657" t="str">
            <v>Sep-16-2024</v>
          </cell>
        </row>
        <row r="2658">
          <cell r="A2658" t="str">
            <v>BGD</v>
          </cell>
          <cell r="B2658">
            <v>2009</v>
          </cell>
          <cell r="C2658" t="str">
            <v>pvgdp</v>
          </cell>
          <cell r="D2658">
            <v>13510602</v>
          </cell>
          <cell r="F2658" t="str">
            <v>Sep-16-2024</v>
          </cell>
        </row>
        <row r="2659">
          <cell r="A2659" t="str">
            <v>BGD</v>
          </cell>
          <cell r="B2659">
            <v>2009</v>
          </cell>
          <cell r="C2659" t="str">
            <v>pvgdp_agriculture</v>
          </cell>
          <cell r="D2659">
            <v>2350830.25</v>
          </cell>
          <cell r="F2659" t="str">
            <v>Sep-16-2024</v>
          </cell>
        </row>
        <row r="2660">
          <cell r="A2660" t="str">
            <v>BGD</v>
          </cell>
          <cell r="B2660">
            <v>2009</v>
          </cell>
          <cell r="C2660" t="str">
            <v>pvgdp_industry</v>
          </cell>
          <cell r="D2660">
            <v>3397247.75</v>
          </cell>
          <cell r="F2660" t="str">
            <v>Sep-16-2024</v>
          </cell>
        </row>
        <row r="2661">
          <cell r="A2661" t="str">
            <v>BGD</v>
          </cell>
          <cell r="B2661">
            <v>2009</v>
          </cell>
          <cell r="C2661" t="str">
            <v>pvgdp_services</v>
          </cell>
          <cell r="D2661">
            <v>7053816</v>
          </cell>
          <cell r="F2661" t="str">
            <v>Sep-16-2024</v>
          </cell>
        </row>
        <row r="2662">
          <cell r="A2662" t="str">
            <v>BGD</v>
          </cell>
          <cell r="B2662">
            <v>2009</v>
          </cell>
          <cell r="C2662" t="str">
            <v>pvgdppc</v>
          </cell>
          <cell r="D2662">
            <v>92092.529976042628</v>
          </cell>
          <cell r="F2662" t="str">
            <v>Sep-16-2024</v>
          </cell>
        </row>
        <row r="2663">
          <cell r="A2663" t="str">
            <v>BGD</v>
          </cell>
          <cell r="B2663">
            <v>2009</v>
          </cell>
          <cell r="C2663" t="str">
            <v>pvpop_total</v>
          </cell>
          <cell r="D2663">
            <v>146706817.62695313</v>
          </cell>
          <cell r="F2663" t="str">
            <v>Sep-16-2024</v>
          </cell>
        </row>
        <row r="2664">
          <cell r="A2664" t="str">
            <v>BGD</v>
          </cell>
          <cell r="B2664">
            <v>2009</v>
          </cell>
          <cell r="C2664" t="str">
            <v>pvpop_15up</v>
          </cell>
          <cell r="D2664">
            <v>97003697.043001145</v>
          </cell>
          <cell r="F2664" t="str">
            <v>Sep-16-2024</v>
          </cell>
        </row>
        <row r="2665">
          <cell r="A2665" t="str">
            <v>BGD</v>
          </cell>
          <cell r="B2665">
            <v>2009</v>
          </cell>
          <cell r="C2665" t="str">
            <v>pvprivpc</v>
          </cell>
          <cell r="D2665">
            <v>68451.84949438239</v>
          </cell>
          <cell r="F2665" t="str">
            <v>Sep-16-2024</v>
          </cell>
        </row>
        <row r="2666">
          <cell r="A2666" t="str">
            <v>BGD</v>
          </cell>
          <cell r="B2666">
            <v>2010</v>
          </cell>
          <cell r="C2666" t="str">
            <v>pvgdp</v>
          </cell>
          <cell r="D2666">
            <v>14263386</v>
          </cell>
          <cell r="F2666" t="str">
            <v>Sep-16-2024</v>
          </cell>
        </row>
        <row r="2667">
          <cell r="A2667" t="str">
            <v>BGD</v>
          </cell>
          <cell r="B2667">
            <v>2010</v>
          </cell>
          <cell r="C2667" t="str">
            <v>pvgdp_agriculture</v>
          </cell>
          <cell r="D2667">
            <v>2495452</v>
          </cell>
          <cell r="F2667" t="str">
            <v>Sep-16-2024</v>
          </cell>
        </row>
        <row r="2668">
          <cell r="A2668" t="str">
            <v>BGD</v>
          </cell>
          <cell r="B2668">
            <v>2010</v>
          </cell>
          <cell r="C2668" t="str">
            <v>pvgdp_industry</v>
          </cell>
          <cell r="D2668">
            <v>3636149.25</v>
          </cell>
          <cell r="F2668" t="str">
            <v>Sep-16-2024</v>
          </cell>
        </row>
        <row r="2669">
          <cell r="A2669" t="str">
            <v>BGD</v>
          </cell>
          <cell r="B2669">
            <v>2010</v>
          </cell>
          <cell r="C2669" t="str">
            <v>pvgdp_services</v>
          </cell>
          <cell r="D2669">
            <v>7443809.5</v>
          </cell>
          <cell r="F2669" t="str">
            <v>Sep-16-2024</v>
          </cell>
        </row>
        <row r="2670">
          <cell r="A2670" t="str">
            <v>BGD</v>
          </cell>
          <cell r="B2670">
            <v>2010</v>
          </cell>
          <cell r="C2670" t="str">
            <v>pvgdppc</v>
          </cell>
          <cell r="D2670">
            <v>96120.197168482511</v>
          </cell>
          <cell r="F2670" t="str">
            <v>Sep-16-2024</v>
          </cell>
        </row>
        <row r="2671">
          <cell r="A2671" t="str">
            <v>BGD</v>
          </cell>
          <cell r="B2671">
            <v>2010</v>
          </cell>
          <cell r="C2671" t="str">
            <v>pvpop_total</v>
          </cell>
          <cell r="D2671">
            <v>148391143.79882813</v>
          </cell>
          <cell r="F2671" t="str">
            <v>Sep-16-2024</v>
          </cell>
        </row>
        <row r="2672">
          <cell r="A2672" t="str">
            <v>BGD</v>
          </cell>
          <cell r="B2672">
            <v>2010</v>
          </cell>
          <cell r="C2672" t="str">
            <v>pvpop_15up</v>
          </cell>
          <cell r="D2672">
            <v>98855177.196882188</v>
          </cell>
          <cell r="F2672" t="str">
            <v>Sep-16-2024</v>
          </cell>
        </row>
        <row r="2673">
          <cell r="A2673" t="str">
            <v>BGD</v>
          </cell>
          <cell r="B2673">
            <v>2010</v>
          </cell>
          <cell r="C2673" t="str">
            <v>pvprivpc</v>
          </cell>
          <cell r="D2673">
            <v>70790.653209339012</v>
          </cell>
          <cell r="F2673" t="str">
            <v>Sep-16-2024</v>
          </cell>
        </row>
        <row r="2674">
          <cell r="A2674" t="str">
            <v>BGD</v>
          </cell>
          <cell r="B2674">
            <v>2011</v>
          </cell>
          <cell r="C2674" t="str">
            <v>pvgdp</v>
          </cell>
          <cell r="D2674">
            <v>15185426</v>
          </cell>
          <cell r="F2674" t="str">
            <v>Sep-16-2024</v>
          </cell>
        </row>
        <row r="2675">
          <cell r="A2675" t="str">
            <v>BGD</v>
          </cell>
          <cell r="B2675">
            <v>2011</v>
          </cell>
          <cell r="C2675" t="str">
            <v>pvgdp_agriculture</v>
          </cell>
          <cell r="D2675">
            <v>2606658.5</v>
          </cell>
          <cell r="F2675" t="str">
            <v>Sep-16-2024</v>
          </cell>
        </row>
        <row r="2676">
          <cell r="A2676" t="str">
            <v>BGD</v>
          </cell>
          <cell r="B2676">
            <v>2011</v>
          </cell>
          <cell r="C2676" t="str">
            <v>pvgdp_industry</v>
          </cell>
          <cell r="D2676">
            <v>3964098.25</v>
          </cell>
          <cell r="F2676" t="str">
            <v>Sep-16-2024</v>
          </cell>
        </row>
        <row r="2677">
          <cell r="A2677" t="str">
            <v>BGD</v>
          </cell>
          <cell r="B2677">
            <v>2011</v>
          </cell>
          <cell r="C2677" t="str">
            <v>pvgdp_services</v>
          </cell>
          <cell r="D2677">
            <v>7906563</v>
          </cell>
          <cell r="F2677" t="str">
            <v>Sep-16-2024</v>
          </cell>
        </row>
        <row r="2678">
          <cell r="A2678" t="str">
            <v>BGD</v>
          </cell>
          <cell r="B2678">
            <v>2011</v>
          </cell>
          <cell r="C2678" t="str">
            <v>pvgdppc</v>
          </cell>
          <cell r="D2678">
            <v>101093.96880446085</v>
          </cell>
          <cell r="F2678" t="str">
            <v>Sep-16-2024</v>
          </cell>
        </row>
        <row r="2679">
          <cell r="A2679" t="str">
            <v>BGD</v>
          </cell>
          <cell r="B2679">
            <v>2011</v>
          </cell>
          <cell r="C2679" t="str">
            <v>pvpop_total</v>
          </cell>
          <cell r="D2679">
            <v>150210998.53515625</v>
          </cell>
          <cell r="F2679" t="str">
            <v>Sep-16-2024</v>
          </cell>
        </row>
        <row r="2680">
          <cell r="A2680" t="str">
            <v>BGD</v>
          </cell>
          <cell r="B2680">
            <v>2011</v>
          </cell>
          <cell r="C2680" t="str">
            <v>pvpop_15up</v>
          </cell>
          <cell r="D2680">
            <v>100910465.6569732</v>
          </cell>
          <cell r="F2680" t="str">
            <v>Sep-16-2024</v>
          </cell>
        </row>
        <row r="2681">
          <cell r="A2681" t="str">
            <v>BGD</v>
          </cell>
          <cell r="B2681">
            <v>2011</v>
          </cell>
          <cell r="C2681" t="str">
            <v>pvprivpc</v>
          </cell>
          <cell r="D2681">
            <v>74472.828947887028</v>
          </cell>
          <cell r="F2681" t="str">
            <v>Sep-16-2024</v>
          </cell>
        </row>
        <row r="2682">
          <cell r="A2682" t="str">
            <v>BGD</v>
          </cell>
          <cell r="B2682">
            <v>2012</v>
          </cell>
          <cell r="C2682" t="str">
            <v>pvgdp</v>
          </cell>
          <cell r="D2682">
            <v>16175734</v>
          </cell>
          <cell r="F2682" t="str">
            <v>Sep-16-2024</v>
          </cell>
        </row>
        <row r="2683">
          <cell r="A2683" t="str">
            <v>BGD</v>
          </cell>
          <cell r="B2683">
            <v>2012</v>
          </cell>
          <cell r="C2683" t="str">
            <v>pvgdp_agriculture</v>
          </cell>
          <cell r="D2683">
            <v>2685230.25</v>
          </cell>
          <cell r="F2683" t="str">
            <v>Sep-16-2024</v>
          </cell>
        </row>
        <row r="2684">
          <cell r="A2684" t="str">
            <v>BGD</v>
          </cell>
          <cell r="B2684">
            <v>2012</v>
          </cell>
          <cell r="C2684" t="str">
            <v>pvgdp_industry</v>
          </cell>
          <cell r="D2684">
            <v>4338134.5</v>
          </cell>
          <cell r="F2684" t="str">
            <v>Sep-16-2024</v>
          </cell>
        </row>
        <row r="2685">
          <cell r="A2685" t="str">
            <v>BGD</v>
          </cell>
          <cell r="B2685">
            <v>2012</v>
          </cell>
          <cell r="C2685" t="str">
            <v>pvgdp_services</v>
          </cell>
          <cell r="D2685">
            <v>8426503</v>
          </cell>
          <cell r="F2685" t="str">
            <v>Sep-16-2024</v>
          </cell>
        </row>
        <row r="2686">
          <cell r="A2686" t="str">
            <v>BGD</v>
          </cell>
          <cell r="B2686">
            <v>2012</v>
          </cell>
          <cell r="C2686" t="str">
            <v>pvgdppc</v>
          </cell>
          <cell r="D2686">
            <v>106355.87222321378</v>
          </cell>
          <cell r="F2686" t="str">
            <v>Sep-16-2024</v>
          </cell>
        </row>
        <row r="2687">
          <cell r="A2687" t="str">
            <v>BGD</v>
          </cell>
          <cell r="B2687">
            <v>2012</v>
          </cell>
          <cell r="C2687" t="str">
            <v>pvpop_total</v>
          </cell>
          <cell r="D2687">
            <v>152090652.46582031</v>
          </cell>
          <cell r="F2687" t="str">
            <v>Sep-16-2024</v>
          </cell>
        </row>
        <row r="2688">
          <cell r="A2688" t="str">
            <v>BGD</v>
          </cell>
          <cell r="B2688">
            <v>2012</v>
          </cell>
          <cell r="C2688" t="str">
            <v>pvpop_15up</v>
          </cell>
          <cell r="D2688">
            <v>103124575.34998825</v>
          </cell>
          <cell r="F2688" t="str">
            <v>Sep-16-2024</v>
          </cell>
        </row>
        <row r="2689">
          <cell r="A2689" t="str">
            <v>BGD</v>
          </cell>
          <cell r="B2689">
            <v>2012</v>
          </cell>
          <cell r="C2689" t="str">
            <v>pvprivpc</v>
          </cell>
          <cell r="D2689">
            <v>76578.572128996762</v>
          </cell>
          <cell r="F2689" t="str">
            <v>Sep-16-2024</v>
          </cell>
        </row>
        <row r="2690">
          <cell r="A2690" t="str">
            <v>BGD</v>
          </cell>
          <cell r="B2690">
            <v>2013</v>
          </cell>
          <cell r="C2690" t="str">
            <v>pvgdp</v>
          </cell>
          <cell r="D2690">
            <v>17148478</v>
          </cell>
          <cell r="F2690" t="str">
            <v>Sep-16-2024</v>
          </cell>
        </row>
        <row r="2691">
          <cell r="A2691" t="str">
            <v>BGD</v>
          </cell>
          <cell r="B2691">
            <v>2013</v>
          </cell>
          <cell r="C2691" t="str">
            <v>pvgdp_agriculture</v>
          </cell>
          <cell r="D2691">
            <v>2751418.25</v>
          </cell>
          <cell r="F2691" t="str">
            <v>Sep-16-2024</v>
          </cell>
        </row>
        <row r="2692">
          <cell r="A2692" t="str">
            <v>BGD</v>
          </cell>
          <cell r="B2692">
            <v>2013</v>
          </cell>
          <cell r="C2692" t="str">
            <v>pvgdp_industry</v>
          </cell>
          <cell r="D2692">
            <v>4756303</v>
          </cell>
          <cell r="F2692" t="str">
            <v>Sep-16-2024</v>
          </cell>
        </row>
        <row r="2693">
          <cell r="A2693" t="str">
            <v>BGD</v>
          </cell>
          <cell r="B2693">
            <v>2013</v>
          </cell>
          <cell r="C2693" t="str">
            <v>pvgdp_services</v>
          </cell>
          <cell r="D2693">
            <v>8891154</v>
          </cell>
          <cell r="F2693" t="str">
            <v>Sep-16-2024</v>
          </cell>
        </row>
        <row r="2694">
          <cell r="A2694" t="str">
            <v>BGD</v>
          </cell>
          <cell r="B2694">
            <v>2013</v>
          </cell>
          <cell r="C2694" t="str">
            <v>pvgdppc</v>
          </cell>
          <cell r="D2694">
            <v>111331.96680376747</v>
          </cell>
          <cell r="F2694" t="str">
            <v>Sep-16-2024</v>
          </cell>
        </row>
        <row r="2695">
          <cell r="A2695" t="str">
            <v>BGD</v>
          </cell>
          <cell r="B2695">
            <v>2013</v>
          </cell>
          <cell r="C2695" t="str">
            <v>pvpop_total</v>
          </cell>
          <cell r="D2695">
            <v>154030136.10839844</v>
          </cell>
          <cell r="F2695" t="str">
            <v>Sep-16-2024</v>
          </cell>
        </row>
        <row r="2696">
          <cell r="A2696" t="str">
            <v>BGD</v>
          </cell>
          <cell r="B2696">
            <v>2013</v>
          </cell>
          <cell r="C2696" t="str">
            <v>pvpop_15up</v>
          </cell>
          <cell r="D2696">
            <v>105461266.0201799</v>
          </cell>
          <cell r="F2696" t="str">
            <v>Sep-16-2024</v>
          </cell>
        </row>
        <row r="2697">
          <cell r="A2697" t="str">
            <v>BGD</v>
          </cell>
          <cell r="B2697">
            <v>2013</v>
          </cell>
          <cell r="C2697" t="str">
            <v>pvprivpc</v>
          </cell>
          <cell r="D2697">
            <v>79491.385967374968</v>
          </cell>
          <cell r="F2697" t="str">
            <v>Sep-16-2024</v>
          </cell>
        </row>
        <row r="2698">
          <cell r="A2698" t="str">
            <v>BGD</v>
          </cell>
          <cell r="B2698">
            <v>2014</v>
          </cell>
          <cell r="C2698" t="str">
            <v>pvgdp</v>
          </cell>
          <cell r="D2698">
            <v>18187862</v>
          </cell>
          <cell r="F2698" t="str">
            <v>Sep-16-2024</v>
          </cell>
        </row>
        <row r="2699">
          <cell r="A2699" t="str">
            <v>BGD</v>
          </cell>
          <cell r="B2699">
            <v>2014</v>
          </cell>
          <cell r="C2699" t="str">
            <v>pvgdp_agriculture</v>
          </cell>
          <cell r="D2699">
            <v>2871706.5</v>
          </cell>
          <cell r="F2699" t="str">
            <v>Sep-16-2024</v>
          </cell>
        </row>
        <row r="2700">
          <cell r="A2700" t="str">
            <v>BGD</v>
          </cell>
          <cell r="B2700">
            <v>2014</v>
          </cell>
          <cell r="C2700" t="str">
            <v>pvgdp_industry</v>
          </cell>
          <cell r="D2700">
            <v>5144418</v>
          </cell>
          <cell r="F2700" t="str">
            <v>Sep-16-2024</v>
          </cell>
        </row>
        <row r="2701">
          <cell r="A2701" t="str">
            <v>BGD</v>
          </cell>
          <cell r="B2701">
            <v>2014</v>
          </cell>
          <cell r="C2701" t="str">
            <v>pvgdp_services</v>
          </cell>
          <cell r="D2701">
            <v>9391224</v>
          </cell>
          <cell r="F2701" t="str">
            <v>Sep-16-2024</v>
          </cell>
        </row>
        <row r="2702">
          <cell r="A2702" t="str">
            <v>BGD</v>
          </cell>
          <cell r="B2702">
            <v>2014</v>
          </cell>
          <cell r="C2702" t="str">
            <v>pvgdppc</v>
          </cell>
          <cell r="D2702">
            <v>116617.78638186962</v>
          </cell>
          <cell r="F2702" t="str">
            <v>Sep-16-2024</v>
          </cell>
        </row>
        <row r="2703">
          <cell r="A2703" t="str">
            <v>BGD</v>
          </cell>
          <cell r="B2703">
            <v>2014</v>
          </cell>
          <cell r="C2703" t="str">
            <v>pvpop_total</v>
          </cell>
          <cell r="D2703">
            <v>155961303.7109375</v>
          </cell>
          <cell r="F2703" t="str">
            <v>Sep-16-2024</v>
          </cell>
        </row>
        <row r="2704">
          <cell r="A2704" t="str">
            <v>BGD</v>
          </cell>
          <cell r="B2704">
            <v>2014</v>
          </cell>
          <cell r="C2704" t="str">
            <v>pvpop_15up</v>
          </cell>
          <cell r="D2704">
            <v>107817822.25672464</v>
          </cell>
          <cell r="F2704" t="str">
            <v>Sep-16-2024</v>
          </cell>
        </row>
        <row r="2705">
          <cell r="A2705" t="str">
            <v>BGD</v>
          </cell>
          <cell r="B2705">
            <v>2014</v>
          </cell>
          <cell r="C2705" t="str">
            <v>pvprivpc</v>
          </cell>
          <cell r="D2705">
            <v>81651.76679724647</v>
          </cell>
          <cell r="F2705" t="str">
            <v>Sep-16-2024</v>
          </cell>
        </row>
        <row r="2706">
          <cell r="A2706" t="str">
            <v>BGD</v>
          </cell>
          <cell r="B2706">
            <v>2015</v>
          </cell>
          <cell r="C2706" t="str">
            <v>pvgdp</v>
          </cell>
          <cell r="D2706">
            <v>19379648</v>
          </cell>
          <cell r="F2706" t="str">
            <v>Sep-16-2024</v>
          </cell>
        </row>
        <row r="2707">
          <cell r="A2707" t="str">
            <v>BGD</v>
          </cell>
          <cell r="B2707">
            <v>2015</v>
          </cell>
          <cell r="C2707" t="str">
            <v>pvgdp_agriculture</v>
          </cell>
          <cell r="D2707">
            <v>2967288</v>
          </cell>
          <cell r="F2707" t="str">
            <v>Sep-16-2024</v>
          </cell>
        </row>
        <row r="2708">
          <cell r="A2708" t="str">
            <v>BGD</v>
          </cell>
          <cell r="B2708">
            <v>2015</v>
          </cell>
          <cell r="C2708" t="str">
            <v>pvgdp_industry</v>
          </cell>
          <cell r="D2708">
            <v>5641724</v>
          </cell>
          <cell r="F2708" t="str">
            <v>Sep-16-2024</v>
          </cell>
        </row>
        <row r="2709">
          <cell r="A2709" t="str">
            <v>BGD</v>
          </cell>
          <cell r="B2709">
            <v>2015</v>
          </cell>
          <cell r="C2709" t="str">
            <v>pvgdp_services</v>
          </cell>
          <cell r="D2709">
            <v>9936015</v>
          </cell>
          <cell r="F2709" t="str">
            <v>Sep-16-2024</v>
          </cell>
        </row>
        <row r="2710">
          <cell r="A2710" t="str">
            <v>BGD</v>
          </cell>
          <cell r="B2710">
            <v>2015</v>
          </cell>
          <cell r="C2710" t="str">
            <v>pvgdppc</v>
          </cell>
          <cell r="D2710">
            <v>122788.11236880347</v>
          </cell>
          <cell r="F2710" t="str">
            <v>Sep-16-2024</v>
          </cell>
        </row>
        <row r="2711">
          <cell r="A2711" t="str">
            <v>BGD</v>
          </cell>
          <cell r="B2711">
            <v>2015</v>
          </cell>
          <cell r="C2711" t="str">
            <v>pvpop_total</v>
          </cell>
          <cell r="D2711">
            <v>157830001.83105469</v>
          </cell>
          <cell r="F2711" t="str">
            <v>Sep-16-2024</v>
          </cell>
        </row>
        <row r="2712">
          <cell r="A2712" t="str">
            <v>BGD</v>
          </cell>
          <cell r="B2712">
            <v>2015</v>
          </cell>
          <cell r="C2712" t="str">
            <v>pvpop_15up</v>
          </cell>
          <cell r="D2712">
            <v>110163382.27805345</v>
          </cell>
          <cell r="F2712" t="str">
            <v>Sep-16-2024</v>
          </cell>
        </row>
        <row r="2713">
          <cell r="A2713" t="str">
            <v>BGD</v>
          </cell>
          <cell r="B2713">
            <v>2015</v>
          </cell>
          <cell r="C2713" t="str">
            <v>pvprivpc</v>
          </cell>
          <cell r="D2713">
            <v>85378.564554692886</v>
          </cell>
          <cell r="F2713" t="str">
            <v>Sep-16-2024</v>
          </cell>
        </row>
        <row r="2714">
          <cell r="A2714" t="str">
            <v>BGD</v>
          </cell>
          <cell r="B2714">
            <v>2016</v>
          </cell>
          <cell r="C2714" t="str">
            <v>pvgdp</v>
          </cell>
          <cell r="D2714">
            <v>20758214</v>
          </cell>
          <cell r="F2714" t="str">
            <v>Sep-16-2024</v>
          </cell>
        </row>
        <row r="2715">
          <cell r="A2715" t="str">
            <v>BGD</v>
          </cell>
          <cell r="B2715">
            <v>2016</v>
          </cell>
          <cell r="C2715" t="str">
            <v>pvgdp_agriculture</v>
          </cell>
          <cell r="D2715">
            <v>2795050</v>
          </cell>
          <cell r="F2715" t="str">
            <v>Sep-16-2024</v>
          </cell>
        </row>
        <row r="2716">
          <cell r="A2716" t="str">
            <v>BGD</v>
          </cell>
          <cell r="B2716">
            <v>2016</v>
          </cell>
          <cell r="C2716" t="str">
            <v>pvgdp_industry</v>
          </cell>
          <cell r="D2716">
            <v>6449400</v>
          </cell>
          <cell r="F2716" t="str">
            <v>Sep-16-2024</v>
          </cell>
        </row>
        <row r="2717">
          <cell r="A2717" t="str">
            <v>BGD</v>
          </cell>
          <cell r="B2717">
            <v>2016</v>
          </cell>
          <cell r="C2717" t="str">
            <v>pvgdp_services</v>
          </cell>
          <cell r="D2717">
            <v>10629824</v>
          </cell>
          <cell r="F2717" t="str">
            <v>Sep-16-2024</v>
          </cell>
        </row>
        <row r="2718">
          <cell r="A2718" t="str">
            <v>BGD</v>
          </cell>
          <cell r="B2718">
            <v>2016</v>
          </cell>
          <cell r="C2718" t="str">
            <v>pvgdppc</v>
          </cell>
          <cell r="D2718">
            <v>129913.76544554955</v>
          </cell>
          <cell r="F2718" t="str">
            <v>Sep-16-2024</v>
          </cell>
        </row>
        <row r="2719">
          <cell r="A2719" t="str">
            <v>BGD</v>
          </cell>
          <cell r="B2719">
            <v>2016</v>
          </cell>
          <cell r="C2719" t="str">
            <v>pvpop_total</v>
          </cell>
          <cell r="D2719">
            <v>159784561.15722656</v>
          </cell>
          <cell r="F2719" t="str">
            <v>Sep-16-2024</v>
          </cell>
        </row>
        <row r="2720">
          <cell r="A2720" t="str">
            <v>BGD</v>
          </cell>
          <cell r="B2720">
            <v>2016</v>
          </cell>
          <cell r="C2720" t="str">
            <v>pvpop_15up</v>
          </cell>
          <cell r="D2720">
            <v>112615929.1772231</v>
          </cell>
          <cell r="F2720" t="str">
            <v>Sep-16-2024</v>
          </cell>
        </row>
        <row r="2721">
          <cell r="A2721" t="str">
            <v>BGD</v>
          </cell>
          <cell r="B2721">
            <v>2016</v>
          </cell>
          <cell r="C2721" t="str">
            <v>pvprivpc</v>
          </cell>
          <cell r="D2721">
            <v>86866.102078174765</v>
          </cell>
          <cell r="F2721" t="str">
            <v>Sep-16-2024</v>
          </cell>
        </row>
        <row r="2722">
          <cell r="A2722" t="str">
            <v>BGD</v>
          </cell>
          <cell r="B2722">
            <v>2017</v>
          </cell>
          <cell r="C2722" t="str">
            <v>pvgdp</v>
          </cell>
          <cell r="D2722">
            <v>22126230</v>
          </cell>
          <cell r="F2722" t="str">
            <v>Sep-16-2024</v>
          </cell>
        </row>
        <row r="2723">
          <cell r="A2723" t="str">
            <v>BGD</v>
          </cell>
          <cell r="B2723">
            <v>2017</v>
          </cell>
          <cell r="C2723" t="str">
            <v>pvgdp_agriculture</v>
          </cell>
          <cell r="D2723">
            <v>2884380</v>
          </cell>
          <cell r="F2723" t="str">
            <v>Sep-16-2024</v>
          </cell>
        </row>
        <row r="2724">
          <cell r="A2724" t="str">
            <v>BGD</v>
          </cell>
          <cell r="B2724">
            <v>2017</v>
          </cell>
          <cell r="C2724" t="str">
            <v>pvgdp_industry</v>
          </cell>
          <cell r="D2724">
            <v>6982905</v>
          </cell>
          <cell r="F2724" t="str">
            <v>Sep-16-2024</v>
          </cell>
        </row>
        <row r="2725">
          <cell r="A2725" t="str">
            <v>BGD</v>
          </cell>
          <cell r="B2725">
            <v>2017</v>
          </cell>
          <cell r="C2725" t="str">
            <v>pvgdp_services</v>
          </cell>
          <cell r="D2725">
            <v>11307474</v>
          </cell>
          <cell r="F2725" t="str">
            <v>Sep-16-2024</v>
          </cell>
        </row>
        <row r="2726">
          <cell r="A2726" t="str">
            <v>BGD</v>
          </cell>
          <cell r="B2726">
            <v>2017</v>
          </cell>
          <cell r="C2726" t="str">
            <v>pvgdppc</v>
          </cell>
          <cell r="D2726">
            <v>136755.59904629953</v>
          </cell>
          <cell r="F2726" t="str">
            <v>Sep-16-2024</v>
          </cell>
        </row>
        <row r="2727">
          <cell r="A2727" t="str">
            <v>BGD</v>
          </cell>
          <cell r="B2727">
            <v>2017</v>
          </cell>
          <cell r="C2727" t="str">
            <v>pvpop_total</v>
          </cell>
          <cell r="D2727">
            <v>161793960.57128906</v>
          </cell>
          <cell r="F2727" t="str">
            <v>Sep-16-2024</v>
          </cell>
        </row>
        <row r="2728">
          <cell r="A2728" t="str">
            <v>BGD</v>
          </cell>
          <cell r="B2728">
            <v>2017</v>
          </cell>
          <cell r="C2728" t="str">
            <v>pvpop_15up</v>
          </cell>
          <cell r="D2728">
            <v>115146128.55984223</v>
          </cell>
          <cell r="F2728" t="str">
            <v>Sep-16-2024</v>
          </cell>
        </row>
        <row r="2729">
          <cell r="A2729" t="str">
            <v>BGD</v>
          </cell>
          <cell r="B2729">
            <v>2017</v>
          </cell>
          <cell r="C2729" t="str">
            <v>pvprivpc</v>
          </cell>
          <cell r="D2729">
            <v>91165.392996859766</v>
          </cell>
          <cell r="F2729" t="str">
            <v>Sep-16-2024</v>
          </cell>
        </row>
        <row r="2730">
          <cell r="A2730" t="str">
            <v>BGD</v>
          </cell>
          <cell r="B2730">
            <v>2018</v>
          </cell>
          <cell r="C2730" t="str">
            <v>pvgdp</v>
          </cell>
          <cell r="D2730">
            <v>23745740</v>
          </cell>
          <cell r="F2730" t="str">
            <v>Sep-16-2024</v>
          </cell>
        </row>
        <row r="2731">
          <cell r="A2731" t="str">
            <v>BGD</v>
          </cell>
          <cell r="B2731">
            <v>2018</v>
          </cell>
          <cell r="C2731" t="str">
            <v>pvgdp_agriculture</v>
          </cell>
          <cell r="D2731">
            <v>2986618</v>
          </cell>
          <cell r="F2731" t="str">
            <v>Sep-16-2024</v>
          </cell>
        </row>
        <row r="2732">
          <cell r="A2732" t="str">
            <v>BGD</v>
          </cell>
          <cell r="B2732">
            <v>2018</v>
          </cell>
          <cell r="C2732" t="str">
            <v>pvgdp_industry</v>
          </cell>
          <cell r="D2732">
            <v>7694869</v>
          </cell>
          <cell r="F2732" t="str">
            <v>Sep-16-2024</v>
          </cell>
        </row>
        <row r="2733">
          <cell r="A2733" t="str">
            <v>BGD</v>
          </cell>
          <cell r="B2733">
            <v>2018</v>
          </cell>
          <cell r="C2733" t="str">
            <v>pvgdp_services</v>
          </cell>
          <cell r="D2733">
            <v>12048523</v>
          </cell>
          <cell r="F2733" t="str">
            <v>Sep-16-2024</v>
          </cell>
        </row>
        <row r="2734">
          <cell r="A2734" t="str">
            <v>BGD</v>
          </cell>
          <cell r="B2734">
            <v>2018</v>
          </cell>
          <cell r="C2734" t="str">
            <v>pvgdppc</v>
          </cell>
          <cell r="D2734">
            <v>145070.65937106375</v>
          </cell>
          <cell r="F2734" t="str">
            <v>Sep-16-2024</v>
          </cell>
        </row>
        <row r="2735">
          <cell r="A2735" t="str">
            <v>BGD</v>
          </cell>
          <cell r="B2735">
            <v>2018</v>
          </cell>
          <cell r="C2735" t="str">
            <v>pvpop_total</v>
          </cell>
          <cell r="D2735">
            <v>163683959.9609375</v>
          </cell>
          <cell r="F2735" t="str">
            <v>Sep-16-2024</v>
          </cell>
        </row>
        <row r="2736">
          <cell r="A2736" t="str">
            <v>BGD</v>
          </cell>
          <cell r="B2736">
            <v>2018</v>
          </cell>
          <cell r="C2736" t="str">
            <v>pvpop_15up</v>
          </cell>
          <cell r="D2736">
            <v>117572757.40852427</v>
          </cell>
          <cell r="F2736" t="str">
            <v>Sep-16-2024</v>
          </cell>
        </row>
        <row r="2737">
          <cell r="A2737" t="str">
            <v>BGD</v>
          </cell>
          <cell r="B2737">
            <v>2018</v>
          </cell>
          <cell r="C2737" t="str">
            <v>pvprivpc</v>
          </cell>
          <cell r="D2737">
            <v>98595.250285069938</v>
          </cell>
          <cell r="F2737" t="str">
            <v>Sep-16-2024</v>
          </cell>
        </row>
        <row r="2738">
          <cell r="A2738" t="str">
            <v>BGD</v>
          </cell>
          <cell r="B2738">
            <v>2019</v>
          </cell>
          <cell r="C2738" t="str">
            <v>pvgdp</v>
          </cell>
          <cell r="D2738">
            <v>25617356</v>
          </cell>
          <cell r="F2738" t="str">
            <v>Sep-16-2024</v>
          </cell>
        </row>
        <row r="2739">
          <cell r="A2739" t="str">
            <v>BGD</v>
          </cell>
          <cell r="B2739">
            <v>2019</v>
          </cell>
          <cell r="C2739" t="str">
            <v>pvgdp_agriculture</v>
          </cell>
          <cell r="D2739">
            <v>3083999</v>
          </cell>
          <cell r="F2739" t="str">
            <v>Sep-16-2024</v>
          </cell>
        </row>
        <row r="2740">
          <cell r="A2740" t="str">
            <v>BGD</v>
          </cell>
          <cell r="B2740">
            <v>2019</v>
          </cell>
          <cell r="C2740" t="str">
            <v>pvgdp_industry</v>
          </cell>
          <cell r="D2740">
            <v>8590038</v>
          </cell>
          <cell r="F2740" t="str">
            <v>Sep-16-2024</v>
          </cell>
        </row>
        <row r="2741">
          <cell r="A2741" t="str">
            <v>BGD</v>
          </cell>
          <cell r="B2741">
            <v>2019</v>
          </cell>
          <cell r="C2741" t="str">
            <v>pvgdp_services</v>
          </cell>
          <cell r="D2741">
            <v>12877439</v>
          </cell>
          <cell r="F2741" t="str">
            <v>Sep-16-2024</v>
          </cell>
        </row>
        <row r="2742">
          <cell r="A2742" t="str">
            <v>BGD</v>
          </cell>
          <cell r="B2742">
            <v>2019</v>
          </cell>
          <cell r="C2742" t="str">
            <v>pvgdppc</v>
          </cell>
          <cell r="D2742">
            <v>154772.48082176613</v>
          </cell>
          <cell r="F2742" t="str">
            <v>Sep-16-2024</v>
          </cell>
        </row>
        <row r="2743">
          <cell r="A2743" t="str">
            <v>BGD</v>
          </cell>
          <cell r="B2743">
            <v>2019</v>
          </cell>
          <cell r="C2743" t="str">
            <v>pvpop_total</v>
          </cell>
          <cell r="D2743">
            <v>165516220.09277344</v>
          </cell>
          <cell r="F2743" t="str">
            <v>Sep-16-2024</v>
          </cell>
        </row>
        <row r="2744">
          <cell r="A2744" t="str">
            <v>BGD</v>
          </cell>
          <cell r="B2744">
            <v>2019</v>
          </cell>
          <cell r="C2744" t="str">
            <v>pvpop_15up</v>
          </cell>
          <cell r="D2744">
            <v>119905206.6183445</v>
          </cell>
          <cell r="F2744" t="str">
            <v>Sep-16-2024</v>
          </cell>
        </row>
        <row r="2745">
          <cell r="A2745" t="str">
            <v>BGD</v>
          </cell>
          <cell r="B2745">
            <v>2019</v>
          </cell>
          <cell r="C2745" t="str">
            <v>pvprivpc</v>
          </cell>
          <cell r="D2745">
            <v>102238.02833652815</v>
          </cell>
          <cell r="F2745" t="str">
            <v>Sep-16-2024</v>
          </cell>
        </row>
        <row r="2746">
          <cell r="A2746" t="str">
            <v>BGD</v>
          </cell>
          <cell r="B2746">
            <v>2020</v>
          </cell>
          <cell r="C2746" t="str">
            <v>pvgdp</v>
          </cell>
          <cell r="D2746">
            <v>26500650</v>
          </cell>
          <cell r="F2746" t="str">
            <v>Sep-16-2024</v>
          </cell>
        </row>
        <row r="2747">
          <cell r="A2747" t="str">
            <v>BGD</v>
          </cell>
          <cell r="B2747">
            <v>2020</v>
          </cell>
          <cell r="C2747" t="str">
            <v>pvgdp_agriculture</v>
          </cell>
          <cell r="D2747">
            <v>3189501</v>
          </cell>
          <cell r="F2747" t="str">
            <v>Sep-16-2024</v>
          </cell>
        </row>
        <row r="2748">
          <cell r="A2748" t="str">
            <v>BGD</v>
          </cell>
          <cell r="B2748">
            <v>2020</v>
          </cell>
          <cell r="C2748" t="str">
            <v>pvgdp_industry</v>
          </cell>
          <cell r="D2748">
            <v>8900232</v>
          </cell>
          <cell r="F2748" t="str">
            <v>Sep-16-2024</v>
          </cell>
        </row>
        <row r="2749">
          <cell r="A2749" t="str">
            <v>BGD</v>
          </cell>
          <cell r="B2749">
            <v>2020</v>
          </cell>
          <cell r="C2749" t="str">
            <v>pvgdp_services</v>
          </cell>
          <cell r="D2749">
            <v>13383891</v>
          </cell>
          <cell r="F2749" t="str">
            <v>Sep-16-2024</v>
          </cell>
        </row>
        <row r="2750">
          <cell r="A2750" t="str">
            <v>BGD</v>
          </cell>
          <cell r="B2750">
            <v>2020</v>
          </cell>
          <cell r="C2750" t="str">
            <v>pvgdppc</v>
          </cell>
          <cell r="D2750">
            <v>158287.54355934996</v>
          </cell>
          <cell r="F2750" t="str">
            <v>Sep-16-2024</v>
          </cell>
        </row>
        <row r="2751">
          <cell r="A2751" t="str">
            <v>BGD</v>
          </cell>
          <cell r="B2751">
            <v>2020</v>
          </cell>
          <cell r="C2751" t="str">
            <v>pvpop_total</v>
          </cell>
          <cell r="D2751">
            <v>167420944.21386719</v>
          </cell>
          <cell r="F2751" t="str">
            <v>Sep-16-2024</v>
          </cell>
        </row>
        <row r="2752">
          <cell r="A2752" t="str">
            <v>BGD</v>
          </cell>
          <cell r="B2752">
            <v>2020</v>
          </cell>
          <cell r="C2752" t="str">
            <v>pvpop_15up</v>
          </cell>
          <cell r="D2752">
            <v>122247126.04491366</v>
          </cell>
          <cell r="F2752" t="str">
            <v>Sep-16-2024</v>
          </cell>
        </row>
        <row r="2753">
          <cell r="A2753" t="str">
            <v>BGD</v>
          </cell>
          <cell r="B2753">
            <v>2020</v>
          </cell>
          <cell r="C2753" t="str">
            <v>pvprivpc</v>
          </cell>
          <cell r="D2753">
            <v>104103.88068135368</v>
          </cell>
          <cell r="F2753" t="str">
            <v>Sep-16-2024</v>
          </cell>
        </row>
        <row r="2754">
          <cell r="A2754" t="str">
            <v>BGD</v>
          </cell>
          <cell r="B2754">
            <v>2021</v>
          </cell>
          <cell r="C2754" t="str">
            <v>pvgdp</v>
          </cell>
          <cell r="D2754">
            <v>28339444</v>
          </cell>
          <cell r="F2754" t="str">
            <v>Sep-16-2024</v>
          </cell>
        </row>
        <row r="2755">
          <cell r="A2755" t="str">
            <v>BGD</v>
          </cell>
          <cell r="B2755">
            <v>2021</v>
          </cell>
          <cell r="C2755" t="str">
            <v>pvgdp_agriculture</v>
          </cell>
          <cell r="D2755">
            <v>3290753</v>
          </cell>
          <cell r="F2755" t="str">
            <v>Sep-16-2024</v>
          </cell>
        </row>
        <row r="2756">
          <cell r="A2756" t="str">
            <v>BGD</v>
          </cell>
          <cell r="B2756">
            <v>2021</v>
          </cell>
          <cell r="C2756" t="str">
            <v>pvgdp_industry</v>
          </cell>
          <cell r="D2756">
            <v>9815808</v>
          </cell>
          <cell r="F2756" t="str">
            <v>Sep-16-2024</v>
          </cell>
        </row>
        <row r="2757">
          <cell r="A2757" t="str">
            <v>BGD</v>
          </cell>
          <cell r="B2757">
            <v>2021</v>
          </cell>
          <cell r="C2757" t="str">
            <v>pvgdp_services</v>
          </cell>
          <cell r="D2757">
            <v>14151078</v>
          </cell>
          <cell r="F2757" t="str">
            <v>Sep-16-2024</v>
          </cell>
        </row>
        <row r="2758">
          <cell r="A2758" t="str">
            <v>BGD</v>
          </cell>
          <cell r="B2758">
            <v>2021</v>
          </cell>
          <cell r="C2758" t="str">
            <v>pvgdppc</v>
          </cell>
          <cell r="D2758">
            <v>167336.27787973455</v>
          </cell>
          <cell r="F2758" t="str">
            <v>Sep-16-2024</v>
          </cell>
        </row>
        <row r="2759">
          <cell r="A2759" t="str">
            <v>BGD</v>
          </cell>
          <cell r="B2759">
            <v>2021</v>
          </cell>
          <cell r="C2759" t="str">
            <v>pvpop_total</v>
          </cell>
          <cell r="D2759">
            <v>169356246.94824219</v>
          </cell>
          <cell r="F2759" t="str">
            <v>Sep-16-2024</v>
          </cell>
        </row>
        <row r="2760">
          <cell r="A2760" t="str">
            <v>BGD</v>
          </cell>
          <cell r="B2760">
            <v>2021</v>
          </cell>
          <cell r="C2760" t="str">
            <v>pvpop_15up</v>
          </cell>
          <cell r="D2760">
            <v>124556466.02005304</v>
          </cell>
          <cell r="F2760" t="str">
            <v>Sep-16-2024</v>
          </cell>
        </row>
        <row r="2761">
          <cell r="A2761" t="str">
            <v>BGD</v>
          </cell>
          <cell r="B2761">
            <v>2021</v>
          </cell>
          <cell r="C2761" t="str">
            <v>pvprivpc</v>
          </cell>
          <cell r="D2761">
            <v>111163.30421371211</v>
          </cell>
          <cell r="F2761" t="str">
            <v>Sep-16-2024</v>
          </cell>
        </row>
        <row r="2762">
          <cell r="A2762" t="str">
            <v>BGD</v>
          </cell>
          <cell r="B2762">
            <v>2022</v>
          </cell>
          <cell r="C2762" t="str">
            <v>pvgdp</v>
          </cell>
          <cell r="D2762">
            <v>30351496</v>
          </cell>
          <cell r="F2762" t="str">
            <v>Sep-16-2024</v>
          </cell>
        </row>
        <row r="2763">
          <cell r="A2763" t="str">
            <v>BGD</v>
          </cell>
          <cell r="B2763">
            <v>2022</v>
          </cell>
          <cell r="C2763" t="str">
            <v>pvgdp_agriculture</v>
          </cell>
          <cell r="D2763">
            <v>3391252</v>
          </cell>
          <cell r="F2763" t="str">
            <v>Sep-16-2024</v>
          </cell>
        </row>
        <row r="2764">
          <cell r="A2764" t="str">
            <v>BGD</v>
          </cell>
          <cell r="B2764">
            <v>2022</v>
          </cell>
          <cell r="C2764" t="str">
            <v>pvgdp_industry</v>
          </cell>
          <cell r="D2764">
            <v>10783223</v>
          </cell>
          <cell r="F2764" t="str">
            <v>Sep-16-2024</v>
          </cell>
        </row>
        <row r="2765">
          <cell r="A2765" t="str">
            <v>BGD</v>
          </cell>
          <cell r="B2765">
            <v>2022</v>
          </cell>
          <cell r="C2765" t="str">
            <v>pvgdp_services</v>
          </cell>
          <cell r="D2765">
            <v>15036465</v>
          </cell>
          <cell r="F2765" t="str">
            <v>Sep-16-2024</v>
          </cell>
        </row>
        <row r="2766">
          <cell r="A2766" t="str">
            <v>BGD</v>
          </cell>
          <cell r="B2766">
            <v>2022</v>
          </cell>
          <cell r="C2766" t="str">
            <v>pvgdppc</v>
          </cell>
          <cell r="D2766">
            <v>177300.89054031289</v>
          </cell>
          <cell r="F2766" t="str">
            <v>Sep-16-2024</v>
          </cell>
        </row>
        <row r="2767">
          <cell r="A2767" t="str">
            <v>BGD</v>
          </cell>
          <cell r="B2767">
            <v>2022</v>
          </cell>
          <cell r="C2767" t="str">
            <v>pvpop_total</v>
          </cell>
          <cell r="D2767">
            <v>171186370.84960938</v>
          </cell>
          <cell r="F2767" t="str">
            <v>Sep-16-2024</v>
          </cell>
        </row>
        <row r="2768">
          <cell r="A2768" t="str">
            <v>BGD</v>
          </cell>
          <cell r="B2768">
            <v>2022</v>
          </cell>
          <cell r="C2768" t="str">
            <v>pvpop_15up</v>
          </cell>
          <cell r="D2768">
            <v>126730710.14835614</v>
          </cell>
          <cell r="F2768" t="str">
            <v>Sep-16-2024</v>
          </cell>
        </row>
        <row r="2769">
          <cell r="A2769" t="str">
            <v>BGD</v>
          </cell>
          <cell r="B2769">
            <v>2022</v>
          </cell>
          <cell r="C2769" t="str">
            <v>pvprivpc</v>
          </cell>
          <cell r="D2769">
            <v>118197.16662943772</v>
          </cell>
          <cell r="F2769" t="str">
            <v>Sep-16-2024</v>
          </cell>
        </row>
        <row r="2770">
          <cell r="A2770" t="str">
            <v>BGD</v>
          </cell>
          <cell r="B2770">
            <v>2023</v>
          </cell>
          <cell r="C2770" t="str">
            <v>pvgdp</v>
          </cell>
          <cell r="D2770">
            <v>32104328</v>
          </cell>
          <cell r="F2770" t="str">
            <v>Sep-16-2024</v>
          </cell>
        </row>
        <row r="2771">
          <cell r="A2771" t="str">
            <v>BGD</v>
          </cell>
          <cell r="B2771">
            <v>2023</v>
          </cell>
          <cell r="C2771" t="str">
            <v>pvgdp_agriculture</v>
          </cell>
          <cell r="D2771">
            <v>3505586</v>
          </cell>
          <cell r="F2771" t="str">
            <v>Sep-16-2024</v>
          </cell>
        </row>
        <row r="2772">
          <cell r="A2772" t="str">
            <v>BGD</v>
          </cell>
          <cell r="B2772">
            <v>2023</v>
          </cell>
          <cell r="C2772" t="str">
            <v>pvgdp_industry</v>
          </cell>
          <cell r="D2772">
            <v>11685491</v>
          </cell>
          <cell r="F2772" t="str">
            <v>Sep-16-2024</v>
          </cell>
        </row>
        <row r="2773">
          <cell r="A2773" t="str">
            <v>BGD</v>
          </cell>
          <cell r="B2773">
            <v>2023</v>
          </cell>
          <cell r="C2773" t="str">
            <v>pvgdp_services</v>
          </cell>
          <cell r="D2773">
            <v>15844110</v>
          </cell>
          <cell r="F2773" t="str">
            <v>Sep-16-2024</v>
          </cell>
        </row>
        <row r="2774">
          <cell r="A2774" t="str">
            <v>BGD</v>
          </cell>
          <cell r="B2774">
            <v>2023</v>
          </cell>
          <cell r="C2774" t="str">
            <v>pvgdppc</v>
          </cell>
          <cell r="D2774">
            <v>185623.16855499212</v>
          </cell>
          <cell r="F2774" t="str">
            <v>Sep-16-2024</v>
          </cell>
        </row>
        <row r="2775">
          <cell r="A2775" t="str">
            <v>BGD</v>
          </cell>
          <cell r="B2775">
            <v>2023</v>
          </cell>
          <cell r="C2775" t="str">
            <v>pvpop_total</v>
          </cell>
          <cell r="D2775">
            <v>172954315.18554688</v>
          </cell>
          <cell r="F2775" t="str">
            <v>Sep-16-2024</v>
          </cell>
        </row>
        <row r="2776">
          <cell r="A2776" t="str">
            <v>BGD</v>
          </cell>
          <cell r="B2776">
            <v>2023</v>
          </cell>
          <cell r="C2776" t="str">
            <v>pvpop_15up</v>
          </cell>
          <cell r="D2776">
            <v>128801640.15932027</v>
          </cell>
          <cell r="F2776" t="str">
            <v>Sep-16-2024</v>
          </cell>
        </row>
        <row r="2777">
          <cell r="A2777" t="str">
            <v>BGD</v>
          </cell>
          <cell r="B2777">
            <v>2023</v>
          </cell>
          <cell r="C2777" t="str">
            <v>pvprivpc</v>
          </cell>
          <cell r="D2777">
            <v>119311.13703559342</v>
          </cell>
          <cell r="F2777" t="str">
            <v>Sep-16-2024</v>
          </cell>
        </row>
        <row r="2778">
          <cell r="A2778" t="str">
            <v>BGD</v>
          </cell>
          <cell r="B2778">
            <v>2024</v>
          </cell>
          <cell r="C2778" t="str">
            <v>pvgdp</v>
          </cell>
          <cell r="D2778">
            <v>33915984</v>
          </cell>
          <cell r="F2778" t="str">
            <v>Sep-16-2024</v>
          </cell>
        </row>
        <row r="2779">
          <cell r="A2779" t="str">
            <v>BGD</v>
          </cell>
          <cell r="B2779">
            <v>2024</v>
          </cell>
          <cell r="C2779" t="str">
            <v>pvgdp_agriculture</v>
          </cell>
          <cell r="D2779">
            <v>3614259.25</v>
          </cell>
          <cell r="F2779" t="str">
            <v>Sep-16-2024</v>
          </cell>
        </row>
        <row r="2780">
          <cell r="A2780" t="str">
            <v>BGD</v>
          </cell>
          <cell r="B2780">
            <v>2024</v>
          </cell>
          <cell r="C2780" t="str">
            <v>pvgdp_industry</v>
          </cell>
          <cell r="D2780">
            <v>12456733</v>
          </cell>
          <cell r="F2780" t="str">
            <v>Sep-16-2024</v>
          </cell>
        </row>
        <row r="2781">
          <cell r="A2781" t="str">
            <v>BGD</v>
          </cell>
          <cell r="B2781">
            <v>2024</v>
          </cell>
          <cell r="C2781" t="str">
            <v>pvgdp_services</v>
          </cell>
          <cell r="D2781">
            <v>16737511</v>
          </cell>
          <cell r="F2781" t="str">
            <v>Sep-16-2024</v>
          </cell>
        </row>
        <row r="2782">
          <cell r="A2782" t="str">
            <v>BGD</v>
          </cell>
          <cell r="B2782">
            <v>2024</v>
          </cell>
          <cell r="C2782" t="str">
            <v>pvgdppc</v>
          </cell>
          <cell r="D2782">
            <v>194137.07847006858</v>
          </cell>
          <cell r="F2782" t="str">
            <v>Sep-16-2024</v>
          </cell>
        </row>
        <row r="2783">
          <cell r="A2783" t="str">
            <v>BGD</v>
          </cell>
          <cell r="B2783">
            <v>2024</v>
          </cell>
          <cell r="C2783" t="str">
            <v>pvpop_total</v>
          </cell>
          <cell r="D2783">
            <v>174701217.65136719</v>
          </cell>
          <cell r="F2783" t="str">
            <v>Sep-16-2024</v>
          </cell>
        </row>
        <row r="2784">
          <cell r="A2784" t="str">
            <v>BGD</v>
          </cell>
          <cell r="B2784">
            <v>2024</v>
          </cell>
          <cell r="C2784" t="str">
            <v>pvpop_15up</v>
          </cell>
          <cell r="D2784">
            <v>130782304.97925054</v>
          </cell>
          <cell r="F2784" t="str">
            <v>Sep-16-2024</v>
          </cell>
        </row>
        <row r="2785">
          <cell r="A2785" t="str">
            <v>BGD</v>
          </cell>
          <cell r="B2785">
            <v>2024</v>
          </cell>
          <cell r="C2785" t="str">
            <v>pvprivpc</v>
          </cell>
          <cell r="D2785">
            <v>119771.75821267809</v>
          </cell>
          <cell r="F2785" t="str">
            <v>Sep-16-2024</v>
          </cell>
        </row>
        <row r="2786">
          <cell r="A2786" t="str">
            <v>BGD</v>
          </cell>
          <cell r="B2786">
            <v>2025</v>
          </cell>
          <cell r="C2786" t="str">
            <v>pvgdp</v>
          </cell>
          <cell r="D2786">
            <v>35843096</v>
          </cell>
          <cell r="F2786" t="str">
            <v>Sep-16-2024</v>
          </cell>
        </row>
        <row r="2787">
          <cell r="A2787" t="str">
            <v>BGD</v>
          </cell>
          <cell r="B2787">
            <v>2025</v>
          </cell>
          <cell r="C2787" t="str">
            <v>pvgdp_agriculture</v>
          </cell>
          <cell r="D2787">
            <v>3726301.25</v>
          </cell>
          <cell r="F2787" t="str">
            <v>Sep-16-2024</v>
          </cell>
        </row>
        <row r="2788">
          <cell r="A2788" t="str">
            <v>BGD</v>
          </cell>
          <cell r="B2788">
            <v>2025</v>
          </cell>
          <cell r="C2788" t="str">
            <v>pvgdp_industry</v>
          </cell>
          <cell r="D2788">
            <v>13353618</v>
          </cell>
          <cell r="F2788" t="str">
            <v>Sep-16-2024</v>
          </cell>
        </row>
        <row r="2789">
          <cell r="A2789" t="str">
            <v>BGD</v>
          </cell>
          <cell r="B2789">
            <v>2025</v>
          </cell>
          <cell r="C2789" t="str">
            <v>pvgdp_services</v>
          </cell>
          <cell r="D2789">
            <v>17592770</v>
          </cell>
          <cell r="F2789" t="str">
            <v>Sep-16-2024</v>
          </cell>
        </row>
        <row r="2790">
          <cell r="A2790" t="str">
            <v>BGD</v>
          </cell>
          <cell r="B2790">
            <v>2025</v>
          </cell>
          <cell r="C2790" t="str">
            <v>pvgdppc</v>
          </cell>
          <cell r="D2790">
            <v>203167.38160796266</v>
          </cell>
          <cell r="F2790" t="str">
            <v>Sep-16-2024</v>
          </cell>
        </row>
        <row r="2791">
          <cell r="A2791" t="str">
            <v>BGD</v>
          </cell>
          <cell r="B2791">
            <v>2025</v>
          </cell>
          <cell r="C2791" t="str">
            <v>pvpop_total</v>
          </cell>
          <cell r="D2791">
            <v>176421508.7890625</v>
          </cell>
          <cell r="F2791" t="str">
            <v>Sep-16-2024</v>
          </cell>
        </row>
        <row r="2792">
          <cell r="A2792" t="str">
            <v>BGD</v>
          </cell>
          <cell r="B2792">
            <v>2025</v>
          </cell>
          <cell r="C2792" t="str">
            <v>pvpop_15up</v>
          </cell>
          <cell r="D2792">
            <v>132666244.84137824</v>
          </cell>
          <cell r="F2792" t="str">
            <v>Sep-16-2024</v>
          </cell>
        </row>
        <row r="2793">
          <cell r="A2793" t="str">
            <v>BGD</v>
          </cell>
          <cell r="B2793">
            <v>2025</v>
          </cell>
          <cell r="C2793" t="str">
            <v>pvprivpc</v>
          </cell>
          <cell r="D2793">
            <v>124462.89656355843</v>
          </cell>
          <cell r="F2793" t="str">
            <v>Sep-16-2024</v>
          </cell>
        </row>
        <row r="2794">
          <cell r="A2794" t="str">
            <v>BGD</v>
          </cell>
          <cell r="B2794">
            <v>2026</v>
          </cell>
          <cell r="C2794" t="str">
            <v>pvgdp</v>
          </cell>
          <cell r="D2794">
            <v>37965692</v>
          </cell>
          <cell r="F2794" t="str">
            <v>Sep-16-2024</v>
          </cell>
        </row>
        <row r="2795">
          <cell r="A2795" t="str">
            <v>BGD</v>
          </cell>
          <cell r="B2795">
            <v>2026</v>
          </cell>
          <cell r="C2795" t="str">
            <v>pvgdp_agriculture</v>
          </cell>
          <cell r="D2795">
            <v>3845542.75</v>
          </cell>
          <cell r="F2795" t="str">
            <v>Sep-16-2024</v>
          </cell>
        </row>
        <row r="2796">
          <cell r="A2796" t="str">
            <v>BGD</v>
          </cell>
          <cell r="B2796">
            <v>2026</v>
          </cell>
          <cell r="C2796" t="str">
            <v>pvgdp_industry</v>
          </cell>
          <cell r="D2796">
            <v>14261664</v>
          </cell>
          <cell r="F2796" t="str">
            <v>Sep-16-2024</v>
          </cell>
        </row>
        <row r="2797">
          <cell r="A2797" t="str">
            <v>BGD</v>
          </cell>
          <cell r="B2797">
            <v>2026</v>
          </cell>
          <cell r="C2797" t="str">
            <v>pvgdp_services</v>
          </cell>
          <cell r="D2797">
            <v>18616922</v>
          </cell>
          <cell r="F2797" t="str">
            <v>Sep-16-2024</v>
          </cell>
        </row>
        <row r="2798">
          <cell r="A2798" t="str">
            <v>BGD</v>
          </cell>
          <cell r="B2798">
            <v>2026</v>
          </cell>
          <cell r="C2798" t="str">
            <v>pvgdppc</v>
          </cell>
          <cell r="D2798">
            <v>213163.29673337808</v>
          </cell>
          <cell r="F2798" t="str">
            <v>Sep-16-2024</v>
          </cell>
        </row>
        <row r="2799">
          <cell r="A2799" t="str">
            <v>BGD</v>
          </cell>
          <cell r="B2799">
            <v>2026</v>
          </cell>
          <cell r="C2799" t="str">
            <v>pvpop_total</v>
          </cell>
          <cell r="D2799">
            <v>178106140.13671875</v>
          </cell>
          <cell r="F2799" t="str">
            <v>Sep-16-2024</v>
          </cell>
        </row>
        <row r="2800">
          <cell r="A2800" t="str">
            <v>BGD</v>
          </cell>
          <cell r="B2800">
            <v>2026</v>
          </cell>
          <cell r="C2800" t="str">
            <v>pvpop_15up</v>
          </cell>
          <cell r="D2800">
            <v>134457507.12292933</v>
          </cell>
          <cell r="F2800" t="str">
            <v>Sep-16-2024</v>
          </cell>
        </row>
        <row r="2801">
          <cell r="A2801" t="str">
            <v>BGD</v>
          </cell>
          <cell r="B2801">
            <v>2026</v>
          </cell>
          <cell r="C2801" t="str">
            <v>pvprivpc</v>
          </cell>
          <cell r="D2801">
            <v>129819.79162678614</v>
          </cell>
          <cell r="F2801" t="str">
            <v>Sep-16-2024</v>
          </cell>
        </row>
        <row r="2802">
          <cell r="A2802" t="str">
            <v>BTN</v>
          </cell>
          <cell r="B2802">
            <v>2007</v>
          </cell>
          <cell r="C2802" t="str">
            <v>pvgdp</v>
          </cell>
          <cell r="D2802">
            <v>85230</v>
          </cell>
          <cell r="F2802" t="str">
            <v>Sep-16-2024</v>
          </cell>
        </row>
        <row r="2803">
          <cell r="A2803" t="str">
            <v>BTN</v>
          </cell>
          <cell r="B2803">
            <v>2007</v>
          </cell>
          <cell r="C2803" t="str">
            <v>pvgdp_agriculture</v>
          </cell>
          <cell r="D2803">
            <v>16707</v>
          </cell>
          <cell r="F2803" t="str">
            <v>Sep-16-2024</v>
          </cell>
        </row>
        <row r="2804">
          <cell r="A2804" t="str">
            <v>BTN</v>
          </cell>
          <cell r="B2804">
            <v>2007</v>
          </cell>
          <cell r="C2804" t="str">
            <v>pvgdp_industry</v>
          </cell>
          <cell r="D2804">
            <v>31466</v>
          </cell>
          <cell r="F2804" t="str">
            <v>Sep-16-2024</v>
          </cell>
        </row>
        <row r="2805">
          <cell r="A2805" t="str">
            <v>BTN</v>
          </cell>
          <cell r="B2805">
            <v>2007</v>
          </cell>
          <cell r="C2805" t="str">
            <v>pvgdp_services</v>
          </cell>
          <cell r="D2805">
            <v>33419</v>
          </cell>
          <cell r="F2805" t="str">
            <v>Sep-16-2024</v>
          </cell>
        </row>
        <row r="2806">
          <cell r="A2806" t="str">
            <v>BTN</v>
          </cell>
          <cell r="B2806">
            <v>2007</v>
          </cell>
          <cell r="C2806" t="str">
            <v>pvgdppc</v>
          </cell>
          <cell r="D2806">
            <v>125589.22512936614</v>
          </cell>
          <cell r="F2806" t="str">
            <v>Sep-16-2024</v>
          </cell>
        </row>
        <row r="2807">
          <cell r="A2807" t="str">
            <v>BTN</v>
          </cell>
          <cell r="B2807">
            <v>2007</v>
          </cell>
          <cell r="C2807" t="str">
            <v>pvpop_total</v>
          </cell>
          <cell r="D2807">
            <v>678641.02125167847</v>
          </cell>
          <cell r="F2807" t="str">
            <v>Sep-16-2024</v>
          </cell>
        </row>
        <row r="2808">
          <cell r="A2808" t="str">
            <v>BTN</v>
          </cell>
          <cell r="B2808">
            <v>2007</v>
          </cell>
          <cell r="C2808" t="str">
            <v>pvpop_15up</v>
          </cell>
          <cell r="D2808">
            <v>463338.21602527396</v>
          </cell>
          <cell r="F2808" t="str">
            <v>Sep-16-2024</v>
          </cell>
        </row>
        <row r="2809">
          <cell r="A2809" t="str">
            <v>BTN</v>
          </cell>
          <cell r="B2809">
            <v>2007</v>
          </cell>
          <cell r="C2809" t="str">
            <v>pvprivpc</v>
          </cell>
          <cell r="D2809">
            <v>44966.335727416837</v>
          </cell>
          <cell r="F2809" t="str">
            <v>Sep-16-2024</v>
          </cell>
        </row>
        <row r="2810">
          <cell r="A2810" t="str">
            <v>BTN</v>
          </cell>
          <cell r="B2810">
            <v>2008</v>
          </cell>
          <cell r="C2810" t="str">
            <v>pvgdp</v>
          </cell>
          <cell r="D2810">
            <v>93656</v>
          </cell>
          <cell r="F2810" t="str">
            <v>Sep-16-2024</v>
          </cell>
        </row>
        <row r="2811">
          <cell r="A2811" t="str">
            <v>BTN</v>
          </cell>
          <cell r="B2811">
            <v>2008</v>
          </cell>
          <cell r="C2811" t="str">
            <v>pvgdp_agriculture</v>
          </cell>
          <cell r="D2811">
            <v>16832</v>
          </cell>
          <cell r="F2811" t="str">
            <v>Sep-16-2024</v>
          </cell>
        </row>
        <row r="2812">
          <cell r="A2812" t="str">
            <v>BTN</v>
          </cell>
          <cell r="B2812">
            <v>2008</v>
          </cell>
          <cell r="C2812" t="str">
            <v>pvgdp_industry</v>
          </cell>
          <cell r="D2812">
            <v>37569</v>
          </cell>
          <cell r="F2812" t="str">
            <v>Sep-16-2024</v>
          </cell>
        </row>
        <row r="2813">
          <cell r="A2813" t="str">
            <v>BTN</v>
          </cell>
          <cell r="B2813">
            <v>2008</v>
          </cell>
          <cell r="C2813" t="str">
            <v>pvgdp_services</v>
          </cell>
          <cell r="D2813">
            <v>35416</v>
          </cell>
          <cell r="F2813" t="str">
            <v>Sep-16-2024</v>
          </cell>
        </row>
        <row r="2814">
          <cell r="A2814" t="str">
            <v>BTN</v>
          </cell>
          <cell r="B2814">
            <v>2008</v>
          </cell>
          <cell r="C2814" t="str">
            <v>pvgdppc</v>
          </cell>
          <cell r="D2814">
            <v>136454.86749629854</v>
          </cell>
          <cell r="F2814" t="str">
            <v>Sep-16-2024</v>
          </cell>
        </row>
        <row r="2815">
          <cell r="A2815" t="str">
            <v>BTN</v>
          </cell>
          <cell r="B2815">
            <v>2008</v>
          </cell>
          <cell r="C2815" t="str">
            <v>pvpop_total</v>
          </cell>
          <cell r="D2815">
            <v>686351.478099823</v>
          </cell>
          <cell r="F2815" t="str">
            <v>Sep-16-2024</v>
          </cell>
        </row>
        <row r="2816">
          <cell r="A2816" t="str">
            <v>BTN</v>
          </cell>
          <cell r="B2816">
            <v>2008</v>
          </cell>
          <cell r="C2816" t="str">
            <v>pvpop_15up</v>
          </cell>
          <cell r="D2816">
            <v>473625.7765196705</v>
          </cell>
          <cell r="F2816" t="str">
            <v>Sep-16-2024</v>
          </cell>
        </row>
        <row r="2817">
          <cell r="A2817" t="str">
            <v>BTN</v>
          </cell>
          <cell r="B2817">
            <v>2008</v>
          </cell>
          <cell r="C2817" t="str">
            <v>pvprivpc</v>
          </cell>
          <cell r="D2817">
            <v>56599.280746868426</v>
          </cell>
          <cell r="F2817" t="str">
            <v>Sep-16-2024</v>
          </cell>
        </row>
        <row r="2818">
          <cell r="A2818" t="str">
            <v>BTN</v>
          </cell>
          <cell r="B2818">
            <v>2009</v>
          </cell>
          <cell r="C2818" t="str">
            <v>pvgdp</v>
          </cell>
          <cell r="D2818">
            <v>99400</v>
          </cell>
          <cell r="F2818" t="str">
            <v>Sep-16-2024</v>
          </cell>
        </row>
        <row r="2819">
          <cell r="A2819" t="str">
            <v>BTN</v>
          </cell>
          <cell r="B2819">
            <v>2009</v>
          </cell>
          <cell r="C2819" t="str">
            <v>pvgdp_agriculture</v>
          </cell>
          <cell r="D2819">
            <v>17158</v>
          </cell>
          <cell r="F2819" t="str">
            <v>Sep-16-2024</v>
          </cell>
        </row>
        <row r="2820">
          <cell r="A2820" t="str">
            <v>BTN</v>
          </cell>
          <cell r="B2820">
            <v>2009</v>
          </cell>
          <cell r="C2820" t="str">
            <v>pvgdp_industry</v>
          </cell>
          <cell r="D2820">
            <v>39320</v>
          </cell>
          <cell r="F2820" t="str">
            <v>Sep-16-2024</v>
          </cell>
        </row>
        <row r="2821">
          <cell r="A2821" t="str">
            <v>BTN</v>
          </cell>
          <cell r="B2821">
            <v>2009</v>
          </cell>
          <cell r="C2821" t="str">
            <v>pvgdp_services</v>
          </cell>
          <cell r="D2821">
            <v>38975</v>
          </cell>
          <cell r="F2821" t="str">
            <v>Sep-16-2024</v>
          </cell>
        </row>
        <row r="2822">
          <cell r="A2822" t="str">
            <v>BTN</v>
          </cell>
          <cell r="B2822">
            <v>2009</v>
          </cell>
          <cell r="C2822" t="str">
            <v>pvgdppc</v>
          </cell>
          <cell r="D2822">
            <v>143230.13710936706</v>
          </cell>
          <cell r="F2822" t="str">
            <v>Sep-16-2024</v>
          </cell>
        </row>
        <row r="2823">
          <cell r="A2823" t="str">
            <v>BTN</v>
          </cell>
          <cell r="B2823">
            <v>2009</v>
          </cell>
          <cell r="C2823" t="str">
            <v>pvpop_total</v>
          </cell>
          <cell r="D2823">
            <v>693988.02518844604</v>
          </cell>
          <cell r="F2823" t="str">
            <v>Sep-16-2024</v>
          </cell>
        </row>
        <row r="2824">
          <cell r="A2824" t="str">
            <v>BTN</v>
          </cell>
          <cell r="B2824">
            <v>2009</v>
          </cell>
          <cell r="C2824" t="str">
            <v>pvpop_15up</v>
          </cell>
          <cell r="D2824">
            <v>483752.85783666826</v>
          </cell>
          <cell r="F2824" t="str">
            <v>Sep-16-2024</v>
          </cell>
        </row>
        <row r="2825">
          <cell r="A2825" t="str">
            <v>BTN</v>
          </cell>
          <cell r="B2825">
            <v>2009</v>
          </cell>
          <cell r="C2825" t="str">
            <v>pvprivpc</v>
          </cell>
          <cell r="D2825">
            <v>57489.464590064556</v>
          </cell>
          <cell r="F2825" t="str">
            <v>Sep-16-2024</v>
          </cell>
        </row>
        <row r="2826">
          <cell r="A2826" t="str">
            <v>BTN</v>
          </cell>
          <cell r="B2826">
            <v>2010</v>
          </cell>
          <cell r="C2826" t="str">
            <v>pvgdp</v>
          </cell>
          <cell r="D2826">
            <v>109219</v>
          </cell>
          <cell r="F2826" t="str">
            <v>Sep-16-2024</v>
          </cell>
        </row>
        <row r="2827">
          <cell r="A2827" t="str">
            <v>BTN</v>
          </cell>
          <cell r="B2827">
            <v>2010</v>
          </cell>
          <cell r="C2827" t="str">
            <v>pvgdp_agriculture</v>
          </cell>
          <cell r="D2827">
            <v>17514</v>
          </cell>
          <cell r="F2827" t="str">
            <v>Sep-16-2024</v>
          </cell>
        </row>
        <row r="2828">
          <cell r="A2828" t="str">
            <v>BTN</v>
          </cell>
          <cell r="B2828">
            <v>2010</v>
          </cell>
          <cell r="C2828" t="str">
            <v>pvgdp_industry</v>
          </cell>
          <cell r="D2828">
            <v>42617</v>
          </cell>
          <cell r="F2828" t="str">
            <v>Sep-16-2024</v>
          </cell>
        </row>
        <row r="2829">
          <cell r="A2829" t="str">
            <v>BTN</v>
          </cell>
          <cell r="B2829">
            <v>2010</v>
          </cell>
          <cell r="C2829" t="str">
            <v>pvgdp_services</v>
          </cell>
          <cell r="D2829">
            <v>44033</v>
          </cell>
          <cell r="F2829" t="str">
            <v>Sep-16-2024</v>
          </cell>
        </row>
        <row r="2830">
          <cell r="A2830" t="str">
            <v>BTN</v>
          </cell>
          <cell r="B2830">
            <v>2010</v>
          </cell>
          <cell r="C2830" t="str">
            <v>pvgdppc</v>
          </cell>
          <cell r="D2830">
            <v>155664.21776925697</v>
          </cell>
          <cell r="F2830" t="str">
            <v>Sep-16-2024</v>
          </cell>
        </row>
        <row r="2831">
          <cell r="A2831" t="str">
            <v>BTN</v>
          </cell>
          <cell r="B2831">
            <v>2010</v>
          </cell>
          <cell r="C2831" t="str">
            <v>pvpop_total</v>
          </cell>
          <cell r="D2831">
            <v>701632.02285766602</v>
          </cell>
          <cell r="F2831" t="str">
            <v>Sep-16-2024</v>
          </cell>
        </row>
        <row r="2832">
          <cell r="A2832" t="str">
            <v>BTN</v>
          </cell>
          <cell r="B2832">
            <v>2010</v>
          </cell>
          <cell r="C2832" t="str">
            <v>pvpop_15up</v>
          </cell>
          <cell r="D2832">
            <v>493676.18995848589</v>
          </cell>
          <cell r="F2832" t="str">
            <v>Sep-16-2024</v>
          </cell>
        </row>
        <row r="2833">
          <cell r="A2833" t="str">
            <v>BTN</v>
          </cell>
          <cell r="B2833">
            <v>2010</v>
          </cell>
          <cell r="C2833" t="str">
            <v>pvprivpc</v>
          </cell>
          <cell r="D2833">
            <v>58117.358774361521</v>
          </cell>
          <cell r="F2833" t="str">
            <v>Sep-16-2024</v>
          </cell>
        </row>
        <row r="2834">
          <cell r="A2834" t="str">
            <v>BTN</v>
          </cell>
          <cell r="B2834">
            <v>2011</v>
          </cell>
          <cell r="C2834" t="str">
            <v>pvgdp</v>
          </cell>
          <cell r="D2834">
            <v>120160</v>
          </cell>
          <cell r="F2834" t="str">
            <v>Sep-16-2024</v>
          </cell>
        </row>
        <row r="2835">
          <cell r="A2835" t="str">
            <v>BTN</v>
          </cell>
          <cell r="B2835">
            <v>2011</v>
          </cell>
          <cell r="C2835" t="str">
            <v>pvgdp_agriculture</v>
          </cell>
          <cell r="D2835">
            <v>17806</v>
          </cell>
          <cell r="F2835" t="str">
            <v>Sep-16-2024</v>
          </cell>
        </row>
        <row r="2836">
          <cell r="A2836" t="str">
            <v>BTN</v>
          </cell>
          <cell r="B2836">
            <v>2011</v>
          </cell>
          <cell r="C2836" t="str">
            <v>pvgdp_industry</v>
          </cell>
          <cell r="D2836">
            <v>46243</v>
          </cell>
          <cell r="F2836" t="str">
            <v>Sep-16-2024</v>
          </cell>
        </row>
        <row r="2837">
          <cell r="A2837" t="str">
            <v>BTN</v>
          </cell>
          <cell r="B2837">
            <v>2011</v>
          </cell>
          <cell r="C2837" t="str">
            <v>pvgdp_services</v>
          </cell>
          <cell r="D2837">
            <v>49316</v>
          </cell>
          <cell r="F2837" t="str">
            <v>Sep-16-2024</v>
          </cell>
        </row>
        <row r="2838">
          <cell r="A2838" t="str">
            <v>BTN</v>
          </cell>
          <cell r="B2838">
            <v>2011</v>
          </cell>
          <cell r="C2838" t="str">
            <v>pvgdppc</v>
          </cell>
          <cell r="D2838">
            <v>169388.07088359821</v>
          </cell>
          <cell r="F2838" t="str">
            <v>Sep-16-2024</v>
          </cell>
        </row>
        <row r="2839">
          <cell r="A2839" t="str">
            <v>BTN</v>
          </cell>
          <cell r="B2839">
            <v>2011</v>
          </cell>
          <cell r="C2839" t="str">
            <v>pvpop_total</v>
          </cell>
          <cell r="D2839">
            <v>709376.9907951355</v>
          </cell>
          <cell r="F2839" t="str">
            <v>Sep-16-2024</v>
          </cell>
        </row>
        <row r="2840">
          <cell r="A2840" t="str">
            <v>BTN</v>
          </cell>
          <cell r="B2840">
            <v>2011</v>
          </cell>
          <cell r="C2840" t="str">
            <v>pvpop_15up</v>
          </cell>
          <cell r="D2840">
            <v>503402.07807655068</v>
          </cell>
          <cell r="F2840" t="str">
            <v>Sep-16-2024</v>
          </cell>
        </row>
        <row r="2841">
          <cell r="A2841" t="str">
            <v>BTN</v>
          </cell>
          <cell r="B2841">
            <v>2011</v>
          </cell>
          <cell r="C2841" t="str">
            <v>pvprivpc</v>
          </cell>
          <cell r="D2841">
            <v>59910.316448751997</v>
          </cell>
          <cell r="F2841" t="str">
            <v>Sep-16-2024</v>
          </cell>
        </row>
        <row r="2842">
          <cell r="A2842" t="str">
            <v>BTN</v>
          </cell>
          <cell r="B2842">
            <v>2012</v>
          </cell>
          <cell r="C2842" t="str">
            <v>pvgdp</v>
          </cell>
          <cell r="D2842">
            <v>128136</v>
          </cell>
          <cell r="F2842" t="str">
            <v>Sep-16-2024</v>
          </cell>
        </row>
        <row r="2843">
          <cell r="A2843" t="str">
            <v>BTN</v>
          </cell>
          <cell r="B2843">
            <v>2012</v>
          </cell>
          <cell r="C2843" t="str">
            <v>pvgdp_agriculture</v>
          </cell>
          <cell r="D2843">
            <v>18232</v>
          </cell>
          <cell r="F2843" t="str">
            <v>Sep-16-2024</v>
          </cell>
        </row>
        <row r="2844">
          <cell r="A2844" t="str">
            <v>BTN</v>
          </cell>
          <cell r="B2844">
            <v>2012</v>
          </cell>
          <cell r="C2844" t="str">
            <v>pvgdp_industry</v>
          </cell>
          <cell r="D2844">
            <v>49009</v>
          </cell>
          <cell r="F2844" t="str">
            <v>Sep-16-2024</v>
          </cell>
        </row>
        <row r="2845">
          <cell r="A2845" t="str">
            <v>BTN</v>
          </cell>
          <cell r="B2845">
            <v>2012</v>
          </cell>
          <cell r="C2845" t="str">
            <v>pvgdp_services</v>
          </cell>
          <cell r="D2845">
            <v>52094</v>
          </cell>
          <cell r="F2845" t="str">
            <v>Sep-16-2024</v>
          </cell>
        </row>
        <row r="2846">
          <cell r="A2846" t="str">
            <v>BTN</v>
          </cell>
          <cell r="B2846">
            <v>2012</v>
          </cell>
          <cell r="C2846" t="str">
            <v>pvgdppc</v>
          </cell>
          <cell r="D2846">
            <v>178641.66075569682</v>
          </cell>
          <cell r="F2846" t="str">
            <v>Sep-16-2024</v>
          </cell>
        </row>
        <row r="2847">
          <cell r="A2847" t="str">
            <v>BTN</v>
          </cell>
          <cell r="B2847">
            <v>2012</v>
          </cell>
          <cell r="C2847" t="str">
            <v>pvpop_total</v>
          </cell>
          <cell r="D2847">
            <v>717279.49380874634</v>
          </cell>
          <cell r="F2847" t="str">
            <v>Sep-16-2024</v>
          </cell>
        </row>
        <row r="2848">
          <cell r="A2848" t="str">
            <v>BTN</v>
          </cell>
          <cell r="B2848">
            <v>2012</v>
          </cell>
          <cell r="C2848" t="str">
            <v>pvpop_15up</v>
          </cell>
          <cell r="D2848">
            <v>512854.16669141181</v>
          </cell>
          <cell r="F2848" t="str">
            <v>Sep-16-2024</v>
          </cell>
        </row>
        <row r="2849">
          <cell r="A2849" t="str">
            <v>BTN</v>
          </cell>
          <cell r="B2849">
            <v>2012</v>
          </cell>
          <cell r="C2849" t="str">
            <v>pvprivpc</v>
          </cell>
          <cell r="D2849">
            <v>60150.890095715018</v>
          </cell>
          <cell r="F2849" t="str">
            <v>Sep-16-2024</v>
          </cell>
        </row>
        <row r="2850">
          <cell r="A2850" t="str">
            <v>BTN</v>
          </cell>
          <cell r="B2850">
            <v>2013</v>
          </cell>
          <cell r="C2850" t="str">
            <v>pvgdp</v>
          </cell>
          <cell r="D2850">
            <v>132408</v>
          </cell>
          <cell r="F2850" t="str">
            <v>Sep-16-2024</v>
          </cell>
        </row>
        <row r="2851">
          <cell r="A2851" t="str">
            <v>BTN</v>
          </cell>
          <cell r="B2851">
            <v>2013</v>
          </cell>
          <cell r="C2851" t="str">
            <v>pvgdp_agriculture</v>
          </cell>
          <cell r="D2851">
            <v>18621</v>
          </cell>
          <cell r="F2851" t="str">
            <v>Sep-16-2024</v>
          </cell>
        </row>
        <row r="2852">
          <cell r="A2852" t="str">
            <v>BTN</v>
          </cell>
          <cell r="B2852">
            <v>2013</v>
          </cell>
          <cell r="C2852" t="str">
            <v>pvgdp_industry</v>
          </cell>
          <cell r="D2852">
            <v>51767</v>
          </cell>
          <cell r="F2852" t="str">
            <v>Sep-16-2024</v>
          </cell>
        </row>
        <row r="2853">
          <cell r="A2853" t="str">
            <v>BTN</v>
          </cell>
          <cell r="B2853">
            <v>2013</v>
          </cell>
          <cell r="C2853" t="str">
            <v>pvgdp_services</v>
          </cell>
          <cell r="D2853">
            <v>52267</v>
          </cell>
          <cell r="F2853" t="str">
            <v>Sep-16-2024</v>
          </cell>
        </row>
        <row r="2854">
          <cell r="A2854" t="str">
            <v>BTN</v>
          </cell>
          <cell r="B2854">
            <v>2013</v>
          </cell>
          <cell r="C2854" t="str">
            <v>pvgdppc</v>
          </cell>
          <cell r="D2854">
            <v>182562.97643190838</v>
          </cell>
          <cell r="F2854" t="str">
            <v>Sep-16-2024</v>
          </cell>
        </row>
        <row r="2855">
          <cell r="A2855" t="str">
            <v>BTN</v>
          </cell>
          <cell r="B2855">
            <v>2013</v>
          </cell>
          <cell r="C2855" t="str">
            <v>pvpop_total</v>
          </cell>
          <cell r="D2855">
            <v>725273.0131149292</v>
          </cell>
          <cell r="F2855" t="str">
            <v>Sep-16-2024</v>
          </cell>
        </row>
        <row r="2856">
          <cell r="A2856" t="str">
            <v>BTN</v>
          </cell>
          <cell r="B2856">
            <v>2013</v>
          </cell>
          <cell r="C2856" t="str">
            <v>pvpop_15up</v>
          </cell>
          <cell r="D2856">
            <v>522039.27367080952</v>
          </cell>
          <cell r="F2856" t="str">
            <v>Sep-16-2024</v>
          </cell>
        </row>
        <row r="2857">
          <cell r="A2857" t="str">
            <v>BTN</v>
          </cell>
          <cell r="B2857">
            <v>2013</v>
          </cell>
          <cell r="C2857" t="str">
            <v>pvprivpc</v>
          </cell>
          <cell r="D2857">
            <v>68073.675853393914</v>
          </cell>
          <cell r="F2857" t="str">
            <v>Sep-16-2024</v>
          </cell>
        </row>
        <row r="2858">
          <cell r="A2858" t="str">
            <v>BTN</v>
          </cell>
          <cell r="B2858">
            <v>2014</v>
          </cell>
          <cell r="C2858" t="str">
            <v>pvgdp</v>
          </cell>
          <cell r="D2858">
            <v>137314</v>
          </cell>
          <cell r="F2858" t="str">
            <v>Sep-16-2024</v>
          </cell>
        </row>
        <row r="2859">
          <cell r="A2859" t="str">
            <v>BTN</v>
          </cell>
          <cell r="B2859">
            <v>2014</v>
          </cell>
          <cell r="C2859" t="str">
            <v>pvgdp_agriculture</v>
          </cell>
          <cell r="D2859">
            <v>19012</v>
          </cell>
          <cell r="F2859" t="str">
            <v>Sep-16-2024</v>
          </cell>
        </row>
        <row r="2860">
          <cell r="A2860" t="str">
            <v>BTN</v>
          </cell>
          <cell r="B2860">
            <v>2014</v>
          </cell>
          <cell r="C2860" t="str">
            <v>pvgdp_industry</v>
          </cell>
          <cell r="D2860">
            <v>53902</v>
          </cell>
          <cell r="F2860" t="str">
            <v>Sep-16-2024</v>
          </cell>
        </row>
        <row r="2861">
          <cell r="A2861" t="str">
            <v>BTN</v>
          </cell>
          <cell r="B2861">
            <v>2014</v>
          </cell>
          <cell r="C2861" t="str">
            <v>pvgdp_services</v>
          </cell>
          <cell r="D2861">
            <v>54435</v>
          </cell>
          <cell r="F2861" t="str">
            <v>Sep-16-2024</v>
          </cell>
        </row>
        <row r="2862">
          <cell r="A2862" t="str">
            <v>BTN</v>
          </cell>
          <cell r="B2862">
            <v>2014</v>
          </cell>
          <cell r="C2862" t="str">
            <v>pvgdppc</v>
          </cell>
          <cell r="D2862">
            <v>187295.86552759178</v>
          </cell>
          <cell r="F2862" t="str">
            <v>Sep-16-2024</v>
          </cell>
        </row>
        <row r="2863">
          <cell r="A2863" t="str">
            <v>BTN</v>
          </cell>
          <cell r="B2863">
            <v>2014</v>
          </cell>
          <cell r="C2863" t="str">
            <v>pvpop_total</v>
          </cell>
          <cell r="D2863">
            <v>733139.5149230957</v>
          </cell>
          <cell r="F2863" t="str">
            <v>Sep-16-2024</v>
          </cell>
        </row>
        <row r="2864">
          <cell r="A2864" t="str">
            <v>BTN</v>
          </cell>
          <cell r="B2864">
            <v>2014</v>
          </cell>
          <cell r="C2864" t="str">
            <v>pvpop_15up</v>
          </cell>
          <cell r="D2864">
            <v>531168.89119200548</v>
          </cell>
          <cell r="F2864" t="str">
            <v>Sep-16-2024</v>
          </cell>
        </row>
        <row r="2865">
          <cell r="A2865" t="str">
            <v>BTN</v>
          </cell>
          <cell r="B2865">
            <v>2014</v>
          </cell>
          <cell r="C2865" t="str">
            <v>pvprivpc</v>
          </cell>
          <cell r="D2865">
            <v>87639.526573246912</v>
          </cell>
          <cell r="F2865" t="str">
            <v>Sep-16-2024</v>
          </cell>
        </row>
        <row r="2866">
          <cell r="A2866" t="str">
            <v>BTN</v>
          </cell>
          <cell r="B2866">
            <v>2015</v>
          </cell>
          <cell r="C2866" t="str">
            <v>pvgdp</v>
          </cell>
          <cell r="D2866">
            <v>145765</v>
          </cell>
          <cell r="F2866" t="str">
            <v>Sep-16-2024</v>
          </cell>
        </row>
        <row r="2867">
          <cell r="A2867" t="str">
            <v>BTN</v>
          </cell>
          <cell r="B2867">
            <v>2015</v>
          </cell>
          <cell r="C2867" t="str">
            <v>pvgdp_agriculture</v>
          </cell>
          <cell r="D2867">
            <v>19731</v>
          </cell>
          <cell r="F2867" t="str">
            <v>Sep-16-2024</v>
          </cell>
        </row>
        <row r="2868">
          <cell r="A2868" t="str">
            <v>BTN</v>
          </cell>
          <cell r="B2868">
            <v>2015</v>
          </cell>
          <cell r="C2868" t="str">
            <v>pvgdp_industry</v>
          </cell>
          <cell r="D2868">
            <v>57309</v>
          </cell>
          <cell r="F2868" t="str">
            <v>Sep-16-2024</v>
          </cell>
        </row>
        <row r="2869">
          <cell r="A2869" t="str">
            <v>BTN</v>
          </cell>
          <cell r="B2869">
            <v>2015</v>
          </cell>
          <cell r="C2869" t="str">
            <v>pvgdp_services</v>
          </cell>
          <cell r="D2869">
            <v>58909</v>
          </cell>
          <cell r="F2869" t="str">
            <v>Sep-16-2024</v>
          </cell>
        </row>
        <row r="2870">
          <cell r="A2870" t="str">
            <v>BTN</v>
          </cell>
          <cell r="B2870">
            <v>2015</v>
          </cell>
          <cell r="C2870" t="str">
            <v>pvgdppc</v>
          </cell>
          <cell r="D2870">
            <v>196815.36483176381</v>
          </cell>
          <cell r="F2870" t="str">
            <v>Sep-16-2024</v>
          </cell>
        </row>
        <row r="2871">
          <cell r="A2871" t="str">
            <v>BTN</v>
          </cell>
          <cell r="B2871">
            <v>2015</v>
          </cell>
          <cell r="C2871" t="str">
            <v>pvpop_total</v>
          </cell>
          <cell r="D2871">
            <v>740617.99049377441</v>
          </cell>
          <cell r="F2871" t="str">
            <v>Sep-16-2024</v>
          </cell>
        </row>
        <row r="2872">
          <cell r="A2872" t="str">
            <v>BTN</v>
          </cell>
          <cell r="B2872">
            <v>2015</v>
          </cell>
          <cell r="C2872" t="str">
            <v>pvpop_15up</v>
          </cell>
          <cell r="D2872">
            <v>540453.82066357671</v>
          </cell>
          <cell r="F2872" t="str">
            <v>Sep-16-2024</v>
          </cell>
        </row>
        <row r="2873">
          <cell r="A2873" t="str">
            <v>BTN</v>
          </cell>
          <cell r="B2873">
            <v>2015</v>
          </cell>
          <cell r="C2873" t="str">
            <v>pvprivpc</v>
          </cell>
          <cell r="D2873">
            <v>104154.90980521681</v>
          </cell>
          <cell r="F2873" t="str">
            <v>Sep-16-2024</v>
          </cell>
        </row>
        <row r="2874">
          <cell r="A2874" t="str">
            <v>BTN</v>
          </cell>
          <cell r="B2874">
            <v>2016</v>
          </cell>
          <cell r="C2874" t="str">
            <v>pvgdp</v>
          </cell>
          <cell r="D2874">
            <v>156718</v>
          </cell>
          <cell r="F2874" t="str">
            <v>Sep-16-2024</v>
          </cell>
        </row>
        <row r="2875">
          <cell r="A2875" t="str">
            <v>BTN</v>
          </cell>
          <cell r="B2875">
            <v>2016</v>
          </cell>
          <cell r="C2875" t="str">
            <v>pvgdp_agriculture</v>
          </cell>
          <cell r="D2875">
            <v>20693</v>
          </cell>
          <cell r="F2875" t="str">
            <v>Sep-16-2024</v>
          </cell>
        </row>
        <row r="2876">
          <cell r="A2876" t="str">
            <v>BTN</v>
          </cell>
          <cell r="B2876">
            <v>2016</v>
          </cell>
          <cell r="C2876" t="str">
            <v>pvgdp_industry</v>
          </cell>
          <cell r="D2876">
            <v>61865</v>
          </cell>
          <cell r="F2876" t="str">
            <v>Sep-16-2024</v>
          </cell>
        </row>
        <row r="2877">
          <cell r="A2877" t="str">
            <v>BTN</v>
          </cell>
          <cell r="B2877">
            <v>2016</v>
          </cell>
          <cell r="C2877" t="str">
            <v>pvgdp_services</v>
          </cell>
          <cell r="D2877">
            <v>64462</v>
          </cell>
          <cell r="F2877" t="str">
            <v>Sep-16-2024</v>
          </cell>
        </row>
        <row r="2878">
          <cell r="A2878" t="str">
            <v>BTN</v>
          </cell>
          <cell r="B2878">
            <v>2016</v>
          </cell>
          <cell r="C2878" t="str">
            <v>pvgdppc</v>
          </cell>
          <cell r="D2878">
            <v>209553.59016072945</v>
          </cell>
          <cell r="F2878" t="str">
            <v>Sep-16-2024</v>
          </cell>
        </row>
        <row r="2879">
          <cell r="A2879" t="str">
            <v>BTN</v>
          </cell>
          <cell r="B2879">
            <v>2016</v>
          </cell>
          <cell r="C2879" t="str">
            <v>pvpop_total</v>
          </cell>
          <cell r="D2879">
            <v>747865.97490310669</v>
          </cell>
          <cell r="F2879" t="str">
            <v>Sep-16-2024</v>
          </cell>
        </row>
        <row r="2880">
          <cell r="A2880" t="str">
            <v>BTN</v>
          </cell>
          <cell r="B2880">
            <v>2016</v>
          </cell>
          <cell r="C2880" t="str">
            <v>pvpop_15up</v>
          </cell>
          <cell r="D2880">
            <v>549979.40167633502</v>
          </cell>
          <cell r="F2880" t="str">
            <v>Sep-16-2024</v>
          </cell>
        </row>
        <row r="2881">
          <cell r="A2881" t="str">
            <v>BTN</v>
          </cell>
          <cell r="B2881">
            <v>2016</v>
          </cell>
          <cell r="C2881" t="str">
            <v>pvprivpc</v>
          </cell>
          <cell r="D2881">
            <v>107079.34668424416</v>
          </cell>
          <cell r="F2881" t="str">
            <v>Sep-16-2024</v>
          </cell>
        </row>
        <row r="2882">
          <cell r="A2882" t="str">
            <v>BTN</v>
          </cell>
          <cell r="B2882">
            <v>2017</v>
          </cell>
          <cell r="C2882" t="str">
            <v>pvgdp</v>
          </cell>
          <cell r="D2882">
            <v>165894</v>
          </cell>
          <cell r="F2882" t="str">
            <v>Sep-16-2024</v>
          </cell>
        </row>
        <row r="2883">
          <cell r="A2883" t="str">
            <v>BTN</v>
          </cell>
          <cell r="B2883">
            <v>2017</v>
          </cell>
          <cell r="C2883" t="str">
            <v>pvgdp_agriculture</v>
          </cell>
          <cell r="D2883">
            <v>21488</v>
          </cell>
          <cell r="F2883" t="str">
            <v>Sep-16-2024</v>
          </cell>
        </row>
        <row r="2884">
          <cell r="A2884" t="str">
            <v>BTN</v>
          </cell>
          <cell r="B2884">
            <v>2017</v>
          </cell>
          <cell r="C2884" t="str">
            <v>pvgdp_industry</v>
          </cell>
          <cell r="D2884">
            <v>64982</v>
          </cell>
          <cell r="F2884" t="str">
            <v>Sep-16-2024</v>
          </cell>
        </row>
        <row r="2885">
          <cell r="A2885" t="str">
            <v>BTN</v>
          </cell>
          <cell r="B2885">
            <v>2017</v>
          </cell>
          <cell r="C2885" t="str">
            <v>pvgdp_services</v>
          </cell>
          <cell r="D2885">
            <v>70194</v>
          </cell>
          <cell r="F2885" t="str">
            <v>Sep-16-2024</v>
          </cell>
        </row>
        <row r="2886">
          <cell r="A2886" t="str">
            <v>BTN</v>
          </cell>
          <cell r="B2886">
            <v>2017</v>
          </cell>
          <cell r="C2886" t="str">
            <v>pvgdppc</v>
          </cell>
          <cell r="D2886">
            <v>219921.000482868</v>
          </cell>
          <cell r="F2886" t="str">
            <v>Sep-16-2024</v>
          </cell>
        </row>
        <row r="2887">
          <cell r="A2887" t="str">
            <v>BTN</v>
          </cell>
          <cell r="B2887">
            <v>2017</v>
          </cell>
          <cell r="C2887" t="str">
            <v>pvpop_total</v>
          </cell>
          <cell r="D2887">
            <v>754334.50937271118</v>
          </cell>
          <cell r="F2887" t="str">
            <v>Sep-16-2024</v>
          </cell>
        </row>
        <row r="2888">
          <cell r="A2888" t="str">
            <v>BTN</v>
          </cell>
          <cell r="B2888">
            <v>2017</v>
          </cell>
          <cell r="C2888" t="str">
            <v>pvpop_15up</v>
          </cell>
          <cell r="D2888">
            <v>559559.79438411724</v>
          </cell>
          <cell r="F2888" t="str">
            <v>Sep-16-2024</v>
          </cell>
        </row>
        <row r="2889">
          <cell r="A2889" t="str">
            <v>BTN</v>
          </cell>
          <cell r="B2889">
            <v>2017</v>
          </cell>
          <cell r="C2889" t="str">
            <v>pvprivpc</v>
          </cell>
          <cell r="D2889">
            <v>105018.39570600697</v>
          </cell>
          <cell r="F2889" t="str">
            <v>Sep-16-2024</v>
          </cell>
        </row>
        <row r="2890">
          <cell r="A2890" t="str">
            <v>BTN</v>
          </cell>
          <cell r="B2890">
            <v>2018</v>
          </cell>
          <cell r="C2890" t="str">
            <v>pvgdp</v>
          </cell>
          <cell r="D2890">
            <v>171708.0625</v>
          </cell>
          <cell r="F2890" t="str">
            <v>Sep-16-2024</v>
          </cell>
        </row>
        <row r="2891">
          <cell r="A2891" t="str">
            <v>BTN</v>
          </cell>
          <cell r="B2891">
            <v>2018</v>
          </cell>
          <cell r="C2891" t="str">
            <v>pvgdp_agriculture</v>
          </cell>
          <cell r="D2891">
            <v>22133</v>
          </cell>
          <cell r="F2891" t="str">
            <v>Sep-16-2024</v>
          </cell>
        </row>
        <row r="2892">
          <cell r="A2892" t="str">
            <v>BTN</v>
          </cell>
          <cell r="B2892">
            <v>2018</v>
          </cell>
          <cell r="C2892" t="str">
            <v>pvgdp_industry</v>
          </cell>
          <cell r="D2892">
            <v>64563</v>
          </cell>
          <cell r="F2892" t="str">
            <v>Sep-16-2024</v>
          </cell>
        </row>
        <row r="2893">
          <cell r="A2893" t="str">
            <v>BTN</v>
          </cell>
          <cell r="B2893">
            <v>2018</v>
          </cell>
          <cell r="C2893" t="str">
            <v>pvgdp_services</v>
          </cell>
          <cell r="D2893">
            <v>76201</v>
          </cell>
          <cell r="F2893" t="str">
            <v>Sep-16-2024</v>
          </cell>
        </row>
        <row r="2894">
          <cell r="A2894" t="str">
            <v>BTN</v>
          </cell>
          <cell r="B2894">
            <v>2018</v>
          </cell>
          <cell r="C2894" t="str">
            <v>pvgdppc</v>
          </cell>
          <cell r="D2894">
            <v>226003.3253861939</v>
          </cell>
          <cell r="F2894" t="str">
            <v>Sep-16-2024</v>
          </cell>
        </row>
        <row r="2895">
          <cell r="A2895" t="str">
            <v>BTN</v>
          </cell>
          <cell r="B2895">
            <v>2018</v>
          </cell>
          <cell r="C2895" t="str">
            <v>pvpop_total</v>
          </cell>
          <cell r="D2895">
            <v>759759.00888442993</v>
          </cell>
          <cell r="F2895" t="str">
            <v>Sep-16-2024</v>
          </cell>
        </row>
        <row r="2896">
          <cell r="A2896" t="str">
            <v>BTN</v>
          </cell>
          <cell r="B2896">
            <v>2018</v>
          </cell>
          <cell r="C2896" t="str">
            <v>pvpop_15up</v>
          </cell>
          <cell r="D2896">
            <v>569168.25910815666</v>
          </cell>
          <cell r="F2896" t="str">
            <v>Sep-16-2024</v>
          </cell>
        </row>
        <row r="2897">
          <cell r="A2897" t="str">
            <v>BTN</v>
          </cell>
          <cell r="B2897">
            <v>2018</v>
          </cell>
          <cell r="C2897" t="str">
            <v>pvprivpc</v>
          </cell>
          <cell r="D2897">
            <v>109772.93534822232</v>
          </cell>
          <cell r="F2897" t="str">
            <v>Sep-16-2024</v>
          </cell>
        </row>
        <row r="2898">
          <cell r="A2898" t="str">
            <v>BTN</v>
          </cell>
          <cell r="B2898">
            <v>2019</v>
          </cell>
          <cell r="C2898" t="str">
            <v>pvgdp</v>
          </cell>
          <cell r="D2898">
            <v>179688.875</v>
          </cell>
          <cell r="F2898" t="str">
            <v>Sep-16-2024</v>
          </cell>
        </row>
        <row r="2899">
          <cell r="A2899" t="str">
            <v>BTN</v>
          </cell>
          <cell r="B2899">
            <v>2019</v>
          </cell>
          <cell r="C2899" t="str">
            <v>pvgdp_agriculture</v>
          </cell>
          <cell r="D2899">
            <v>22640</v>
          </cell>
          <cell r="F2899" t="str">
            <v>Sep-16-2024</v>
          </cell>
        </row>
        <row r="2900">
          <cell r="A2900" t="str">
            <v>BTN</v>
          </cell>
          <cell r="B2900">
            <v>2019</v>
          </cell>
          <cell r="C2900" t="str">
            <v>pvgdp_industry</v>
          </cell>
          <cell r="D2900">
            <v>62824</v>
          </cell>
          <cell r="F2900" t="str">
            <v>Sep-16-2024</v>
          </cell>
        </row>
        <row r="2901">
          <cell r="A2901" t="str">
            <v>BTN</v>
          </cell>
          <cell r="B2901">
            <v>2019</v>
          </cell>
          <cell r="C2901" t="str">
            <v>pvgdp_services</v>
          </cell>
          <cell r="D2901">
            <v>85498</v>
          </cell>
          <cell r="F2901" t="str">
            <v>Sep-16-2024</v>
          </cell>
        </row>
        <row r="2902">
          <cell r="A2902" t="str">
            <v>BTN</v>
          </cell>
          <cell r="B2902">
            <v>2019</v>
          </cell>
          <cell r="C2902" t="str">
            <v>pvgdppc</v>
          </cell>
          <cell r="D2902">
            <v>234941.47843346634</v>
          </cell>
          <cell r="F2902" t="str">
            <v>Sep-16-2024</v>
          </cell>
        </row>
        <row r="2903">
          <cell r="A2903" t="str">
            <v>BTN</v>
          </cell>
          <cell r="B2903">
            <v>2019</v>
          </cell>
          <cell r="C2903" t="str">
            <v>pvpop_total</v>
          </cell>
          <cell r="D2903">
            <v>764823.97317886353</v>
          </cell>
          <cell r="F2903" t="str">
            <v>Sep-16-2024</v>
          </cell>
        </row>
        <row r="2904">
          <cell r="A2904" t="str">
            <v>BTN</v>
          </cell>
          <cell r="B2904">
            <v>2019</v>
          </cell>
          <cell r="C2904" t="str">
            <v>pvpop_15up</v>
          </cell>
          <cell r="D2904">
            <v>578947.36868871865</v>
          </cell>
          <cell r="F2904" t="str">
            <v>Sep-16-2024</v>
          </cell>
        </row>
        <row r="2905">
          <cell r="A2905" t="str">
            <v>BTN</v>
          </cell>
          <cell r="B2905">
            <v>2019</v>
          </cell>
          <cell r="C2905" t="str">
            <v>pvprivpc</v>
          </cell>
          <cell r="D2905">
            <v>112108.63938223841</v>
          </cell>
          <cell r="F2905" t="str">
            <v>Sep-16-2024</v>
          </cell>
        </row>
        <row r="2906">
          <cell r="A2906" t="str">
            <v>BTN</v>
          </cell>
          <cell r="B2906">
            <v>2020</v>
          </cell>
          <cell r="C2906" t="str">
            <v>pvgdp</v>
          </cell>
          <cell r="D2906">
            <v>175277.46875</v>
          </cell>
          <cell r="F2906" t="str">
            <v>Sep-16-2024</v>
          </cell>
        </row>
        <row r="2907">
          <cell r="A2907" t="str">
            <v>BTN</v>
          </cell>
          <cell r="B2907">
            <v>2020</v>
          </cell>
          <cell r="C2907" t="str">
            <v>pvgdp_agriculture</v>
          </cell>
          <cell r="D2907">
            <v>23290</v>
          </cell>
          <cell r="F2907" t="str">
            <v>Sep-16-2024</v>
          </cell>
        </row>
        <row r="2908">
          <cell r="A2908" t="str">
            <v>BTN</v>
          </cell>
          <cell r="B2908">
            <v>2020</v>
          </cell>
          <cell r="C2908" t="str">
            <v>pvgdp_industry</v>
          </cell>
          <cell r="D2908">
            <v>57910</v>
          </cell>
          <cell r="F2908" t="str">
            <v>Sep-16-2024</v>
          </cell>
        </row>
        <row r="2909">
          <cell r="A2909" t="str">
            <v>BTN</v>
          </cell>
          <cell r="B2909">
            <v>2020</v>
          </cell>
          <cell r="C2909" t="str">
            <v>pvgdp_services</v>
          </cell>
          <cell r="D2909">
            <v>88070</v>
          </cell>
          <cell r="F2909" t="str">
            <v>Sep-16-2024</v>
          </cell>
        </row>
        <row r="2910">
          <cell r="A2910" t="str">
            <v>BTN</v>
          </cell>
          <cell r="B2910">
            <v>2020</v>
          </cell>
          <cell r="C2910" t="str">
            <v>pvgdppc</v>
          </cell>
          <cell r="D2910">
            <v>227631.30225395918</v>
          </cell>
          <cell r="F2910" t="str">
            <v>Sep-16-2024</v>
          </cell>
        </row>
        <row r="2911">
          <cell r="A2911" t="str">
            <v>BTN</v>
          </cell>
          <cell r="B2911">
            <v>2020</v>
          </cell>
          <cell r="C2911" t="str">
            <v>pvpop_total</v>
          </cell>
          <cell r="D2911">
            <v>770006.00099563599</v>
          </cell>
          <cell r="F2911" t="str">
            <v>Sep-16-2024</v>
          </cell>
        </row>
        <row r="2912">
          <cell r="A2912" t="str">
            <v>BTN</v>
          </cell>
          <cell r="B2912">
            <v>2020</v>
          </cell>
          <cell r="C2912" t="str">
            <v>pvpop_15up</v>
          </cell>
          <cell r="D2912">
            <v>588852.15800548589</v>
          </cell>
          <cell r="F2912" t="str">
            <v>Sep-16-2024</v>
          </cell>
        </row>
        <row r="2913">
          <cell r="A2913" t="str">
            <v>BTN</v>
          </cell>
          <cell r="B2913">
            <v>2020</v>
          </cell>
          <cell r="C2913" t="str">
            <v>pvprivpc</v>
          </cell>
          <cell r="D2913">
            <v>112008.44118549774</v>
          </cell>
          <cell r="F2913" t="str">
            <v>Sep-16-2024</v>
          </cell>
        </row>
        <row r="2914">
          <cell r="A2914" t="str">
            <v>BTN</v>
          </cell>
          <cell r="B2914">
            <v>2021</v>
          </cell>
          <cell r="C2914" t="str">
            <v>pvgdp</v>
          </cell>
          <cell r="D2914">
            <v>169506.21875</v>
          </cell>
          <cell r="F2914" t="str">
            <v>Sep-16-2024</v>
          </cell>
        </row>
        <row r="2915">
          <cell r="A2915" t="str">
            <v>BTN</v>
          </cell>
          <cell r="B2915">
            <v>2021</v>
          </cell>
          <cell r="C2915" t="str">
            <v>pvgdp_agriculture</v>
          </cell>
          <cell r="D2915">
            <v>23916</v>
          </cell>
          <cell r="F2915" t="str">
            <v>Sep-16-2024</v>
          </cell>
        </row>
        <row r="2916">
          <cell r="A2916" t="str">
            <v>BTN</v>
          </cell>
          <cell r="B2916">
            <v>2021</v>
          </cell>
          <cell r="C2916" t="str">
            <v>pvgdp_industry</v>
          </cell>
          <cell r="D2916">
            <v>54472</v>
          </cell>
          <cell r="F2916" t="str">
            <v>Sep-16-2024</v>
          </cell>
        </row>
        <row r="2917">
          <cell r="A2917" t="str">
            <v>BTN</v>
          </cell>
          <cell r="B2917">
            <v>2021</v>
          </cell>
          <cell r="C2917" t="str">
            <v>pvgdp_services</v>
          </cell>
          <cell r="D2917">
            <v>87026</v>
          </cell>
          <cell r="F2917" t="str">
            <v>Sep-16-2024</v>
          </cell>
        </row>
        <row r="2918">
          <cell r="A2918" t="str">
            <v>BTN</v>
          </cell>
          <cell r="B2918">
            <v>2021</v>
          </cell>
          <cell r="C2918" t="str">
            <v>pvgdppc</v>
          </cell>
          <cell r="D2918">
            <v>218593.16630311881</v>
          </cell>
          <cell r="F2918" t="str">
            <v>Sep-16-2024</v>
          </cell>
        </row>
        <row r="2919">
          <cell r="A2919" t="str">
            <v>BTN</v>
          </cell>
          <cell r="B2919">
            <v>2021</v>
          </cell>
          <cell r="C2919" t="str">
            <v>pvpop_total</v>
          </cell>
          <cell r="D2919">
            <v>775441.52736663818</v>
          </cell>
          <cell r="F2919" t="str">
            <v>Sep-16-2024</v>
          </cell>
        </row>
        <row r="2920">
          <cell r="A2920" t="str">
            <v>BTN</v>
          </cell>
          <cell r="B2920">
            <v>2021</v>
          </cell>
          <cell r="C2920" t="str">
            <v>pvpop_15up</v>
          </cell>
          <cell r="D2920">
            <v>598619.72285340377</v>
          </cell>
          <cell r="F2920" t="str">
            <v>Sep-16-2024</v>
          </cell>
        </row>
        <row r="2921">
          <cell r="A2921" t="str">
            <v>BTN</v>
          </cell>
          <cell r="B2921">
            <v>2021</v>
          </cell>
          <cell r="C2921" t="str">
            <v>pvprivpc</v>
          </cell>
          <cell r="D2921">
            <v>111581.09816652894</v>
          </cell>
          <cell r="F2921" t="str">
            <v>Sep-16-2024</v>
          </cell>
        </row>
        <row r="2922">
          <cell r="A2922" t="str">
            <v>BTN</v>
          </cell>
          <cell r="B2922">
            <v>2022</v>
          </cell>
          <cell r="C2922" t="str">
            <v>pvgdp</v>
          </cell>
          <cell r="D2922">
            <v>177686.90625</v>
          </cell>
          <cell r="F2922" t="str">
            <v>Sep-16-2024</v>
          </cell>
        </row>
        <row r="2923">
          <cell r="A2923" t="str">
            <v>BTN</v>
          </cell>
          <cell r="B2923">
            <v>2022</v>
          </cell>
          <cell r="C2923" t="str">
            <v>pvgdp_agriculture</v>
          </cell>
          <cell r="D2923">
            <v>23947.50390625</v>
          </cell>
          <cell r="F2923" t="str">
            <v>Sep-16-2024</v>
          </cell>
        </row>
        <row r="2924">
          <cell r="A2924" t="str">
            <v>BTN</v>
          </cell>
          <cell r="B2924">
            <v>2022</v>
          </cell>
          <cell r="C2924" t="str">
            <v>pvgdp_industry</v>
          </cell>
          <cell r="D2924">
            <v>57079.02734375</v>
          </cell>
          <cell r="F2924" t="str">
            <v>Sep-16-2024</v>
          </cell>
        </row>
        <row r="2925">
          <cell r="A2925" t="str">
            <v>BTN</v>
          </cell>
          <cell r="B2925">
            <v>2022</v>
          </cell>
          <cell r="C2925" t="str">
            <v>pvgdp_services</v>
          </cell>
          <cell r="D2925">
            <v>92526.7578125</v>
          </cell>
          <cell r="F2925" t="str">
            <v>Sep-16-2024</v>
          </cell>
        </row>
        <row r="2926">
          <cell r="A2926" t="str">
            <v>BTN</v>
          </cell>
          <cell r="B2926">
            <v>2022</v>
          </cell>
          <cell r="C2926" t="str">
            <v>pvgdppc</v>
          </cell>
          <cell r="D2926">
            <v>227536.9577074383</v>
          </cell>
          <cell r="F2926" t="str">
            <v>Sep-16-2024</v>
          </cell>
        </row>
        <row r="2927">
          <cell r="A2927" t="str">
            <v>BTN</v>
          </cell>
          <cell r="B2927">
            <v>2022</v>
          </cell>
          <cell r="C2927" t="str">
            <v>pvpop_total</v>
          </cell>
          <cell r="D2927">
            <v>780914.48545455933</v>
          </cell>
          <cell r="F2927" t="str">
            <v>Sep-16-2024</v>
          </cell>
        </row>
        <row r="2928">
          <cell r="A2928" t="str">
            <v>BTN</v>
          </cell>
          <cell r="B2928">
            <v>2022</v>
          </cell>
          <cell r="C2928" t="str">
            <v>pvpop_15up</v>
          </cell>
          <cell r="D2928">
            <v>607995.60353821015</v>
          </cell>
          <cell r="F2928" t="str">
            <v>Sep-16-2024</v>
          </cell>
        </row>
        <row r="2929">
          <cell r="A2929" t="str">
            <v>BTN</v>
          </cell>
          <cell r="B2929">
            <v>2022</v>
          </cell>
          <cell r="C2929" t="str">
            <v>pvprivpc</v>
          </cell>
          <cell r="D2929">
            <v>112487.07854531339</v>
          </cell>
          <cell r="F2929" t="str">
            <v>Sep-16-2024</v>
          </cell>
        </row>
        <row r="2930">
          <cell r="A2930" t="str">
            <v>BTN</v>
          </cell>
          <cell r="B2930">
            <v>2023</v>
          </cell>
          <cell r="C2930" t="str">
            <v>pvgdp</v>
          </cell>
          <cell r="D2930">
            <v>186649.484375</v>
          </cell>
          <cell r="F2930" t="str">
            <v>Sep-16-2024</v>
          </cell>
        </row>
        <row r="2931">
          <cell r="A2931" t="str">
            <v>BTN</v>
          </cell>
          <cell r="B2931">
            <v>2023</v>
          </cell>
          <cell r="C2931" t="str">
            <v>pvgdp_agriculture</v>
          </cell>
          <cell r="D2931">
            <v>23972.98828125</v>
          </cell>
          <cell r="F2931" t="str">
            <v>Sep-16-2024</v>
          </cell>
        </row>
        <row r="2932">
          <cell r="A2932" t="str">
            <v>BTN</v>
          </cell>
          <cell r="B2932">
            <v>2023</v>
          </cell>
          <cell r="C2932" t="str">
            <v>pvgdp_industry</v>
          </cell>
          <cell r="D2932">
            <v>58624.328125</v>
          </cell>
          <cell r="F2932" t="str">
            <v>Sep-16-2024</v>
          </cell>
        </row>
        <row r="2933">
          <cell r="A2933" t="str">
            <v>BTN</v>
          </cell>
          <cell r="B2933">
            <v>2023</v>
          </cell>
          <cell r="C2933" t="str">
            <v>pvgdp_services</v>
          </cell>
          <cell r="D2933">
            <v>99364.8359375</v>
          </cell>
          <cell r="F2933" t="str">
            <v>Sep-16-2024</v>
          </cell>
        </row>
        <row r="2934">
          <cell r="A2934" t="str">
            <v>BTN</v>
          </cell>
          <cell r="B2934">
            <v>2023</v>
          </cell>
          <cell r="C2934" t="str">
            <v>pvgdppc</v>
          </cell>
          <cell r="D2934">
            <v>237351.27759793549</v>
          </cell>
          <cell r="F2934" t="str">
            <v>Sep-16-2024</v>
          </cell>
        </row>
        <row r="2935">
          <cell r="A2935" t="str">
            <v>BTN</v>
          </cell>
          <cell r="B2935">
            <v>2023</v>
          </cell>
          <cell r="C2935" t="str">
            <v>pvpop_total</v>
          </cell>
          <cell r="D2935">
            <v>786384.99975204468</v>
          </cell>
          <cell r="F2935" t="str">
            <v>Sep-16-2024</v>
          </cell>
        </row>
        <row r="2936">
          <cell r="A2936" t="str">
            <v>BTN</v>
          </cell>
          <cell r="B2936">
            <v>2023</v>
          </cell>
          <cell r="C2936" t="str">
            <v>pvpop_15up</v>
          </cell>
          <cell r="D2936">
            <v>617035.750093724</v>
          </cell>
          <cell r="F2936" t="str">
            <v>Sep-16-2024</v>
          </cell>
        </row>
        <row r="2937">
          <cell r="A2937" t="str">
            <v>BTN</v>
          </cell>
          <cell r="B2937">
            <v>2023</v>
          </cell>
          <cell r="C2937" t="str">
            <v>pvprivpc</v>
          </cell>
          <cell r="D2937">
            <v>119367.60067218708</v>
          </cell>
          <cell r="F2937" t="str">
            <v>Sep-16-2024</v>
          </cell>
        </row>
        <row r="2938">
          <cell r="A2938" t="str">
            <v>BTN</v>
          </cell>
          <cell r="B2938">
            <v>2024</v>
          </cell>
          <cell r="C2938" t="str">
            <v>pvgdp</v>
          </cell>
          <cell r="D2938">
            <v>196588.609375</v>
          </cell>
          <cell r="F2938" t="str">
            <v>Sep-16-2024</v>
          </cell>
        </row>
        <row r="2939">
          <cell r="A2939" t="str">
            <v>BTN</v>
          </cell>
          <cell r="B2939">
            <v>2024</v>
          </cell>
          <cell r="C2939" t="str">
            <v>pvgdp_agriculture</v>
          </cell>
          <cell r="D2939">
            <v>24790.2421875</v>
          </cell>
          <cell r="F2939" t="str">
            <v>Sep-16-2024</v>
          </cell>
        </row>
        <row r="2940">
          <cell r="A2940" t="str">
            <v>BTN</v>
          </cell>
          <cell r="B2940">
            <v>2024</v>
          </cell>
          <cell r="C2940" t="str">
            <v>pvgdp_industry</v>
          </cell>
          <cell r="D2940">
            <v>58730.703125</v>
          </cell>
          <cell r="F2940" t="str">
            <v>Sep-16-2024</v>
          </cell>
        </row>
        <row r="2941">
          <cell r="A2941" t="str">
            <v>BTN</v>
          </cell>
          <cell r="B2941">
            <v>2024</v>
          </cell>
          <cell r="C2941" t="str">
            <v>pvgdp_services</v>
          </cell>
          <cell r="D2941">
            <v>107967.328125</v>
          </cell>
          <cell r="F2941" t="str">
            <v>Sep-16-2024</v>
          </cell>
        </row>
        <row r="2942">
          <cell r="A2942" t="str">
            <v>BTN</v>
          </cell>
          <cell r="B2942">
            <v>2024</v>
          </cell>
          <cell r="C2942" t="str">
            <v>pvgdppc</v>
          </cell>
          <cell r="D2942">
            <v>248368.46762958431</v>
          </cell>
          <cell r="F2942" t="str">
            <v>Sep-16-2024</v>
          </cell>
        </row>
        <row r="2943">
          <cell r="A2943" t="str">
            <v>BTN</v>
          </cell>
          <cell r="B2943">
            <v>2024</v>
          </cell>
          <cell r="C2943" t="str">
            <v>pvpop_total</v>
          </cell>
          <cell r="D2943">
            <v>791519.99950408936</v>
          </cell>
          <cell r="F2943" t="str">
            <v>Sep-16-2024</v>
          </cell>
        </row>
        <row r="2944">
          <cell r="A2944" t="str">
            <v>BTN</v>
          </cell>
          <cell r="B2944">
            <v>2024</v>
          </cell>
          <cell r="C2944" t="str">
            <v>pvpop_15up</v>
          </cell>
          <cell r="D2944">
            <v>625665.62230008736</v>
          </cell>
          <cell r="F2944" t="str">
            <v>Sep-16-2024</v>
          </cell>
        </row>
        <row r="2945">
          <cell r="A2945" t="str">
            <v>BTN</v>
          </cell>
          <cell r="B2945">
            <v>2024</v>
          </cell>
          <cell r="C2945" t="str">
            <v>pvprivpc</v>
          </cell>
          <cell r="D2945">
            <v>125226.57165908781</v>
          </cell>
          <cell r="F2945" t="str">
            <v>Sep-16-2024</v>
          </cell>
        </row>
        <row r="2946">
          <cell r="A2946" t="str">
            <v>BTN</v>
          </cell>
          <cell r="B2946">
            <v>2025</v>
          </cell>
          <cell r="C2946" t="str">
            <v>pvgdp</v>
          </cell>
          <cell r="D2946">
            <v>210651.125</v>
          </cell>
          <cell r="F2946" t="str">
            <v>Sep-16-2024</v>
          </cell>
        </row>
        <row r="2947">
          <cell r="A2947" t="str">
            <v>BTN</v>
          </cell>
          <cell r="B2947">
            <v>2025</v>
          </cell>
          <cell r="C2947" t="str">
            <v>pvgdp_agriculture</v>
          </cell>
          <cell r="D2947">
            <v>26095.837890625</v>
          </cell>
          <cell r="F2947" t="str">
            <v>Sep-16-2024</v>
          </cell>
        </row>
        <row r="2948">
          <cell r="A2948" t="str">
            <v>BTN</v>
          </cell>
          <cell r="B2948">
            <v>2025</v>
          </cell>
          <cell r="C2948" t="str">
            <v>pvgdp_industry</v>
          </cell>
          <cell r="D2948">
            <v>64664.61328125</v>
          </cell>
          <cell r="F2948" t="str">
            <v>Sep-16-2024</v>
          </cell>
        </row>
        <row r="2949">
          <cell r="A2949" t="str">
            <v>BTN</v>
          </cell>
          <cell r="B2949">
            <v>2025</v>
          </cell>
          <cell r="C2949" t="str">
            <v>pvgdp_services</v>
          </cell>
          <cell r="D2949">
            <v>114550.25</v>
          </cell>
          <cell r="F2949" t="str">
            <v>Sep-16-2024</v>
          </cell>
        </row>
        <row r="2950">
          <cell r="A2950" t="str">
            <v>BTN</v>
          </cell>
          <cell r="B2950">
            <v>2025</v>
          </cell>
          <cell r="C2950" t="str">
            <v>pvgdppc</v>
          </cell>
          <cell r="D2950">
            <v>264411.22154422035</v>
          </cell>
          <cell r="F2950" t="str">
            <v>Sep-16-2024</v>
          </cell>
        </row>
        <row r="2951">
          <cell r="A2951" t="str">
            <v>BTN</v>
          </cell>
          <cell r="B2951">
            <v>2025</v>
          </cell>
          <cell r="C2951" t="str">
            <v>pvpop_total</v>
          </cell>
          <cell r="D2951">
            <v>796679.97360229492</v>
          </cell>
          <cell r="F2951" t="str">
            <v>Sep-16-2024</v>
          </cell>
        </row>
        <row r="2952">
          <cell r="A2952" t="str">
            <v>BTN</v>
          </cell>
          <cell r="B2952">
            <v>2025</v>
          </cell>
          <cell r="C2952" t="str">
            <v>pvpop_15up</v>
          </cell>
          <cell r="D2952">
            <v>634300.48123079515</v>
          </cell>
          <cell r="F2952" t="str">
            <v>Sep-16-2024</v>
          </cell>
        </row>
        <row r="2953">
          <cell r="A2953" t="str">
            <v>BTN</v>
          </cell>
          <cell r="B2953">
            <v>2025</v>
          </cell>
          <cell r="C2953" t="str">
            <v>pvprivpc</v>
          </cell>
          <cell r="D2953">
            <v>128274.88406406909</v>
          </cell>
          <cell r="F2953" t="str">
            <v>Sep-16-2024</v>
          </cell>
        </row>
        <row r="2954">
          <cell r="A2954" t="str">
            <v>BTN</v>
          </cell>
          <cell r="B2954">
            <v>2026</v>
          </cell>
          <cell r="C2954" t="str">
            <v>pvgdp</v>
          </cell>
          <cell r="D2954">
            <v>224560.171875</v>
          </cell>
          <cell r="F2954" t="str">
            <v>Sep-16-2024</v>
          </cell>
        </row>
        <row r="2955">
          <cell r="A2955" t="str">
            <v>BTN</v>
          </cell>
          <cell r="B2955">
            <v>2026</v>
          </cell>
          <cell r="C2955" t="str">
            <v>pvgdp_agriculture</v>
          </cell>
          <cell r="D2955">
            <v>27406.509765625</v>
          </cell>
          <cell r="F2955" t="str">
            <v>Sep-16-2024</v>
          </cell>
        </row>
        <row r="2956">
          <cell r="A2956" t="str">
            <v>BTN</v>
          </cell>
          <cell r="B2956">
            <v>2026</v>
          </cell>
          <cell r="C2956" t="str">
            <v>pvgdp_industry</v>
          </cell>
          <cell r="D2956">
            <v>73024.6796875</v>
          </cell>
          <cell r="F2956" t="str">
            <v>Sep-16-2024</v>
          </cell>
        </row>
        <row r="2957">
          <cell r="A2957" t="str">
            <v>BTN</v>
          </cell>
          <cell r="B2957">
            <v>2026</v>
          </cell>
          <cell r="C2957" t="str">
            <v>pvgdp_services</v>
          </cell>
          <cell r="D2957">
            <v>118357.1328125</v>
          </cell>
          <cell r="F2957" t="str">
            <v>Sep-16-2024</v>
          </cell>
        </row>
        <row r="2958">
          <cell r="A2958" t="str">
            <v>BTN</v>
          </cell>
          <cell r="B2958">
            <v>2026</v>
          </cell>
          <cell r="C2958" t="str">
            <v>pvgdppc</v>
          </cell>
          <cell r="D2958">
            <v>279926.92604078358</v>
          </cell>
          <cell r="F2958" t="str">
            <v>Sep-16-2024</v>
          </cell>
        </row>
        <row r="2959">
          <cell r="A2959" t="str">
            <v>BTN</v>
          </cell>
          <cell r="B2959">
            <v>2026</v>
          </cell>
          <cell r="C2959" t="str">
            <v>pvpop_total</v>
          </cell>
          <cell r="D2959">
            <v>802209.97333526611</v>
          </cell>
          <cell r="F2959" t="str">
            <v>Sep-16-2024</v>
          </cell>
        </row>
        <row r="2960">
          <cell r="A2960" t="str">
            <v>BTN</v>
          </cell>
          <cell r="B2960">
            <v>2026</v>
          </cell>
          <cell r="C2960" t="str">
            <v>pvpop_15up</v>
          </cell>
          <cell r="D2960">
            <v>643256.88581838389</v>
          </cell>
          <cell r="F2960" t="str">
            <v>Sep-16-2024</v>
          </cell>
        </row>
        <row r="2961">
          <cell r="A2961" t="str">
            <v>BTN</v>
          </cell>
          <cell r="B2961">
            <v>2026</v>
          </cell>
          <cell r="C2961" t="str">
            <v>pvprivpc</v>
          </cell>
          <cell r="D2961">
            <v>132151.47891298292</v>
          </cell>
          <cell r="F2961" t="str">
            <v>Sep-16-2024</v>
          </cell>
        </row>
        <row r="2962">
          <cell r="A2962" t="str">
            <v>IND</v>
          </cell>
          <cell r="B2962">
            <v>2007</v>
          </cell>
          <cell r="C2962" t="str">
            <v>pvgdp</v>
          </cell>
          <cell r="D2962">
            <v>68810064</v>
          </cell>
          <cell r="F2962" t="str">
            <v>Sep-16-2024</v>
          </cell>
        </row>
        <row r="2963">
          <cell r="A2963" t="str">
            <v>IND</v>
          </cell>
          <cell r="B2963">
            <v>2007</v>
          </cell>
          <cell r="C2963" t="str">
            <v>pvgdp_agriculture</v>
          </cell>
          <cell r="D2963">
            <v>13122832</v>
          </cell>
          <cell r="F2963" t="str">
            <v>Sep-16-2024</v>
          </cell>
        </row>
        <row r="2964">
          <cell r="A2964" t="str">
            <v>IND</v>
          </cell>
          <cell r="B2964">
            <v>2007</v>
          </cell>
          <cell r="C2964" t="str">
            <v>pvgdp_industry</v>
          </cell>
          <cell r="D2964">
            <v>20819376</v>
          </cell>
          <cell r="F2964" t="str">
            <v>Sep-16-2024</v>
          </cell>
        </row>
        <row r="2965">
          <cell r="A2965" t="str">
            <v>IND</v>
          </cell>
          <cell r="B2965">
            <v>2007</v>
          </cell>
          <cell r="C2965" t="str">
            <v>pvgdp_services</v>
          </cell>
          <cell r="D2965">
            <v>30040744</v>
          </cell>
          <cell r="F2965" t="str">
            <v>Sep-16-2024</v>
          </cell>
        </row>
        <row r="2966">
          <cell r="A2966" t="str">
            <v>IND</v>
          </cell>
          <cell r="B2966">
            <v>2007</v>
          </cell>
          <cell r="C2966" t="str">
            <v>pvgdppc</v>
          </cell>
          <cell r="D2966">
            <v>57838.564233879595</v>
          </cell>
          <cell r="F2966" t="str">
            <v>Sep-16-2024</v>
          </cell>
        </row>
        <row r="2967">
          <cell r="A2967" t="str">
            <v>IND</v>
          </cell>
          <cell r="B2967">
            <v>2007</v>
          </cell>
          <cell r="C2967" t="str">
            <v>pvpop_total</v>
          </cell>
          <cell r="D2967">
            <v>1189691772.4609375</v>
          </cell>
          <cell r="F2967" t="str">
            <v>Sep-16-2024</v>
          </cell>
        </row>
        <row r="2968">
          <cell r="A2968" t="str">
            <v>IND</v>
          </cell>
          <cell r="B2968">
            <v>2007</v>
          </cell>
          <cell r="C2968" t="str">
            <v>pvpop_15up</v>
          </cell>
          <cell r="D2968">
            <v>805780229.2520318</v>
          </cell>
          <cell r="F2968" t="str">
            <v>Sep-16-2024</v>
          </cell>
        </row>
        <row r="2969">
          <cell r="A2969" t="str">
            <v>IND</v>
          </cell>
          <cell r="B2969">
            <v>2007</v>
          </cell>
          <cell r="C2969" t="str">
            <v>pvprivpc</v>
          </cell>
          <cell r="D2969">
            <v>32827.353188476656</v>
          </cell>
          <cell r="F2969" t="str">
            <v>Sep-16-2024</v>
          </cell>
        </row>
        <row r="2970">
          <cell r="A2970" t="str">
            <v>IND</v>
          </cell>
          <cell r="B2970">
            <v>2008</v>
          </cell>
          <cell r="C2970" t="str">
            <v>pvgdp</v>
          </cell>
          <cell r="D2970">
            <v>70934024</v>
          </cell>
          <cell r="F2970" t="str">
            <v>Sep-16-2024</v>
          </cell>
        </row>
        <row r="2971">
          <cell r="A2971" t="str">
            <v>IND</v>
          </cell>
          <cell r="B2971">
            <v>2008</v>
          </cell>
          <cell r="C2971" t="str">
            <v>pvgdp_agriculture</v>
          </cell>
          <cell r="D2971">
            <v>13090787</v>
          </cell>
          <cell r="F2971" t="str">
            <v>Sep-16-2024</v>
          </cell>
        </row>
        <row r="2972">
          <cell r="A2972" t="str">
            <v>IND</v>
          </cell>
          <cell r="B2972">
            <v>2008</v>
          </cell>
          <cell r="C2972" t="str">
            <v>pvgdp_industry</v>
          </cell>
          <cell r="D2972">
            <v>21651988</v>
          </cell>
          <cell r="F2972" t="str">
            <v>Sep-16-2024</v>
          </cell>
        </row>
        <row r="2973">
          <cell r="A2973" t="str">
            <v>IND</v>
          </cell>
          <cell r="B2973">
            <v>2008</v>
          </cell>
          <cell r="C2973" t="str">
            <v>pvgdp_services</v>
          </cell>
          <cell r="D2973">
            <v>31999376</v>
          </cell>
          <cell r="F2973" t="str">
            <v>Sep-16-2024</v>
          </cell>
        </row>
        <row r="2974">
          <cell r="A2974" t="str">
            <v>IND</v>
          </cell>
          <cell r="B2974">
            <v>2008</v>
          </cell>
          <cell r="C2974" t="str">
            <v>pvgdppc</v>
          </cell>
          <cell r="D2974">
            <v>58781.780620079444</v>
          </cell>
          <cell r="F2974" t="str">
            <v>Sep-16-2024</v>
          </cell>
        </row>
        <row r="2975">
          <cell r="A2975" t="str">
            <v>IND</v>
          </cell>
          <cell r="B2975">
            <v>2008</v>
          </cell>
          <cell r="C2975" t="str">
            <v>pvpop_total</v>
          </cell>
          <cell r="D2975">
            <v>1206734863.28125</v>
          </cell>
          <cell r="F2975" t="str">
            <v>Sep-16-2024</v>
          </cell>
        </row>
        <row r="2976">
          <cell r="A2976" t="str">
            <v>IND</v>
          </cell>
          <cell r="B2976">
            <v>2008</v>
          </cell>
          <cell r="C2976" t="str">
            <v>pvpop_15up</v>
          </cell>
          <cell r="D2976">
            <v>822505185.04264843</v>
          </cell>
          <cell r="F2976" t="str">
            <v>Sep-16-2024</v>
          </cell>
        </row>
        <row r="2977">
          <cell r="A2977" t="str">
            <v>IND</v>
          </cell>
          <cell r="B2977">
            <v>2008</v>
          </cell>
          <cell r="C2977" t="str">
            <v>pvprivpc</v>
          </cell>
          <cell r="D2977">
            <v>33804.618761969461</v>
          </cell>
          <cell r="F2977" t="str">
            <v>Sep-16-2024</v>
          </cell>
        </row>
        <row r="2978">
          <cell r="A2978" t="str">
            <v>IND</v>
          </cell>
          <cell r="B2978">
            <v>2009</v>
          </cell>
          <cell r="C2978" t="str">
            <v>pvgdp</v>
          </cell>
          <cell r="D2978">
            <v>76510784</v>
          </cell>
          <cell r="F2978" t="str">
            <v>Sep-16-2024</v>
          </cell>
        </row>
        <row r="2979">
          <cell r="A2979" t="str">
            <v>IND</v>
          </cell>
          <cell r="B2979">
            <v>2009</v>
          </cell>
          <cell r="C2979" t="str">
            <v>pvgdp_agriculture</v>
          </cell>
          <cell r="D2979">
            <v>12975558</v>
          </cell>
          <cell r="F2979" t="str">
            <v>Sep-16-2024</v>
          </cell>
        </row>
        <row r="2980">
          <cell r="A2980" t="str">
            <v>IND</v>
          </cell>
          <cell r="B2980">
            <v>2009</v>
          </cell>
          <cell r="C2980" t="str">
            <v>pvgdp_industry</v>
          </cell>
          <cell r="D2980">
            <v>23567016</v>
          </cell>
          <cell r="F2980" t="str">
            <v>Sep-16-2024</v>
          </cell>
        </row>
        <row r="2981">
          <cell r="A2981" t="str">
            <v>IND</v>
          </cell>
          <cell r="B2981">
            <v>2009</v>
          </cell>
          <cell r="C2981" t="str">
            <v>pvgdp_services</v>
          </cell>
          <cell r="D2981">
            <v>34775792</v>
          </cell>
          <cell r="F2981" t="str">
            <v>Sep-16-2024</v>
          </cell>
        </row>
        <row r="2982">
          <cell r="A2982" t="str">
            <v>IND</v>
          </cell>
          <cell r="B2982">
            <v>2009</v>
          </cell>
          <cell r="C2982" t="str">
            <v>pvgdppc</v>
          </cell>
          <cell r="D2982">
            <v>62527.193824458351</v>
          </cell>
          <cell r="F2982" t="str">
            <v>Sep-16-2024</v>
          </cell>
        </row>
        <row r="2983">
          <cell r="A2983" t="str">
            <v>IND</v>
          </cell>
          <cell r="B2983">
            <v>2009</v>
          </cell>
          <cell r="C2983" t="str">
            <v>pvpop_total</v>
          </cell>
          <cell r="D2983">
            <v>1223640136.71875</v>
          </cell>
          <cell r="F2983" t="str">
            <v>Sep-16-2024</v>
          </cell>
        </row>
        <row r="2984">
          <cell r="A2984" t="str">
            <v>IND</v>
          </cell>
          <cell r="B2984">
            <v>2009</v>
          </cell>
          <cell r="C2984" t="str">
            <v>pvpop_15up</v>
          </cell>
          <cell r="D2984">
            <v>839247210.03229547</v>
          </cell>
          <cell r="F2984" t="str">
            <v>Sep-16-2024</v>
          </cell>
        </row>
        <row r="2985">
          <cell r="A2985" t="str">
            <v>IND</v>
          </cell>
          <cell r="B2985">
            <v>2009</v>
          </cell>
          <cell r="C2985" t="str">
            <v>pvprivpc</v>
          </cell>
          <cell r="D2985">
            <v>35004.726238270719</v>
          </cell>
          <cell r="F2985" t="str">
            <v>Sep-16-2024</v>
          </cell>
        </row>
        <row r="2986">
          <cell r="A2986" t="str">
            <v>IND</v>
          </cell>
          <cell r="B2986">
            <v>2010</v>
          </cell>
          <cell r="C2986" t="str">
            <v>pvgdp</v>
          </cell>
          <cell r="D2986">
            <v>83012352</v>
          </cell>
          <cell r="F2986" t="str">
            <v>Sep-16-2024</v>
          </cell>
        </row>
        <row r="2987">
          <cell r="A2987" t="str">
            <v>IND</v>
          </cell>
          <cell r="B2987">
            <v>2010</v>
          </cell>
          <cell r="C2987" t="str">
            <v>pvgdp_agriculture</v>
          </cell>
          <cell r="D2987">
            <v>14116337</v>
          </cell>
          <cell r="F2987" t="str">
            <v>Sep-16-2024</v>
          </cell>
        </row>
        <row r="2988">
          <cell r="A2988" t="str">
            <v>IND</v>
          </cell>
          <cell r="B2988">
            <v>2010</v>
          </cell>
          <cell r="C2988" t="str">
            <v>pvgdp_industry</v>
          </cell>
          <cell r="D2988">
            <v>25428098</v>
          </cell>
          <cell r="F2988" t="str">
            <v>Sep-16-2024</v>
          </cell>
        </row>
        <row r="2989">
          <cell r="A2989" t="str">
            <v>IND</v>
          </cell>
          <cell r="B2989">
            <v>2010</v>
          </cell>
          <cell r="C2989" t="str">
            <v>pvgdp_services</v>
          </cell>
          <cell r="D2989">
            <v>37500708</v>
          </cell>
          <cell r="F2989" t="str">
            <v>Sep-16-2024</v>
          </cell>
        </row>
        <row r="2990">
          <cell r="A2990" t="str">
            <v>IND</v>
          </cell>
          <cell r="B2990">
            <v>2010</v>
          </cell>
          <cell r="C2990" t="str">
            <v>pvgdppc</v>
          </cell>
          <cell r="D2990">
            <v>66912.331788300566</v>
          </cell>
          <cell r="F2990" t="str">
            <v>Sep-16-2024</v>
          </cell>
        </row>
        <row r="2991">
          <cell r="A2991" t="str">
            <v>IND</v>
          </cell>
          <cell r="B2991">
            <v>2010</v>
          </cell>
          <cell r="C2991" t="str">
            <v>pvpop_total</v>
          </cell>
          <cell r="D2991">
            <v>1240613647.4609375</v>
          </cell>
          <cell r="F2991" t="str">
            <v>Sep-16-2024</v>
          </cell>
        </row>
        <row r="2992">
          <cell r="A2992" t="str">
            <v>IND</v>
          </cell>
          <cell r="B2992">
            <v>2010</v>
          </cell>
          <cell r="C2992" t="str">
            <v>pvpop_15up</v>
          </cell>
          <cell r="D2992">
            <v>856287759.95389807</v>
          </cell>
          <cell r="F2992" t="str">
            <v>Sep-16-2024</v>
          </cell>
        </row>
        <row r="2993">
          <cell r="A2993" t="str">
            <v>IND</v>
          </cell>
          <cell r="B2993">
            <v>2010</v>
          </cell>
          <cell r="C2993" t="str">
            <v>pvprivpc</v>
          </cell>
          <cell r="D2993">
            <v>36846.08185115044</v>
          </cell>
          <cell r="F2993" t="str">
            <v>Sep-16-2024</v>
          </cell>
        </row>
        <row r="2994">
          <cell r="A2994" t="str">
            <v>IND</v>
          </cell>
          <cell r="B2994">
            <v>2011</v>
          </cell>
          <cell r="C2994" t="str">
            <v>pvgdp</v>
          </cell>
          <cell r="D2994">
            <v>87363288</v>
          </cell>
          <cell r="F2994" t="str">
            <v>Sep-16-2024</v>
          </cell>
        </row>
        <row r="2995">
          <cell r="A2995" t="str">
            <v>IND</v>
          </cell>
          <cell r="B2995">
            <v>2011</v>
          </cell>
          <cell r="C2995" t="str">
            <v>pvgdp_agriculture</v>
          </cell>
          <cell r="D2995">
            <v>15019473</v>
          </cell>
          <cell r="F2995" t="str">
            <v>Sep-16-2024</v>
          </cell>
        </row>
        <row r="2996">
          <cell r="A2996" t="str">
            <v>IND</v>
          </cell>
          <cell r="B2996">
            <v>2011</v>
          </cell>
          <cell r="C2996" t="str">
            <v>pvgdp_industry</v>
          </cell>
          <cell r="D2996">
            <v>26350236</v>
          </cell>
          <cell r="F2996" t="str">
            <v>Sep-16-2024</v>
          </cell>
        </row>
        <row r="2997">
          <cell r="A2997" t="str">
            <v>IND</v>
          </cell>
          <cell r="B2997">
            <v>2011</v>
          </cell>
          <cell r="C2997" t="str">
            <v>pvgdp_services</v>
          </cell>
          <cell r="D2997">
            <v>39699752</v>
          </cell>
          <cell r="F2997" t="str">
            <v>Sep-16-2024</v>
          </cell>
        </row>
        <row r="2998">
          <cell r="A2998" t="str">
            <v>IND</v>
          </cell>
          <cell r="B2998">
            <v>2011</v>
          </cell>
          <cell r="C2998" t="str">
            <v>pvgdppc</v>
          </cell>
          <cell r="D2998">
            <v>69467.091442963036</v>
          </cell>
          <cell r="F2998" t="str">
            <v>Sep-16-2024</v>
          </cell>
        </row>
        <row r="2999">
          <cell r="A2999" t="str">
            <v>IND</v>
          </cell>
          <cell r="B2999">
            <v>2011</v>
          </cell>
          <cell r="C2999" t="str">
            <v>pvpop_total</v>
          </cell>
          <cell r="D2999">
            <v>1257621215.8203125</v>
          </cell>
          <cell r="F2999" t="str">
            <v>Sep-16-2024</v>
          </cell>
        </row>
        <row r="3000">
          <cell r="A3000" t="str">
            <v>IND</v>
          </cell>
          <cell r="B3000">
            <v>2011</v>
          </cell>
          <cell r="C3000" t="str">
            <v>pvpop_15up</v>
          </cell>
          <cell r="D3000">
            <v>873621330.24172127</v>
          </cell>
          <cell r="F3000" t="str">
            <v>Sep-16-2024</v>
          </cell>
        </row>
        <row r="3001">
          <cell r="A3001" t="str">
            <v>IND</v>
          </cell>
          <cell r="B3001">
            <v>2011</v>
          </cell>
          <cell r="C3001" t="str">
            <v>pvprivpc</v>
          </cell>
          <cell r="D3001">
            <v>39045.518143529785</v>
          </cell>
          <cell r="F3001" t="str">
            <v>Sep-16-2024</v>
          </cell>
        </row>
        <row r="3002">
          <cell r="A3002" t="str">
            <v>IND</v>
          </cell>
          <cell r="B3002">
            <v>2012</v>
          </cell>
          <cell r="C3002" t="str">
            <v>pvgdp</v>
          </cell>
          <cell r="D3002">
            <v>92130168</v>
          </cell>
          <cell r="F3002" t="str">
            <v>Sep-16-2024</v>
          </cell>
        </row>
        <row r="3003">
          <cell r="A3003" t="str">
            <v>IND</v>
          </cell>
          <cell r="B3003">
            <v>2012</v>
          </cell>
          <cell r="C3003" t="str">
            <v>pvgdp_agriculture</v>
          </cell>
          <cell r="D3003">
            <v>15242882</v>
          </cell>
          <cell r="F3003" t="str">
            <v>Sep-16-2024</v>
          </cell>
        </row>
        <row r="3004">
          <cell r="A3004" t="str">
            <v>IND</v>
          </cell>
          <cell r="B3004">
            <v>2012</v>
          </cell>
          <cell r="C3004" t="str">
            <v>pvgdp_industry</v>
          </cell>
          <cell r="D3004">
            <v>27211672</v>
          </cell>
          <cell r="F3004" t="str">
            <v>Sep-16-2024</v>
          </cell>
        </row>
        <row r="3005">
          <cell r="A3005" t="str">
            <v>IND</v>
          </cell>
          <cell r="B3005">
            <v>2012</v>
          </cell>
          <cell r="C3005" t="str">
            <v>pvgdp_services</v>
          </cell>
          <cell r="D3005">
            <v>43008200</v>
          </cell>
          <cell r="F3005" t="str">
            <v>Sep-16-2024</v>
          </cell>
        </row>
        <row r="3006">
          <cell r="A3006" t="str">
            <v>IND</v>
          </cell>
          <cell r="B3006">
            <v>2012</v>
          </cell>
          <cell r="C3006" t="str">
            <v>pvgdppc</v>
          </cell>
          <cell r="D3006">
            <v>72288.030241943008</v>
          </cell>
          <cell r="F3006" t="str">
            <v>Sep-16-2024</v>
          </cell>
        </row>
        <row r="3007">
          <cell r="A3007" t="str">
            <v>IND</v>
          </cell>
          <cell r="B3007">
            <v>2012</v>
          </cell>
          <cell r="C3007" t="str">
            <v>pvpop_total</v>
          </cell>
          <cell r="D3007">
            <v>1274487182.6171875</v>
          </cell>
          <cell r="F3007" t="str">
            <v>Sep-16-2024</v>
          </cell>
        </row>
        <row r="3008">
          <cell r="A3008" t="str">
            <v>IND</v>
          </cell>
          <cell r="B3008">
            <v>2012</v>
          </cell>
          <cell r="C3008" t="str">
            <v>pvpop_15up</v>
          </cell>
          <cell r="D3008">
            <v>891099511.35849464</v>
          </cell>
          <cell r="F3008" t="str">
            <v>Sep-16-2024</v>
          </cell>
        </row>
        <row r="3009">
          <cell r="A3009" t="str">
            <v>IND</v>
          </cell>
          <cell r="B3009">
            <v>2012</v>
          </cell>
          <cell r="C3009" t="str">
            <v>pvprivpc</v>
          </cell>
          <cell r="D3009">
            <v>40636.66446110994</v>
          </cell>
          <cell r="F3009" t="str">
            <v>Sep-16-2024</v>
          </cell>
        </row>
        <row r="3010">
          <cell r="A3010" t="str">
            <v>IND</v>
          </cell>
          <cell r="B3010">
            <v>2013</v>
          </cell>
          <cell r="C3010" t="str">
            <v>pvgdp</v>
          </cell>
          <cell r="D3010">
            <v>98013696</v>
          </cell>
          <cell r="F3010" t="str">
            <v>Sep-16-2024</v>
          </cell>
        </row>
        <row r="3011">
          <cell r="A3011" t="str">
            <v>IND</v>
          </cell>
          <cell r="B3011">
            <v>2013</v>
          </cell>
          <cell r="C3011" t="str">
            <v>pvgdp_agriculture</v>
          </cell>
          <cell r="D3011">
            <v>16091983</v>
          </cell>
          <cell r="F3011" t="str">
            <v>Sep-16-2024</v>
          </cell>
        </row>
        <row r="3012">
          <cell r="A3012" t="str">
            <v>IND</v>
          </cell>
          <cell r="B3012">
            <v>2013</v>
          </cell>
          <cell r="C3012" t="str">
            <v>pvgdp_industry</v>
          </cell>
          <cell r="D3012">
            <v>28241876</v>
          </cell>
          <cell r="F3012" t="str">
            <v>Sep-16-2024</v>
          </cell>
        </row>
        <row r="3013">
          <cell r="A3013" t="str">
            <v>IND</v>
          </cell>
          <cell r="B3013">
            <v>2013</v>
          </cell>
          <cell r="C3013" t="str">
            <v>pvgdp_services</v>
          </cell>
          <cell r="D3013">
            <v>46302628</v>
          </cell>
          <cell r="F3013" t="str">
            <v>Sep-16-2024</v>
          </cell>
        </row>
        <row r="3014">
          <cell r="A3014" t="str">
            <v>IND</v>
          </cell>
          <cell r="B3014">
            <v>2013</v>
          </cell>
          <cell r="C3014" t="str">
            <v>pvgdppc</v>
          </cell>
          <cell r="D3014">
            <v>75912.989470503511</v>
          </cell>
          <cell r="F3014" t="str">
            <v>Sep-16-2024</v>
          </cell>
        </row>
        <row r="3015">
          <cell r="A3015" t="str">
            <v>IND</v>
          </cell>
          <cell r="B3015">
            <v>2013</v>
          </cell>
          <cell r="C3015" t="str">
            <v>pvpop_total</v>
          </cell>
          <cell r="D3015">
            <v>1291132080.078125</v>
          </cell>
          <cell r="F3015" t="str">
            <v>Sep-16-2024</v>
          </cell>
        </row>
        <row r="3016">
          <cell r="A3016" t="str">
            <v>IND</v>
          </cell>
          <cell r="B3016">
            <v>2013</v>
          </cell>
          <cell r="C3016" t="str">
            <v>pvpop_15up</v>
          </cell>
          <cell r="D3016">
            <v>908694985.01953459</v>
          </cell>
          <cell r="F3016" t="str">
            <v>Sep-16-2024</v>
          </cell>
        </row>
        <row r="3017">
          <cell r="A3017" t="str">
            <v>IND</v>
          </cell>
          <cell r="B3017">
            <v>2013</v>
          </cell>
          <cell r="C3017" t="str">
            <v>pvprivpc</v>
          </cell>
          <cell r="D3017">
            <v>43042.291999000845</v>
          </cell>
          <cell r="F3017" t="str">
            <v>Sep-16-2024</v>
          </cell>
        </row>
        <row r="3018">
          <cell r="A3018" t="str">
            <v>IND</v>
          </cell>
          <cell r="B3018">
            <v>2014</v>
          </cell>
          <cell r="C3018" t="str">
            <v>pvgdp</v>
          </cell>
          <cell r="D3018">
            <v>105276736</v>
          </cell>
          <cell r="F3018" t="str">
            <v>Sep-16-2024</v>
          </cell>
        </row>
        <row r="3019">
          <cell r="A3019" t="str">
            <v>IND</v>
          </cell>
          <cell r="B3019">
            <v>2014</v>
          </cell>
          <cell r="C3019" t="str">
            <v>pvgdp_agriculture</v>
          </cell>
          <cell r="D3019">
            <v>16057152</v>
          </cell>
          <cell r="F3019" t="str">
            <v>Sep-16-2024</v>
          </cell>
        </row>
        <row r="3020">
          <cell r="A3020" t="str">
            <v>IND</v>
          </cell>
          <cell r="B3020">
            <v>2014</v>
          </cell>
          <cell r="C3020" t="str">
            <v>pvgdp_industry</v>
          </cell>
          <cell r="D3020">
            <v>30218986</v>
          </cell>
          <cell r="F3020" t="str">
            <v>Sep-16-2024</v>
          </cell>
        </row>
        <row r="3021">
          <cell r="A3021" t="str">
            <v>IND</v>
          </cell>
          <cell r="B3021">
            <v>2014</v>
          </cell>
          <cell r="C3021" t="str">
            <v>pvgdp_services</v>
          </cell>
          <cell r="D3021">
            <v>50845192</v>
          </cell>
          <cell r="F3021" t="str">
            <v>Sep-16-2024</v>
          </cell>
        </row>
        <row r="3022">
          <cell r="A3022" t="str">
            <v>IND</v>
          </cell>
          <cell r="B3022">
            <v>2014</v>
          </cell>
          <cell r="C3022" t="str">
            <v>pvgdppc</v>
          </cell>
          <cell r="D3022">
            <v>80533.196474019001</v>
          </cell>
          <cell r="F3022" t="str">
            <v>Sep-16-2024</v>
          </cell>
        </row>
        <row r="3023">
          <cell r="A3023" t="str">
            <v>IND</v>
          </cell>
          <cell r="B3023">
            <v>2014</v>
          </cell>
          <cell r="C3023" t="str">
            <v>pvpop_total</v>
          </cell>
          <cell r="D3023">
            <v>1307246459.9609375</v>
          </cell>
          <cell r="F3023" t="str">
            <v>Sep-16-2024</v>
          </cell>
        </row>
        <row r="3024">
          <cell r="A3024" t="str">
            <v>IND</v>
          </cell>
          <cell r="B3024">
            <v>2014</v>
          </cell>
          <cell r="C3024" t="str">
            <v>pvpop_15up</v>
          </cell>
          <cell r="D3024">
            <v>926341303.24992776</v>
          </cell>
          <cell r="F3024" t="str">
            <v>Sep-16-2024</v>
          </cell>
        </row>
        <row r="3025">
          <cell r="A3025" t="str">
            <v>IND</v>
          </cell>
          <cell r="B3025">
            <v>2014</v>
          </cell>
          <cell r="C3025" t="str">
            <v>pvprivpc</v>
          </cell>
          <cell r="D3025">
            <v>45229.85512752262</v>
          </cell>
          <cell r="F3025" t="str">
            <v>Sep-16-2024</v>
          </cell>
        </row>
        <row r="3026">
          <cell r="A3026" t="str">
            <v>IND</v>
          </cell>
          <cell r="B3026">
            <v>2015</v>
          </cell>
          <cell r="C3026" t="str">
            <v>pvgdp</v>
          </cell>
          <cell r="D3026">
            <v>113694928</v>
          </cell>
          <cell r="F3026" t="str">
            <v>Sep-16-2024</v>
          </cell>
        </row>
        <row r="3027">
          <cell r="A3027" t="str">
            <v>IND</v>
          </cell>
          <cell r="B3027">
            <v>2015</v>
          </cell>
          <cell r="C3027" t="str">
            <v>pvgdp_agriculture</v>
          </cell>
          <cell r="D3027">
            <v>16161459</v>
          </cell>
          <cell r="F3027" t="str">
            <v>Sep-16-2024</v>
          </cell>
        </row>
        <row r="3028">
          <cell r="A3028" t="str">
            <v>IND</v>
          </cell>
          <cell r="B3028">
            <v>2015</v>
          </cell>
          <cell r="C3028" t="str">
            <v>pvgdp_industry</v>
          </cell>
          <cell r="D3028">
            <v>33113164</v>
          </cell>
          <cell r="F3028" t="str">
            <v>Sep-16-2024</v>
          </cell>
        </row>
        <row r="3029">
          <cell r="A3029" t="str">
            <v>IND</v>
          </cell>
          <cell r="B3029">
            <v>2015</v>
          </cell>
          <cell r="C3029" t="str">
            <v>pvgdp_services</v>
          </cell>
          <cell r="D3029">
            <v>55644080</v>
          </cell>
          <cell r="F3029" t="str">
            <v>Sep-16-2024</v>
          </cell>
        </row>
        <row r="3030">
          <cell r="A3030" t="str">
            <v>IND</v>
          </cell>
          <cell r="B3030">
            <v>2015</v>
          </cell>
          <cell r="C3030" t="str">
            <v>pvgdppc</v>
          </cell>
          <cell r="D3030">
            <v>85945.88483482672</v>
          </cell>
          <cell r="F3030" t="str">
            <v>Sep-16-2024</v>
          </cell>
        </row>
        <row r="3031">
          <cell r="A3031" t="str">
            <v>IND</v>
          </cell>
          <cell r="B3031">
            <v>2015</v>
          </cell>
          <cell r="C3031" t="str">
            <v>pvpop_total</v>
          </cell>
          <cell r="D3031">
            <v>1322866455.078125</v>
          </cell>
          <cell r="F3031" t="str">
            <v>Sep-16-2024</v>
          </cell>
        </row>
        <row r="3032">
          <cell r="A3032" t="str">
            <v>IND</v>
          </cell>
          <cell r="B3032">
            <v>2015</v>
          </cell>
          <cell r="C3032" t="str">
            <v>pvpop_15up</v>
          </cell>
          <cell r="D3032">
            <v>944073293.37288976</v>
          </cell>
          <cell r="F3032" t="str">
            <v>Sep-16-2024</v>
          </cell>
        </row>
        <row r="3033">
          <cell r="A3033" t="str">
            <v>IND</v>
          </cell>
          <cell r="B3033">
            <v>2015</v>
          </cell>
          <cell r="C3033" t="str">
            <v>pvprivpc</v>
          </cell>
          <cell r="D3033">
            <v>48239.327375060922</v>
          </cell>
          <cell r="F3033" t="str">
            <v>Sep-16-2024</v>
          </cell>
        </row>
        <row r="3034">
          <cell r="A3034" t="str">
            <v>IND</v>
          </cell>
          <cell r="B3034">
            <v>2016</v>
          </cell>
          <cell r="C3034" t="str">
            <v>pvgdp</v>
          </cell>
          <cell r="D3034">
            <v>123081936</v>
          </cell>
          <cell r="F3034" t="str">
            <v>Sep-16-2024</v>
          </cell>
        </row>
        <row r="3035">
          <cell r="A3035" t="str">
            <v>IND</v>
          </cell>
          <cell r="B3035">
            <v>2016</v>
          </cell>
          <cell r="C3035" t="str">
            <v>pvgdp_agriculture</v>
          </cell>
          <cell r="D3035">
            <v>17260044</v>
          </cell>
          <cell r="F3035" t="str">
            <v>Sep-16-2024</v>
          </cell>
        </row>
        <row r="3036">
          <cell r="A3036" t="str">
            <v>IND</v>
          </cell>
          <cell r="B3036">
            <v>2016</v>
          </cell>
          <cell r="C3036" t="str">
            <v>pvgdp_industry</v>
          </cell>
          <cell r="D3036">
            <v>35669528</v>
          </cell>
          <cell r="F3036" t="str">
            <v>Sep-16-2024</v>
          </cell>
        </row>
        <row r="3037">
          <cell r="A3037" t="str">
            <v>IND</v>
          </cell>
          <cell r="B3037">
            <v>2016</v>
          </cell>
          <cell r="C3037" t="str">
            <v>pvgdp_services</v>
          </cell>
          <cell r="D3037">
            <v>60353276</v>
          </cell>
          <cell r="F3037" t="str">
            <v>Sep-16-2024</v>
          </cell>
        </row>
        <row r="3038">
          <cell r="A3038" t="str">
            <v>IND</v>
          </cell>
          <cell r="B3038">
            <v>2016</v>
          </cell>
          <cell r="C3038" t="str">
            <v>pvgdppc</v>
          </cell>
          <cell r="D3038">
            <v>91945.759403996446</v>
          </cell>
          <cell r="F3038" t="str">
            <v>Sep-16-2024</v>
          </cell>
        </row>
        <row r="3039">
          <cell r="A3039" t="str">
            <v>IND</v>
          </cell>
          <cell r="B3039">
            <v>2016</v>
          </cell>
          <cell r="C3039" t="str">
            <v>pvpop_total</v>
          </cell>
          <cell r="D3039">
            <v>1338636352.5390625</v>
          </cell>
          <cell r="F3039" t="str">
            <v>Sep-16-2024</v>
          </cell>
        </row>
        <row r="3040">
          <cell r="A3040" t="str">
            <v>IND</v>
          </cell>
          <cell r="B3040">
            <v>2016</v>
          </cell>
          <cell r="C3040" t="str">
            <v>pvpop_15up</v>
          </cell>
          <cell r="D3040">
            <v>962231469.01326227</v>
          </cell>
          <cell r="F3040" t="str">
            <v>Sep-16-2024</v>
          </cell>
        </row>
        <row r="3041">
          <cell r="A3041" t="str">
            <v>IND</v>
          </cell>
          <cell r="B3041">
            <v>2016</v>
          </cell>
          <cell r="C3041" t="str">
            <v>pvprivpc</v>
          </cell>
          <cell r="D3041">
            <v>51546.754926473921</v>
          </cell>
          <cell r="F3041" t="str">
            <v>Sep-16-2024</v>
          </cell>
        </row>
        <row r="3042">
          <cell r="A3042" t="str">
            <v>IND</v>
          </cell>
          <cell r="B3042">
            <v>2017</v>
          </cell>
          <cell r="C3042" t="str">
            <v>pvgdp</v>
          </cell>
          <cell r="D3042">
            <v>131445824</v>
          </cell>
          <cell r="F3042" t="str">
            <v>Sep-16-2024</v>
          </cell>
        </row>
        <row r="3043">
          <cell r="A3043" t="str">
            <v>IND</v>
          </cell>
          <cell r="B3043">
            <v>2017</v>
          </cell>
          <cell r="C3043" t="str">
            <v>pvgdp_agriculture</v>
          </cell>
          <cell r="D3043">
            <v>18400228</v>
          </cell>
          <cell r="F3043" t="str">
            <v>Sep-16-2024</v>
          </cell>
        </row>
        <row r="3044">
          <cell r="A3044" t="str">
            <v>IND</v>
          </cell>
          <cell r="B3044">
            <v>2017</v>
          </cell>
          <cell r="C3044" t="str">
            <v>pvgdp_industry</v>
          </cell>
          <cell r="D3044">
            <v>37759956</v>
          </cell>
          <cell r="F3044" t="str">
            <v>Sep-16-2024</v>
          </cell>
        </row>
        <row r="3045">
          <cell r="A3045" t="str">
            <v>IND</v>
          </cell>
          <cell r="B3045">
            <v>2017</v>
          </cell>
          <cell r="C3045" t="str">
            <v>pvgdp_services</v>
          </cell>
          <cell r="D3045">
            <v>64181520</v>
          </cell>
          <cell r="F3045" t="str">
            <v>Sep-16-2024</v>
          </cell>
        </row>
        <row r="3046">
          <cell r="A3046" t="str">
            <v>IND</v>
          </cell>
          <cell r="B3046">
            <v>2017</v>
          </cell>
          <cell r="C3046" t="str">
            <v>pvgdppc</v>
          </cell>
          <cell r="D3046">
            <v>97065.605854778405</v>
          </cell>
          <cell r="F3046" t="str">
            <v>Sep-16-2024</v>
          </cell>
        </row>
        <row r="3047">
          <cell r="A3047" t="str">
            <v>IND</v>
          </cell>
          <cell r="B3047">
            <v>2017</v>
          </cell>
          <cell r="C3047" t="str">
            <v>pvpop_total</v>
          </cell>
          <cell r="D3047">
            <v>1354195678.7109375</v>
          </cell>
          <cell r="F3047" t="str">
            <v>Sep-16-2024</v>
          </cell>
        </row>
        <row r="3048">
          <cell r="A3048" t="str">
            <v>IND</v>
          </cell>
          <cell r="B3048">
            <v>2017</v>
          </cell>
          <cell r="C3048" t="str">
            <v>pvpop_15up</v>
          </cell>
          <cell r="D3048">
            <v>980498309.066661</v>
          </cell>
          <cell r="F3048" t="str">
            <v>Sep-16-2024</v>
          </cell>
        </row>
        <row r="3049">
          <cell r="A3049" t="str">
            <v>IND</v>
          </cell>
          <cell r="B3049">
            <v>2017</v>
          </cell>
          <cell r="C3049" t="str">
            <v>pvprivpc</v>
          </cell>
          <cell r="D3049">
            <v>54133.452906733095</v>
          </cell>
          <cell r="F3049" t="str">
            <v>Sep-16-2024</v>
          </cell>
        </row>
        <row r="3050">
          <cell r="A3050" t="str">
            <v>IND</v>
          </cell>
          <cell r="B3050">
            <v>2018</v>
          </cell>
          <cell r="C3050" t="str">
            <v>pvgdp</v>
          </cell>
          <cell r="D3050">
            <v>139929136</v>
          </cell>
          <cell r="F3050" t="str">
            <v>Sep-16-2024</v>
          </cell>
        </row>
        <row r="3051">
          <cell r="A3051" t="str">
            <v>IND</v>
          </cell>
          <cell r="B3051">
            <v>2018</v>
          </cell>
          <cell r="C3051" t="str">
            <v>pvgdp_agriculture</v>
          </cell>
          <cell r="D3051">
            <v>18785984</v>
          </cell>
          <cell r="F3051" t="str">
            <v>Sep-16-2024</v>
          </cell>
        </row>
        <row r="3052">
          <cell r="A3052" t="str">
            <v>IND</v>
          </cell>
          <cell r="B3052">
            <v>2018</v>
          </cell>
          <cell r="C3052" t="str">
            <v>pvgdp_industry</v>
          </cell>
          <cell r="D3052">
            <v>39767428</v>
          </cell>
          <cell r="F3052" t="str">
            <v>Sep-16-2024</v>
          </cell>
        </row>
        <row r="3053">
          <cell r="A3053" t="str">
            <v>IND</v>
          </cell>
          <cell r="B3053">
            <v>2018</v>
          </cell>
          <cell r="C3053" t="str">
            <v>pvgdp_services</v>
          </cell>
          <cell r="D3053">
            <v>68784568</v>
          </cell>
          <cell r="F3053" t="str">
            <v>Sep-16-2024</v>
          </cell>
        </row>
        <row r="3054">
          <cell r="A3054" t="str">
            <v>IND</v>
          </cell>
          <cell r="B3054">
            <v>2018</v>
          </cell>
          <cell r="C3054" t="str">
            <v>pvgdppc</v>
          </cell>
          <cell r="D3054">
            <v>102212.41717914822</v>
          </cell>
          <cell r="F3054" t="str">
            <v>Sep-16-2024</v>
          </cell>
        </row>
        <row r="3055">
          <cell r="A3055" t="str">
            <v>IND</v>
          </cell>
          <cell r="B3055">
            <v>2018</v>
          </cell>
          <cell r="C3055" t="str">
            <v>pvpop_total</v>
          </cell>
          <cell r="D3055">
            <v>1369003295.8984375</v>
          </cell>
          <cell r="F3055" t="str">
            <v>Sep-16-2024</v>
          </cell>
        </row>
        <row r="3056">
          <cell r="A3056" t="str">
            <v>IND</v>
          </cell>
          <cell r="B3056">
            <v>2018</v>
          </cell>
          <cell r="C3056" t="str">
            <v>pvpop_15up</v>
          </cell>
          <cell r="D3056">
            <v>998172127.63471591</v>
          </cell>
          <cell r="F3056" t="str">
            <v>Sep-16-2024</v>
          </cell>
        </row>
        <row r="3057">
          <cell r="A3057" t="str">
            <v>IND</v>
          </cell>
          <cell r="B3057">
            <v>2018</v>
          </cell>
          <cell r="C3057" t="str">
            <v>pvprivpc</v>
          </cell>
          <cell r="D3057">
            <v>57344.230094405866</v>
          </cell>
          <cell r="F3057" t="str">
            <v>Sep-16-2024</v>
          </cell>
        </row>
        <row r="3058">
          <cell r="A3058" t="str">
            <v>IND</v>
          </cell>
          <cell r="B3058">
            <v>2019</v>
          </cell>
          <cell r="C3058" t="str">
            <v>pvgdp</v>
          </cell>
          <cell r="D3058">
            <v>145346400</v>
          </cell>
          <cell r="F3058" t="str">
            <v>Sep-16-2024</v>
          </cell>
        </row>
        <row r="3059">
          <cell r="A3059" t="str">
            <v>IND</v>
          </cell>
          <cell r="B3059">
            <v>2019</v>
          </cell>
          <cell r="C3059" t="str">
            <v>pvgdp_agriculture</v>
          </cell>
          <cell r="D3059">
            <v>19943258</v>
          </cell>
          <cell r="F3059" t="str">
            <v>Sep-16-2024</v>
          </cell>
        </row>
        <row r="3060">
          <cell r="A3060" t="str">
            <v>IND</v>
          </cell>
          <cell r="B3060">
            <v>2019</v>
          </cell>
          <cell r="C3060" t="str">
            <v>pvgdp_industry</v>
          </cell>
          <cell r="D3060">
            <v>39210672</v>
          </cell>
          <cell r="F3060" t="str">
            <v>Sep-16-2024</v>
          </cell>
        </row>
        <row r="3061">
          <cell r="A3061" t="str">
            <v>IND</v>
          </cell>
          <cell r="B3061">
            <v>2019</v>
          </cell>
          <cell r="C3061" t="str">
            <v>pvgdp_services</v>
          </cell>
          <cell r="D3061">
            <v>73207072</v>
          </cell>
          <cell r="F3061" t="str">
            <v>Sep-16-2024</v>
          </cell>
        </row>
        <row r="3062">
          <cell r="A3062" t="str">
            <v>IND</v>
          </cell>
          <cell r="B3062">
            <v>2019</v>
          </cell>
          <cell r="C3062" t="str">
            <v>pvgdppc</v>
          </cell>
          <cell r="D3062">
            <v>105086.49598683335</v>
          </cell>
          <cell r="F3062" t="str">
            <v>Sep-16-2024</v>
          </cell>
        </row>
        <row r="3063">
          <cell r="A3063" t="str">
            <v>IND</v>
          </cell>
          <cell r="B3063">
            <v>2019</v>
          </cell>
          <cell r="C3063" t="str">
            <v>pvpop_total</v>
          </cell>
          <cell r="D3063">
            <v>1383112060.546875</v>
          </cell>
          <cell r="F3063" t="str">
            <v>Sep-16-2024</v>
          </cell>
        </row>
        <row r="3064">
          <cell r="A3064" t="str">
            <v>IND</v>
          </cell>
          <cell r="B3064">
            <v>2019</v>
          </cell>
          <cell r="C3064" t="str">
            <v>pvpop_15up</v>
          </cell>
          <cell r="D3064">
            <v>1015286797.7420356</v>
          </cell>
          <cell r="F3064" t="str">
            <v>Sep-16-2024</v>
          </cell>
        </row>
        <row r="3065">
          <cell r="A3065" t="str">
            <v>IND</v>
          </cell>
          <cell r="B3065">
            <v>2019</v>
          </cell>
          <cell r="C3065" t="str">
            <v>pvprivpc</v>
          </cell>
          <cell r="D3065">
            <v>59693.048998036618</v>
          </cell>
          <cell r="F3065" t="str">
            <v>Sep-16-2024</v>
          </cell>
        </row>
        <row r="3066">
          <cell r="A3066" t="str">
            <v>IND</v>
          </cell>
          <cell r="B3066">
            <v>2020</v>
          </cell>
          <cell r="C3066" t="str">
            <v>pvgdp</v>
          </cell>
          <cell r="D3066">
            <v>136948688</v>
          </cell>
          <cell r="F3066" t="str">
            <v>Sep-16-2024</v>
          </cell>
        </row>
        <row r="3067">
          <cell r="A3067" t="str">
            <v>IND</v>
          </cell>
          <cell r="B3067">
            <v>2020</v>
          </cell>
          <cell r="C3067" t="str">
            <v>pvgdp_agriculture</v>
          </cell>
          <cell r="D3067">
            <v>20742124</v>
          </cell>
          <cell r="F3067" t="str">
            <v>Sep-16-2024</v>
          </cell>
        </row>
        <row r="3068">
          <cell r="A3068" t="str">
            <v>IND</v>
          </cell>
          <cell r="B3068">
            <v>2020</v>
          </cell>
          <cell r="C3068" t="str">
            <v>pvgdp_industry</v>
          </cell>
          <cell r="D3068">
            <v>39038192</v>
          </cell>
          <cell r="F3068" t="str">
            <v>Sep-16-2024</v>
          </cell>
        </row>
        <row r="3069">
          <cell r="A3069" t="str">
            <v>IND</v>
          </cell>
          <cell r="B3069">
            <v>2020</v>
          </cell>
          <cell r="C3069" t="str">
            <v>pvgdp_services</v>
          </cell>
          <cell r="D3069">
            <v>67093132</v>
          </cell>
          <cell r="F3069" t="str">
            <v>Sep-16-2024</v>
          </cell>
        </row>
        <row r="3070">
          <cell r="A3070" t="str">
            <v>IND</v>
          </cell>
          <cell r="B3070">
            <v>2020</v>
          </cell>
          <cell r="C3070" t="str">
            <v>pvgdppc</v>
          </cell>
          <cell r="D3070">
            <v>98073.585379680735</v>
          </cell>
          <cell r="F3070" t="str">
            <v>Sep-16-2024</v>
          </cell>
        </row>
        <row r="3071">
          <cell r="A3071" t="str">
            <v>IND</v>
          </cell>
          <cell r="B3071">
            <v>2020</v>
          </cell>
          <cell r="C3071" t="str">
            <v>pvpop_total</v>
          </cell>
          <cell r="D3071">
            <v>1396387084.9609375</v>
          </cell>
          <cell r="F3071" t="str">
            <v>Sep-16-2024</v>
          </cell>
        </row>
        <row r="3072">
          <cell r="A3072" t="str">
            <v>IND</v>
          </cell>
          <cell r="B3072">
            <v>2020</v>
          </cell>
          <cell r="C3072" t="str">
            <v>pvpop_15up</v>
          </cell>
          <cell r="D3072">
            <v>1031757832.9383178</v>
          </cell>
          <cell r="F3072" t="str">
            <v>Sep-16-2024</v>
          </cell>
        </row>
        <row r="3073">
          <cell r="A3073" t="str">
            <v>IND</v>
          </cell>
          <cell r="B3073">
            <v>2020</v>
          </cell>
          <cell r="C3073" t="str">
            <v>pvprivpc</v>
          </cell>
          <cell r="D3073">
            <v>55998.146103010848</v>
          </cell>
          <cell r="F3073" t="str">
            <v>Sep-16-2024</v>
          </cell>
        </row>
        <row r="3074">
          <cell r="A3074" t="str">
            <v>IND</v>
          </cell>
          <cell r="B3074">
            <v>2021</v>
          </cell>
          <cell r="C3074" t="str">
            <v>pvgdp</v>
          </cell>
          <cell r="D3074">
            <v>150218464</v>
          </cell>
          <cell r="F3074" t="str">
            <v>Sep-16-2024</v>
          </cell>
        </row>
        <row r="3075">
          <cell r="A3075" t="str">
            <v>IND</v>
          </cell>
          <cell r="B3075">
            <v>2021</v>
          </cell>
          <cell r="C3075" t="str">
            <v>pvgdp_agriculture</v>
          </cell>
          <cell r="D3075">
            <v>21701064</v>
          </cell>
          <cell r="F3075" t="str">
            <v>Sep-16-2024</v>
          </cell>
        </row>
        <row r="3076">
          <cell r="A3076" t="str">
            <v>IND</v>
          </cell>
          <cell r="B3076">
            <v>2021</v>
          </cell>
          <cell r="C3076" t="str">
            <v>pvgdp_industry</v>
          </cell>
          <cell r="D3076">
            <v>43818076</v>
          </cell>
          <cell r="F3076" t="str">
            <v>Sep-16-2024</v>
          </cell>
        </row>
        <row r="3077">
          <cell r="A3077" t="str">
            <v>IND</v>
          </cell>
          <cell r="B3077">
            <v>2021</v>
          </cell>
          <cell r="C3077" t="str">
            <v>pvgdp_services</v>
          </cell>
          <cell r="D3077">
            <v>73249264</v>
          </cell>
          <cell r="F3077" t="str">
            <v>Sep-16-2024</v>
          </cell>
        </row>
        <row r="3078">
          <cell r="A3078" t="str">
            <v>IND</v>
          </cell>
          <cell r="B3078">
            <v>2021</v>
          </cell>
          <cell r="C3078" t="str">
            <v>pvgdppc</v>
          </cell>
          <cell r="D3078">
            <v>106722.30945064087</v>
          </cell>
          <cell r="F3078" t="str">
            <v>Sep-16-2024</v>
          </cell>
        </row>
        <row r="3079">
          <cell r="A3079" t="str">
            <v>IND</v>
          </cell>
          <cell r="B3079">
            <v>2021</v>
          </cell>
          <cell r="C3079" t="str">
            <v>pvpop_total</v>
          </cell>
          <cell r="D3079">
            <v>1407563842.7734375</v>
          </cell>
          <cell r="F3079" t="str">
            <v>Sep-16-2024</v>
          </cell>
        </row>
        <row r="3080">
          <cell r="A3080" t="str">
            <v>IND</v>
          </cell>
          <cell r="B3080">
            <v>2021</v>
          </cell>
          <cell r="C3080" t="str">
            <v>pvpop_15up</v>
          </cell>
          <cell r="D3080">
            <v>1045994599.5747601</v>
          </cell>
          <cell r="F3080" t="str">
            <v>Sep-16-2024</v>
          </cell>
        </row>
        <row r="3081">
          <cell r="A3081" t="str">
            <v>IND</v>
          </cell>
          <cell r="B3081">
            <v>2021</v>
          </cell>
          <cell r="C3081" t="str">
            <v>pvprivpc</v>
          </cell>
          <cell r="D3081">
            <v>62040.337600556006</v>
          </cell>
          <cell r="F3081" t="str">
            <v>Sep-16-2024</v>
          </cell>
        </row>
        <row r="3082">
          <cell r="A3082" t="str">
            <v>IND</v>
          </cell>
          <cell r="B3082">
            <v>2022</v>
          </cell>
          <cell r="C3082" t="str">
            <v>pvgdp</v>
          </cell>
          <cell r="D3082">
            <v>160714288</v>
          </cell>
          <cell r="F3082" t="str">
            <v>Sep-16-2024</v>
          </cell>
        </row>
        <row r="3083">
          <cell r="A3083" t="str">
            <v>IND</v>
          </cell>
          <cell r="B3083">
            <v>2022</v>
          </cell>
          <cell r="C3083" t="str">
            <v>pvgdp_agriculture</v>
          </cell>
          <cell r="D3083">
            <v>22722504</v>
          </cell>
          <cell r="F3083" t="str">
            <v>Sep-16-2024</v>
          </cell>
        </row>
        <row r="3084">
          <cell r="A3084" t="str">
            <v>IND</v>
          </cell>
          <cell r="B3084">
            <v>2022</v>
          </cell>
          <cell r="C3084" t="str">
            <v>pvgdp_industry</v>
          </cell>
          <cell r="D3084">
            <v>44741488</v>
          </cell>
          <cell r="F3084" t="str">
            <v>Sep-16-2024</v>
          </cell>
        </row>
        <row r="3085">
          <cell r="A3085" t="str">
            <v>IND</v>
          </cell>
          <cell r="B3085">
            <v>2022</v>
          </cell>
          <cell r="C3085" t="str">
            <v>pvgdp_services</v>
          </cell>
          <cell r="D3085">
            <v>80585016</v>
          </cell>
          <cell r="F3085" t="str">
            <v>Sep-16-2024</v>
          </cell>
        </row>
        <row r="3086">
          <cell r="A3086" t="str">
            <v>IND</v>
          </cell>
          <cell r="B3086">
            <v>2022</v>
          </cell>
          <cell r="C3086" t="str">
            <v>pvgdppc</v>
          </cell>
          <cell r="D3086">
            <v>113404.83011138394</v>
          </cell>
          <cell r="F3086" t="str">
            <v>Sep-16-2024</v>
          </cell>
        </row>
        <row r="3087">
          <cell r="A3087" t="str">
            <v>IND</v>
          </cell>
          <cell r="B3087">
            <v>2022</v>
          </cell>
          <cell r="C3087" t="str">
            <v>pvpop_total</v>
          </cell>
          <cell r="D3087">
            <v>1417173217.7734375</v>
          </cell>
          <cell r="F3087" t="str">
            <v>Sep-16-2024</v>
          </cell>
        </row>
        <row r="3088">
          <cell r="A3088" t="str">
            <v>IND</v>
          </cell>
          <cell r="B3088">
            <v>2022</v>
          </cell>
          <cell r="C3088" t="str">
            <v>pvpop_15up</v>
          </cell>
          <cell r="D3088">
            <v>1058538958.4429322</v>
          </cell>
          <cell r="F3088" t="str">
            <v>Sep-16-2024</v>
          </cell>
        </row>
        <row r="3089">
          <cell r="A3089" t="str">
            <v>IND</v>
          </cell>
          <cell r="B3089">
            <v>2022</v>
          </cell>
          <cell r="C3089" t="str">
            <v>pvprivpc</v>
          </cell>
          <cell r="D3089">
            <v>65791.709037861554</v>
          </cell>
          <cell r="F3089" t="str">
            <v>Sep-16-2024</v>
          </cell>
        </row>
        <row r="3090">
          <cell r="A3090" t="str">
            <v>IND</v>
          </cell>
          <cell r="B3090">
            <v>2023</v>
          </cell>
          <cell r="C3090" t="str">
            <v>pvgdp</v>
          </cell>
          <cell r="D3090">
            <v>173817216</v>
          </cell>
          <cell r="F3090" t="str">
            <v>Sep-16-2024</v>
          </cell>
        </row>
        <row r="3091">
          <cell r="A3091" t="str">
            <v>IND</v>
          </cell>
          <cell r="B3091">
            <v>2023</v>
          </cell>
          <cell r="C3091" t="str">
            <v>pvgdp_agriculture</v>
          </cell>
          <cell r="D3091">
            <v>23049816</v>
          </cell>
          <cell r="F3091" t="str">
            <v>Sep-16-2024</v>
          </cell>
        </row>
        <row r="3092">
          <cell r="A3092" t="str">
            <v>IND</v>
          </cell>
          <cell r="B3092">
            <v>2023</v>
          </cell>
          <cell r="C3092" t="str">
            <v>pvgdp_industry</v>
          </cell>
          <cell r="D3092">
            <v>48995592</v>
          </cell>
          <cell r="F3092" t="str">
            <v>Sep-16-2024</v>
          </cell>
        </row>
        <row r="3093">
          <cell r="A3093" t="str">
            <v>IND</v>
          </cell>
          <cell r="B3093">
            <v>2023</v>
          </cell>
          <cell r="C3093" t="str">
            <v>pvgdp_services</v>
          </cell>
          <cell r="D3093">
            <v>86692104</v>
          </cell>
          <cell r="F3093" t="str">
            <v>Sep-16-2024</v>
          </cell>
        </row>
        <row r="3094">
          <cell r="A3094" t="str">
            <v>IND</v>
          </cell>
          <cell r="B3094">
            <v>2023</v>
          </cell>
          <cell r="C3094" t="str">
            <v>pvgdppc</v>
          </cell>
          <cell r="D3094">
            <v>121667.25995756076</v>
          </cell>
          <cell r="F3094" t="str">
            <v>Sep-16-2024</v>
          </cell>
        </row>
        <row r="3095">
          <cell r="A3095" t="str">
            <v>IND</v>
          </cell>
          <cell r="B3095">
            <v>2023</v>
          </cell>
          <cell r="C3095" t="str">
            <v>pvpop_total</v>
          </cell>
          <cell r="D3095">
            <v>1428627685.546875</v>
          </cell>
          <cell r="F3095" t="str">
            <v>Sep-16-2024</v>
          </cell>
        </row>
        <row r="3096">
          <cell r="A3096" t="str">
            <v>IND</v>
          </cell>
          <cell r="B3096">
            <v>2023</v>
          </cell>
          <cell r="C3096" t="str">
            <v>pvpop_15up</v>
          </cell>
          <cell r="D3096">
            <v>1072894655.9326284</v>
          </cell>
          <cell r="F3096" t="str">
            <v>Sep-16-2024</v>
          </cell>
        </row>
        <row r="3097">
          <cell r="A3097" t="str">
            <v>IND</v>
          </cell>
          <cell r="B3097">
            <v>2023</v>
          </cell>
          <cell r="C3097" t="str">
            <v>pvprivpc</v>
          </cell>
          <cell r="D3097">
            <v>67891.827227799848</v>
          </cell>
          <cell r="F3097" t="str">
            <v>Sep-16-2024</v>
          </cell>
        </row>
        <row r="3098">
          <cell r="A3098" t="str">
            <v>IND</v>
          </cell>
          <cell r="B3098">
            <v>2024</v>
          </cell>
          <cell r="C3098" t="str">
            <v>pvgdp</v>
          </cell>
          <cell r="D3098">
            <v>185963056</v>
          </cell>
          <cell r="F3098" t="str">
            <v>Sep-16-2024</v>
          </cell>
        </row>
        <row r="3099">
          <cell r="A3099" t="str">
            <v>IND</v>
          </cell>
          <cell r="B3099">
            <v>2024</v>
          </cell>
          <cell r="C3099" t="str">
            <v>pvgdp_agriculture</v>
          </cell>
          <cell r="D3099">
            <v>23994860</v>
          </cell>
          <cell r="F3099" t="str">
            <v>Sep-16-2024</v>
          </cell>
        </row>
        <row r="3100">
          <cell r="A3100" t="str">
            <v>IND</v>
          </cell>
          <cell r="B3100">
            <v>2024</v>
          </cell>
          <cell r="C3100" t="str">
            <v>pvgdp_industry</v>
          </cell>
          <cell r="D3100">
            <v>52719256</v>
          </cell>
          <cell r="F3100" t="str">
            <v>Sep-16-2024</v>
          </cell>
        </row>
        <row r="3101">
          <cell r="A3101" t="str">
            <v>IND</v>
          </cell>
          <cell r="B3101">
            <v>2024</v>
          </cell>
          <cell r="C3101" t="str">
            <v>pvgdp_services</v>
          </cell>
          <cell r="D3101">
            <v>93120168</v>
          </cell>
          <cell r="F3101" t="str">
            <v>Sep-16-2024</v>
          </cell>
        </row>
        <row r="3102">
          <cell r="A3102" t="str">
            <v>IND</v>
          </cell>
          <cell r="B3102">
            <v>2024</v>
          </cell>
          <cell r="C3102" t="str">
            <v>pvgdppc</v>
          </cell>
          <cell r="D3102">
            <v>128986.95691562362</v>
          </cell>
          <cell r="F3102" t="str">
            <v>Sep-16-2024</v>
          </cell>
        </row>
        <row r="3103">
          <cell r="A3103" t="str">
            <v>IND</v>
          </cell>
          <cell r="B3103">
            <v>2024</v>
          </cell>
          <cell r="C3103" t="str">
            <v>pvpop_total</v>
          </cell>
          <cell r="D3103">
            <v>1441719848.6328125</v>
          </cell>
          <cell r="F3103" t="str">
            <v>Sep-16-2024</v>
          </cell>
        </row>
        <row r="3104">
          <cell r="A3104" t="str">
            <v>IND</v>
          </cell>
          <cell r="B3104">
            <v>2024</v>
          </cell>
          <cell r="C3104" t="str">
            <v>pvpop_15up</v>
          </cell>
          <cell r="D3104">
            <v>1088884767.4568713</v>
          </cell>
          <cell r="F3104" t="str">
            <v>Sep-16-2024</v>
          </cell>
        </row>
        <row r="3105">
          <cell r="A3105" t="str">
            <v>IND</v>
          </cell>
          <cell r="B3105">
            <v>2024</v>
          </cell>
          <cell r="C3105" t="str">
            <v>pvprivpc</v>
          </cell>
          <cell r="D3105">
            <v>71109.998310157622</v>
          </cell>
          <cell r="F3105" t="str">
            <v>Sep-16-2024</v>
          </cell>
        </row>
        <row r="3106">
          <cell r="A3106" t="str">
            <v>IND</v>
          </cell>
          <cell r="B3106">
            <v>2025</v>
          </cell>
          <cell r="C3106" t="str">
            <v>pvgdp</v>
          </cell>
          <cell r="D3106">
            <v>198432768</v>
          </cell>
          <cell r="F3106" t="str">
            <v>Sep-16-2024</v>
          </cell>
        </row>
        <row r="3107">
          <cell r="A3107" t="str">
            <v>IND</v>
          </cell>
          <cell r="B3107">
            <v>2025</v>
          </cell>
          <cell r="C3107" t="str">
            <v>pvgdp_agriculture</v>
          </cell>
          <cell r="D3107">
            <v>24930658</v>
          </cell>
          <cell r="F3107" t="str">
            <v>Sep-16-2024</v>
          </cell>
        </row>
        <row r="3108">
          <cell r="A3108" t="str">
            <v>IND</v>
          </cell>
          <cell r="B3108">
            <v>2025</v>
          </cell>
          <cell r="C3108" t="str">
            <v>pvgdp_industry</v>
          </cell>
          <cell r="D3108">
            <v>56567760</v>
          </cell>
          <cell r="F3108" t="str">
            <v>Sep-16-2024</v>
          </cell>
        </row>
        <row r="3109">
          <cell r="A3109" t="str">
            <v>IND</v>
          </cell>
          <cell r="B3109">
            <v>2025</v>
          </cell>
          <cell r="C3109" t="str">
            <v>pvgdp_services</v>
          </cell>
          <cell r="D3109">
            <v>99718600</v>
          </cell>
          <cell r="F3109" t="str">
            <v>Sep-16-2024</v>
          </cell>
        </row>
        <row r="3110">
          <cell r="A3110" t="str">
            <v>IND</v>
          </cell>
          <cell r="B3110">
            <v>2025</v>
          </cell>
          <cell r="C3110" t="str">
            <v>pvgdppc</v>
          </cell>
          <cell r="D3110">
            <v>136416.78498990193</v>
          </cell>
          <cell r="F3110" t="str">
            <v>Sep-16-2024</v>
          </cell>
        </row>
        <row r="3111">
          <cell r="A3111" t="str">
            <v>IND</v>
          </cell>
          <cell r="B3111">
            <v>2025</v>
          </cell>
          <cell r="C3111" t="str">
            <v>pvpop_total</v>
          </cell>
          <cell r="D3111">
            <v>1454606689.453125</v>
          </cell>
          <cell r="F3111" t="str">
            <v>Sep-16-2024</v>
          </cell>
        </row>
        <row r="3112">
          <cell r="A3112" t="str">
            <v>IND</v>
          </cell>
          <cell r="B3112">
            <v>2025</v>
          </cell>
          <cell r="C3112" t="str">
            <v>pvpop_15up</v>
          </cell>
          <cell r="D3112">
            <v>1104634854.7649479</v>
          </cell>
          <cell r="F3112" t="str">
            <v>Sep-16-2024</v>
          </cell>
        </row>
        <row r="3113">
          <cell r="A3113" t="str">
            <v>IND</v>
          </cell>
          <cell r="B3113">
            <v>2025</v>
          </cell>
          <cell r="C3113" t="str">
            <v>pvprivpc</v>
          </cell>
          <cell r="D3113">
            <v>74708.810833845666</v>
          </cell>
          <cell r="F3113" t="str">
            <v>Sep-16-2024</v>
          </cell>
        </row>
        <row r="3114">
          <cell r="A3114" t="str">
            <v>IND</v>
          </cell>
          <cell r="B3114">
            <v>2026</v>
          </cell>
          <cell r="C3114" t="str">
            <v>pvgdp</v>
          </cell>
          <cell r="D3114">
            <v>211708848</v>
          </cell>
          <cell r="F3114" t="str">
            <v>Sep-16-2024</v>
          </cell>
        </row>
        <row r="3115">
          <cell r="A3115" t="str">
            <v>IND</v>
          </cell>
          <cell r="B3115">
            <v>2026</v>
          </cell>
          <cell r="C3115" t="str">
            <v>pvgdp_agriculture</v>
          </cell>
          <cell r="D3115">
            <v>25853094</v>
          </cell>
          <cell r="F3115" t="str">
            <v>Sep-16-2024</v>
          </cell>
        </row>
        <row r="3116">
          <cell r="A3116" t="str">
            <v>IND</v>
          </cell>
          <cell r="B3116">
            <v>2026</v>
          </cell>
          <cell r="C3116" t="str">
            <v>pvgdp_industry</v>
          </cell>
          <cell r="D3116">
            <v>60663268</v>
          </cell>
          <cell r="F3116" t="str">
            <v>Sep-16-2024</v>
          </cell>
        </row>
        <row r="3117">
          <cell r="A3117" t="str">
            <v>IND</v>
          </cell>
          <cell r="B3117">
            <v>2026</v>
          </cell>
          <cell r="C3117" t="str">
            <v>pvgdp_services</v>
          </cell>
          <cell r="D3117">
            <v>106830592</v>
          </cell>
          <cell r="F3117" t="str">
            <v>Sep-16-2024</v>
          </cell>
        </row>
        <row r="3118">
          <cell r="A3118" t="str">
            <v>IND</v>
          </cell>
          <cell r="B3118">
            <v>2026</v>
          </cell>
          <cell r="C3118" t="str">
            <v>pvgdppc</v>
          </cell>
          <cell r="D3118">
            <v>144291.40263027974</v>
          </cell>
          <cell r="F3118" t="str">
            <v>Sep-16-2024</v>
          </cell>
        </row>
        <row r="3119">
          <cell r="A3119" t="str">
            <v>IND</v>
          </cell>
          <cell r="B3119">
            <v>2026</v>
          </cell>
          <cell r="C3119" t="str">
            <v>pvpop_total</v>
          </cell>
          <cell r="D3119">
            <v>1467231201.171875</v>
          </cell>
          <cell r="F3119" t="str">
            <v>Sep-16-2024</v>
          </cell>
        </row>
        <row r="3120">
          <cell r="A3120" t="str">
            <v>IND</v>
          </cell>
          <cell r="B3120">
            <v>2026</v>
          </cell>
          <cell r="C3120" t="str">
            <v>pvpop_15up</v>
          </cell>
          <cell r="D3120">
            <v>1120032260.2609227</v>
          </cell>
          <cell r="F3120" t="str">
            <v>Sep-16-2024</v>
          </cell>
        </row>
        <row r="3121">
          <cell r="A3121" t="str">
            <v>IND</v>
          </cell>
          <cell r="B3121">
            <v>2026</v>
          </cell>
          <cell r="C3121" t="str">
            <v>pvprivpc</v>
          </cell>
          <cell r="D3121">
            <v>78584.015871465483</v>
          </cell>
          <cell r="F3121" t="str">
            <v>Sep-16-2024</v>
          </cell>
        </row>
        <row r="3122">
          <cell r="A3122" t="str">
            <v>LKA</v>
          </cell>
          <cell r="B3122">
            <v>2007</v>
          </cell>
          <cell r="C3122" t="str">
            <v>pvgdp</v>
          </cell>
          <cell r="D3122">
            <v>5412696</v>
          </cell>
          <cell r="F3122" t="str">
            <v>Sep-16-2024</v>
          </cell>
        </row>
        <row r="3123">
          <cell r="A3123" t="str">
            <v>LKA</v>
          </cell>
          <cell r="B3123">
            <v>2007</v>
          </cell>
          <cell r="C3123" t="str">
            <v>pvgdp_agriculture</v>
          </cell>
          <cell r="D3123">
            <v>459036</v>
          </cell>
          <cell r="F3123" t="str">
            <v>Sep-16-2024</v>
          </cell>
        </row>
        <row r="3124">
          <cell r="A3124" t="str">
            <v>LKA</v>
          </cell>
          <cell r="B3124">
            <v>2007</v>
          </cell>
          <cell r="C3124" t="str">
            <v>pvgdp_industry</v>
          </cell>
          <cell r="D3124">
            <v>1427624</v>
          </cell>
          <cell r="F3124" t="str">
            <v>Sep-16-2024</v>
          </cell>
        </row>
        <row r="3125">
          <cell r="A3125" t="str">
            <v>LKA</v>
          </cell>
          <cell r="B3125">
            <v>2007</v>
          </cell>
          <cell r="C3125" t="str">
            <v>pvgdp_services</v>
          </cell>
          <cell r="D3125">
            <v>2972933</v>
          </cell>
          <cell r="F3125" t="str">
            <v>Sep-16-2024</v>
          </cell>
        </row>
        <row r="3126">
          <cell r="A3126" t="str">
            <v>LKA</v>
          </cell>
          <cell r="B3126">
            <v>2007</v>
          </cell>
          <cell r="C3126" t="str">
            <v>pvgdppc</v>
          </cell>
          <cell r="D3126">
            <v>269574.62711097696</v>
          </cell>
          <cell r="F3126" t="str">
            <v>Sep-16-2024</v>
          </cell>
        </row>
        <row r="3127">
          <cell r="A3127" t="str">
            <v>LKA</v>
          </cell>
          <cell r="B3127">
            <v>2007</v>
          </cell>
          <cell r="C3127" t="str">
            <v>pvpop_total</v>
          </cell>
          <cell r="D3127">
            <v>20078655.242919922</v>
          </cell>
          <cell r="F3127" t="str">
            <v>Sep-16-2024</v>
          </cell>
        </row>
        <row r="3128">
          <cell r="A3128" t="str">
            <v>LKA</v>
          </cell>
          <cell r="B3128">
            <v>2007</v>
          </cell>
          <cell r="C3128" t="str">
            <v>pvpop_15up</v>
          </cell>
          <cell r="D3128">
            <v>14911589.180406606</v>
          </cell>
          <cell r="F3128" t="str">
            <v>Sep-16-2024</v>
          </cell>
        </row>
        <row r="3129">
          <cell r="A3129" t="str">
            <v>LKA</v>
          </cell>
          <cell r="B3129">
            <v>2007</v>
          </cell>
          <cell r="C3129" t="str">
            <v>pvprivpc</v>
          </cell>
          <cell r="D3129">
            <v>184582.80473274528</v>
          </cell>
          <cell r="F3129" t="str">
            <v>Sep-16-2024</v>
          </cell>
        </row>
        <row r="3130">
          <cell r="A3130" t="str">
            <v>LKA</v>
          </cell>
          <cell r="B3130">
            <v>2008</v>
          </cell>
          <cell r="C3130" t="str">
            <v>pvgdp</v>
          </cell>
          <cell r="D3130">
            <v>5734756</v>
          </cell>
          <cell r="F3130" t="str">
            <v>Sep-16-2024</v>
          </cell>
        </row>
        <row r="3131">
          <cell r="A3131" t="str">
            <v>LKA</v>
          </cell>
          <cell r="B3131">
            <v>2008</v>
          </cell>
          <cell r="C3131" t="str">
            <v>pvgdp_agriculture</v>
          </cell>
          <cell r="D3131">
            <v>493613.5</v>
          </cell>
          <cell r="F3131" t="str">
            <v>Sep-16-2024</v>
          </cell>
        </row>
        <row r="3132">
          <cell r="A3132" t="str">
            <v>LKA</v>
          </cell>
          <cell r="B3132">
            <v>2008</v>
          </cell>
          <cell r="C3132" t="str">
            <v>pvgdp_industry</v>
          </cell>
          <cell r="D3132">
            <v>1512112</v>
          </cell>
          <cell r="F3132" t="str">
            <v>Sep-16-2024</v>
          </cell>
        </row>
        <row r="3133">
          <cell r="A3133" t="str">
            <v>LKA</v>
          </cell>
          <cell r="B3133">
            <v>2008</v>
          </cell>
          <cell r="C3133" t="str">
            <v>pvgdp_services</v>
          </cell>
          <cell r="D3133">
            <v>3140885.5</v>
          </cell>
          <cell r="F3133" t="str">
            <v>Sep-16-2024</v>
          </cell>
        </row>
        <row r="3134">
          <cell r="A3134" t="str">
            <v>LKA</v>
          </cell>
          <cell r="B3134">
            <v>2008</v>
          </cell>
          <cell r="C3134" t="str">
            <v>pvgdppc</v>
          </cell>
          <cell r="D3134">
            <v>282700.23811042978</v>
          </cell>
          <cell r="F3134" t="str">
            <v>Sep-16-2024</v>
          </cell>
        </row>
        <row r="3135">
          <cell r="A3135" t="str">
            <v>LKA</v>
          </cell>
          <cell r="B3135">
            <v>2008</v>
          </cell>
          <cell r="C3135" t="str">
            <v>pvpop_total</v>
          </cell>
          <cell r="D3135">
            <v>20285642.623901367</v>
          </cell>
          <cell r="F3135" t="str">
            <v>Sep-16-2024</v>
          </cell>
        </row>
        <row r="3136">
          <cell r="A3136" t="str">
            <v>LKA</v>
          </cell>
          <cell r="B3136">
            <v>2008</v>
          </cell>
          <cell r="C3136" t="str">
            <v>pvpop_15up</v>
          </cell>
          <cell r="D3136">
            <v>15080770.720400413</v>
          </cell>
          <cell r="F3136" t="str">
            <v>Sep-16-2024</v>
          </cell>
        </row>
        <row r="3137">
          <cell r="A3137" t="str">
            <v>LKA</v>
          </cell>
          <cell r="B3137">
            <v>2008</v>
          </cell>
          <cell r="C3137" t="str">
            <v>pvprivpc</v>
          </cell>
          <cell r="D3137">
            <v>196422.24670295828</v>
          </cell>
          <cell r="F3137" t="str">
            <v>Sep-16-2024</v>
          </cell>
        </row>
        <row r="3138">
          <cell r="A3138" t="str">
            <v>LKA</v>
          </cell>
          <cell r="B3138">
            <v>2009</v>
          </cell>
          <cell r="C3138" t="str">
            <v>pvgdp</v>
          </cell>
          <cell r="D3138">
            <v>5937704</v>
          </cell>
          <cell r="F3138" t="str">
            <v>Sep-16-2024</v>
          </cell>
        </row>
        <row r="3139">
          <cell r="A3139" t="str">
            <v>LKA</v>
          </cell>
          <cell r="B3139">
            <v>2009</v>
          </cell>
          <cell r="C3139" t="str">
            <v>pvgdp_agriculture</v>
          </cell>
          <cell r="D3139">
            <v>509497.6875</v>
          </cell>
          <cell r="F3139" t="str">
            <v>Sep-16-2024</v>
          </cell>
        </row>
        <row r="3140">
          <cell r="A3140" t="str">
            <v>LKA</v>
          </cell>
          <cell r="B3140">
            <v>2009</v>
          </cell>
          <cell r="C3140" t="str">
            <v>pvgdp_industry</v>
          </cell>
          <cell r="D3140">
            <v>1575803</v>
          </cell>
          <cell r="F3140" t="str">
            <v>Sep-16-2024</v>
          </cell>
        </row>
        <row r="3141">
          <cell r="A3141" t="str">
            <v>LKA</v>
          </cell>
          <cell r="B3141">
            <v>2009</v>
          </cell>
          <cell r="C3141" t="str">
            <v>pvgdp_services</v>
          </cell>
          <cell r="D3141">
            <v>3243976.25</v>
          </cell>
          <cell r="F3141" t="str">
            <v>Sep-16-2024</v>
          </cell>
        </row>
        <row r="3142">
          <cell r="A3142" t="str">
            <v>LKA</v>
          </cell>
          <cell r="B3142">
            <v>2009</v>
          </cell>
          <cell r="C3142" t="str">
            <v>pvgdppc</v>
          </cell>
          <cell r="D3142">
            <v>289891.88883104007</v>
          </cell>
          <cell r="F3142" t="str">
            <v>Sep-16-2024</v>
          </cell>
        </row>
        <row r="3143">
          <cell r="A3143" t="str">
            <v>LKA</v>
          </cell>
          <cell r="B3143">
            <v>2009</v>
          </cell>
          <cell r="C3143" t="str">
            <v>pvpop_total</v>
          </cell>
          <cell r="D3143">
            <v>20482477.188110352</v>
          </cell>
          <cell r="F3143" t="str">
            <v>Sep-16-2024</v>
          </cell>
        </row>
        <row r="3144">
          <cell r="A3144" t="str">
            <v>LKA</v>
          </cell>
          <cell r="B3144">
            <v>2009</v>
          </cell>
          <cell r="C3144" t="str">
            <v>pvpop_15up</v>
          </cell>
          <cell r="D3144">
            <v>15239798.139961772</v>
          </cell>
          <cell r="F3144" t="str">
            <v>Sep-16-2024</v>
          </cell>
        </row>
        <row r="3145">
          <cell r="A3145" t="str">
            <v>LKA</v>
          </cell>
          <cell r="B3145">
            <v>2009</v>
          </cell>
          <cell r="C3145" t="str">
            <v>pvprivpc</v>
          </cell>
          <cell r="D3145">
            <v>196359.378949273</v>
          </cell>
          <cell r="F3145" t="str">
            <v>Sep-16-2024</v>
          </cell>
        </row>
        <row r="3146">
          <cell r="A3146" t="str">
            <v>LKA</v>
          </cell>
          <cell r="B3146">
            <v>2010</v>
          </cell>
          <cell r="C3146" t="str">
            <v>pvgdp</v>
          </cell>
          <cell r="D3146">
            <v>6413668.5</v>
          </cell>
          <cell r="F3146" t="str">
            <v>Sep-16-2024</v>
          </cell>
        </row>
        <row r="3147">
          <cell r="A3147" t="str">
            <v>LKA</v>
          </cell>
          <cell r="B3147">
            <v>2010</v>
          </cell>
          <cell r="C3147" t="str">
            <v>pvgdp_agriculture</v>
          </cell>
          <cell r="D3147">
            <v>544914.3125</v>
          </cell>
          <cell r="F3147" t="str">
            <v>Sep-16-2024</v>
          </cell>
        </row>
        <row r="3148">
          <cell r="A3148" t="str">
            <v>LKA</v>
          </cell>
          <cell r="B3148">
            <v>2010</v>
          </cell>
          <cell r="C3148" t="str">
            <v>pvgdp_industry</v>
          </cell>
          <cell r="D3148">
            <v>1708867</v>
          </cell>
          <cell r="F3148" t="str">
            <v>Sep-16-2024</v>
          </cell>
        </row>
        <row r="3149">
          <cell r="A3149" t="str">
            <v>LKA</v>
          </cell>
          <cell r="B3149">
            <v>2010</v>
          </cell>
          <cell r="C3149" t="str">
            <v>pvgdp_services</v>
          </cell>
          <cell r="D3149">
            <v>3504322.75</v>
          </cell>
          <cell r="F3149" t="str">
            <v>Sep-16-2024</v>
          </cell>
        </row>
        <row r="3150">
          <cell r="A3150" t="str">
            <v>LKA</v>
          </cell>
          <cell r="B3150">
            <v>2010</v>
          </cell>
          <cell r="C3150" t="str">
            <v>pvgdppc</v>
          </cell>
          <cell r="D3150">
            <v>310310.42680418992</v>
          </cell>
          <cell r="F3150" t="str">
            <v>Sep-16-2024</v>
          </cell>
        </row>
        <row r="3151">
          <cell r="A3151" t="str">
            <v>LKA</v>
          </cell>
          <cell r="B3151">
            <v>2010</v>
          </cell>
          <cell r="C3151" t="str">
            <v>pvpop_total</v>
          </cell>
          <cell r="D3151">
            <v>20668556.213378906</v>
          </cell>
          <cell r="F3151" t="str">
            <v>Sep-16-2024</v>
          </cell>
        </row>
        <row r="3152">
          <cell r="A3152" t="str">
            <v>LKA</v>
          </cell>
          <cell r="B3152">
            <v>2010</v>
          </cell>
          <cell r="C3152" t="str">
            <v>pvpop_15up</v>
          </cell>
          <cell r="D3152">
            <v>15394310.414110538</v>
          </cell>
          <cell r="F3152" t="str">
            <v>Sep-16-2024</v>
          </cell>
        </row>
        <row r="3153">
          <cell r="A3153" t="str">
            <v>LKA</v>
          </cell>
          <cell r="B3153">
            <v>2010</v>
          </cell>
          <cell r="C3153" t="str">
            <v>pvprivpc</v>
          </cell>
          <cell r="D3153">
            <v>212410.33745541365</v>
          </cell>
          <cell r="F3153" t="str">
            <v>Sep-16-2024</v>
          </cell>
        </row>
        <row r="3154">
          <cell r="A3154" t="str">
            <v>LKA</v>
          </cell>
          <cell r="B3154">
            <v>2011</v>
          </cell>
          <cell r="C3154" t="str">
            <v>pvgdp</v>
          </cell>
          <cell r="D3154">
            <v>6952720</v>
          </cell>
          <cell r="F3154" t="str">
            <v>Sep-16-2024</v>
          </cell>
        </row>
        <row r="3155">
          <cell r="A3155" t="str">
            <v>LKA</v>
          </cell>
          <cell r="B3155">
            <v>2011</v>
          </cell>
          <cell r="C3155" t="str">
            <v>pvgdp_agriculture</v>
          </cell>
          <cell r="D3155">
            <v>569954</v>
          </cell>
          <cell r="F3155" t="str">
            <v>Sep-16-2024</v>
          </cell>
        </row>
        <row r="3156">
          <cell r="A3156" t="str">
            <v>LKA</v>
          </cell>
          <cell r="B3156">
            <v>2011</v>
          </cell>
          <cell r="C3156" t="str">
            <v>pvgdp_industry</v>
          </cell>
          <cell r="D3156">
            <v>1866947</v>
          </cell>
          <cell r="F3156" t="str">
            <v>Sep-16-2024</v>
          </cell>
        </row>
        <row r="3157">
          <cell r="A3157" t="str">
            <v>LKA</v>
          </cell>
          <cell r="B3157">
            <v>2011</v>
          </cell>
          <cell r="C3157" t="str">
            <v>pvgdp_services</v>
          </cell>
          <cell r="D3157">
            <v>3817155</v>
          </cell>
          <cell r="F3157" t="str">
            <v>Sep-16-2024</v>
          </cell>
        </row>
        <row r="3158">
          <cell r="A3158" t="str">
            <v>LKA</v>
          </cell>
          <cell r="B3158">
            <v>2011</v>
          </cell>
          <cell r="C3158" t="str">
            <v>pvgdppc</v>
          </cell>
          <cell r="D3158">
            <v>333308.03551003872</v>
          </cell>
          <cell r="F3158" t="str">
            <v>Sep-16-2024</v>
          </cell>
        </row>
        <row r="3159">
          <cell r="A3159" t="str">
            <v>LKA</v>
          </cell>
          <cell r="B3159">
            <v>2011</v>
          </cell>
          <cell r="C3159" t="str">
            <v>pvpop_total</v>
          </cell>
          <cell r="D3159">
            <v>20859743.118286133</v>
          </cell>
          <cell r="F3159" t="str">
            <v>Sep-16-2024</v>
          </cell>
        </row>
        <row r="3160">
          <cell r="A3160" t="str">
            <v>LKA</v>
          </cell>
          <cell r="B3160">
            <v>2011</v>
          </cell>
          <cell r="C3160" t="str">
            <v>pvpop_15up</v>
          </cell>
          <cell r="D3160">
            <v>15556498.088213837</v>
          </cell>
          <cell r="F3160" t="str">
            <v>Sep-16-2024</v>
          </cell>
        </row>
        <row r="3161">
          <cell r="A3161" t="str">
            <v>LKA</v>
          </cell>
          <cell r="B3161">
            <v>2011</v>
          </cell>
          <cell r="C3161" t="str">
            <v>pvprivpc</v>
          </cell>
          <cell r="D3161">
            <v>231283.07346080054</v>
          </cell>
          <cell r="F3161" t="str">
            <v>Sep-16-2024</v>
          </cell>
        </row>
        <row r="3162">
          <cell r="A3162" t="str">
            <v>LKA</v>
          </cell>
          <cell r="B3162">
            <v>2012</v>
          </cell>
          <cell r="C3162" t="str">
            <v>pvgdp</v>
          </cell>
          <cell r="D3162">
            <v>7588517</v>
          </cell>
          <cell r="F3162" t="str">
            <v>Sep-16-2024</v>
          </cell>
        </row>
        <row r="3163">
          <cell r="A3163" t="str">
            <v>LKA</v>
          </cell>
          <cell r="B3163">
            <v>2012</v>
          </cell>
          <cell r="C3163" t="str">
            <v>pvgdp_agriculture</v>
          </cell>
          <cell r="D3163">
            <v>592443.375</v>
          </cell>
          <cell r="F3163" t="str">
            <v>Sep-16-2024</v>
          </cell>
        </row>
        <row r="3164">
          <cell r="A3164" t="str">
            <v>LKA</v>
          </cell>
          <cell r="B3164">
            <v>2012</v>
          </cell>
          <cell r="C3164" t="str">
            <v>pvgdp_industry</v>
          </cell>
          <cell r="D3164">
            <v>2035601</v>
          </cell>
          <cell r="F3164" t="str">
            <v>Sep-16-2024</v>
          </cell>
        </row>
        <row r="3165">
          <cell r="A3165" t="str">
            <v>LKA</v>
          </cell>
          <cell r="B3165">
            <v>2012</v>
          </cell>
          <cell r="C3165" t="str">
            <v>pvgdp_services</v>
          </cell>
          <cell r="D3165">
            <v>4245461.5</v>
          </cell>
          <cell r="F3165" t="str">
            <v>Sep-16-2024</v>
          </cell>
        </row>
        <row r="3166">
          <cell r="A3166" t="str">
            <v>LKA</v>
          </cell>
          <cell r="B3166">
            <v>2012</v>
          </cell>
          <cell r="C3166" t="str">
            <v>pvgdppc</v>
          </cell>
          <cell r="D3166">
            <v>361063.13463080896</v>
          </cell>
          <cell r="F3166" t="str">
            <v>Sep-16-2024</v>
          </cell>
        </row>
        <row r="3167">
          <cell r="A3167" t="str">
            <v>LKA</v>
          </cell>
          <cell r="B3167">
            <v>2012</v>
          </cell>
          <cell r="C3167" t="str">
            <v>pvpop_total</v>
          </cell>
          <cell r="D3167">
            <v>21017147.064208984</v>
          </cell>
          <cell r="F3167" t="str">
            <v>Sep-16-2024</v>
          </cell>
        </row>
        <row r="3168">
          <cell r="A3168" t="str">
            <v>LKA</v>
          </cell>
          <cell r="B3168">
            <v>2012</v>
          </cell>
          <cell r="C3168" t="str">
            <v>pvpop_15up</v>
          </cell>
          <cell r="D3168">
            <v>15691424.047938494</v>
          </cell>
          <cell r="F3168" t="str">
            <v>Sep-16-2024</v>
          </cell>
        </row>
        <row r="3169">
          <cell r="A3169" t="str">
            <v>LKA</v>
          </cell>
          <cell r="B3169">
            <v>2012</v>
          </cell>
          <cell r="C3169" t="str">
            <v>pvprivpc</v>
          </cell>
          <cell r="D3169">
            <v>234718.06068297432</v>
          </cell>
          <cell r="F3169" t="str">
            <v>Sep-16-2024</v>
          </cell>
        </row>
        <row r="3170">
          <cell r="A3170" t="str">
            <v>LKA</v>
          </cell>
          <cell r="B3170">
            <v>2013</v>
          </cell>
          <cell r="C3170" t="str">
            <v>pvgdp</v>
          </cell>
          <cell r="D3170">
            <v>7846202.5</v>
          </cell>
          <cell r="F3170" t="str">
            <v>Sep-16-2024</v>
          </cell>
        </row>
        <row r="3171">
          <cell r="A3171" t="str">
            <v>LKA</v>
          </cell>
          <cell r="B3171">
            <v>2013</v>
          </cell>
          <cell r="C3171" t="str">
            <v>pvgdp_agriculture</v>
          </cell>
          <cell r="D3171">
            <v>611676.125</v>
          </cell>
          <cell r="F3171" t="str">
            <v>Sep-16-2024</v>
          </cell>
        </row>
        <row r="3172">
          <cell r="A3172" t="str">
            <v>LKA</v>
          </cell>
          <cell r="B3172">
            <v>2013</v>
          </cell>
          <cell r="C3172" t="str">
            <v>pvgdp_industry</v>
          </cell>
          <cell r="D3172">
            <v>2119080</v>
          </cell>
          <cell r="F3172" t="str">
            <v>Sep-16-2024</v>
          </cell>
        </row>
        <row r="3173">
          <cell r="A3173" t="str">
            <v>LKA</v>
          </cell>
          <cell r="B3173">
            <v>2013</v>
          </cell>
          <cell r="C3173" t="str">
            <v>pvgdp_services</v>
          </cell>
          <cell r="D3173">
            <v>4405645</v>
          </cell>
          <cell r="F3173" t="str">
            <v>Sep-16-2024</v>
          </cell>
        </row>
        <row r="3174">
          <cell r="A3174" t="str">
            <v>LKA</v>
          </cell>
          <cell r="B3174">
            <v>2013</v>
          </cell>
          <cell r="C3174" t="str">
            <v>pvgdppc</v>
          </cell>
          <cell r="D3174">
            <v>371299.12741492427</v>
          </cell>
          <cell r="F3174" t="str">
            <v>Sep-16-2024</v>
          </cell>
        </row>
        <row r="3175">
          <cell r="A3175" t="str">
            <v>LKA</v>
          </cell>
          <cell r="B3175">
            <v>2013</v>
          </cell>
          <cell r="C3175" t="str">
            <v>pvpop_total</v>
          </cell>
          <cell r="D3175">
            <v>21131755.828857422</v>
          </cell>
          <cell r="F3175" t="str">
            <v>Sep-16-2024</v>
          </cell>
        </row>
        <row r="3176">
          <cell r="A3176" t="str">
            <v>LKA</v>
          </cell>
          <cell r="B3176">
            <v>2013</v>
          </cell>
          <cell r="C3176" t="str">
            <v>pvpop_15up</v>
          </cell>
          <cell r="D3176">
            <v>15793620.87209009</v>
          </cell>
          <cell r="F3176" t="str">
            <v>Sep-16-2024</v>
          </cell>
        </row>
        <row r="3177">
          <cell r="A3177" t="str">
            <v>LKA</v>
          </cell>
          <cell r="B3177">
            <v>2013</v>
          </cell>
          <cell r="C3177" t="str">
            <v>pvprivpc</v>
          </cell>
          <cell r="D3177">
            <v>251641.0866691109</v>
          </cell>
          <cell r="F3177" t="str">
            <v>Sep-16-2024</v>
          </cell>
        </row>
        <row r="3178">
          <cell r="A3178" t="str">
            <v>LKA</v>
          </cell>
          <cell r="B3178">
            <v>2014</v>
          </cell>
          <cell r="C3178" t="str">
            <v>pvgdp</v>
          </cell>
          <cell r="D3178">
            <v>8235429</v>
          </cell>
          <cell r="F3178" t="str">
            <v>Sep-16-2024</v>
          </cell>
        </row>
        <row r="3179">
          <cell r="A3179" t="str">
            <v>LKA</v>
          </cell>
          <cell r="B3179">
            <v>2014</v>
          </cell>
          <cell r="C3179" t="str">
            <v>pvgdp_agriculture</v>
          </cell>
          <cell r="D3179">
            <v>639695.625</v>
          </cell>
          <cell r="F3179" t="str">
            <v>Sep-16-2024</v>
          </cell>
        </row>
        <row r="3180">
          <cell r="A3180" t="str">
            <v>LKA</v>
          </cell>
          <cell r="B3180">
            <v>2014</v>
          </cell>
          <cell r="C3180" t="str">
            <v>pvgdp_industry</v>
          </cell>
          <cell r="D3180">
            <v>2218711</v>
          </cell>
          <cell r="F3180" t="str">
            <v>Sep-16-2024</v>
          </cell>
        </row>
        <row r="3181">
          <cell r="A3181" t="str">
            <v>LKA</v>
          </cell>
          <cell r="B3181">
            <v>2014</v>
          </cell>
          <cell r="C3181" t="str">
            <v>pvgdp_services</v>
          </cell>
          <cell r="D3181">
            <v>4618501.5</v>
          </cell>
          <cell r="F3181" t="str">
            <v>Sep-16-2024</v>
          </cell>
        </row>
        <row r="3182">
          <cell r="A3182" t="str">
            <v>LKA</v>
          </cell>
          <cell r="B3182">
            <v>2014</v>
          </cell>
          <cell r="C3182" t="str">
            <v>pvgdppc</v>
          </cell>
          <cell r="D3182">
            <v>387741.98978841898</v>
          </cell>
          <cell r="F3182" t="str">
            <v>Sep-16-2024</v>
          </cell>
        </row>
        <row r="3183">
          <cell r="A3183" t="str">
            <v>LKA</v>
          </cell>
          <cell r="B3183">
            <v>2014</v>
          </cell>
          <cell r="C3183" t="str">
            <v>pvpop_total</v>
          </cell>
          <cell r="D3183">
            <v>21239456.176757813</v>
          </cell>
          <cell r="F3183" t="str">
            <v>Sep-16-2024</v>
          </cell>
        </row>
        <row r="3184">
          <cell r="A3184" t="str">
            <v>LKA</v>
          </cell>
          <cell r="B3184">
            <v>2014</v>
          </cell>
          <cell r="C3184" t="str">
            <v>pvpop_15up</v>
          </cell>
          <cell r="D3184">
            <v>15897426.383815106</v>
          </cell>
          <cell r="F3184" t="str">
            <v>Sep-16-2024</v>
          </cell>
        </row>
        <row r="3185">
          <cell r="A3185" t="str">
            <v>LKA</v>
          </cell>
          <cell r="B3185">
            <v>2014</v>
          </cell>
          <cell r="C3185" t="str">
            <v>pvprivpc</v>
          </cell>
          <cell r="D3185">
            <v>259525.33596561369</v>
          </cell>
          <cell r="F3185" t="str">
            <v>Sep-16-2024</v>
          </cell>
        </row>
        <row r="3186">
          <cell r="A3186" t="str">
            <v>LKA</v>
          </cell>
          <cell r="B3186">
            <v>2015</v>
          </cell>
          <cell r="C3186" t="str">
            <v>pvgdp</v>
          </cell>
          <cell r="D3186">
            <v>11566987</v>
          </cell>
          <cell r="F3186" t="str">
            <v>Sep-16-2024</v>
          </cell>
        </row>
        <row r="3187">
          <cell r="A3187" t="str">
            <v>LKA</v>
          </cell>
          <cell r="B3187">
            <v>2015</v>
          </cell>
          <cell r="C3187" t="str">
            <v>pvgdp_agriculture</v>
          </cell>
          <cell r="D3187">
            <v>950452.3125</v>
          </cell>
          <cell r="F3187" t="str">
            <v>Sep-16-2024</v>
          </cell>
        </row>
        <row r="3188">
          <cell r="A3188" t="str">
            <v>LKA</v>
          </cell>
          <cell r="B3188">
            <v>2015</v>
          </cell>
          <cell r="C3188" t="str">
            <v>pvgdp_industry</v>
          </cell>
          <cell r="D3188">
            <v>3416358</v>
          </cell>
          <cell r="F3188" t="str">
            <v>Sep-16-2024</v>
          </cell>
        </row>
        <row r="3189">
          <cell r="A3189" t="str">
            <v>LKA</v>
          </cell>
          <cell r="B3189">
            <v>2015</v>
          </cell>
          <cell r="C3189" t="str">
            <v>pvgdp_services</v>
          </cell>
          <cell r="D3189">
            <v>6270535.5</v>
          </cell>
          <cell r="F3189" t="str">
            <v>Sep-16-2024</v>
          </cell>
        </row>
        <row r="3190">
          <cell r="A3190" t="str">
            <v>LKA</v>
          </cell>
          <cell r="B3190">
            <v>2015</v>
          </cell>
          <cell r="C3190" t="str">
            <v>pvgdppc</v>
          </cell>
          <cell r="D3190">
            <v>542117.04854909109</v>
          </cell>
          <cell r="F3190" t="str">
            <v>Sep-16-2024</v>
          </cell>
        </row>
        <row r="3191">
          <cell r="A3191" t="str">
            <v>LKA</v>
          </cell>
          <cell r="B3191">
            <v>2015</v>
          </cell>
          <cell r="C3191" t="str">
            <v>pvpop_total</v>
          </cell>
          <cell r="D3191">
            <v>21336696.624755859</v>
          </cell>
          <cell r="F3191" t="str">
            <v>Sep-16-2024</v>
          </cell>
        </row>
        <row r="3192">
          <cell r="A3192" t="str">
            <v>LKA</v>
          </cell>
          <cell r="B3192">
            <v>2015</v>
          </cell>
          <cell r="C3192" t="str">
            <v>pvpop_15up</v>
          </cell>
          <cell r="D3192">
            <v>16005170.718520323</v>
          </cell>
          <cell r="F3192" t="str">
            <v>Sep-16-2024</v>
          </cell>
        </row>
        <row r="3193">
          <cell r="A3193" t="str">
            <v>LKA</v>
          </cell>
          <cell r="B3193">
            <v>2015</v>
          </cell>
          <cell r="C3193" t="str">
            <v>pvprivpc</v>
          </cell>
          <cell r="D3193">
            <v>346655.39516638429</v>
          </cell>
          <cell r="F3193" t="str">
            <v>Sep-16-2024</v>
          </cell>
        </row>
        <row r="3194">
          <cell r="A3194" t="str">
            <v>LKA</v>
          </cell>
          <cell r="B3194">
            <v>2016</v>
          </cell>
          <cell r="C3194" t="str">
            <v>pvgdp</v>
          </cell>
          <cell r="D3194">
            <v>12151535</v>
          </cell>
          <cell r="F3194" t="str">
            <v>Sep-16-2024</v>
          </cell>
        </row>
        <row r="3195">
          <cell r="A3195" t="str">
            <v>LKA</v>
          </cell>
          <cell r="B3195">
            <v>2016</v>
          </cell>
          <cell r="C3195" t="str">
            <v>pvgdp_agriculture</v>
          </cell>
          <cell r="D3195">
            <v>906100.1875</v>
          </cell>
          <cell r="F3195" t="str">
            <v>Sep-16-2024</v>
          </cell>
        </row>
        <row r="3196">
          <cell r="A3196" t="str">
            <v>LKA</v>
          </cell>
          <cell r="B3196">
            <v>2016</v>
          </cell>
          <cell r="C3196" t="str">
            <v>pvgdp_industry</v>
          </cell>
          <cell r="D3196">
            <v>3670105.75</v>
          </cell>
          <cell r="F3196" t="str">
            <v>Sep-16-2024</v>
          </cell>
        </row>
        <row r="3197">
          <cell r="A3197" t="str">
            <v>LKA</v>
          </cell>
          <cell r="B3197">
            <v>2016</v>
          </cell>
          <cell r="C3197" t="str">
            <v>pvgdp_services</v>
          </cell>
          <cell r="D3197">
            <v>6567887.5</v>
          </cell>
          <cell r="F3197" t="str">
            <v>Sep-16-2024</v>
          </cell>
        </row>
        <row r="3198">
          <cell r="A3198" t="str">
            <v>LKA</v>
          </cell>
          <cell r="B3198">
            <v>2016</v>
          </cell>
          <cell r="C3198" t="str">
            <v>pvgdppc</v>
          </cell>
          <cell r="D3198">
            <v>567153.10418673197</v>
          </cell>
          <cell r="F3198" t="str">
            <v>Sep-16-2024</v>
          </cell>
        </row>
        <row r="3199">
          <cell r="A3199" t="str">
            <v>LKA</v>
          </cell>
          <cell r="B3199">
            <v>2016</v>
          </cell>
          <cell r="C3199" t="str">
            <v>pvpop_total</v>
          </cell>
          <cell r="D3199">
            <v>21425493.240356445</v>
          </cell>
          <cell r="F3199" t="str">
            <v>Sep-16-2024</v>
          </cell>
        </row>
        <row r="3200">
          <cell r="A3200" t="str">
            <v>LKA</v>
          </cell>
          <cell r="B3200">
            <v>2016</v>
          </cell>
          <cell r="C3200" t="str">
            <v>pvpop_15up</v>
          </cell>
          <cell r="D3200">
            <v>16118389.428520476</v>
          </cell>
          <cell r="F3200" t="str">
            <v>Sep-16-2024</v>
          </cell>
        </row>
        <row r="3201">
          <cell r="A3201" t="str">
            <v>LKA</v>
          </cell>
          <cell r="B3201">
            <v>2016</v>
          </cell>
          <cell r="C3201" t="str">
            <v>pvprivpc</v>
          </cell>
          <cell r="D3201">
            <v>355162.46532270749</v>
          </cell>
          <cell r="F3201" t="str">
            <v>Sep-16-2024</v>
          </cell>
        </row>
        <row r="3202">
          <cell r="A3202" t="str">
            <v>LKA</v>
          </cell>
          <cell r="B3202">
            <v>2017</v>
          </cell>
          <cell r="C3202" t="str">
            <v>pvgdp</v>
          </cell>
          <cell r="D3202">
            <v>12936607</v>
          </cell>
          <cell r="F3202" t="str">
            <v>Sep-16-2024</v>
          </cell>
        </row>
        <row r="3203">
          <cell r="A3203" t="str">
            <v>LKA</v>
          </cell>
          <cell r="B3203">
            <v>2017</v>
          </cell>
          <cell r="C3203" t="str">
            <v>pvgdp_agriculture</v>
          </cell>
          <cell r="D3203">
            <v>889557.0625</v>
          </cell>
          <cell r="F3203" t="str">
            <v>Sep-16-2024</v>
          </cell>
        </row>
        <row r="3204">
          <cell r="A3204" t="str">
            <v>LKA</v>
          </cell>
          <cell r="B3204">
            <v>2017</v>
          </cell>
          <cell r="C3204" t="str">
            <v>pvgdp_industry</v>
          </cell>
          <cell r="D3204">
            <v>4145812.75</v>
          </cell>
          <cell r="F3204" t="str">
            <v>Sep-16-2024</v>
          </cell>
        </row>
        <row r="3205">
          <cell r="A3205" t="str">
            <v>LKA</v>
          </cell>
          <cell r="B3205">
            <v>2017</v>
          </cell>
          <cell r="C3205" t="str">
            <v>pvgdp_services</v>
          </cell>
          <cell r="D3205">
            <v>6807552.5</v>
          </cell>
          <cell r="F3205" t="str">
            <v>Sep-16-2024</v>
          </cell>
        </row>
        <row r="3206">
          <cell r="A3206" t="str">
            <v>LKA</v>
          </cell>
          <cell r="B3206">
            <v>2017</v>
          </cell>
          <cell r="C3206" t="str">
            <v>pvgdppc</v>
          </cell>
          <cell r="D3206">
            <v>601512.04040950129</v>
          </cell>
          <cell r="F3206" t="str">
            <v>Sep-16-2024</v>
          </cell>
        </row>
        <row r="3207">
          <cell r="A3207" t="str">
            <v>LKA</v>
          </cell>
          <cell r="B3207">
            <v>2017</v>
          </cell>
          <cell r="C3207" t="str">
            <v>pvpop_total</v>
          </cell>
          <cell r="D3207">
            <v>21506813.049316406</v>
          </cell>
          <cell r="F3207" t="str">
            <v>Sep-16-2024</v>
          </cell>
        </row>
        <row r="3208">
          <cell r="A3208" t="str">
            <v>LKA</v>
          </cell>
          <cell r="B3208">
            <v>2017</v>
          </cell>
          <cell r="C3208" t="str">
            <v>pvpop_15up</v>
          </cell>
          <cell r="D3208">
            <v>16234125.037225816</v>
          </cell>
          <cell r="F3208" t="str">
            <v>Sep-16-2024</v>
          </cell>
        </row>
        <row r="3209">
          <cell r="A3209" t="str">
            <v>LKA</v>
          </cell>
          <cell r="B3209">
            <v>2017</v>
          </cell>
          <cell r="C3209" t="str">
            <v>pvprivpc</v>
          </cell>
          <cell r="D3209">
            <v>351678.60448019311</v>
          </cell>
          <cell r="F3209" t="str">
            <v>Sep-16-2024</v>
          </cell>
        </row>
        <row r="3210">
          <cell r="A3210" t="str">
            <v>LKA</v>
          </cell>
          <cell r="B3210">
            <v>2018</v>
          </cell>
          <cell r="C3210" t="str">
            <v>pvgdp</v>
          </cell>
          <cell r="D3210">
            <v>13235456</v>
          </cell>
          <cell r="F3210" t="str">
            <v>Sep-16-2024</v>
          </cell>
        </row>
        <row r="3211">
          <cell r="A3211" t="str">
            <v>LKA</v>
          </cell>
          <cell r="B3211">
            <v>2018</v>
          </cell>
          <cell r="C3211" t="str">
            <v>pvgdp_agriculture</v>
          </cell>
          <cell r="D3211">
            <v>945291.9375</v>
          </cell>
          <cell r="F3211" t="str">
            <v>Sep-16-2024</v>
          </cell>
        </row>
        <row r="3212">
          <cell r="A3212" t="str">
            <v>LKA</v>
          </cell>
          <cell r="B3212">
            <v>2018</v>
          </cell>
          <cell r="C3212" t="str">
            <v>pvgdp_industry</v>
          </cell>
          <cell r="D3212">
            <v>4101467</v>
          </cell>
          <cell r="F3212" t="str">
            <v>Sep-16-2024</v>
          </cell>
        </row>
        <row r="3213">
          <cell r="A3213" t="str">
            <v>LKA</v>
          </cell>
          <cell r="B3213">
            <v>2018</v>
          </cell>
          <cell r="C3213" t="str">
            <v>pvgdp_services</v>
          </cell>
          <cell r="D3213">
            <v>7099081.5</v>
          </cell>
          <cell r="F3213" t="str">
            <v>Sep-16-2024</v>
          </cell>
        </row>
        <row r="3214">
          <cell r="A3214" t="str">
            <v>LKA</v>
          </cell>
          <cell r="B3214">
            <v>2018</v>
          </cell>
          <cell r="C3214" t="str">
            <v>pvgdppc</v>
          </cell>
          <cell r="D3214">
            <v>610773.23273658054</v>
          </cell>
          <cell r="F3214" t="str">
            <v>Sep-16-2024</v>
          </cell>
        </row>
        <row r="3215">
          <cell r="A3215" t="str">
            <v>LKA</v>
          </cell>
          <cell r="B3215">
            <v>2018</v>
          </cell>
          <cell r="C3215" t="str">
            <v>pvpop_total</v>
          </cell>
          <cell r="D3215">
            <v>21670000.076293945</v>
          </cell>
          <cell r="F3215" t="str">
            <v>Sep-16-2024</v>
          </cell>
        </row>
        <row r="3216">
          <cell r="A3216" t="str">
            <v>LKA</v>
          </cell>
          <cell r="B3216">
            <v>2018</v>
          </cell>
          <cell r="C3216" t="str">
            <v>pvpop_15up</v>
          </cell>
          <cell r="D3216">
            <v>16417934.057802903</v>
          </cell>
          <cell r="F3216" t="str">
            <v>Sep-16-2024</v>
          </cell>
        </row>
        <row r="3217">
          <cell r="A3217" t="str">
            <v>LKA</v>
          </cell>
          <cell r="B3217">
            <v>2018</v>
          </cell>
          <cell r="C3217" t="str">
            <v>pvprivpc</v>
          </cell>
          <cell r="D3217">
            <v>365550.11407986801</v>
          </cell>
          <cell r="F3217" t="str">
            <v>Sep-16-2024</v>
          </cell>
        </row>
        <row r="3218">
          <cell r="A3218" t="str">
            <v>LKA</v>
          </cell>
          <cell r="B3218">
            <v>2019</v>
          </cell>
          <cell r="C3218" t="str">
            <v>pvgdp</v>
          </cell>
          <cell r="D3218">
            <v>13206275</v>
          </cell>
          <cell r="F3218" t="str">
            <v>Sep-16-2024</v>
          </cell>
        </row>
        <row r="3219">
          <cell r="A3219" t="str">
            <v>LKA</v>
          </cell>
          <cell r="B3219">
            <v>2019</v>
          </cell>
          <cell r="C3219" t="str">
            <v>pvgdp_agriculture</v>
          </cell>
          <cell r="D3219">
            <v>949581.8125</v>
          </cell>
          <cell r="F3219" t="str">
            <v>Sep-16-2024</v>
          </cell>
        </row>
        <row r="3220">
          <cell r="A3220" t="str">
            <v>LKA</v>
          </cell>
          <cell r="B3220">
            <v>2019</v>
          </cell>
          <cell r="C3220" t="str">
            <v>pvgdp_industry</v>
          </cell>
          <cell r="D3220">
            <v>3933728</v>
          </cell>
          <cell r="F3220" t="str">
            <v>Sep-16-2024</v>
          </cell>
        </row>
        <row r="3221">
          <cell r="A3221" t="str">
            <v>LKA</v>
          </cell>
          <cell r="B3221">
            <v>2019</v>
          </cell>
          <cell r="C3221" t="str">
            <v>pvgdp_services</v>
          </cell>
          <cell r="D3221">
            <v>7307034.5</v>
          </cell>
          <cell r="F3221" t="str">
            <v>Sep-16-2024</v>
          </cell>
        </row>
        <row r="3222">
          <cell r="A3222" t="str">
            <v>LKA</v>
          </cell>
          <cell r="B3222">
            <v>2019</v>
          </cell>
          <cell r="C3222" t="str">
            <v>pvgdppc</v>
          </cell>
          <cell r="D3222">
            <v>605709.09072140441</v>
          </cell>
          <cell r="F3222" t="str">
            <v>Sep-16-2024</v>
          </cell>
        </row>
        <row r="3223">
          <cell r="A3223" t="str">
            <v>LKA</v>
          </cell>
          <cell r="B3223">
            <v>2019</v>
          </cell>
          <cell r="C3223" t="str">
            <v>pvpop_total</v>
          </cell>
          <cell r="D3223">
            <v>21802999.496459961</v>
          </cell>
          <cell r="F3223" t="str">
            <v>Sep-16-2024</v>
          </cell>
        </row>
        <row r="3224">
          <cell r="A3224" t="str">
            <v>LKA</v>
          </cell>
          <cell r="B3224">
            <v>2019</v>
          </cell>
          <cell r="C3224" t="str">
            <v>pvpop_15up</v>
          </cell>
          <cell r="D3224">
            <v>16585828.616950465</v>
          </cell>
          <cell r="F3224" t="str">
            <v>Sep-16-2024</v>
          </cell>
        </row>
        <row r="3225">
          <cell r="A3225" t="str">
            <v>LKA</v>
          </cell>
          <cell r="B3225">
            <v>2019</v>
          </cell>
          <cell r="C3225" t="str">
            <v>pvprivpc</v>
          </cell>
          <cell r="D3225">
            <v>377217.34118901228</v>
          </cell>
          <cell r="F3225" t="str">
            <v>Sep-16-2024</v>
          </cell>
        </row>
        <row r="3226">
          <cell r="A3226" t="str">
            <v>LKA</v>
          </cell>
          <cell r="B3226">
            <v>2020</v>
          </cell>
          <cell r="C3226" t="str">
            <v>pvgdp</v>
          </cell>
          <cell r="D3226">
            <v>12595545</v>
          </cell>
          <cell r="F3226" t="str">
            <v>Sep-16-2024</v>
          </cell>
        </row>
        <row r="3227">
          <cell r="A3227" t="str">
            <v>LKA</v>
          </cell>
          <cell r="B3227">
            <v>2020</v>
          </cell>
          <cell r="C3227" t="str">
            <v>pvgdp_agriculture</v>
          </cell>
          <cell r="D3227">
            <v>941046.0625</v>
          </cell>
          <cell r="F3227" t="str">
            <v>Sep-16-2024</v>
          </cell>
        </row>
        <row r="3228">
          <cell r="A3228" t="str">
            <v>LKA</v>
          </cell>
          <cell r="B3228">
            <v>2020</v>
          </cell>
          <cell r="C3228" t="str">
            <v>pvgdp_industry</v>
          </cell>
          <cell r="D3228">
            <v>3724566</v>
          </cell>
          <cell r="F3228" t="str">
            <v>Sep-16-2024</v>
          </cell>
        </row>
        <row r="3229">
          <cell r="A3229" t="str">
            <v>LKA</v>
          </cell>
          <cell r="B3229">
            <v>2020</v>
          </cell>
          <cell r="C3229" t="str">
            <v>pvgdp_services</v>
          </cell>
          <cell r="D3229">
            <v>7166500.5</v>
          </cell>
          <cell r="F3229" t="str">
            <v>Sep-16-2024</v>
          </cell>
        </row>
        <row r="3230">
          <cell r="A3230" t="str">
            <v>LKA</v>
          </cell>
          <cell r="B3230">
            <v>2020</v>
          </cell>
          <cell r="C3230" t="str">
            <v>pvgdppc</v>
          </cell>
          <cell r="D3230">
            <v>574640.4781467662</v>
          </cell>
          <cell r="F3230" t="str">
            <v>Sep-16-2024</v>
          </cell>
        </row>
        <row r="3231">
          <cell r="A3231" t="str">
            <v>LKA</v>
          </cell>
          <cell r="B3231">
            <v>2020</v>
          </cell>
          <cell r="C3231" t="str">
            <v>pvpop_total</v>
          </cell>
          <cell r="D3231">
            <v>21919000.625610352</v>
          </cell>
          <cell r="F3231" t="str">
            <v>Sep-16-2024</v>
          </cell>
        </row>
        <row r="3232">
          <cell r="A3232" t="str">
            <v>LKA</v>
          </cell>
          <cell r="B3232">
            <v>2020</v>
          </cell>
          <cell r="C3232" t="str">
            <v>pvpop_15up</v>
          </cell>
          <cell r="D3232">
            <v>16748919.478046311</v>
          </cell>
          <cell r="F3232" t="str">
            <v>Sep-16-2024</v>
          </cell>
        </row>
        <row r="3233">
          <cell r="A3233" t="str">
            <v>LKA</v>
          </cell>
          <cell r="B3233">
            <v>2020</v>
          </cell>
          <cell r="C3233" t="str">
            <v>pvprivpc</v>
          </cell>
          <cell r="D3233">
            <v>353593.85824116162</v>
          </cell>
          <cell r="F3233" t="str">
            <v>Sep-16-2024</v>
          </cell>
        </row>
        <row r="3234">
          <cell r="A3234" t="str">
            <v>LKA</v>
          </cell>
          <cell r="B3234">
            <v>2021</v>
          </cell>
          <cell r="C3234" t="str">
            <v>pvgdp</v>
          </cell>
          <cell r="D3234">
            <v>13125510</v>
          </cell>
          <cell r="F3234" t="str">
            <v>Sep-16-2024</v>
          </cell>
        </row>
        <row r="3235">
          <cell r="A3235" t="str">
            <v>LKA</v>
          </cell>
          <cell r="B3235">
            <v>2021</v>
          </cell>
          <cell r="C3235" t="str">
            <v>pvgdp_agriculture</v>
          </cell>
          <cell r="D3235">
            <v>950548</v>
          </cell>
          <cell r="F3235" t="str">
            <v>Sep-16-2024</v>
          </cell>
        </row>
        <row r="3236">
          <cell r="A3236" t="str">
            <v>LKA</v>
          </cell>
          <cell r="B3236">
            <v>2021</v>
          </cell>
          <cell r="C3236" t="str">
            <v>pvgdp_industry</v>
          </cell>
          <cell r="D3236">
            <v>3937896</v>
          </cell>
          <cell r="F3236" t="str">
            <v>Sep-16-2024</v>
          </cell>
        </row>
        <row r="3237">
          <cell r="A3237" t="str">
            <v>LKA</v>
          </cell>
          <cell r="B3237">
            <v>2021</v>
          </cell>
          <cell r="C3237" t="str">
            <v>pvgdp_services</v>
          </cell>
          <cell r="D3237">
            <v>7410710.5</v>
          </cell>
          <cell r="F3237" t="str">
            <v>Sep-16-2024</v>
          </cell>
        </row>
        <row r="3238">
          <cell r="A3238" t="str">
            <v>LKA</v>
          </cell>
          <cell r="B3238">
            <v>2021</v>
          </cell>
          <cell r="C3238" t="str">
            <v>pvgdppc</v>
          </cell>
          <cell r="D3238">
            <v>592413.33808649611</v>
          </cell>
          <cell r="F3238" t="str">
            <v>Sep-16-2024</v>
          </cell>
        </row>
        <row r="3239">
          <cell r="A3239" t="str">
            <v>LKA</v>
          </cell>
          <cell r="B3239">
            <v>2021</v>
          </cell>
          <cell r="C3239" t="str">
            <v>pvpop_total</v>
          </cell>
          <cell r="D3239">
            <v>22156000.137329102</v>
          </cell>
          <cell r="F3239" t="str">
            <v>Sep-16-2024</v>
          </cell>
        </row>
        <row r="3240">
          <cell r="A3240" t="str">
            <v>LKA</v>
          </cell>
          <cell r="B3240">
            <v>2021</v>
          </cell>
          <cell r="C3240" t="str">
            <v>pvpop_15up</v>
          </cell>
          <cell r="D3240">
            <v>17012561.105448626</v>
          </cell>
          <cell r="F3240" t="str">
            <v>Sep-16-2024</v>
          </cell>
        </row>
        <row r="3241">
          <cell r="A3241" t="str">
            <v>LKA</v>
          </cell>
          <cell r="B3241">
            <v>2021</v>
          </cell>
          <cell r="C3241" t="str">
            <v>pvprivpc</v>
          </cell>
          <cell r="D3241">
            <v>359242.23463917617</v>
          </cell>
          <cell r="F3241" t="str">
            <v>Sep-16-2024</v>
          </cell>
        </row>
        <row r="3242">
          <cell r="A3242" t="str">
            <v>LKA</v>
          </cell>
          <cell r="B3242">
            <v>2022</v>
          </cell>
          <cell r="C3242" t="str">
            <v>pvgdp</v>
          </cell>
          <cell r="D3242">
            <v>12161202</v>
          </cell>
          <cell r="F3242" t="str">
            <v>Sep-16-2024</v>
          </cell>
        </row>
        <row r="3243">
          <cell r="A3243" t="str">
            <v>LKA</v>
          </cell>
          <cell r="B3243">
            <v>2022</v>
          </cell>
          <cell r="C3243" t="str">
            <v>pvgdp_agriculture</v>
          </cell>
          <cell r="D3243">
            <v>910844</v>
          </cell>
          <cell r="F3243" t="str">
            <v>Sep-16-2024</v>
          </cell>
        </row>
        <row r="3244">
          <cell r="A3244" t="str">
            <v>LKA</v>
          </cell>
          <cell r="B3244">
            <v>2022</v>
          </cell>
          <cell r="C3244" t="str">
            <v>pvgdp_industry</v>
          </cell>
          <cell r="D3244">
            <v>3308578</v>
          </cell>
          <cell r="F3244" t="str">
            <v>Sep-16-2024</v>
          </cell>
        </row>
        <row r="3245">
          <cell r="A3245" t="str">
            <v>LKA</v>
          </cell>
          <cell r="B3245">
            <v>2022</v>
          </cell>
          <cell r="C3245" t="str">
            <v>pvgdp_services</v>
          </cell>
          <cell r="D3245">
            <v>7218203.5</v>
          </cell>
          <cell r="F3245" t="str">
            <v>Sep-16-2024</v>
          </cell>
        </row>
        <row r="3246">
          <cell r="A3246" t="str">
            <v>LKA</v>
          </cell>
          <cell r="B3246">
            <v>2022</v>
          </cell>
          <cell r="C3246" t="str">
            <v>pvgdppc</v>
          </cell>
          <cell r="D3246">
            <v>548271.13898630626</v>
          </cell>
          <cell r="F3246" t="str">
            <v>Sep-16-2024</v>
          </cell>
        </row>
        <row r="3247">
          <cell r="A3247" t="str">
            <v>LKA</v>
          </cell>
          <cell r="B3247">
            <v>2022</v>
          </cell>
          <cell r="C3247" t="str">
            <v>pvpop_total</v>
          </cell>
          <cell r="D3247">
            <v>22180999.755859375</v>
          </cell>
          <cell r="F3247" t="str">
            <v>Sep-16-2024</v>
          </cell>
        </row>
        <row r="3248">
          <cell r="A3248" t="str">
            <v>LKA</v>
          </cell>
          <cell r="B3248">
            <v>2022</v>
          </cell>
          <cell r="C3248" t="str">
            <v>pvpop_15up</v>
          </cell>
          <cell r="D3248">
            <v>17119780.811566927</v>
          </cell>
          <cell r="F3248" t="str">
            <v>Sep-16-2024</v>
          </cell>
        </row>
        <row r="3249">
          <cell r="A3249" t="str">
            <v>LKA</v>
          </cell>
          <cell r="B3249">
            <v>2022</v>
          </cell>
          <cell r="C3249" t="str">
            <v>pvprivpc</v>
          </cell>
          <cell r="D3249">
            <v>357184.98206588364</v>
          </cell>
          <cell r="F3249" t="str">
            <v>Sep-16-2024</v>
          </cell>
        </row>
        <row r="3250">
          <cell r="A3250" t="str">
            <v>LKA</v>
          </cell>
          <cell r="B3250">
            <v>2023</v>
          </cell>
          <cell r="C3250" t="str">
            <v>pvgdp</v>
          </cell>
          <cell r="D3250">
            <v>11881731</v>
          </cell>
          <cell r="F3250" t="str">
            <v>Sep-16-2024</v>
          </cell>
        </row>
        <row r="3251">
          <cell r="A3251" t="str">
            <v>LKA</v>
          </cell>
          <cell r="B3251">
            <v>2023</v>
          </cell>
          <cell r="C3251" t="str">
            <v>pvgdp_agriculture</v>
          </cell>
          <cell r="D3251">
            <v>934246</v>
          </cell>
          <cell r="F3251" t="str">
            <v>Sep-16-2024</v>
          </cell>
        </row>
        <row r="3252">
          <cell r="A3252" t="str">
            <v>LKA</v>
          </cell>
          <cell r="B3252">
            <v>2023</v>
          </cell>
          <cell r="C3252" t="str">
            <v>pvgdp_industry</v>
          </cell>
          <cell r="D3252">
            <v>3003094</v>
          </cell>
          <cell r="F3252" t="str">
            <v>Sep-16-2024</v>
          </cell>
        </row>
        <row r="3253">
          <cell r="A3253" t="str">
            <v>LKA</v>
          </cell>
          <cell r="B3253">
            <v>2023</v>
          </cell>
          <cell r="C3253" t="str">
            <v>pvgdp_services</v>
          </cell>
          <cell r="D3253">
            <v>7200437.5</v>
          </cell>
          <cell r="F3253" t="str">
            <v>Sep-16-2024</v>
          </cell>
        </row>
        <row r="3254">
          <cell r="A3254" t="str">
            <v>LKA</v>
          </cell>
          <cell r="B3254">
            <v>2023</v>
          </cell>
          <cell r="C3254" t="str">
            <v>pvgdppc</v>
          </cell>
          <cell r="D3254">
            <v>534219.16213201976</v>
          </cell>
          <cell r="F3254" t="str">
            <v>Sep-16-2024</v>
          </cell>
        </row>
        <row r="3255">
          <cell r="A3255" t="str">
            <v>LKA</v>
          </cell>
          <cell r="B3255">
            <v>2023</v>
          </cell>
          <cell r="C3255" t="str">
            <v>pvpop_total</v>
          </cell>
          <cell r="D3255">
            <v>22241304.397583008</v>
          </cell>
          <cell r="F3255" t="str">
            <v>Sep-16-2024</v>
          </cell>
        </row>
        <row r="3256">
          <cell r="A3256" t="str">
            <v>LKA</v>
          </cell>
          <cell r="B3256">
            <v>2023</v>
          </cell>
          <cell r="C3256" t="str">
            <v>pvpop_15up</v>
          </cell>
          <cell r="D3256">
            <v>17256009.424893182</v>
          </cell>
          <cell r="F3256" t="str">
            <v>Sep-16-2024</v>
          </cell>
        </row>
        <row r="3257">
          <cell r="A3257" t="str">
            <v>LKA</v>
          </cell>
          <cell r="B3257">
            <v>2023</v>
          </cell>
          <cell r="C3257" t="str">
            <v>pvprivpc</v>
          </cell>
          <cell r="D3257">
            <v>350479.98357718205</v>
          </cell>
          <cell r="F3257" t="str">
            <v>Sep-16-2024</v>
          </cell>
        </row>
        <row r="3258">
          <cell r="A3258" t="str">
            <v>LKA</v>
          </cell>
          <cell r="B3258">
            <v>2024</v>
          </cell>
          <cell r="C3258" t="str">
            <v>pvgdp</v>
          </cell>
          <cell r="D3258">
            <v>12315112</v>
          </cell>
          <cell r="F3258" t="str">
            <v>Sep-16-2024</v>
          </cell>
        </row>
        <row r="3259">
          <cell r="A3259" t="str">
            <v>LKA</v>
          </cell>
          <cell r="B3259">
            <v>2024</v>
          </cell>
          <cell r="C3259" t="str">
            <v>pvgdp_agriculture</v>
          </cell>
          <cell r="D3259">
            <v>948259.6875</v>
          </cell>
          <cell r="F3259" t="str">
            <v>Sep-16-2024</v>
          </cell>
        </row>
        <row r="3260">
          <cell r="A3260" t="str">
            <v>LKA</v>
          </cell>
          <cell r="B3260">
            <v>2024</v>
          </cell>
          <cell r="C3260" t="str">
            <v>pvgdp_industry</v>
          </cell>
          <cell r="D3260">
            <v>3159255</v>
          </cell>
          <cell r="F3260" t="str">
            <v>Sep-16-2024</v>
          </cell>
        </row>
        <row r="3261">
          <cell r="A3261" t="str">
            <v>LKA</v>
          </cell>
          <cell r="B3261">
            <v>2024</v>
          </cell>
          <cell r="C3261" t="str">
            <v>pvgdp_services</v>
          </cell>
          <cell r="D3261">
            <v>7442176</v>
          </cell>
          <cell r="F3261" t="str">
            <v>Sep-16-2024</v>
          </cell>
        </row>
        <row r="3262">
          <cell r="A3262" t="str">
            <v>LKA</v>
          </cell>
          <cell r="B3262">
            <v>2024</v>
          </cell>
          <cell r="C3262" t="str">
            <v>pvgdppc</v>
          </cell>
          <cell r="D3262">
            <v>552338.32404803101</v>
          </cell>
          <cell r="F3262" t="str">
            <v>Sep-16-2024</v>
          </cell>
        </row>
        <row r="3263">
          <cell r="A3263" t="str">
            <v>LKA</v>
          </cell>
          <cell r="B3263">
            <v>2024</v>
          </cell>
          <cell r="C3263" t="str">
            <v>pvpop_total</v>
          </cell>
          <cell r="D3263">
            <v>22296319.961547852</v>
          </cell>
          <cell r="F3263" t="str">
            <v>Sep-16-2024</v>
          </cell>
        </row>
        <row r="3264">
          <cell r="A3264" t="str">
            <v>LKA</v>
          </cell>
          <cell r="B3264">
            <v>2024</v>
          </cell>
          <cell r="C3264" t="str">
            <v>pvpop_15up</v>
          </cell>
          <cell r="D3264">
            <v>17384461.45004591</v>
          </cell>
          <cell r="F3264" t="str">
            <v>Sep-16-2024</v>
          </cell>
        </row>
        <row r="3265">
          <cell r="A3265" t="str">
            <v>LKA</v>
          </cell>
          <cell r="B3265">
            <v>2024</v>
          </cell>
          <cell r="C3265" t="str">
            <v>pvprivpc</v>
          </cell>
          <cell r="D3265">
            <v>357306.69965892175</v>
          </cell>
          <cell r="F3265" t="str">
            <v>Sep-16-2024</v>
          </cell>
        </row>
        <row r="3266">
          <cell r="A3266" t="str">
            <v>LKA</v>
          </cell>
          <cell r="B3266">
            <v>2025</v>
          </cell>
          <cell r="C3266" t="str">
            <v>pvgdp</v>
          </cell>
          <cell r="D3266">
            <v>12667031</v>
          </cell>
          <cell r="F3266" t="str">
            <v>Sep-16-2024</v>
          </cell>
        </row>
        <row r="3267">
          <cell r="A3267" t="str">
            <v>LKA</v>
          </cell>
          <cell r="B3267">
            <v>2025</v>
          </cell>
          <cell r="C3267" t="str">
            <v>pvgdp_agriculture</v>
          </cell>
          <cell r="D3267">
            <v>962483.5625</v>
          </cell>
          <cell r="F3267" t="str">
            <v>Sep-16-2024</v>
          </cell>
        </row>
        <row r="3268">
          <cell r="A3268" t="str">
            <v>LKA</v>
          </cell>
          <cell r="B3268">
            <v>2025</v>
          </cell>
          <cell r="C3268" t="str">
            <v>pvgdp_industry</v>
          </cell>
          <cell r="D3268">
            <v>3291943.5</v>
          </cell>
          <cell r="F3268" t="str">
            <v>Sep-16-2024</v>
          </cell>
        </row>
        <row r="3269">
          <cell r="A3269" t="str">
            <v>LKA</v>
          </cell>
          <cell r="B3269">
            <v>2025</v>
          </cell>
          <cell r="C3269" t="str">
            <v>pvgdp_services</v>
          </cell>
          <cell r="D3269">
            <v>7624111</v>
          </cell>
          <cell r="F3269" t="str">
            <v>Sep-16-2024</v>
          </cell>
        </row>
        <row r="3270">
          <cell r="A3270" t="str">
            <v>LKA</v>
          </cell>
          <cell r="B3270">
            <v>2025</v>
          </cell>
          <cell r="C3270" t="str">
            <v>pvgdppc</v>
          </cell>
          <cell r="D3270">
            <v>566832.84702379932</v>
          </cell>
          <cell r="F3270" t="str">
            <v>Sep-16-2024</v>
          </cell>
        </row>
        <row r="3271">
          <cell r="A3271" t="str">
            <v>LKA</v>
          </cell>
          <cell r="B3271">
            <v>2025</v>
          </cell>
          <cell r="C3271" t="str">
            <v>pvpop_total</v>
          </cell>
          <cell r="D3271">
            <v>22347030.639648438</v>
          </cell>
          <cell r="F3271" t="str">
            <v>Sep-16-2024</v>
          </cell>
        </row>
        <row r="3272">
          <cell r="A3272" t="str">
            <v>LKA</v>
          </cell>
          <cell r="B3272">
            <v>2025</v>
          </cell>
          <cell r="C3272" t="str">
            <v>pvpop_15up</v>
          </cell>
          <cell r="D3272">
            <v>17502406.603320532</v>
          </cell>
          <cell r="F3272" t="str">
            <v>Sep-16-2024</v>
          </cell>
        </row>
        <row r="3273">
          <cell r="A3273" t="str">
            <v>LKA</v>
          </cell>
          <cell r="B3273">
            <v>2025</v>
          </cell>
          <cell r="C3273" t="str">
            <v>pvprivpc</v>
          </cell>
          <cell r="D3273">
            <v>365764.79138566164</v>
          </cell>
          <cell r="F3273" t="str">
            <v>Sep-16-2024</v>
          </cell>
        </row>
        <row r="3274">
          <cell r="A3274" t="str">
            <v>LKA</v>
          </cell>
          <cell r="B3274">
            <v>2026</v>
          </cell>
          <cell r="C3274" t="str">
            <v>pvgdp</v>
          </cell>
          <cell r="D3274">
            <v>13044833</v>
          </cell>
          <cell r="F3274" t="str">
            <v>Sep-16-2024</v>
          </cell>
        </row>
        <row r="3275">
          <cell r="A3275" t="str">
            <v>LKA</v>
          </cell>
          <cell r="B3275">
            <v>2026</v>
          </cell>
          <cell r="C3275" t="str">
            <v>pvgdp_agriculture</v>
          </cell>
          <cell r="D3275">
            <v>976920.8125</v>
          </cell>
          <cell r="F3275" t="str">
            <v>Sep-16-2024</v>
          </cell>
        </row>
        <row r="3276">
          <cell r="A3276" t="str">
            <v>LKA</v>
          </cell>
          <cell r="B3276">
            <v>2026</v>
          </cell>
          <cell r="C3276" t="str">
            <v>pvgdp_industry</v>
          </cell>
          <cell r="D3276">
            <v>3407161.5</v>
          </cell>
          <cell r="F3276" t="str">
            <v>Sep-16-2024</v>
          </cell>
        </row>
        <row r="3277">
          <cell r="A3277" t="str">
            <v>LKA</v>
          </cell>
          <cell r="B3277">
            <v>2026</v>
          </cell>
          <cell r="C3277" t="str">
            <v>pvgdp_services</v>
          </cell>
          <cell r="D3277">
            <v>7847963.5</v>
          </cell>
          <cell r="F3277" t="str">
            <v>Sep-16-2024</v>
          </cell>
        </row>
        <row r="3278">
          <cell r="A3278" t="str">
            <v>LKA</v>
          </cell>
          <cell r="B3278">
            <v>2026</v>
          </cell>
          <cell r="C3278" t="str">
            <v>pvgdppc</v>
          </cell>
          <cell r="D3278">
            <v>582575.2553394112</v>
          </cell>
          <cell r="F3278" t="str">
            <v>Sep-16-2024</v>
          </cell>
        </row>
        <row r="3279">
          <cell r="A3279" t="str">
            <v>LKA</v>
          </cell>
          <cell r="B3279">
            <v>2026</v>
          </cell>
          <cell r="C3279" t="str">
            <v>pvpop_total</v>
          </cell>
          <cell r="D3279">
            <v>22391670.227050781</v>
          </cell>
          <cell r="F3279" t="str">
            <v>Sep-16-2024</v>
          </cell>
        </row>
        <row r="3280">
          <cell r="A3280" t="str">
            <v>LKA</v>
          </cell>
          <cell r="B3280">
            <v>2026</v>
          </cell>
          <cell r="C3280" t="str">
            <v>pvpop_15up</v>
          </cell>
          <cell r="D3280">
            <v>17612068.655433945</v>
          </cell>
          <cell r="F3280" t="str">
            <v>Sep-16-2024</v>
          </cell>
        </row>
        <row r="3281">
          <cell r="A3281" t="str">
            <v>LKA</v>
          </cell>
          <cell r="B3281">
            <v>2026</v>
          </cell>
          <cell r="C3281" t="str">
            <v>pvprivpc</v>
          </cell>
          <cell r="D3281">
            <v>376497.72949118563</v>
          </cell>
          <cell r="F3281" t="str">
            <v>Sep-16-2024</v>
          </cell>
        </row>
        <row r="3282">
          <cell r="A3282" t="str">
            <v>MDV</v>
          </cell>
          <cell r="B3282">
            <v>2007</v>
          </cell>
          <cell r="C3282" t="str">
            <v>pvgdp</v>
          </cell>
          <cell r="D3282">
            <v>46471.30859375</v>
          </cell>
          <cell r="F3282" t="str">
            <v>Sep-16-2024</v>
          </cell>
        </row>
        <row r="3283">
          <cell r="A3283" t="str">
            <v>MDV</v>
          </cell>
          <cell r="B3283">
            <v>2007</v>
          </cell>
          <cell r="C3283" t="str">
            <v>pvgdp_agriculture</v>
          </cell>
          <cell r="D3283">
            <v>3993.62255859375</v>
          </cell>
          <cell r="F3283" t="str">
            <v>Sep-16-2024</v>
          </cell>
        </row>
        <row r="3284">
          <cell r="A3284" t="str">
            <v>MDV</v>
          </cell>
          <cell r="B3284">
            <v>2007</v>
          </cell>
          <cell r="C3284" t="str">
            <v>pvgdp_industry</v>
          </cell>
          <cell r="D3284">
            <v>5148.240234375</v>
          </cell>
          <cell r="F3284" t="str">
            <v>Sep-16-2024</v>
          </cell>
        </row>
        <row r="3285">
          <cell r="A3285" t="str">
            <v>MDV</v>
          </cell>
          <cell r="B3285">
            <v>2007</v>
          </cell>
          <cell r="C3285" t="str">
            <v>pvgdp_services</v>
          </cell>
          <cell r="D3285">
            <v>31341.70703125</v>
          </cell>
          <cell r="F3285" t="str">
            <v>Sep-16-2024</v>
          </cell>
        </row>
        <row r="3286">
          <cell r="A3286" t="str">
            <v>MDV</v>
          </cell>
          <cell r="B3286">
            <v>2007</v>
          </cell>
          <cell r="C3286" t="str">
            <v>pvgdppc</v>
          </cell>
          <cell r="D3286">
            <v>142933.2310999542</v>
          </cell>
          <cell r="F3286" t="str">
            <v>Sep-16-2024</v>
          </cell>
        </row>
        <row r="3287">
          <cell r="A3287" t="str">
            <v>MDV</v>
          </cell>
          <cell r="B3287">
            <v>2007</v>
          </cell>
          <cell r="C3287" t="str">
            <v>pvpop_total</v>
          </cell>
          <cell r="D3287">
            <v>325125.99229812622</v>
          </cell>
          <cell r="F3287" t="str">
            <v>Sep-16-2024</v>
          </cell>
        </row>
        <row r="3288">
          <cell r="A3288" t="str">
            <v>MDV</v>
          </cell>
          <cell r="B3288">
            <v>2007</v>
          </cell>
          <cell r="C3288" t="str">
            <v>pvpop_15up</v>
          </cell>
          <cell r="D3288">
            <v>229357.99456676372</v>
          </cell>
          <cell r="F3288" t="str">
            <v>Sep-16-2024</v>
          </cell>
        </row>
        <row r="3289">
          <cell r="A3289" t="str">
            <v>MDV</v>
          </cell>
          <cell r="B3289">
            <v>2007</v>
          </cell>
          <cell r="C3289" t="str">
            <v>pvprivpc</v>
          </cell>
          <cell r="D3289">
            <v>48332.60611482666</v>
          </cell>
          <cell r="F3289" t="str">
            <v>Sep-16-2024</v>
          </cell>
        </row>
        <row r="3290">
          <cell r="A3290" t="str">
            <v>MDV</v>
          </cell>
          <cell r="B3290">
            <v>2008</v>
          </cell>
          <cell r="C3290" t="str">
            <v>pvgdp</v>
          </cell>
          <cell r="D3290">
            <v>50644.34765625</v>
          </cell>
          <cell r="F3290" t="str">
            <v>Sep-16-2024</v>
          </cell>
        </row>
        <row r="3291">
          <cell r="A3291" t="str">
            <v>MDV</v>
          </cell>
          <cell r="B3291">
            <v>2008</v>
          </cell>
          <cell r="C3291" t="str">
            <v>pvgdp_agriculture</v>
          </cell>
          <cell r="D3291">
            <v>3756.720947265625</v>
          </cell>
          <cell r="F3291" t="str">
            <v>Sep-16-2024</v>
          </cell>
        </row>
        <row r="3292">
          <cell r="A3292" t="str">
            <v>MDV</v>
          </cell>
          <cell r="B3292">
            <v>2008</v>
          </cell>
          <cell r="C3292" t="str">
            <v>pvgdp_industry</v>
          </cell>
          <cell r="D3292">
            <v>5659.642578125</v>
          </cell>
          <cell r="F3292" t="str">
            <v>Sep-16-2024</v>
          </cell>
        </row>
        <row r="3293">
          <cell r="A3293" t="str">
            <v>MDV</v>
          </cell>
          <cell r="B3293">
            <v>2008</v>
          </cell>
          <cell r="C3293" t="str">
            <v>pvgdp_services</v>
          </cell>
          <cell r="D3293">
            <v>34624.33203125</v>
          </cell>
          <cell r="F3293" t="str">
            <v>Sep-16-2024</v>
          </cell>
        </row>
        <row r="3294">
          <cell r="A3294" t="str">
            <v>MDV</v>
          </cell>
          <cell r="B3294">
            <v>2008</v>
          </cell>
          <cell r="C3294" t="str">
            <v>pvgdppc</v>
          </cell>
          <cell r="D3294">
            <v>150332.15205701246</v>
          </cell>
          <cell r="F3294" t="str">
            <v>Sep-16-2024</v>
          </cell>
        </row>
        <row r="3295">
          <cell r="A3295" t="str">
            <v>MDV</v>
          </cell>
          <cell r="B3295">
            <v>2008</v>
          </cell>
          <cell r="C3295" t="str">
            <v>pvpop_total</v>
          </cell>
          <cell r="D3295">
            <v>336883.00848007202</v>
          </cell>
          <cell r="F3295" t="str">
            <v>Sep-16-2024</v>
          </cell>
        </row>
        <row r="3296">
          <cell r="A3296" t="str">
            <v>MDV</v>
          </cell>
          <cell r="B3296">
            <v>2008</v>
          </cell>
          <cell r="C3296" t="str">
            <v>pvpop_15up</v>
          </cell>
          <cell r="D3296">
            <v>242670.00610852751</v>
          </cell>
          <cell r="F3296" t="str">
            <v>Sep-16-2024</v>
          </cell>
        </row>
        <row r="3297">
          <cell r="A3297" t="str">
            <v>MDV</v>
          </cell>
          <cell r="B3297">
            <v>2008</v>
          </cell>
          <cell r="C3297" t="str">
            <v>pvprivpc</v>
          </cell>
          <cell r="D3297">
            <v>51070.330439410478</v>
          </cell>
          <cell r="F3297" t="str">
            <v>Sep-16-2024</v>
          </cell>
        </row>
        <row r="3298">
          <cell r="A3298" t="str">
            <v>MDV</v>
          </cell>
          <cell r="B3298">
            <v>2009</v>
          </cell>
          <cell r="C3298" t="str">
            <v>pvgdp</v>
          </cell>
          <cell r="D3298">
            <v>46512.90234375</v>
          </cell>
          <cell r="F3298" t="str">
            <v>Sep-16-2024</v>
          </cell>
        </row>
        <row r="3299">
          <cell r="A3299" t="str">
            <v>MDV</v>
          </cell>
          <cell r="B3299">
            <v>2009</v>
          </cell>
          <cell r="C3299" t="str">
            <v>pvgdp_agriculture</v>
          </cell>
          <cell r="D3299">
            <v>3668.72705078125</v>
          </cell>
          <cell r="F3299" t="str">
            <v>Sep-16-2024</v>
          </cell>
        </row>
        <row r="3300">
          <cell r="A3300" t="str">
            <v>MDV</v>
          </cell>
          <cell r="B3300">
            <v>2009</v>
          </cell>
          <cell r="C3300" t="str">
            <v>pvgdp_industry</v>
          </cell>
          <cell r="D3300">
            <v>4146.92919921875</v>
          </cell>
          <cell r="F3300" t="str">
            <v>Sep-16-2024</v>
          </cell>
        </row>
        <row r="3301">
          <cell r="A3301" t="str">
            <v>MDV</v>
          </cell>
          <cell r="B3301">
            <v>2009</v>
          </cell>
          <cell r="C3301" t="str">
            <v>pvgdp_services</v>
          </cell>
          <cell r="D3301">
            <v>33280.984375</v>
          </cell>
          <cell r="F3301" t="str">
            <v>Sep-16-2024</v>
          </cell>
        </row>
        <row r="3302">
          <cell r="A3302" t="str">
            <v>MDV</v>
          </cell>
          <cell r="B3302">
            <v>2009</v>
          </cell>
          <cell r="C3302" t="str">
            <v>pvgdppc</v>
          </cell>
          <cell r="D3302">
            <v>133260.66710303799</v>
          </cell>
          <cell r="F3302" t="str">
            <v>Sep-16-2024</v>
          </cell>
        </row>
        <row r="3303">
          <cell r="A3303" t="str">
            <v>MDV</v>
          </cell>
          <cell r="B3303">
            <v>2009</v>
          </cell>
          <cell r="C3303" t="str">
            <v>pvpop_total</v>
          </cell>
          <cell r="D3303">
            <v>349036.99159622192</v>
          </cell>
          <cell r="F3303" t="str">
            <v>Sep-16-2024</v>
          </cell>
        </row>
        <row r="3304">
          <cell r="A3304" t="str">
            <v>MDV</v>
          </cell>
          <cell r="B3304">
            <v>2009</v>
          </cell>
          <cell r="C3304" t="str">
            <v>pvpop_15up</v>
          </cell>
          <cell r="D3304">
            <v>255830.99384034658</v>
          </cell>
          <cell r="F3304" t="str">
            <v>Sep-16-2024</v>
          </cell>
        </row>
        <row r="3305">
          <cell r="A3305" t="str">
            <v>MDV</v>
          </cell>
          <cell r="B3305">
            <v>2009</v>
          </cell>
          <cell r="C3305" t="str">
            <v>pvprivpc</v>
          </cell>
          <cell r="D3305">
            <v>45728.752973128328</v>
          </cell>
          <cell r="F3305" t="str">
            <v>Sep-16-2024</v>
          </cell>
        </row>
        <row r="3306">
          <cell r="A3306" t="str">
            <v>MDV</v>
          </cell>
          <cell r="B3306">
            <v>2010</v>
          </cell>
          <cell r="C3306" t="str">
            <v>pvgdp</v>
          </cell>
          <cell r="D3306">
            <v>49692.27734375</v>
          </cell>
          <cell r="F3306" t="str">
            <v>Sep-16-2024</v>
          </cell>
        </row>
        <row r="3307">
          <cell r="A3307" t="str">
            <v>MDV</v>
          </cell>
          <cell r="B3307">
            <v>2010</v>
          </cell>
          <cell r="C3307" t="str">
            <v>pvgdp_agriculture</v>
          </cell>
          <cell r="D3307">
            <v>3526.901611328125</v>
          </cell>
          <cell r="F3307" t="str">
            <v>Sep-16-2024</v>
          </cell>
        </row>
        <row r="3308">
          <cell r="A3308" t="str">
            <v>MDV</v>
          </cell>
          <cell r="B3308">
            <v>2010</v>
          </cell>
          <cell r="C3308" t="str">
            <v>pvgdp_industry</v>
          </cell>
          <cell r="D3308">
            <v>4448.474609375</v>
          </cell>
          <cell r="F3308" t="str">
            <v>Sep-16-2024</v>
          </cell>
        </row>
        <row r="3309">
          <cell r="A3309" t="str">
            <v>MDV</v>
          </cell>
          <cell r="B3309">
            <v>2010</v>
          </cell>
          <cell r="C3309" t="str">
            <v>pvgdp_services</v>
          </cell>
          <cell r="D3309">
            <v>35464.44921875</v>
          </cell>
          <cell r="F3309" t="str">
            <v>Sep-16-2024</v>
          </cell>
        </row>
        <row r="3310">
          <cell r="A3310" t="str">
            <v>MDV</v>
          </cell>
          <cell r="B3310">
            <v>2010</v>
          </cell>
          <cell r="C3310" t="str">
            <v>pvgdppc</v>
          </cell>
          <cell r="D3310">
            <v>137432.83225177054</v>
          </cell>
          <cell r="F3310" t="str">
            <v>Sep-16-2024</v>
          </cell>
        </row>
        <row r="3311">
          <cell r="A3311" t="str">
            <v>MDV</v>
          </cell>
          <cell r="B3311">
            <v>2010</v>
          </cell>
          <cell r="C3311" t="str">
            <v>pvpop_total</v>
          </cell>
          <cell r="D3311">
            <v>361575.00743865967</v>
          </cell>
          <cell r="F3311" t="str">
            <v>Sep-16-2024</v>
          </cell>
        </row>
        <row r="3312">
          <cell r="A3312" t="str">
            <v>MDV</v>
          </cell>
          <cell r="B3312">
            <v>2010</v>
          </cell>
          <cell r="C3312" t="str">
            <v>pvpop_15up</v>
          </cell>
          <cell r="D3312">
            <v>268731.00552858593</v>
          </cell>
          <cell r="F3312" t="str">
            <v>Sep-16-2024</v>
          </cell>
        </row>
        <row r="3313">
          <cell r="A3313" t="str">
            <v>MDV</v>
          </cell>
          <cell r="B3313">
            <v>2010</v>
          </cell>
          <cell r="C3313" t="str">
            <v>pvprivpc</v>
          </cell>
          <cell r="D3313">
            <v>47350.101442380444</v>
          </cell>
          <cell r="F3313" t="str">
            <v>Sep-16-2024</v>
          </cell>
        </row>
        <row r="3314">
          <cell r="A3314" t="str">
            <v>MDV</v>
          </cell>
          <cell r="B3314">
            <v>2011</v>
          </cell>
          <cell r="C3314" t="str">
            <v>pvgdp</v>
          </cell>
          <cell r="D3314">
            <v>53952.24609375</v>
          </cell>
          <cell r="F3314" t="str">
            <v>Sep-16-2024</v>
          </cell>
        </row>
        <row r="3315">
          <cell r="A3315" t="str">
            <v>MDV</v>
          </cell>
          <cell r="B3315">
            <v>2011</v>
          </cell>
          <cell r="C3315" t="str">
            <v>pvgdp_agriculture</v>
          </cell>
          <cell r="D3315">
            <v>3525.158447265625</v>
          </cell>
          <cell r="F3315" t="str">
            <v>Sep-16-2024</v>
          </cell>
        </row>
        <row r="3316">
          <cell r="A3316" t="str">
            <v>MDV</v>
          </cell>
          <cell r="B3316">
            <v>2011</v>
          </cell>
          <cell r="C3316" t="str">
            <v>pvgdp_industry</v>
          </cell>
          <cell r="D3316">
            <v>5157.45751953125</v>
          </cell>
          <cell r="F3316" t="str">
            <v>Sep-16-2024</v>
          </cell>
        </row>
        <row r="3317">
          <cell r="A3317" t="str">
            <v>MDV</v>
          </cell>
          <cell r="B3317">
            <v>2011</v>
          </cell>
          <cell r="C3317" t="str">
            <v>pvgdp_services</v>
          </cell>
          <cell r="D3317">
            <v>37691.125</v>
          </cell>
          <cell r="F3317" t="str">
            <v>Sep-16-2024</v>
          </cell>
        </row>
        <row r="3318">
          <cell r="A3318" t="str">
            <v>MDV</v>
          </cell>
          <cell r="B3318">
            <v>2011</v>
          </cell>
          <cell r="C3318" t="str">
            <v>pvgdppc</v>
          </cell>
          <cell r="D3318">
            <v>144087.82187883882</v>
          </cell>
          <cell r="F3318" t="str">
            <v>Sep-16-2024</v>
          </cell>
        </row>
        <row r="3319">
          <cell r="A3319" t="str">
            <v>MDV</v>
          </cell>
          <cell r="B3319">
            <v>2011</v>
          </cell>
          <cell r="C3319" t="str">
            <v>pvpop_total</v>
          </cell>
          <cell r="D3319">
            <v>374440.01436233521</v>
          </cell>
          <cell r="F3319" t="str">
            <v>Sep-16-2024</v>
          </cell>
        </row>
        <row r="3320">
          <cell r="A3320" t="str">
            <v>MDV</v>
          </cell>
          <cell r="B3320">
            <v>2011</v>
          </cell>
          <cell r="C3320" t="str">
            <v>pvpop_15up</v>
          </cell>
          <cell r="D3320">
            <v>281310.01079016272</v>
          </cell>
          <cell r="F3320" t="str">
            <v>Sep-16-2024</v>
          </cell>
        </row>
        <row r="3321">
          <cell r="A3321" t="str">
            <v>MDV</v>
          </cell>
          <cell r="B3321">
            <v>2011</v>
          </cell>
          <cell r="C3321" t="str">
            <v>pvprivpc</v>
          </cell>
          <cell r="D3321">
            <v>49640.231678106917</v>
          </cell>
          <cell r="F3321" t="str">
            <v>Sep-16-2024</v>
          </cell>
        </row>
        <row r="3322">
          <cell r="A3322" t="str">
            <v>MDV</v>
          </cell>
          <cell r="B3322">
            <v>2012</v>
          </cell>
          <cell r="C3322" t="str">
            <v>pvgdp</v>
          </cell>
          <cell r="D3322">
            <v>55227.54296875</v>
          </cell>
          <cell r="F3322" t="str">
            <v>Sep-16-2024</v>
          </cell>
        </row>
        <row r="3323">
          <cell r="A3323" t="str">
            <v>MDV</v>
          </cell>
          <cell r="B3323">
            <v>2012</v>
          </cell>
          <cell r="C3323" t="str">
            <v>pvgdp_agriculture</v>
          </cell>
          <cell r="D3323">
            <v>3518.7158203125</v>
          </cell>
          <cell r="F3323" t="str">
            <v>Sep-16-2024</v>
          </cell>
        </row>
        <row r="3324">
          <cell r="A3324" t="str">
            <v>MDV</v>
          </cell>
          <cell r="B3324">
            <v>2012</v>
          </cell>
          <cell r="C3324" t="str">
            <v>pvgdp_industry</v>
          </cell>
          <cell r="D3324">
            <v>5327.1357421875</v>
          </cell>
          <cell r="F3324" t="str">
            <v>Sep-16-2024</v>
          </cell>
        </row>
        <row r="3325">
          <cell r="A3325" t="str">
            <v>MDV</v>
          </cell>
          <cell r="B3325">
            <v>2012</v>
          </cell>
          <cell r="C3325" t="str">
            <v>pvgdp_services</v>
          </cell>
          <cell r="D3325">
            <v>38636.7578125</v>
          </cell>
          <cell r="F3325" t="str">
            <v>Sep-16-2024</v>
          </cell>
        </row>
        <row r="3326">
          <cell r="A3326" t="str">
            <v>MDV</v>
          </cell>
          <cell r="B3326">
            <v>2012</v>
          </cell>
          <cell r="C3326" t="str">
            <v>pvgdppc</v>
          </cell>
          <cell r="D3326">
            <v>142508.34900690583</v>
          </cell>
          <cell r="F3326" t="str">
            <v>Sep-16-2024</v>
          </cell>
        </row>
        <row r="3327">
          <cell r="A3327" t="str">
            <v>MDV</v>
          </cell>
          <cell r="B3327">
            <v>2012</v>
          </cell>
          <cell r="C3327" t="str">
            <v>pvpop_total</v>
          </cell>
          <cell r="D3327">
            <v>387538.99931907654</v>
          </cell>
          <cell r="F3327" t="str">
            <v>Sep-16-2024</v>
          </cell>
        </row>
        <row r="3328">
          <cell r="A3328" t="str">
            <v>MDV</v>
          </cell>
          <cell r="B3328">
            <v>2012</v>
          </cell>
          <cell r="C3328" t="str">
            <v>pvpop_15up</v>
          </cell>
          <cell r="D3328">
            <v>293489.99948432489</v>
          </cell>
          <cell r="F3328" t="str">
            <v>Sep-16-2024</v>
          </cell>
        </row>
        <row r="3329">
          <cell r="A3329" t="str">
            <v>MDV</v>
          </cell>
          <cell r="B3329">
            <v>2012</v>
          </cell>
          <cell r="C3329" t="str">
            <v>pvprivpc</v>
          </cell>
          <cell r="D3329">
            <v>49169.769128993081</v>
          </cell>
          <cell r="F3329" t="str">
            <v>Sep-16-2024</v>
          </cell>
        </row>
        <row r="3330">
          <cell r="A3330" t="str">
            <v>MDV</v>
          </cell>
          <cell r="B3330">
            <v>2013</v>
          </cell>
          <cell r="C3330" t="str">
            <v>pvgdp</v>
          </cell>
          <cell r="D3330">
            <v>59073.171875</v>
          </cell>
          <cell r="F3330" t="str">
            <v>Sep-16-2024</v>
          </cell>
        </row>
        <row r="3331">
          <cell r="A3331" t="str">
            <v>MDV</v>
          </cell>
          <cell r="B3331">
            <v>2013</v>
          </cell>
          <cell r="C3331" t="str">
            <v>pvgdp_agriculture</v>
          </cell>
          <cell r="D3331">
            <v>3767.721435546875</v>
          </cell>
          <cell r="F3331" t="str">
            <v>Sep-16-2024</v>
          </cell>
        </row>
        <row r="3332">
          <cell r="A3332" t="str">
            <v>MDV</v>
          </cell>
          <cell r="B3332">
            <v>2013</v>
          </cell>
          <cell r="C3332" t="str">
            <v>pvgdp_industry</v>
          </cell>
          <cell r="D3332">
            <v>4951.15576171875</v>
          </cell>
          <cell r="F3332" t="str">
            <v>Sep-16-2024</v>
          </cell>
        </row>
        <row r="3333">
          <cell r="A3333" t="str">
            <v>MDV</v>
          </cell>
          <cell r="B3333">
            <v>2013</v>
          </cell>
          <cell r="C3333" t="str">
            <v>pvgdp_services</v>
          </cell>
          <cell r="D3333">
            <v>41988.88671875</v>
          </cell>
          <cell r="F3333" t="str">
            <v>Sep-16-2024</v>
          </cell>
        </row>
        <row r="3334">
          <cell r="A3334" t="str">
            <v>MDV</v>
          </cell>
          <cell r="B3334">
            <v>2013</v>
          </cell>
          <cell r="C3334" t="str">
            <v>pvgdppc</v>
          </cell>
          <cell r="D3334">
            <v>147414.63972750667</v>
          </cell>
          <cell r="F3334" t="str">
            <v>Sep-16-2024</v>
          </cell>
        </row>
        <row r="3335">
          <cell r="A3335" t="str">
            <v>MDV</v>
          </cell>
          <cell r="B3335">
            <v>2013</v>
          </cell>
          <cell r="C3335" t="str">
            <v>pvpop_total</v>
          </cell>
          <cell r="D3335">
            <v>400727.98728942871</v>
          </cell>
          <cell r="F3335" t="str">
            <v>Sep-16-2024</v>
          </cell>
        </row>
        <row r="3336">
          <cell r="A3336" t="str">
            <v>MDV</v>
          </cell>
          <cell r="B3336">
            <v>2013</v>
          </cell>
          <cell r="C3336" t="str">
            <v>pvpop_15up</v>
          </cell>
          <cell r="D3336">
            <v>305263.99031742272</v>
          </cell>
          <cell r="F3336" t="str">
            <v>Sep-16-2024</v>
          </cell>
        </row>
        <row r="3337">
          <cell r="A3337" t="str">
            <v>MDV</v>
          </cell>
          <cell r="B3337">
            <v>2013</v>
          </cell>
          <cell r="C3337" t="str">
            <v>pvprivpc</v>
          </cell>
          <cell r="D3337">
            <v>51013.7240261189</v>
          </cell>
          <cell r="F3337" t="str">
            <v>Sep-16-2024</v>
          </cell>
        </row>
        <row r="3338">
          <cell r="A3338" t="str">
            <v>MDV</v>
          </cell>
          <cell r="B3338">
            <v>2014</v>
          </cell>
          <cell r="C3338" t="str">
            <v>pvgdp</v>
          </cell>
          <cell r="D3338">
            <v>63681.52734375</v>
          </cell>
          <cell r="F3338" t="str">
            <v>Sep-16-2024</v>
          </cell>
        </row>
        <row r="3339">
          <cell r="A3339" t="str">
            <v>MDV</v>
          </cell>
          <cell r="B3339">
            <v>2014</v>
          </cell>
          <cell r="C3339" t="str">
            <v>pvgdp_agriculture</v>
          </cell>
          <cell r="D3339">
            <v>3754.401611328125</v>
          </cell>
          <cell r="F3339" t="str">
            <v>Sep-16-2024</v>
          </cell>
        </row>
        <row r="3340">
          <cell r="A3340" t="str">
            <v>MDV</v>
          </cell>
          <cell r="B3340">
            <v>2014</v>
          </cell>
          <cell r="C3340" t="str">
            <v>pvgdp_industry</v>
          </cell>
          <cell r="D3340">
            <v>5828.31298828125</v>
          </cell>
          <cell r="F3340" t="str">
            <v>Sep-16-2024</v>
          </cell>
        </row>
        <row r="3341">
          <cell r="A3341" t="str">
            <v>MDV</v>
          </cell>
          <cell r="B3341">
            <v>2014</v>
          </cell>
          <cell r="C3341" t="str">
            <v>pvgdp_services</v>
          </cell>
          <cell r="D3341">
            <v>45098.26953125</v>
          </cell>
          <cell r="F3341" t="str">
            <v>Sep-16-2024</v>
          </cell>
        </row>
        <row r="3342">
          <cell r="A3342" t="str">
            <v>MDV</v>
          </cell>
          <cell r="B3342">
            <v>2014</v>
          </cell>
          <cell r="C3342" t="str">
            <v>pvgdppc</v>
          </cell>
          <cell r="D3342">
            <v>152809.50335722903</v>
          </cell>
          <cell r="F3342" t="str">
            <v>Sep-16-2024</v>
          </cell>
        </row>
        <row r="3343">
          <cell r="A3343" t="str">
            <v>MDV</v>
          </cell>
          <cell r="B3343">
            <v>2014</v>
          </cell>
          <cell r="C3343" t="str">
            <v>pvpop_total</v>
          </cell>
          <cell r="D3343">
            <v>416738.00349235535</v>
          </cell>
          <cell r="F3343" t="str">
            <v>Sep-16-2024</v>
          </cell>
        </row>
        <row r="3344">
          <cell r="A3344" t="str">
            <v>MDV</v>
          </cell>
          <cell r="B3344">
            <v>2014</v>
          </cell>
          <cell r="C3344" t="str">
            <v>pvpop_15up</v>
          </cell>
          <cell r="D3344">
            <v>319294.00267575338</v>
          </cell>
          <cell r="F3344" t="str">
            <v>Sep-16-2024</v>
          </cell>
        </row>
        <row r="3345">
          <cell r="A3345" t="str">
            <v>MDV</v>
          </cell>
          <cell r="B3345">
            <v>2014</v>
          </cell>
          <cell r="C3345" t="str">
            <v>pvprivpc</v>
          </cell>
          <cell r="D3345">
            <v>52649.376610435495</v>
          </cell>
          <cell r="F3345" t="str">
            <v>Sep-16-2024</v>
          </cell>
        </row>
        <row r="3346">
          <cell r="A3346" t="str">
            <v>MDV</v>
          </cell>
          <cell r="B3346">
            <v>2015</v>
          </cell>
          <cell r="C3346" t="str">
            <v>pvgdp</v>
          </cell>
          <cell r="D3346">
            <v>66210.7734375</v>
          </cell>
          <cell r="F3346" t="str">
            <v>Sep-16-2024</v>
          </cell>
        </row>
        <row r="3347">
          <cell r="A3347" t="str">
            <v>MDV</v>
          </cell>
          <cell r="B3347">
            <v>2015</v>
          </cell>
          <cell r="C3347" t="str">
            <v>pvgdp_agriculture</v>
          </cell>
          <cell r="D3347">
            <v>3734.80322265625</v>
          </cell>
          <cell r="F3347" t="str">
            <v>Sep-16-2024</v>
          </cell>
        </row>
        <row r="3348">
          <cell r="A3348" t="str">
            <v>MDV</v>
          </cell>
          <cell r="B3348">
            <v>2015</v>
          </cell>
          <cell r="C3348" t="str">
            <v>pvgdp_industry</v>
          </cell>
          <cell r="D3348">
            <v>7034.49267578125</v>
          </cell>
          <cell r="F3348" t="str">
            <v>Sep-16-2024</v>
          </cell>
        </row>
        <row r="3349">
          <cell r="A3349" t="str">
            <v>MDV</v>
          </cell>
          <cell r="B3349">
            <v>2015</v>
          </cell>
          <cell r="C3349" t="str">
            <v>pvgdp_services</v>
          </cell>
          <cell r="D3349">
            <v>46852.61328125</v>
          </cell>
          <cell r="F3349" t="str">
            <v>Sep-16-2024</v>
          </cell>
        </row>
        <row r="3350">
          <cell r="A3350" t="str">
            <v>MDV</v>
          </cell>
          <cell r="B3350">
            <v>2015</v>
          </cell>
          <cell r="C3350" t="str">
            <v>pvgdppc</v>
          </cell>
          <cell r="D3350">
            <v>152005.29779202607</v>
          </cell>
          <cell r="F3350" t="str">
            <v>Sep-16-2024</v>
          </cell>
        </row>
        <row r="3351">
          <cell r="A3351" t="str">
            <v>MDV</v>
          </cell>
          <cell r="B3351">
            <v>2015</v>
          </cell>
          <cell r="C3351" t="str">
            <v>pvpop_total</v>
          </cell>
          <cell r="D3351">
            <v>435582.01193809509</v>
          </cell>
          <cell r="F3351" t="str">
            <v>Sep-16-2024</v>
          </cell>
        </row>
        <row r="3352">
          <cell r="A3352" t="str">
            <v>MDV</v>
          </cell>
          <cell r="B3352">
            <v>2015</v>
          </cell>
          <cell r="C3352" t="str">
            <v>pvpop_15up</v>
          </cell>
          <cell r="D3352">
            <v>335648.00919918122</v>
          </cell>
          <cell r="F3352" t="str">
            <v>Sep-16-2024</v>
          </cell>
        </row>
        <row r="3353">
          <cell r="A3353" t="str">
            <v>MDV</v>
          </cell>
          <cell r="B3353">
            <v>2015</v>
          </cell>
          <cell r="C3353" t="str">
            <v>pvprivpc</v>
          </cell>
          <cell r="D3353">
            <v>61501.087840909786</v>
          </cell>
          <cell r="F3353" t="str">
            <v>Sep-16-2024</v>
          </cell>
        </row>
        <row r="3354">
          <cell r="A3354" t="str">
            <v>MDV</v>
          </cell>
          <cell r="B3354">
            <v>2016</v>
          </cell>
          <cell r="C3354" t="str">
            <v>pvgdp</v>
          </cell>
          <cell r="D3354">
            <v>70562.3046875</v>
          </cell>
          <cell r="F3354" t="str">
            <v>Sep-16-2024</v>
          </cell>
        </row>
        <row r="3355">
          <cell r="A3355" t="str">
            <v>MDV</v>
          </cell>
          <cell r="B3355">
            <v>2016</v>
          </cell>
          <cell r="C3355" t="str">
            <v>pvgdp_agriculture</v>
          </cell>
          <cell r="D3355">
            <v>3790.88232421875</v>
          </cell>
          <cell r="F3355" t="str">
            <v>Sep-16-2024</v>
          </cell>
        </row>
        <row r="3356">
          <cell r="A3356" t="str">
            <v>MDV</v>
          </cell>
          <cell r="B3356">
            <v>2016</v>
          </cell>
          <cell r="C3356" t="str">
            <v>pvgdp_industry</v>
          </cell>
          <cell r="D3356">
            <v>7704.4072265625</v>
          </cell>
          <cell r="F3356" t="str">
            <v>Sep-16-2024</v>
          </cell>
        </row>
        <row r="3357">
          <cell r="A3357" t="str">
            <v>MDV</v>
          </cell>
          <cell r="B3357">
            <v>2016</v>
          </cell>
          <cell r="C3357" t="str">
            <v>pvgdp_services</v>
          </cell>
          <cell r="D3357">
            <v>50231.5546875</v>
          </cell>
          <cell r="F3357" t="str">
            <v>Sep-16-2024</v>
          </cell>
        </row>
        <row r="3358">
          <cell r="A3358" t="str">
            <v>MDV</v>
          </cell>
          <cell r="B3358">
            <v>2016</v>
          </cell>
          <cell r="C3358" t="str">
            <v>pvgdppc</v>
          </cell>
          <cell r="D3358">
            <v>155337.35452856836</v>
          </cell>
          <cell r="F3358" t="str">
            <v>Sep-16-2024</v>
          </cell>
        </row>
        <row r="3359">
          <cell r="A3359" t="str">
            <v>MDV</v>
          </cell>
          <cell r="B3359">
            <v>2016</v>
          </cell>
          <cell r="C3359" t="str">
            <v>pvpop_total</v>
          </cell>
          <cell r="D3359">
            <v>454252.00462341309</v>
          </cell>
          <cell r="F3359" t="str">
            <v>Sep-16-2024</v>
          </cell>
        </row>
        <row r="3360">
          <cell r="A3360" t="str">
            <v>MDV</v>
          </cell>
          <cell r="B3360">
            <v>2016</v>
          </cell>
          <cell r="C3360" t="str">
            <v>pvpop_15up</v>
          </cell>
          <cell r="D3360">
            <v>351635.00357896904</v>
          </cell>
          <cell r="F3360" t="str">
            <v>Sep-16-2024</v>
          </cell>
        </row>
        <row r="3361">
          <cell r="A3361" t="str">
            <v>MDV</v>
          </cell>
          <cell r="B3361">
            <v>2016</v>
          </cell>
          <cell r="C3361" t="str">
            <v>pvprivpc</v>
          </cell>
          <cell r="D3361">
            <v>66598.190035958134</v>
          </cell>
          <cell r="F3361" t="str">
            <v>Sep-16-2024</v>
          </cell>
        </row>
        <row r="3362">
          <cell r="A3362" t="str">
            <v>MDV</v>
          </cell>
          <cell r="B3362">
            <v>2017</v>
          </cell>
          <cell r="C3362" t="str">
            <v>pvgdp</v>
          </cell>
          <cell r="D3362">
            <v>75540.1484375</v>
          </cell>
          <cell r="F3362" t="str">
            <v>Sep-16-2024</v>
          </cell>
        </row>
        <row r="3363">
          <cell r="A3363" t="str">
            <v>MDV</v>
          </cell>
          <cell r="B3363">
            <v>2017</v>
          </cell>
          <cell r="C3363" t="str">
            <v>pvgdp_agriculture</v>
          </cell>
          <cell r="D3363">
            <v>4103.38134765625</v>
          </cell>
          <cell r="F3363" t="str">
            <v>Sep-16-2024</v>
          </cell>
        </row>
        <row r="3364">
          <cell r="A3364" t="str">
            <v>MDV</v>
          </cell>
          <cell r="B3364">
            <v>2017</v>
          </cell>
          <cell r="C3364" t="str">
            <v>pvgdp_industry</v>
          </cell>
          <cell r="D3364">
            <v>8726.9697265625</v>
          </cell>
          <cell r="F3364" t="str">
            <v>Sep-16-2024</v>
          </cell>
        </row>
        <row r="3365">
          <cell r="A3365" t="str">
            <v>MDV</v>
          </cell>
          <cell r="B3365">
            <v>2017</v>
          </cell>
          <cell r="C3365" t="str">
            <v>pvgdp_services</v>
          </cell>
          <cell r="D3365">
            <v>53196.21875</v>
          </cell>
          <cell r="F3365" t="str">
            <v>Sep-16-2024</v>
          </cell>
        </row>
        <row r="3366">
          <cell r="A3366" t="str">
            <v>MDV</v>
          </cell>
          <cell r="B3366">
            <v>2017</v>
          </cell>
          <cell r="C3366" t="str">
            <v>pvgdppc</v>
          </cell>
          <cell r="D3366">
            <v>159892.95672468035</v>
          </cell>
          <cell r="F3366" t="str">
            <v>Sep-16-2024</v>
          </cell>
        </row>
        <row r="3367">
          <cell r="A3367" t="str">
            <v>MDV</v>
          </cell>
          <cell r="B3367">
            <v>2017</v>
          </cell>
          <cell r="C3367" t="str">
            <v>pvpop_total</v>
          </cell>
          <cell r="D3367">
            <v>472442.00110435486</v>
          </cell>
          <cell r="F3367" t="str">
            <v>Sep-16-2024</v>
          </cell>
        </row>
        <row r="3368">
          <cell r="A3368" t="str">
            <v>MDV</v>
          </cell>
          <cell r="B3368">
            <v>2017</v>
          </cell>
          <cell r="C3368" t="str">
            <v>pvpop_15up</v>
          </cell>
          <cell r="D3368">
            <v>367093.0008580967</v>
          </cell>
          <cell r="F3368" t="str">
            <v>Sep-16-2024</v>
          </cell>
        </row>
        <row r="3369">
          <cell r="A3369" t="str">
            <v>MDV</v>
          </cell>
          <cell r="B3369">
            <v>2017</v>
          </cell>
          <cell r="C3369" t="str">
            <v>pvprivpc</v>
          </cell>
          <cell r="D3369">
            <v>72410.062203473863</v>
          </cell>
          <cell r="F3369" t="str">
            <v>Sep-16-2024</v>
          </cell>
        </row>
        <row r="3370">
          <cell r="A3370" t="str">
            <v>MDV</v>
          </cell>
          <cell r="B3370">
            <v>2018</v>
          </cell>
          <cell r="C3370" t="str">
            <v>pvgdp</v>
          </cell>
          <cell r="D3370">
            <v>82087.9765625</v>
          </cell>
          <cell r="F3370" t="str">
            <v>Sep-16-2024</v>
          </cell>
        </row>
        <row r="3371">
          <cell r="A3371" t="str">
            <v>MDV</v>
          </cell>
          <cell r="B3371">
            <v>2018</v>
          </cell>
          <cell r="C3371" t="str">
            <v>pvgdp_agriculture</v>
          </cell>
          <cell r="D3371">
            <v>4305.7998046875</v>
          </cell>
          <cell r="F3371" t="str">
            <v>Sep-16-2024</v>
          </cell>
        </row>
        <row r="3372">
          <cell r="A3372" t="str">
            <v>MDV</v>
          </cell>
          <cell r="B3372">
            <v>2018</v>
          </cell>
          <cell r="C3372" t="str">
            <v>pvgdp_industry</v>
          </cell>
          <cell r="D3372">
            <v>10249.462890625</v>
          </cell>
          <cell r="F3372" t="str">
            <v>Sep-16-2024</v>
          </cell>
        </row>
        <row r="3373">
          <cell r="A3373" t="str">
            <v>MDV</v>
          </cell>
          <cell r="B3373">
            <v>2018</v>
          </cell>
          <cell r="C3373" t="str">
            <v>pvgdp_services</v>
          </cell>
          <cell r="D3373">
            <v>57310.1328125</v>
          </cell>
          <cell r="F3373" t="str">
            <v>Sep-16-2024</v>
          </cell>
        </row>
        <row r="3374">
          <cell r="A3374" t="str">
            <v>MDV</v>
          </cell>
          <cell r="B3374">
            <v>2018</v>
          </cell>
          <cell r="C3374" t="str">
            <v>pvgdppc</v>
          </cell>
          <cell r="D3374">
            <v>167609.25620851779</v>
          </cell>
          <cell r="F3374" t="str">
            <v>Sep-16-2024</v>
          </cell>
        </row>
        <row r="3375">
          <cell r="A3375" t="str">
            <v>MDV</v>
          </cell>
          <cell r="B3375">
            <v>2018</v>
          </cell>
          <cell r="C3375" t="str">
            <v>pvpop_total</v>
          </cell>
          <cell r="D3375">
            <v>489758.01467895508</v>
          </cell>
          <cell r="F3375" t="str">
            <v>Sep-16-2024</v>
          </cell>
        </row>
        <row r="3376">
          <cell r="A3376" t="str">
            <v>MDV</v>
          </cell>
          <cell r="B3376">
            <v>2018</v>
          </cell>
          <cell r="C3376" t="str">
            <v>pvpop_15up</v>
          </cell>
          <cell r="D3376">
            <v>381753.01144184504</v>
          </cell>
          <cell r="F3376" t="str">
            <v>Sep-16-2024</v>
          </cell>
        </row>
        <row r="3377">
          <cell r="A3377" t="str">
            <v>MDV</v>
          </cell>
          <cell r="B3377">
            <v>2018</v>
          </cell>
          <cell r="C3377" t="str">
            <v>pvprivpc</v>
          </cell>
          <cell r="D3377">
            <v>77262.916947474296</v>
          </cell>
          <cell r="F3377" t="str">
            <v>Sep-16-2024</v>
          </cell>
        </row>
        <row r="3378">
          <cell r="A3378" t="str">
            <v>MDV</v>
          </cell>
          <cell r="B3378">
            <v>2019</v>
          </cell>
          <cell r="C3378" t="str">
            <v>pvgdp</v>
          </cell>
          <cell r="D3378">
            <v>88079.03125</v>
          </cell>
          <cell r="F3378" t="str">
            <v>Sep-16-2024</v>
          </cell>
        </row>
        <row r="3379">
          <cell r="A3379" t="str">
            <v>MDV</v>
          </cell>
          <cell r="B3379">
            <v>2019</v>
          </cell>
          <cell r="C3379" t="str">
            <v>pvgdp_agriculture</v>
          </cell>
          <cell r="D3379">
            <v>3958.292724609375</v>
          </cell>
          <cell r="F3379" t="str">
            <v>Sep-16-2024</v>
          </cell>
        </row>
        <row r="3380">
          <cell r="A3380" t="str">
            <v>MDV</v>
          </cell>
          <cell r="B3380">
            <v>2019</v>
          </cell>
          <cell r="C3380" t="str">
            <v>pvgdp_industry</v>
          </cell>
          <cell r="D3380">
            <v>10518.876953125</v>
          </cell>
          <cell r="F3380" t="str">
            <v>Sep-16-2024</v>
          </cell>
        </row>
        <row r="3381">
          <cell r="A3381" t="str">
            <v>MDV</v>
          </cell>
          <cell r="B3381">
            <v>2019</v>
          </cell>
          <cell r="C3381" t="str">
            <v>pvgdp_services</v>
          </cell>
          <cell r="D3381">
            <v>62769.93359375</v>
          </cell>
          <cell r="F3381" t="str">
            <v>Sep-16-2024</v>
          </cell>
        </row>
        <row r="3382">
          <cell r="A3382" t="str">
            <v>MDV</v>
          </cell>
          <cell r="B3382">
            <v>2019</v>
          </cell>
          <cell r="C3382" t="str">
            <v>pvgdppc</v>
          </cell>
          <cell r="D3382">
            <v>174584.00663875314</v>
          </cell>
          <cell r="F3382" t="str">
            <v>Sep-16-2024</v>
          </cell>
        </row>
        <row r="3383">
          <cell r="A3383" t="str">
            <v>MDV</v>
          </cell>
          <cell r="B3383">
            <v>2019</v>
          </cell>
          <cell r="C3383" t="str">
            <v>pvpop_total</v>
          </cell>
          <cell r="D3383">
            <v>504508.01849365234</v>
          </cell>
          <cell r="F3383" t="str">
            <v>Sep-16-2024</v>
          </cell>
        </row>
        <row r="3384">
          <cell r="A3384" t="str">
            <v>MDV</v>
          </cell>
          <cell r="B3384">
            <v>2019</v>
          </cell>
          <cell r="C3384" t="str">
            <v>pvpop_15up</v>
          </cell>
          <cell r="D3384">
            <v>394161.01444868365</v>
          </cell>
          <cell r="F3384" t="str">
            <v>Sep-16-2024</v>
          </cell>
        </row>
        <row r="3385">
          <cell r="A3385" t="str">
            <v>MDV</v>
          </cell>
          <cell r="B3385">
            <v>2019</v>
          </cell>
          <cell r="C3385" t="str">
            <v>pvprivpc</v>
          </cell>
          <cell r="D3385">
            <v>79144.430883812369</v>
          </cell>
          <cell r="F3385" t="str">
            <v>Sep-16-2024</v>
          </cell>
        </row>
        <row r="3386">
          <cell r="A3386" t="str">
            <v>MDV</v>
          </cell>
          <cell r="B3386">
            <v>2020</v>
          </cell>
          <cell r="C3386" t="str">
            <v>pvgdp</v>
          </cell>
          <cell r="D3386">
            <v>59093.25390625</v>
          </cell>
          <cell r="F3386" t="str">
            <v>Sep-16-2024</v>
          </cell>
        </row>
        <row r="3387">
          <cell r="A3387" t="str">
            <v>MDV</v>
          </cell>
          <cell r="B3387">
            <v>2020</v>
          </cell>
          <cell r="C3387" t="str">
            <v>pvgdp_agriculture</v>
          </cell>
          <cell r="D3387">
            <v>4217.56396484375</v>
          </cell>
          <cell r="F3387" t="str">
            <v>Sep-16-2024</v>
          </cell>
        </row>
        <row r="3388">
          <cell r="A3388" t="str">
            <v>MDV</v>
          </cell>
          <cell r="B3388">
            <v>2020</v>
          </cell>
          <cell r="C3388" t="str">
            <v>pvgdp_industry</v>
          </cell>
          <cell r="D3388">
            <v>6933.81201171875</v>
          </cell>
          <cell r="F3388" t="str">
            <v>Sep-16-2024</v>
          </cell>
        </row>
        <row r="3389">
          <cell r="A3389" t="str">
            <v>MDV</v>
          </cell>
          <cell r="B3389">
            <v>2020</v>
          </cell>
          <cell r="C3389" t="str">
            <v>pvgdp_services</v>
          </cell>
          <cell r="D3389">
            <v>42872.171875</v>
          </cell>
          <cell r="F3389" t="str">
            <v>Sep-16-2024</v>
          </cell>
        </row>
        <row r="3390">
          <cell r="A3390" t="str">
            <v>MDV</v>
          </cell>
          <cell r="B3390">
            <v>2020</v>
          </cell>
          <cell r="C3390" t="str">
            <v>pvgdppc</v>
          </cell>
          <cell r="D3390">
            <v>114869.54103385338</v>
          </cell>
          <cell r="F3390" t="str">
            <v>Sep-16-2024</v>
          </cell>
        </row>
        <row r="3391">
          <cell r="A3391" t="str">
            <v>MDV</v>
          </cell>
          <cell r="B3391">
            <v>2020</v>
          </cell>
          <cell r="C3391" t="str">
            <v>pvpop_total</v>
          </cell>
          <cell r="D3391">
            <v>514437.9734992981</v>
          </cell>
          <cell r="F3391" t="str">
            <v>Sep-16-2024</v>
          </cell>
        </row>
        <row r="3392">
          <cell r="A3392" t="str">
            <v>MDV</v>
          </cell>
          <cell r="B3392">
            <v>2020</v>
          </cell>
          <cell r="C3392" t="str">
            <v>pvpop_15up</v>
          </cell>
          <cell r="D3392">
            <v>402344.97927364445</v>
          </cell>
          <cell r="F3392" t="str">
            <v>Sep-16-2024</v>
          </cell>
        </row>
        <row r="3393">
          <cell r="A3393" t="str">
            <v>MDV</v>
          </cell>
          <cell r="B3393">
            <v>2020</v>
          </cell>
          <cell r="C3393" t="str">
            <v>pvprivpc</v>
          </cell>
          <cell r="D3393">
            <v>56262.564391379419</v>
          </cell>
          <cell r="F3393" t="str">
            <v>Sep-16-2024</v>
          </cell>
        </row>
        <row r="3394">
          <cell r="A3394" t="str">
            <v>MDV</v>
          </cell>
          <cell r="B3394">
            <v>2021</v>
          </cell>
          <cell r="C3394" t="str">
            <v>pvgdp</v>
          </cell>
          <cell r="D3394">
            <v>81363.84375</v>
          </cell>
          <cell r="F3394" t="str">
            <v>Sep-16-2024</v>
          </cell>
        </row>
        <row r="3395">
          <cell r="A3395" t="str">
            <v>MDV</v>
          </cell>
          <cell r="B3395">
            <v>2021</v>
          </cell>
          <cell r="C3395" t="str">
            <v>pvgdp_agriculture</v>
          </cell>
          <cell r="D3395">
            <v>4186.91552734375</v>
          </cell>
          <cell r="F3395" t="str">
            <v>Sep-16-2024</v>
          </cell>
        </row>
        <row r="3396">
          <cell r="A3396" t="str">
            <v>MDV</v>
          </cell>
          <cell r="B3396">
            <v>2021</v>
          </cell>
          <cell r="C3396" t="str">
            <v>pvgdp_industry</v>
          </cell>
          <cell r="D3396">
            <v>6615.96240234375</v>
          </cell>
          <cell r="F3396" t="str">
            <v>Sep-16-2024</v>
          </cell>
        </row>
        <row r="3397">
          <cell r="A3397" t="str">
            <v>MDV</v>
          </cell>
          <cell r="B3397">
            <v>2021</v>
          </cell>
          <cell r="C3397" t="str">
            <v>pvgdp_services</v>
          </cell>
          <cell r="D3397">
            <v>61459.421875</v>
          </cell>
          <cell r="F3397" t="str">
            <v>Sep-16-2024</v>
          </cell>
        </row>
        <row r="3398">
          <cell r="A3398" t="str">
            <v>MDV</v>
          </cell>
          <cell r="B3398">
            <v>2021</v>
          </cell>
          <cell r="C3398" t="str">
            <v>pvgdppc</v>
          </cell>
          <cell r="D3398">
            <v>156031.7364240232</v>
          </cell>
          <cell r="F3398" t="str">
            <v>Sep-16-2024</v>
          </cell>
        </row>
        <row r="3399">
          <cell r="A3399" t="str">
            <v>MDV</v>
          </cell>
          <cell r="B3399">
            <v>2021</v>
          </cell>
          <cell r="C3399" t="str">
            <v>pvpop_total</v>
          </cell>
          <cell r="D3399">
            <v>521457.0164680481</v>
          </cell>
          <cell r="F3399" t="str">
            <v>Sep-16-2024</v>
          </cell>
        </row>
        <row r="3400">
          <cell r="A3400" t="str">
            <v>MDV</v>
          </cell>
          <cell r="B3400">
            <v>2021</v>
          </cell>
          <cell r="C3400" t="str">
            <v>pvpop_15up</v>
          </cell>
          <cell r="D3400">
            <v>408206.01289148681</v>
          </cell>
          <cell r="F3400" t="str">
            <v>Sep-16-2024</v>
          </cell>
        </row>
        <row r="3401">
          <cell r="A3401" t="str">
            <v>MDV</v>
          </cell>
          <cell r="B3401">
            <v>2021</v>
          </cell>
          <cell r="C3401" t="str">
            <v>pvprivpc</v>
          </cell>
          <cell r="D3401">
            <v>63023.381289594203</v>
          </cell>
          <cell r="F3401" t="str">
            <v>Sep-16-2024</v>
          </cell>
        </row>
        <row r="3402">
          <cell r="A3402" t="str">
            <v>MDV</v>
          </cell>
          <cell r="B3402">
            <v>2022</v>
          </cell>
          <cell r="C3402" t="str">
            <v>pvgdp</v>
          </cell>
          <cell r="D3402">
            <v>92678.84375</v>
          </cell>
          <cell r="F3402" t="str">
            <v>Sep-16-2024</v>
          </cell>
        </row>
        <row r="3403">
          <cell r="A3403" t="str">
            <v>MDV</v>
          </cell>
          <cell r="B3403">
            <v>2022</v>
          </cell>
          <cell r="C3403" t="str">
            <v>pvgdp_agriculture</v>
          </cell>
          <cell r="D3403">
            <v>4316.7431640625</v>
          </cell>
          <cell r="F3403" t="str">
            <v>Sep-16-2024</v>
          </cell>
        </row>
        <row r="3404">
          <cell r="A3404" t="str">
            <v>MDV</v>
          </cell>
          <cell r="B3404">
            <v>2022</v>
          </cell>
          <cell r="C3404" t="str">
            <v>pvgdp_industry</v>
          </cell>
          <cell r="D3404">
            <v>8283.279296875</v>
          </cell>
          <cell r="F3404" t="str">
            <v>Sep-16-2024</v>
          </cell>
        </row>
        <row r="3405">
          <cell r="A3405" t="str">
            <v>MDV</v>
          </cell>
          <cell r="B3405">
            <v>2022</v>
          </cell>
          <cell r="C3405" t="str">
            <v>pvgdp_services</v>
          </cell>
          <cell r="D3405">
            <v>70470.1953125</v>
          </cell>
          <cell r="F3405" t="str">
            <v>Sep-16-2024</v>
          </cell>
        </row>
        <row r="3406">
          <cell r="A3406" t="str">
            <v>MDV</v>
          </cell>
          <cell r="B3406">
            <v>2022</v>
          </cell>
          <cell r="C3406" t="str">
            <v>pvgdppc</v>
          </cell>
          <cell r="D3406">
            <v>176939.93917672089</v>
          </cell>
          <cell r="F3406" t="str">
            <v>Sep-16-2024</v>
          </cell>
        </row>
        <row r="3407">
          <cell r="A3407" t="str">
            <v>MDV</v>
          </cell>
          <cell r="B3407">
            <v>2022</v>
          </cell>
          <cell r="C3407" t="str">
            <v>pvpop_total</v>
          </cell>
          <cell r="D3407">
            <v>523787.02163696289</v>
          </cell>
          <cell r="F3407" t="str">
            <v>Sep-16-2024</v>
          </cell>
        </row>
        <row r="3408">
          <cell r="A3408" t="str">
            <v>MDV</v>
          </cell>
          <cell r="B3408">
            <v>2022</v>
          </cell>
          <cell r="C3408" t="str">
            <v>pvpop_15up</v>
          </cell>
          <cell r="D3408">
            <v>410234.01694623544</v>
          </cell>
          <cell r="F3408" t="str">
            <v>Sep-16-2024</v>
          </cell>
        </row>
        <row r="3409">
          <cell r="A3409" t="str">
            <v>MDV</v>
          </cell>
          <cell r="B3409">
            <v>2022</v>
          </cell>
          <cell r="C3409" t="str">
            <v>pvprivpc</v>
          </cell>
          <cell r="D3409">
            <v>68438.89743195253</v>
          </cell>
          <cell r="F3409" t="str">
            <v>Sep-16-2024</v>
          </cell>
        </row>
        <row r="3410">
          <cell r="A3410" t="str">
            <v>MDV</v>
          </cell>
          <cell r="B3410">
            <v>2023</v>
          </cell>
          <cell r="C3410" t="str">
            <v>pvgdp</v>
          </cell>
          <cell r="D3410">
            <v>96476</v>
          </cell>
          <cell r="F3410" t="str">
            <v>Sep-16-2024</v>
          </cell>
        </row>
        <row r="3411">
          <cell r="A3411" t="str">
            <v>MDV</v>
          </cell>
          <cell r="B3411">
            <v>2023</v>
          </cell>
          <cell r="C3411" t="str">
            <v>pvgdp_agriculture</v>
          </cell>
          <cell r="D3411">
            <v>4351</v>
          </cell>
          <cell r="F3411" t="str">
            <v>Sep-16-2024</v>
          </cell>
        </row>
        <row r="3412">
          <cell r="A3412" t="str">
            <v>MDV</v>
          </cell>
          <cell r="B3412">
            <v>2023</v>
          </cell>
          <cell r="C3412" t="str">
            <v>pvgdp_industry</v>
          </cell>
          <cell r="D3412">
            <v>8911</v>
          </cell>
          <cell r="F3412" t="str">
            <v>Sep-16-2024</v>
          </cell>
        </row>
        <row r="3413">
          <cell r="A3413" t="str">
            <v>MDV</v>
          </cell>
          <cell r="B3413">
            <v>2023</v>
          </cell>
          <cell r="C3413" t="str">
            <v>pvgdp_services</v>
          </cell>
          <cell r="D3413">
            <v>72686</v>
          </cell>
          <cell r="F3413" t="str">
            <v>Sep-16-2024</v>
          </cell>
        </row>
        <row r="3414">
          <cell r="A3414" t="str">
            <v>MDV</v>
          </cell>
          <cell r="B3414">
            <v>2023</v>
          </cell>
          <cell r="C3414" t="str">
            <v>pvgdppc</v>
          </cell>
          <cell r="D3414">
            <v>185167.19753647118</v>
          </cell>
          <cell r="F3414" t="str">
            <v>Sep-16-2024</v>
          </cell>
        </row>
        <row r="3415">
          <cell r="A3415" t="str">
            <v>MDV</v>
          </cell>
          <cell r="B3415">
            <v>2023</v>
          </cell>
          <cell r="C3415" t="str">
            <v>pvpop_total</v>
          </cell>
          <cell r="D3415">
            <v>521021.00849151611</v>
          </cell>
          <cell r="F3415" t="str">
            <v>Sep-16-2024</v>
          </cell>
        </row>
        <row r="3416">
          <cell r="A3416" t="str">
            <v>MDV</v>
          </cell>
          <cell r="B3416">
            <v>2023</v>
          </cell>
          <cell r="C3416" t="str">
            <v>pvpop_15up</v>
          </cell>
          <cell r="D3416">
            <v>408110.00665131089</v>
          </cell>
          <cell r="F3416" t="str">
            <v>Sep-16-2024</v>
          </cell>
        </row>
        <row r="3417">
          <cell r="A3417" t="str">
            <v>MDV</v>
          </cell>
          <cell r="B3417">
            <v>2023</v>
          </cell>
          <cell r="C3417" t="str">
            <v>pvprivpc</v>
          </cell>
          <cell r="D3417">
            <v>77542.743534415204</v>
          </cell>
          <cell r="F3417" t="str">
            <v>Sep-16-2024</v>
          </cell>
        </row>
        <row r="3418">
          <cell r="A3418" t="str">
            <v>MDV</v>
          </cell>
          <cell r="B3418">
            <v>2024</v>
          </cell>
          <cell r="C3418" t="str">
            <v>pvgdp</v>
          </cell>
          <cell r="D3418">
            <v>101034</v>
          </cell>
          <cell r="F3418" t="str">
            <v>Sep-16-2024</v>
          </cell>
        </row>
        <row r="3419">
          <cell r="A3419" t="str">
            <v>MDV</v>
          </cell>
          <cell r="B3419">
            <v>2024</v>
          </cell>
          <cell r="C3419" t="str">
            <v>pvgdp_agriculture</v>
          </cell>
          <cell r="D3419">
            <v>4026</v>
          </cell>
          <cell r="F3419" t="str">
            <v>Sep-16-2024</v>
          </cell>
        </row>
        <row r="3420">
          <cell r="A3420" t="str">
            <v>MDV</v>
          </cell>
          <cell r="B3420">
            <v>2024</v>
          </cell>
          <cell r="C3420" t="str">
            <v>pvgdp_industry</v>
          </cell>
          <cell r="D3420">
            <v>9116</v>
          </cell>
          <cell r="F3420" t="str">
            <v>Sep-16-2024</v>
          </cell>
        </row>
        <row r="3421">
          <cell r="A3421" t="str">
            <v>MDV</v>
          </cell>
          <cell r="B3421">
            <v>2024</v>
          </cell>
          <cell r="C3421" t="str">
            <v>pvgdp_services</v>
          </cell>
          <cell r="D3421">
            <v>76867</v>
          </cell>
          <cell r="F3421" t="str">
            <v>Sep-16-2024</v>
          </cell>
        </row>
        <row r="3422">
          <cell r="A3422" t="str">
            <v>MDV</v>
          </cell>
          <cell r="B3422">
            <v>2024</v>
          </cell>
          <cell r="C3422" t="str">
            <v>pvgdppc</v>
          </cell>
          <cell r="D3422">
            <v>195088.89145283151</v>
          </cell>
          <cell r="F3422" t="str">
            <v>Sep-16-2024</v>
          </cell>
        </row>
        <row r="3423">
          <cell r="A3423" t="str">
            <v>MDV</v>
          </cell>
          <cell r="B3423">
            <v>2024</v>
          </cell>
          <cell r="C3423" t="str">
            <v>pvpop_total</v>
          </cell>
          <cell r="D3423">
            <v>517886.99626922607</v>
          </cell>
          <cell r="F3423" t="str">
            <v>Sep-16-2024</v>
          </cell>
        </row>
        <row r="3424">
          <cell r="A3424" t="str">
            <v>MDV</v>
          </cell>
          <cell r="B3424">
            <v>2024</v>
          </cell>
          <cell r="C3424" t="str">
            <v>pvpop_15up</v>
          </cell>
          <cell r="D3424">
            <v>406191.99707385874</v>
          </cell>
          <cell r="F3424" t="str">
            <v>Sep-16-2024</v>
          </cell>
        </row>
        <row r="3425">
          <cell r="A3425" t="str">
            <v>MDV</v>
          </cell>
          <cell r="B3425">
            <v>2024</v>
          </cell>
          <cell r="C3425" t="str">
            <v>pvprivpc</v>
          </cell>
          <cell r="D3425">
            <v>82458.180720664604</v>
          </cell>
          <cell r="F3425" t="str">
            <v>Sep-16-2024</v>
          </cell>
        </row>
        <row r="3426">
          <cell r="A3426" t="str">
            <v>MDV</v>
          </cell>
          <cell r="B3426">
            <v>2025</v>
          </cell>
          <cell r="C3426" t="str">
            <v>pvgdp</v>
          </cell>
          <cell r="D3426">
            <v>105815</v>
          </cell>
          <cell r="F3426" t="str">
            <v>Sep-16-2024</v>
          </cell>
        </row>
        <row r="3427">
          <cell r="A3427" t="str">
            <v>MDV</v>
          </cell>
          <cell r="B3427">
            <v>2025</v>
          </cell>
          <cell r="C3427" t="str">
            <v>pvgdp_agriculture</v>
          </cell>
          <cell r="D3427">
            <v>4163</v>
          </cell>
          <cell r="F3427" t="str">
            <v>Sep-16-2024</v>
          </cell>
        </row>
        <row r="3428">
          <cell r="A3428" t="str">
            <v>MDV</v>
          </cell>
          <cell r="B3428">
            <v>2025</v>
          </cell>
          <cell r="C3428" t="str">
            <v>pvgdp_industry</v>
          </cell>
          <cell r="D3428">
            <v>9265</v>
          </cell>
          <cell r="F3428" t="str">
            <v>Sep-16-2024</v>
          </cell>
        </row>
        <row r="3429">
          <cell r="A3429" t="str">
            <v>MDV</v>
          </cell>
          <cell r="B3429">
            <v>2025</v>
          </cell>
          <cell r="C3429" t="str">
            <v>pvgdp_services</v>
          </cell>
          <cell r="D3429">
            <v>80840</v>
          </cell>
          <cell r="F3429" t="str">
            <v>Sep-16-2024</v>
          </cell>
        </row>
        <row r="3430">
          <cell r="A3430" t="str">
            <v>MDV</v>
          </cell>
          <cell r="B3430">
            <v>2025</v>
          </cell>
          <cell r="C3430" t="str">
            <v>pvgdppc</v>
          </cell>
          <cell r="D3430">
            <v>205377.10242946356</v>
          </cell>
          <cell r="F3430" t="str">
            <v>Sep-16-2024</v>
          </cell>
        </row>
        <row r="3431">
          <cell r="A3431" t="str">
            <v>MDV</v>
          </cell>
          <cell r="B3431">
            <v>2025</v>
          </cell>
          <cell r="C3431" t="str">
            <v>pvpop_total</v>
          </cell>
          <cell r="D3431">
            <v>515222.96667098999</v>
          </cell>
          <cell r="F3431" t="str">
            <v>Sep-16-2024</v>
          </cell>
        </row>
        <row r="3432">
          <cell r="A3432" t="str">
            <v>MDV</v>
          </cell>
          <cell r="B3432">
            <v>2025</v>
          </cell>
          <cell r="C3432" t="str">
            <v>pvpop_15up</v>
          </cell>
          <cell r="D3432">
            <v>405192.97378866706</v>
          </cell>
          <cell r="F3432" t="str">
            <v>Sep-16-2024</v>
          </cell>
        </row>
        <row r="3433">
          <cell r="A3433" t="str">
            <v>MDV</v>
          </cell>
          <cell r="B3433">
            <v>2025</v>
          </cell>
          <cell r="C3433" t="str">
            <v>pvprivpc</v>
          </cell>
          <cell r="D3433">
            <v>86399.107895215726</v>
          </cell>
          <cell r="F3433" t="str">
            <v>Sep-16-2024</v>
          </cell>
        </row>
        <row r="3434">
          <cell r="A3434" t="str">
            <v>MDV</v>
          </cell>
          <cell r="B3434">
            <v>2026</v>
          </cell>
          <cell r="C3434" t="str">
            <v>pvgdp</v>
          </cell>
          <cell r="D3434">
            <v>110657</v>
          </cell>
          <cell r="F3434" t="str">
            <v>Sep-16-2024</v>
          </cell>
        </row>
        <row r="3435">
          <cell r="A3435" t="str">
            <v>MDV</v>
          </cell>
          <cell r="B3435">
            <v>2026</v>
          </cell>
          <cell r="C3435" t="str">
            <v>pvgdp_agriculture</v>
          </cell>
          <cell r="D3435">
            <v>4283</v>
          </cell>
          <cell r="F3435" t="str">
            <v>Sep-16-2024</v>
          </cell>
        </row>
        <row r="3436">
          <cell r="A3436" t="str">
            <v>MDV</v>
          </cell>
          <cell r="B3436">
            <v>2026</v>
          </cell>
          <cell r="C3436" t="str">
            <v>pvgdp_industry</v>
          </cell>
          <cell r="D3436">
            <v>9349</v>
          </cell>
          <cell r="F3436" t="str">
            <v>Sep-16-2024</v>
          </cell>
        </row>
        <row r="3437">
          <cell r="A3437" t="str">
            <v>MDV</v>
          </cell>
          <cell r="B3437">
            <v>2026</v>
          </cell>
          <cell r="C3437" t="str">
            <v>pvgdp_services</v>
          </cell>
          <cell r="D3437">
            <v>84950</v>
          </cell>
          <cell r="F3437" t="str">
            <v>Sep-16-2024</v>
          </cell>
        </row>
        <row r="3438">
          <cell r="A3438" t="str">
            <v>MDV</v>
          </cell>
          <cell r="B3438">
            <v>2026</v>
          </cell>
          <cell r="C3438" t="str">
            <v>pvgdppc</v>
          </cell>
          <cell r="D3438">
            <v>215553.55101886325</v>
          </cell>
          <cell r="F3438" t="str">
            <v>Sep-16-2024</v>
          </cell>
        </row>
        <row r="3439">
          <cell r="A3439" t="str">
            <v>MDV</v>
          </cell>
          <cell r="B3439">
            <v>2026</v>
          </cell>
          <cell r="C3439" t="str">
            <v>pvpop_total</v>
          </cell>
          <cell r="D3439">
            <v>513361.99045181274</v>
          </cell>
          <cell r="F3439" t="str">
            <v>Sep-16-2024</v>
          </cell>
        </row>
        <row r="3440">
          <cell r="A3440" t="str">
            <v>MDV</v>
          </cell>
          <cell r="B3440">
            <v>2026</v>
          </cell>
          <cell r="C3440" t="str">
            <v>pvpop_15up</v>
          </cell>
          <cell r="D3440">
            <v>405336.99246100493</v>
          </cell>
          <cell r="F3440" t="str">
            <v>Sep-16-2024</v>
          </cell>
        </row>
        <row r="3441">
          <cell r="A3441" t="str">
            <v>MDV</v>
          </cell>
          <cell r="B3441">
            <v>2026</v>
          </cell>
          <cell r="C3441" t="str">
            <v>pvprivpc</v>
          </cell>
          <cell r="D3441">
            <v>91319.196900886294</v>
          </cell>
          <cell r="F3441" t="str">
            <v>Sep-16-2024</v>
          </cell>
        </row>
        <row r="3442">
          <cell r="A3442" t="str">
            <v>NPL</v>
          </cell>
          <cell r="B3442">
            <v>2007</v>
          </cell>
          <cell r="C3442" t="str">
            <v>pvgdp</v>
          </cell>
          <cell r="D3442">
            <v>1299690.25</v>
          </cell>
          <cell r="F3442" t="str">
            <v>Sep-16-2024</v>
          </cell>
        </row>
        <row r="3443">
          <cell r="A3443" t="str">
            <v>NPL</v>
          </cell>
          <cell r="B3443">
            <v>2007</v>
          </cell>
          <cell r="C3443" t="str">
            <v>pvgdp_agriculture</v>
          </cell>
          <cell r="D3443">
            <v>433711.78125</v>
          </cell>
          <cell r="F3443" t="str">
            <v>Sep-16-2024</v>
          </cell>
        </row>
        <row r="3444">
          <cell r="A3444" t="str">
            <v>NPL</v>
          </cell>
          <cell r="B3444">
            <v>2007</v>
          </cell>
          <cell r="C3444" t="str">
            <v>pvgdp_industry</v>
          </cell>
          <cell r="D3444">
            <v>203698.734375</v>
          </cell>
          <cell r="F3444" t="str">
            <v>Sep-16-2024</v>
          </cell>
        </row>
        <row r="3445">
          <cell r="A3445" t="str">
            <v>NPL</v>
          </cell>
          <cell r="B3445">
            <v>2007</v>
          </cell>
          <cell r="C3445" t="str">
            <v>pvgdp_services</v>
          </cell>
          <cell r="D3445">
            <v>570651.3125</v>
          </cell>
          <cell r="F3445" t="str">
            <v>Sep-16-2024</v>
          </cell>
        </row>
        <row r="3446">
          <cell r="A3446" t="str">
            <v>NPL</v>
          </cell>
          <cell r="B3446">
            <v>2007</v>
          </cell>
          <cell r="C3446" t="str">
            <v>pvgdppc</v>
          </cell>
          <cell r="D3446">
            <v>48652.654496196497</v>
          </cell>
          <cell r="F3446" t="str">
            <v>Sep-16-2024</v>
          </cell>
        </row>
        <row r="3447">
          <cell r="A3447" t="str">
            <v>NPL</v>
          </cell>
          <cell r="B3447">
            <v>2007</v>
          </cell>
          <cell r="C3447" t="str">
            <v>pvpop_total</v>
          </cell>
          <cell r="D3447">
            <v>26713655.471801758</v>
          </cell>
          <cell r="F3447" t="str">
            <v>Sep-16-2024</v>
          </cell>
        </row>
        <row r="3448">
          <cell r="A3448" t="str">
            <v>NPL</v>
          </cell>
          <cell r="B3448">
            <v>2007</v>
          </cell>
          <cell r="C3448" t="str">
            <v>pvpop_15up</v>
          </cell>
          <cell r="D3448">
            <v>16560320.292479187</v>
          </cell>
          <cell r="F3448" t="str">
            <v>Sep-16-2024</v>
          </cell>
        </row>
        <row r="3449">
          <cell r="A3449" t="str">
            <v>NPL</v>
          </cell>
          <cell r="B3449">
            <v>2007</v>
          </cell>
          <cell r="C3449" t="str">
            <v>pvprivpc</v>
          </cell>
          <cell r="D3449">
            <v>39773.352101569872</v>
          </cell>
          <cell r="F3449" t="str">
            <v>Sep-16-2024</v>
          </cell>
        </row>
        <row r="3450">
          <cell r="A3450" t="str">
            <v>NPL</v>
          </cell>
          <cell r="B3450">
            <v>2008</v>
          </cell>
          <cell r="C3450" t="str">
            <v>pvgdp</v>
          </cell>
          <cell r="D3450">
            <v>1379031.75</v>
          </cell>
          <cell r="F3450" t="str">
            <v>Sep-16-2024</v>
          </cell>
        </row>
        <row r="3451">
          <cell r="A3451" t="str">
            <v>NPL</v>
          </cell>
          <cell r="B3451">
            <v>2008</v>
          </cell>
          <cell r="C3451" t="str">
            <v>pvgdp_agriculture</v>
          </cell>
          <cell r="D3451">
            <v>458972.28125</v>
          </cell>
          <cell r="F3451" t="str">
            <v>Sep-16-2024</v>
          </cell>
        </row>
        <row r="3452">
          <cell r="A3452" t="str">
            <v>NPL</v>
          </cell>
          <cell r="B3452">
            <v>2008</v>
          </cell>
          <cell r="C3452" t="str">
            <v>pvgdp_industry</v>
          </cell>
          <cell r="D3452">
            <v>207249.703125</v>
          </cell>
          <cell r="F3452" t="str">
            <v>Sep-16-2024</v>
          </cell>
        </row>
        <row r="3453">
          <cell r="A3453" t="str">
            <v>NPL</v>
          </cell>
          <cell r="B3453">
            <v>2008</v>
          </cell>
          <cell r="C3453" t="str">
            <v>pvgdp_services</v>
          </cell>
          <cell r="D3453">
            <v>613589.625</v>
          </cell>
          <cell r="F3453" t="str">
            <v>Sep-16-2024</v>
          </cell>
        </row>
        <row r="3454">
          <cell r="A3454" t="str">
            <v>NPL</v>
          </cell>
          <cell r="B3454">
            <v>2008</v>
          </cell>
          <cell r="C3454" t="str">
            <v>pvgdppc</v>
          </cell>
          <cell r="D3454">
            <v>51300.31757829454</v>
          </cell>
          <cell r="F3454" t="str">
            <v>Sep-16-2024</v>
          </cell>
        </row>
        <row r="3455">
          <cell r="A3455" t="str">
            <v>NPL</v>
          </cell>
          <cell r="B3455">
            <v>2008</v>
          </cell>
          <cell r="C3455" t="str">
            <v>pvpop_total</v>
          </cell>
          <cell r="D3455">
            <v>26881544.11315918</v>
          </cell>
          <cell r="F3455" t="str">
            <v>Sep-16-2024</v>
          </cell>
        </row>
        <row r="3456">
          <cell r="A3456" t="str">
            <v>NPL</v>
          </cell>
          <cell r="B3456">
            <v>2008</v>
          </cell>
          <cell r="C3456" t="str">
            <v>pvpop_15up</v>
          </cell>
          <cell r="D3456">
            <v>16817512.070794143</v>
          </cell>
          <cell r="F3456" t="str">
            <v>Sep-16-2024</v>
          </cell>
        </row>
        <row r="3457">
          <cell r="A3457" t="str">
            <v>NPL</v>
          </cell>
          <cell r="B3457">
            <v>2008</v>
          </cell>
          <cell r="C3457" t="str">
            <v>pvprivpc</v>
          </cell>
          <cell r="D3457">
            <v>40027.741541575648</v>
          </cell>
          <cell r="F3457" t="str">
            <v>Sep-16-2024</v>
          </cell>
        </row>
        <row r="3458">
          <cell r="A3458" t="str">
            <v>NPL</v>
          </cell>
          <cell r="B3458">
            <v>2009</v>
          </cell>
          <cell r="C3458" t="str">
            <v>pvgdp</v>
          </cell>
          <cell r="D3458">
            <v>1441547.375</v>
          </cell>
          <cell r="F3458" t="str">
            <v>Sep-16-2024</v>
          </cell>
        </row>
        <row r="3459">
          <cell r="A3459" t="str">
            <v>NPL</v>
          </cell>
          <cell r="B3459">
            <v>2009</v>
          </cell>
          <cell r="C3459" t="str">
            <v>pvgdp_agriculture</v>
          </cell>
          <cell r="D3459">
            <v>472831.15625</v>
          </cell>
          <cell r="F3459" t="str">
            <v>Sep-16-2024</v>
          </cell>
        </row>
        <row r="3460">
          <cell r="A3460" t="str">
            <v>NPL</v>
          </cell>
          <cell r="B3460">
            <v>2009</v>
          </cell>
          <cell r="C3460" t="str">
            <v>pvgdp_industry</v>
          </cell>
          <cell r="D3460">
            <v>206026.9375</v>
          </cell>
          <cell r="F3460" t="str">
            <v>Sep-16-2024</v>
          </cell>
        </row>
        <row r="3461">
          <cell r="A3461" t="str">
            <v>NPL</v>
          </cell>
          <cell r="B3461">
            <v>2009</v>
          </cell>
          <cell r="C3461" t="str">
            <v>pvgdp_services</v>
          </cell>
          <cell r="D3461">
            <v>650417.1875</v>
          </cell>
          <cell r="F3461" t="str">
            <v>Sep-16-2024</v>
          </cell>
        </row>
        <row r="3462">
          <cell r="A3462" t="str">
            <v>NPL</v>
          </cell>
          <cell r="B3462">
            <v>2009</v>
          </cell>
          <cell r="C3462" t="str">
            <v>pvgdppc</v>
          </cell>
          <cell r="D3462">
            <v>53337.422057077179</v>
          </cell>
          <cell r="F3462" t="str">
            <v>Sep-16-2024</v>
          </cell>
        </row>
        <row r="3463">
          <cell r="A3463" t="str">
            <v>NPL</v>
          </cell>
          <cell r="B3463">
            <v>2009</v>
          </cell>
          <cell r="C3463" t="str">
            <v>pvpop_total</v>
          </cell>
          <cell r="D3463">
            <v>27026941.299438477</v>
          </cell>
          <cell r="F3463" t="str">
            <v>Sep-16-2024</v>
          </cell>
        </row>
        <row r="3464">
          <cell r="A3464" t="str">
            <v>NPL</v>
          </cell>
          <cell r="B3464">
            <v>2009</v>
          </cell>
          <cell r="C3464" t="str">
            <v>pvpop_15up</v>
          </cell>
          <cell r="D3464">
            <v>17077566.189206775</v>
          </cell>
          <cell r="F3464" t="str">
            <v>Sep-16-2024</v>
          </cell>
        </row>
        <row r="3465">
          <cell r="A3465" t="str">
            <v>NPL</v>
          </cell>
          <cell r="B3465">
            <v>2009</v>
          </cell>
          <cell r="C3465" t="str">
            <v>pvprivpc</v>
          </cell>
          <cell r="D3465">
            <v>42069.984442657718</v>
          </cell>
          <cell r="F3465" t="str">
            <v>Sep-16-2024</v>
          </cell>
        </row>
        <row r="3466">
          <cell r="A3466" t="str">
            <v>NPL</v>
          </cell>
          <cell r="B3466">
            <v>2010</v>
          </cell>
          <cell r="C3466" t="str">
            <v>pvgdp</v>
          </cell>
          <cell r="D3466">
            <v>1510978.125</v>
          </cell>
          <cell r="F3466" t="str">
            <v>Sep-16-2024</v>
          </cell>
        </row>
        <row r="3467">
          <cell r="A3467" t="str">
            <v>NPL</v>
          </cell>
          <cell r="B3467">
            <v>2010</v>
          </cell>
          <cell r="C3467" t="str">
            <v>pvgdp_agriculture</v>
          </cell>
          <cell r="D3467">
            <v>482343.4375</v>
          </cell>
          <cell r="F3467" t="str">
            <v>Sep-16-2024</v>
          </cell>
        </row>
        <row r="3468">
          <cell r="A3468" t="str">
            <v>NPL</v>
          </cell>
          <cell r="B3468">
            <v>2010</v>
          </cell>
          <cell r="C3468" t="str">
            <v>pvgdp_industry</v>
          </cell>
          <cell r="D3468">
            <v>214267.171875</v>
          </cell>
          <cell r="F3468" t="str">
            <v>Sep-16-2024</v>
          </cell>
        </row>
        <row r="3469">
          <cell r="A3469" t="str">
            <v>NPL</v>
          </cell>
          <cell r="B3469">
            <v>2010</v>
          </cell>
          <cell r="C3469" t="str">
            <v>pvgdp_services</v>
          </cell>
          <cell r="D3469">
            <v>688309.375</v>
          </cell>
          <cell r="F3469" t="str">
            <v>Sep-16-2024</v>
          </cell>
        </row>
        <row r="3470">
          <cell r="A3470" t="str">
            <v>NPL</v>
          </cell>
          <cell r="B3470">
            <v>2010</v>
          </cell>
          <cell r="C3470" t="str">
            <v>pvgdppc</v>
          </cell>
          <cell r="D3470">
            <v>55629.267881625368</v>
          </cell>
          <cell r="F3470" t="str">
            <v>Sep-16-2024</v>
          </cell>
        </row>
        <row r="3471">
          <cell r="A3471" t="str">
            <v>NPL</v>
          </cell>
          <cell r="B3471">
            <v>2010</v>
          </cell>
          <cell r="C3471" t="str">
            <v>pvpop_total</v>
          </cell>
          <cell r="D3471">
            <v>27161567.687988281</v>
          </cell>
          <cell r="F3471" t="str">
            <v>Sep-16-2024</v>
          </cell>
        </row>
        <row r="3472">
          <cell r="A3472" t="str">
            <v>NPL</v>
          </cell>
          <cell r="B3472">
            <v>2010</v>
          </cell>
          <cell r="C3472" t="str">
            <v>pvpop_15up</v>
          </cell>
          <cell r="D3472">
            <v>17340396.439223159</v>
          </cell>
          <cell r="F3472" t="str">
            <v>Sep-16-2024</v>
          </cell>
        </row>
        <row r="3473">
          <cell r="A3473" t="str">
            <v>NPL</v>
          </cell>
          <cell r="B3473">
            <v>2010</v>
          </cell>
          <cell r="C3473" t="str">
            <v>pvprivpc</v>
          </cell>
          <cell r="D3473">
            <v>44470.431120739995</v>
          </cell>
          <cell r="F3473" t="str">
            <v>Sep-16-2024</v>
          </cell>
        </row>
        <row r="3474">
          <cell r="A3474" t="str">
            <v>NPL</v>
          </cell>
          <cell r="B3474">
            <v>2011</v>
          </cell>
          <cell r="C3474" t="str">
            <v>pvgdp</v>
          </cell>
          <cell r="D3474">
            <v>1559222.625</v>
          </cell>
          <cell r="F3474" t="str">
            <v>Sep-16-2024</v>
          </cell>
        </row>
        <row r="3475">
          <cell r="A3475" t="str">
            <v>NPL</v>
          </cell>
          <cell r="B3475">
            <v>2011</v>
          </cell>
          <cell r="C3475" t="str">
            <v>pvgdp_agriculture</v>
          </cell>
          <cell r="D3475">
            <v>480326.09375</v>
          </cell>
          <cell r="F3475" t="str">
            <v>Sep-16-2024</v>
          </cell>
        </row>
        <row r="3476">
          <cell r="A3476" t="str">
            <v>NPL</v>
          </cell>
          <cell r="B3476">
            <v>2011</v>
          </cell>
          <cell r="C3476" t="str">
            <v>pvgdp_industry</v>
          </cell>
          <cell r="D3476">
            <v>208834.328125</v>
          </cell>
          <cell r="F3476" t="str">
            <v>Sep-16-2024</v>
          </cell>
        </row>
        <row r="3477">
          <cell r="A3477" t="str">
            <v>NPL</v>
          </cell>
          <cell r="B3477">
            <v>2011</v>
          </cell>
          <cell r="C3477" t="str">
            <v>pvgdp_services</v>
          </cell>
          <cell r="D3477">
            <v>746912.5625</v>
          </cell>
          <cell r="F3477" t="str">
            <v>Sep-16-2024</v>
          </cell>
        </row>
        <row r="3478">
          <cell r="A3478" t="str">
            <v>NPL</v>
          </cell>
          <cell r="B3478">
            <v>2011</v>
          </cell>
          <cell r="C3478" t="str">
            <v>pvgdppc</v>
          </cell>
          <cell r="D3478">
            <v>57184.764407910043</v>
          </cell>
          <cell r="F3478" t="str">
            <v>Sep-16-2024</v>
          </cell>
        </row>
        <row r="3479">
          <cell r="A3479" t="str">
            <v>NPL</v>
          </cell>
          <cell r="B3479">
            <v>2011</v>
          </cell>
          <cell r="C3479" t="str">
            <v>pvpop_total</v>
          </cell>
          <cell r="D3479">
            <v>27266399.383544922</v>
          </cell>
          <cell r="F3479" t="str">
            <v>Sep-16-2024</v>
          </cell>
        </row>
        <row r="3480">
          <cell r="A3480" t="str">
            <v>NPL</v>
          </cell>
          <cell r="B3480">
            <v>2011</v>
          </cell>
          <cell r="C3480" t="str">
            <v>pvpop_15up</v>
          </cell>
          <cell r="D3480">
            <v>17578045.24726294</v>
          </cell>
          <cell r="F3480" t="str">
            <v>Sep-16-2024</v>
          </cell>
        </row>
        <row r="3481">
          <cell r="A3481" t="str">
            <v>NPL</v>
          </cell>
          <cell r="B3481">
            <v>2011</v>
          </cell>
          <cell r="C3481" t="str">
            <v>pvprivpc</v>
          </cell>
          <cell r="D3481">
            <v>48422.290065801375</v>
          </cell>
          <cell r="F3481" t="str">
            <v>Sep-16-2024</v>
          </cell>
        </row>
        <row r="3482">
          <cell r="A3482" t="str">
            <v>NPL</v>
          </cell>
          <cell r="B3482">
            <v>2012</v>
          </cell>
          <cell r="C3482" t="str">
            <v>pvgdp</v>
          </cell>
          <cell r="D3482">
            <v>1632040.5</v>
          </cell>
          <cell r="F3482" t="str">
            <v>Sep-16-2024</v>
          </cell>
        </row>
        <row r="3483">
          <cell r="A3483" t="str">
            <v>NPL</v>
          </cell>
          <cell r="B3483">
            <v>2012</v>
          </cell>
          <cell r="C3483" t="str">
            <v>pvgdp_agriculture</v>
          </cell>
          <cell r="D3483">
            <v>505734.6875</v>
          </cell>
          <cell r="F3483" t="str">
            <v>Sep-16-2024</v>
          </cell>
        </row>
        <row r="3484">
          <cell r="A3484" t="str">
            <v>NPL</v>
          </cell>
          <cell r="B3484">
            <v>2012</v>
          </cell>
          <cell r="C3484" t="str">
            <v>pvgdp_industry</v>
          </cell>
          <cell r="D3484">
            <v>221054.8125</v>
          </cell>
          <cell r="F3484" t="str">
            <v>Sep-16-2024</v>
          </cell>
        </row>
        <row r="3485">
          <cell r="A3485" t="str">
            <v>NPL</v>
          </cell>
          <cell r="B3485">
            <v>2012</v>
          </cell>
          <cell r="C3485" t="str">
            <v>pvgdp_services</v>
          </cell>
          <cell r="D3485">
            <v>780382.1875</v>
          </cell>
          <cell r="F3485" t="str">
            <v>Sep-16-2024</v>
          </cell>
        </row>
        <row r="3486">
          <cell r="A3486" t="str">
            <v>NPL</v>
          </cell>
          <cell r="B3486">
            <v>2012</v>
          </cell>
          <cell r="C3486" t="str">
            <v>pvgdppc</v>
          </cell>
          <cell r="D3486">
            <v>59714.564443192918</v>
          </cell>
          <cell r="F3486" t="str">
            <v>Sep-16-2024</v>
          </cell>
        </row>
        <row r="3487">
          <cell r="A3487" t="str">
            <v>NPL</v>
          </cell>
          <cell r="B3487">
            <v>2012</v>
          </cell>
          <cell r="C3487" t="str">
            <v>pvpop_total</v>
          </cell>
          <cell r="D3487">
            <v>27330694.198608398</v>
          </cell>
          <cell r="F3487" t="str">
            <v>Sep-16-2024</v>
          </cell>
        </row>
        <row r="3488">
          <cell r="A3488" t="str">
            <v>NPL</v>
          </cell>
          <cell r="B3488">
            <v>2012</v>
          </cell>
          <cell r="C3488" t="str">
            <v>pvpop_15up</v>
          </cell>
          <cell r="D3488">
            <v>17769345.129127391</v>
          </cell>
          <cell r="F3488" t="str">
            <v>Sep-16-2024</v>
          </cell>
        </row>
        <row r="3489">
          <cell r="A3489" t="str">
            <v>NPL</v>
          </cell>
          <cell r="B3489">
            <v>2012</v>
          </cell>
          <cell r="C3489" t="str">
            <v>pvprivpc</v>
          </cell>
          <cell r="D3489">
            <v>49774.655012943891</v>
          </cell>
          <cell r="F3489" t="str">
            <v>Sep-16-2024</v>
          </cell>
        </row>
        <row r="3490">
          <cell r="A3490" t="str">
            <v>NPL</v>
          </cell>
          <cell r="B3490">
            <v>2013</v>
          </cell>
          <cell r="C3490" t="str">
            <v>pvgdp</v>
          </cell>
          <cell r="D3490">
            <v>1689572.375</v>
          </cell>
          <cell r="F3490" t="str">
            <v>Sep-16-2024</v>
          </cell>
        </row>
        <row r="3491">
          <cell r="A3491" t="str">
            <v>NPL</v>
          </cell>
          <cell r="B3491">
            <v>2013</v>
          </cell>
          <cell r="C3491" t="str">
            <v>pvgdp_agriculture</v>
          </cell>
          <cell r="D3491">
            <v>512342.40625</v>
          </cell>
          <cell r="F3491" t="str">
            <v>Sep-16-2024</v>
          </cell>
        </row>
        <row r="3492">
          <cell r="A3492" t="str">
            <v>NPL</v>
          </cell>
          <cell r="B3492">
            <v>2013</v>
          </cell>
          <cell r="C3492" t="str">
            <v>pvgdp_industry</v>
          </cell>
          <cell r="D3492">
            <v>227201.515625</v>
          </cell>
          <cell r="F3492" t="str">
            <v>Sep-16-2024</v>
          </cell>
        </row>
        <row r="3493">
          <cell r="A3493" t="str">
            <v>NPL</v>
          </cell>
          <cell r="B3493">
            <v>2013</v>
          </cell>
          <cell r="C3493" t="str">
            <v>pvgdp_services</v>
          </cell>
          <cell r="D3493">
            <v>813958.4375</v>
          </cell>
          <cell r="F3493" t="str">
            <v>Sep-16-2024</v>
          </cell>
        </row>
        <row r="3494">
          <cell r="A3494" t="str">
            <v>NPL</v>
          </cell>
          <cell r="B3494">
            <v>2013</v>
          </cell>
          <cell r="C3494" t="str">
            <v>pvgdppc</v>
          </cell>
          <cell r="D3494">
            <v>61704.762224605613</v>
          </cell>
          <cell r="F3494" t="str">
            <v>Sep-16-2024</v>
          </cell>
        </row>
        <row r="3495">
          <cell r="A3495" t="str">
            <v>NPL</v>
          </cell>
          <cell r="B3495">
            <v>2013</v>
          </cell>
          <cell r="C3495" t="str">
            <v>pvpop_total</v>
          </cell>
          <cell r="D3495">
            <v>27381555.557250977</v>
          </cell>
          <cell r="F3495" t="str">
            <v>Sep-16-2024</v>
          </cell>
        </row>
        <row r="3496">
          <cell r="A3496" t="str">
            <v>NPL</v>
          </cell>
          <cell r="B3496">
            <v>2013</v>
          </cell>
          <cell r="C3496" t="str">
            <v>pvpop_15up</v>
          </cell>
          <cell r="D3496">
            <v>17941213.365127489</v>
          </cell>
          <cell r="F3496" t="str">
            <v>Sep-16-2024</v>
          </cell>
        </row>
        <row r="3497">
          <cell r="A3497" t="str">
            <v>NPL</v>
          </cell>
          <cell r="B3497">
            <v>2013</v>
          </cell>
          <cell r="C3497" t="str">
            <v>pvprivpc</v>
          </cell>
          <cell r="D3497">
            <v>50997.896999690929</v>
          </cell>
          <cell r="F3497" t="str">
            <v>Sep-16-2024</v>
          </cell>
        </row>
        <row r="3498">
          <cell r="A3498" t="str">
            <v>NPL</v>
          </cell>
          <cell r="B3498">
            <v>2014</v>
          </cell>
          <cell r="C3498" t="str">
            <v>pvgdp</v>
          </cell>
          <cell r="D3498">
            <v>1791140.75</v>
          </cell>
          <cell r="F3498" t="str">
            <v>Sep-16-2024</v>
          </cell>
        </row>
        <row r="3499">
          <cell r="A3499" t="str">
            <v>NPL</v>
          </cell>
          <cell r="B3499">
            <v>2014</v>
          </cell>
          <cell r="C3499" t="str">
            <v>pvgdp_agriculture</v>
          </cell>
          <cell r="D3499">
            <v>535329.4375</v>
          </cell>
          <cell r="F3499" t="str">
            <v>Sep-16-2024</v>
          </cell>
        </row>
        <row r="3500">
          <cell r="A3500" t="str">
            <v>NPL</v>
          </cell>
          <cell r="B3500">
            <v>2014</v>
          </cell>
          <cell r="C3500" t="str">
            <v>pvgdp_industry</v>
          </cell>
          <cell r="D3500">
            <v>244182.921875</v>
          </cell>
          <cell r="F3500" t="str">
            <v>Sep-16-2024</v>
          </cell>
        </row>
        <row r="3501">
          <cell r="A3501" t="str">
            <v>NPL</v>
          </cell>
          <cell r="B3501">
            <v>2014</v>
          </cell>
          <cell r="C3501" t="str">
            <v>pvgdp_services</v>
          </cell>
          <cell r="D3501">
            <v>863198.5</v>
          </cell>
          <cell r="F3501" t="str">
            <v>Sep-16-2024</v>
          </cell>
        </row>
        <row r="3502">
          <cell r="A3502" t="str">
            <v>NPL</v>
          </cell>
          <cell r="B3502">
            <v>2014</v>
          </cell>
          <cell r="C3502" t="str">
            <v>pvgdppc</v>
          </cell>
          <cell r="D3502">
            <v>65222.263144607125</v>
          </cell>
          <cell r="F3502" t="str">
            <v>Sep-16-2024</v>
          </cell>
        </row>
        <row r="3503">
          <cell r="A3503" t="str">
            <v>NPL</v>
          </cell>
          <cell r="B3503">
            <v>2014</v>
          </cell>
          <cell r="C3503" t="str">
            <v>pvpop_total</v>
          </cell>
          <cell r="D3503">
            <v>27462106.704711914</v>
          </cell>
          <cell r="F3503" t="str">
            <v>Sep-16-2024</v>
          </cell>
        </row>
        <row r="3504">
          <cell r="A3504" t="str">
            <v>NPL</v>
          </cell>
          <cell r="B3504">
            <v>2014</v>
          </cell>
          <cell r="C3504" t="str">
            <v>pvpop_15up</v>
          </cell>
          <cell r="D3504">
            <v>18137054.465419441</v>
          </cell>
          <cell r="F3504" t="str">
            <v>Sep-16-2024</v>
          </cell>
        </row>
        <row r="3505">
          <cell r="A3505" t="str">
            <v>NPL</v>
          </cell>
          <cell r="B3505">
            <v>2014</v>
          </cell>
          <cell r="C3505" t="str">
            <v>pvprivpc</v>
          </cell>
          <cell r="D3505">
            <v>52395.993886117794</v>
          </cell>
          <cell r="F3505" t="str">
            <v>Sep-16-2024</v>
          </cell>
        </row>
        <row r="3506">
          <cell r="A3506" t="str">
            <v>NPL</v>
          </cell>
          <cell r="B3506">
            <v>2015</v>
          </cell>
          <cell r="C3506" t="str">
            <v>pvgdp</v>
          </cell>
          <cell r="D3506">
            <v>1862357.5</v>
          </cell>
          <cell r="F3506" t="str">
            <v>Sep-16-2024</v>
          </cell>
        </row>
        <row r="3507">
          <cell r="A3507" t="str">
            <v>NPL</v>
          </cell>
          <cell r="B3507">
            <v>2015</v>
          </cell>
          <cell r="C3507" t="str">
            <v>pvgdp_agriculture</v>
          </cell>
          <cell r="D3507">
            <v>541757.9375</v>
          </cell>
          <cell r="F3507" t="str">
            <v>Sep-16-2024</v>
          </cell>
        </row>
        <row r="3508">
          <cell r="A3508" t="str">
            <v>NPL</v>
          </cell>
          <cell r="B3508">
            <v>2015</v>
          </cell>
          <cell r="C3508" t="str">
            <v>pvgdp_industry</v>
          </cell>
          <cell r="D3508">
            <v>249071.390625</v>
          </cell>
          <cell r="F3508" t="str">
            <v>Sep-16-2024</v>
          </cell>
        </row>
        <row r="3509">
          <cell r="A3509" t="str">
            <v>NPL</v>
          </cell>
          <cell r="B3509">
            <v>2015</v>
          </cell>
          <cell r="C3509" t="str">
            <v>pvgdp_services</v>
          </cell>
          <cell r="D3509">
            <v>909575.9375</v>
          </cell>
          <cell r="F3509" t="str">
            <v>Sep-16-2024</v>
          </cell>
        </row>
        <row r="3510">
          <cell r="A3510" t="str">
            <v>NPL</v>
          </cell>
          <cell r="B3510">
            <v>2015</v>
          </cell>
          <cell r="C3510" t="str">
            <v>pvgdppc</v>
          </cell>
          <cell r="D3510">
            <v>67451.48814687613</v>
          </cell>
          <cell r="F3510" t="str">
            <v>Sep-16-2024</v>
          </cell>
        </row>
        <row r="3511">
          <cell r="A3511" t="str">
            <v>NPL</v>
          </cell>
          <cell r="B3511">
            <v>2015</v>
          </cell>
          <cell r="C3511" t="str">
            <v>pvpop_total</v>
          </cell>
          <cell r="D3511">
            <v>27610324.859619141</v>
          </cell>
          <cell r="F3511" t="str">
            <v>Sep-16-2024</v>
          </cell>
        </row>
        <row r="3512">
          <cell r="A3512" t="str">
            <v>NPL</v>
          </cell>
          <cell r="B3512">
            <v>2015</v>
          </cell>
          <cell r="C3512" t="str">
            <v>pvpop_15up</v>
          </cell>
          <cell r="D3512">
            <v>18393802.906479266</v>
          </cell>
          <cell r="F3512" t="str">
            <v>Sep-16-2024</v>
          </cell>
        </row>
        <row r="3513">
          <cell r="A3513" t="str">
            <v>NPL</v>
          </cell>
          <cell r="B3513">
            <v>2015</v>
          </cell>
          <cell r="C3513" t="str">
            <v>pvprivpc</v>
          </cell>
          <cell r="D3513">
            <v>53460.689343745777</v>
          </cell>
          <cell r="F3513" t="str">
            <v>Sep-16-2024</v>
          </cell>
        </row>
        <row r="3514">
          <cell r="A3514" t="str">
            <v>NPL</v>
          </cell>
          <cell r="B3514">
            <v>2016</v>
          </cell>
          <cell r="C3514" t="str">
            <v>pvgdp</v>
          </cell>
          <cell r="D3514">
            <v>1870423.625</v>
          </cell>
          <cell r="F3514" t="str">
            <v>Sep-16-2024</v>
          </cell>
        </row>
        <row r="3515">
          <cell r="A3515" t="str">
            <v>NPL</v>
          </cell>
          <cell r="B3515">
            <v>2016</v>
          </cell>
          <cell r="C3515" t="str">
            <v>pvgdp_agriculture</v>
          </cell>
          <cell r="D3515">
            <v>541301.125</v>
          </cell>
          <cell r="F3515" t="str">
            <v>Sep-16-2024</v>
          </cell>
        </row>
        <row r="3516">
          <cell r="A3516" t="str">
            <v>NPL</v>
          </cell>
          <cell r="B3516">
            <v>2016</v>
          </cell>
          <cell r="C3516" t="str">
            <v>pvgdp_industry</v>
          </cell>
          <cell r="D3516">
            <v>238776.875</v>
          </cell>
          <cell r="F3516" t="str">
            <v>Sep-16-2024</v>
          </cell>
        </row>
        <row r="3517">
          <cell r="A3517" t="str">
            <v>NPL</v>
          </cell>
          <cell r="B3517">
            <v>2016</v>
          </cell>
          <cell r="C3517" t="str">
            <v>pvgdp_services</v>
          </cell>
          <cell r="D3517">
            <v>920370.1875</v>
          </cell>
          <cell r="F3517" t="str">
            <v>Sep-16-2024</v>
          </cell>
        </row>
        <row r="3518">
          <cell r="A3518" t="str">
            <v>NPL</v>
          </cell>
          <cell r="B3518">
            <v>2016</v>
          </cell>
          <cell r="C3518" t="str">
            <v>pvgdppc</v>
          </cell>
          <cell r="D3518">
            <v>67133.670733746898</v>
          </cell>
          <cell r="F3518" t="str">
            <v>Sep-16-2024</v>
          </cell>
        </row>
        <row r="3519">
          <cell r="A3519" t="str">
            <v>NPL</v>
          </cell>
          <cell r="B3519">
            <v>2016</v>
          </cell>
          <cell r="C3519" t="str">
            <v>pvpop_total</v>
          </cell>
          <cell r="D3519">
            <v>27861185.073852539</v>
          </cell>
          <cell r="F3519" t="str">
            <v>Sep-16-2024</v>
          </cell>
        </row>
        <row r="3520">
          <cell r="A3520" t="str">
            <v>NPL</v>
          </cell>
          <cell r="B3520">
            <v>2016</v>
          </cell>
          <cell r="C3520" t="str">
            <v>pvpop_15up</v>
          </cell>
          <cell r="D3520">
            <v>18741881.376991834</v>
          </cell>
          <cell r="F3520" t="str">
            <v>Sep-16-2024</v>
          </cell>
        </row>
        <row r="3521">
          <cell r="A3521" t="str">
            <v>NPL</v>
          </cell>
          <cell r="B3521">
            <v>2016</v>
          </cell>
          <cell r="C3521" t="str">
            <v>pvprivpc</v>
          </cell>
          <cell r="D3521">
            <v>55181.074348587026</v>
          </cell>
          <cell r="F3521" t="str">
            <v>Sep-16-2024</v>
          </cell>
        </row>
        <row r="3522">
          <cell r="A3522" t="str">
            <v>NPL</v>
          </cell>
          <cell r="B3522">
            <v>2017</v>
          </cell>
          <cell r="C3522" t="str">
            <v>pvgdp</v>
          </cell>
          <cell r="D3522">
            <v>2038336.75</v>
          </cell>
          <cell r="F3522" t="str">
            <v>Sep-16-2024</v>
          </cell>
        </row>
        <row r="3523">
          <cell r="A3523" t="str">
            <v>NPL</v>
          </cell>
          <cell r="B3523">
            <v>2017</v>
          </cell>
          <cell r="C3523" t="str">
            <v>pvgdp_agriculture</v>
          </cell>
          <cell r="D3523">
            <v>569312</v>
          </cell>
          <cell r="F3523" t="str">
            <v>Sep-16-2024</v>
          </cell>
        </row>
        <row r="3524">
          <cell r="A3524" t="str">
            <v>NPL</v>
          </cell>
          <cell r="B3524">
            <v>2017</v>
          </cell>
          <cell r="C3524" t="str">
            <v>pvgdp_industry</v>
          </cell>
          <cell r="D3524">
            <v>279697.03125</v>
          </cell>
          <cell r="F3524" t="str">
            <v>Sep-16-2024</v>
          </cell>
        </row>
        <row r="3525">
          <cell r="A3525" t="str">
            <v>NPL</v>
          </cell>
          <cell r="B3525">
            <v>2017</v>
          </cell>
          <cell r="C3525" t="str">
            <v>pvgdp_services</v>
          </cell>
          <cell r="D3525">
            <v>997497</v>
          </cell>
          <cell r="F3525" t="str">
            <v>Sep-16-2024</v>
          </cell>
        </row>
        <row r="3526">
          <cell r="A3526" t="str">
            <v>NPL</v>
          </cell>
          <cell r="B3526">
            <v>2017</v>
          </cell>
          <cell r="C3526" t="str">
            <v>pvgdppc</v>
          </cell>
          <cell r="D3526">
            <v>72323.952275789925</v>
          </cell>
          <cell r="F3526" t="str">
            <v>Sep-16-2024</v>
          </cell>
        </row>
        <row r="3527">
          <cell r="A3527" t="str">
            <v>NPL</v>
          </cell>
          <cell r="B3527">
            <v>2017</v>
          </cell>
          <cell r="C3527" t="str">
            <v>pvpop_total</v>
          </cell>
          <cell r="D3527">
            <v>28183425.903320313</v>
          </cell>
          <cell r="F3527" t="str">
            <v>Sep-16-2024</v>
          </cell>
        </row>
        <row r="3528">
          <cell r="A3528" t="str">
            <v>NPL</v>
          </cell>
          <cell r="B3528">
            <v>2017</v>
          </cell>
          <cell r="C3528" t="str">
            <v>pvpop_15up</v>
          </cell>
          <cell r="D3528">
            <v>19147712.934316184</v>
          </cell>
          <cell r="F3528" t="str">
            <v>Sep-16-2024</v>
          </cell>
        </row>
        <row r="3529">
          <cell r="A3529" t="str">
            <v>NPL</v>
          </cell>
          <cell r="B3529">
            <v>2017</v>
          </cell>
          <cell r="C3529" t="str">
            <v>pvprivpc</v>
          </cell>
          <cell r="D3529">
            <v>54979.667138956669</v>
          </cell>
          <cell r="F3529" t="str">
            <v>Sep-16-2024</v>
          </cell>
        </row>
        <row r="3530">
          <cell r="A3530" t="str">
            <v>NPL</v>
          </cell>
          <cell r="B3530">
            <v>2018</v>
          </cell>
          <cell r="C3530" t="str">
            <v>pvgdp</v>
          </cell>
          <cell r="D3530">
            <v>2193706.5</v>
          </cell>
          <cell r="F3530" t="str">
            <v>Sep-16-2024</v>
          </cell>
        </row>
        <row r="3531">
          <cell r="A3531" t="str">
            <v>NPL</v>
          </cell>
          <cell r="B3531">
            <v>2018</v>
          </cell>
          <cell r="C3531" t="str">
            <v>pvgdp_agriculture</v>
          </cell>
          <cell r="D3531">
            <v>584166.8125</v>
          </cell>
          <cell r="F3531" t="str">
            <v>Sep-16-2024</v>
          </cell>
        </row>
        <row r="3532">
          <cell r="A3532" t="str">
            <v>NPL</v>
          </cell>
          <cell r="B3532">
            <v>2018</v>
          </cell>
          <cell r="C3532" t="str">
            <v>pvgdp_industry</v>
          </cell>
          <cell r="D3532">
            <v>308686.1875</v>
          </cell>
          <cell r="F3532" t="str">
            <v>Sep-16-2024</v>
          </cell>
        </row>
        <row r="3533">
          <cell r="A3533" t="str">
            <v>NPL</v>
          </cell>
          <cell r="B3533">
            <v>2018</v>
          </cell>
          <cell r="C3533" t="str">
            <v>pvgdp_services</v>
          </cell>
          <cell r="D3533">
            <v>1089800</v>
          </cell>
          <cell r="F3533" t="str">
            <v>Sep-16-2024</v>
          </cell>
        </row>
        <row r="3534">
          <cell r="A3534" t="str">
            <v>NPL</v>
          </cell>
          <cell r="B3534">
            <v>2018</v>
          </cell>
          <cell r="C3534" t="str">
            <v>pvgdppc</v>
          </cell>
          <cell r="D3534">
            <v>76954.034652981412</v>
          </cell>
          <cell r="F3534" t="str">
            <v>Sep-16-2024</v>
          </cell>
        </row>
        <row r="3535">
          <cell r="A3535" t="str">
            <v>NPL</v>
          </cell>
          <cell r="B3535">
            <v>2018</v>
          </cell>
          <cell r="C3535" t="str">
            <v>pvpop_total</v>
          </cell>
          <cell r="D3535">
            <v>28506711.959838867</v>
          </cell>
          <cell r="F3535" t="str">
            <v>Sep-16-2024</v>
          </cell>
        </row>
        <row r="3536">
          <cell r="A3536" t="str">
            <v>NPL</v>
          </cell>
          <cell r="B3536">
            <v>2018</v>
          </cell>
          <cell r="C3536" t="str">
            <v>pvpop_15up</v>
          </cell>
          <cell r="D3536">
            <v>19550411.972456776</v>
          </cell>
          <cell r="F3536" t="str">
            <v>Sep-16-2024</v>
          </cell>
        </row>
        <row r="3537">
          <cell r="A3537" t="str">
            <v>NPL</v>
          </cell>
          <cell r="B3537">
            <v>2018</v>
          </cell>
          <cell r="C3537" t="str">
            <v>pvprivpc</v>
          </cell>
          <cell r="D3537">
            <v>57709.847502500212</v>
          </cell>
          <cell r="F3537" t="str">
            <v>Sep-16-2024</v>
          </cell>
        </row>
        <row r="3538">
          <cell r="A3538" t="str">
            <v>NPL</v>
          </cell>
          <cell r="B3538">
            <v>2019</v>
          </cell>
          <cell r="C3538" t="str">
            <v>pvgdp</v>
          </cell>
          <cell r="D3538">
            <v>2339742.75</v>
          </cell>
          <cell r="F3538" t="str">
            <v>Sep-16-2024</v>
          </cell>
        </row>
        <row r="3539">
          <cell r="A3539" t="str">
            <v>NPL</v>
          </cell>
          <cell r="B3539">
            <v>2019</v>
          </cell>
          <cell r="C3539" t="str">
            <v>pvgdp_agriculture</v>
          </cell>
          <cell r="D3539">
            <v>614291.875</v>
          </cell>
          <cell r="F3539" t="str">
            <v>Sep-16-2024</v>
          </cell>
        </row>
        <row r="3540">
          <cell r="A3540" t="str">
            <v>NPL</v>
          </cell>
          <cell r="B3540">
            <v>2019</v>
          </cell>
          <cell r="C3540" t="str">
            <v>pvgdp_industry</v>
          </cell>
          <cell r="D3540">
            <v>331465.09375</v>
          </cell>
          <cell r="F3540" t="str">
            <v>Sep-16-2024</v>
          </cell>
        </row>
        <row r="3541">
          <cell r="A3541" t="str">
            <v>NPL</v>
          </cell>
          <cell r="B3541">
            <v>2019</v>
          </cell>
          <cell r="C3541" t="str">
            <v>pvgdp_services</v>
          </cell>
          <cell r="D3541">
            <v>1163506.125</v>
          </cell>
          <cell r="F3541" t="str">
            <v>Sep-16-2024</v>
          </cell>
        </row>
        <row r="3542">
          <cell r="A3542" t="str">
            <v>NPL</v>
          </cell>
          <cell r="B3542">
            <v>2019</v>
          </cell>
          <cell r="C3542" t="str">
            <v>pvgdppc</v>
          </cell>
          <cell r="D3542">
            <v>81149.502208046135</v>
          </cell>
          <cell r="F3542" t="str">
            <v>Sep-16-2024</v>
          </cell>
        </row>
        <row r="3543">
          <cell r="A3543" t="str">
            <v>NPL</v>
          </cell>
          <cell r="B3543">
            <v>2019</v>
          </cell>
          <cell r="C3543" t="str">
            <v>pvpop_total</v>
          </cell>
          <cell r="D3543">
            <v>28832496.643066406</v>
          </cell>
          <cell r="F3543" t="str">
            <v>Sep-16-2024</v>
          </cell>
        </row>
        <row r="3544">
          <cell r="A3544" t="str">
            <v>NPL</v>
          </cell>
          <cell r="B3544">
            <v>2019</v>
          </cell>
          <cell r="C3544" t="str">
            <v>pvpop_15up</v>
          </cell>
          <cell r="D3544">
            <v>19949482.444943845</v>
          </cell>
          <cell r="F3544" t="str">
            <v>Sep-16-2024</v>
          </cell>
        </row>
        <row r="3545">
          <cell r="A3545" t="str">
            <v>NPL</v>
          </cell>
          <cell r="B3545">
            <v>2019</v>
          </cell>
          <cell r="C3545" t="str">
            <v>pvprivpc</v>
          </cell>
          <cell r="D3545">
            <v>61701.971113480264</v>
          </cell>
          <cell r="F3545" t="str">
            <v>Sep-16-2024</v>
          </cell>
        </row>
        <row r="3546">
          <cell r="A3546" t="str">
            <v>NPL</v>
          </cell>
          <cell r="B3546">
            <v>2020</v>
          </cell>
          <cell r="C3546" t="str">
            <v>pvgdp</v>
          </cell>
          <cell r="D3546">
            <v>2284299.75</v>
          </cell>
          <cell r="F3546" t="str">
            <v>Sep-16-2024</v>
          </cell>
        </row>
        <row r="3547">
          <cell r="A3547" t="str">
            <v>NPL</v>
          </cell>
          <cell r="B3547">
            <v>2020</v>
          </cell>
          <cell r="C3547" t="str">
            <v>pvgdp_agriculture</v>
          </cell>
          <cell r="D3547">
            <v>629229.375</v>
          </cell>
          <cell r="F3547" t="str">
            <v>Sep-16-2024</v>
          </cell>
        </row>
        <row r="3548">
          <cell r="A3548" t="str">
            <v>NPL</v>
          </cell>
          <cell r="B3548">
            <v>2020</v>
          </cell>
          <cell r="C3548" t="str">
            <v>pvgdp_industry</v>
          </cell>
          <cell r="D3548">
            <v>318128.71875</v>
          </cell>
          <cell r="F3548" t="str">
            <v>Sep-16-2024</v>
          </cell>
        </row>
        <row r="3549">
          <cell r="A3549" t="str">
            <v>NPL</v>
          </cell>
          <cell r="B3549">
            <v>2020</v>
          </cell>
          <cell r="C3549" t="str">
            <v>pvgdp_services</v>
          </cell>
          <cell r="D3549">
            <v>1110791.25</v>
          </cell>
          <cell r="F3549" t="str">
            <v>Sep-16-2024</v>
          </cell>
        </row>
        <row r="3550">
          <cell r="A3550" t="str">
            <v>NPL</v>
          </cell>
          <cell r="B3550">
            <v>2020</v>
          </cell>
          <cell r="C3550" t="str">
            <v>pvgdppc</v>
          </cell>
          <cell r="D3550">
            <v>77833.274550106245</v>
          </cell>
          <cell r="F3550" t="str">
            <v>Sep-16-2024</v>
          </cell>
        </row>
        <row r="3551">
          <cell r="A3551" t="str">
            <v>NPL</v>
          </cell>
          <cell r="B3551">
            <v>2020</v>
          </cell>
          <cell r="C3551" t="str">
            <v>pvpop_total</v>
          </cell>
          <cell r="D3551">
            <v>29348627.090454102</v>
          </cell>
          <cell r="F3551" t="str">
            <v>Sep-16-2024</v>
          </cell>
        </row>
        <row r="3552">
          <cell r="A3552" t="str">
            <v>NPL</v>
          </cell>
          <cell r="B3552">
            <v>2020</v>
          </cell>
          <cell r="C3552" t="str">
            <v>pvpop_15up</v>
          </cell>
          <cell r="D3552">
            <v>20510029.06321305</v>
          </cell>
          <cell r="F3552" t="str">
            <v>Sep-16-2024</v>
          </cell>
        </row>
        <row r="3553">
          <cell r="A3553" t="str">
            <v>NPL</v>
          </cell>
          <cell r="B3553">
            <v>2020</v>
          </cell>
          <cell r="C3553" t="str">
            <v>pvprivpc</v>
          </cell>
          <cell r="D3553">
            <v>62796.689580053673</v>
          </cell>
          <cell r="F3553" t="str">
            <v>Sep-16-2024</v>
          </cell>
        </row>
        <row r="3554">
          <cell r="A3554" t="str">
            <v>NPL</v>
          </cell>
          <cell r="B3554">
            <v>2021</v>
          </cell>
          <cell r="C3554" t="str">
            <v>pvgdp</v>
          </cell>
          <cell r="D3554">
            <v>2394817.5</v>
          </cell>
          <cell r="F3554" t="str">
            <v>Sep-16-2024</v>
          </cell>
        </row>
        <row r="3555">
          <cell r="A3555" t="str">
            <v>NPL</v>
          </cell>
          <cell r="B3555">
            <v>2021</v>
          </cell>
          <cell r="C3555" t="str">
            <v>pvgdp_agriculture</v>
          </cell>
          <cell r="D3555">
            <v>647153.625</v>
          </cell>
          <cell r="F3555" t="str">
            <v>Sep-16-2024</v>
          </cell>
        </row>
        <row r="3556">
          <cell r="A3556" t="str">
            <v>NPL</v>
          </cell>
          <cell r="B3556">
            <v>2021</v>
          </cell>
          <cell r="C3556" t="str">
            <v>pvgdp_industry</v>
          </cell>
          <cell r="D3556">
            <v>340226.78125</v>
          </cell>
          <cell r="F3556" t="str">
            <v>Sep-16-2024</v>
          </cell>
        </row>
        <row r="3557">
          <cell r="A3557" t="str">
            <v>NPL</v>
          </cell>
          <cell r="B3557">
            <v>2021</v>
          </cell>
          <cell r="C3557" t="str">
            <v>pvgdp_services</v>
          </cell>
          <cell r="D3557">
            <v>1163117</v>
          </cell>
          <cell r="F3557" t="str">
            <v>Sep-16-2024</v>
          </cell>
        </row>
        <row r="3558">
          <cell r="A3558" t="str">
            <v>NPL</v>
          </cell>
          <cell r="B3558">
            <v>2021</v>
          </cell>
          <cell r="C3558" t="str">
            <v>pvgdppc</v>
          </cell>
          <cell r="D3558">
            <v>79734.25752131328</v>
          </cell>
          <cell r="F3558" t="str">
            <v>Sep-16-2024</v>
          </cell>
        </row>
        <row r="3559">
          <cell r="A3559" t="str">
            <v>NPL</v>
          </cell>
          <cell r="B3559">
            <v>2021</v>
          </cell>
          <cell r="C3559" t="str">
            <v>pvpop_total</v>
          </cell>
          <cell r="D3559">
            <v>30034988.403320313</v>
          </cell>
          <cell r="F3559" t="str">
            <v>Sep-16-2024</v>
          </cell>
        </row>
        <row r="3560">
          <cell r="A3560" t="str">
            <v>NPL</v>
          </cell>
          <cell r="B3560">
            <v>2021</v>
          </cell>
          <cell r="C3560" t="str">
            <v>pvpop_15up</v>
          </cell>
          <cell r="D3560">
            <v>21207154.578695413</v>
          </cell>
          <cell r="F3560" t="str">
            <v>Sep-16-2024</v>
          </cell>
        </row>
        <row r="3561">
          <cell r="A3561" t="str">
            <v>NPL</v>
          </cell>
          <cell r="B3561">
            <v>2021</v>
          </cell>
          <cell r="C3561" t="str">
            <v>pvprivpc</v>
          </cell>
          <cell r="D3561">
            <v>66250.312744586525</v>
          </cell>
          <cell r="F3561" t="str">
            <v>Sep-16-2024</v>
          </cell>
        </row>
        <row r="3562">
          <cell r="A3562" t="str">
            <v>NPL</v>
          </cell>
          <cell r="B3562">
            <v>2022</v>
          </cell>
          <cell r="C3562" t="str">
            <v>pvgdp</v>
          </cell>
          <cell r="D3562">
            <v>2529677.25</v>
          </cell>
          <cell r="F3562" t="str">
            <v>Sep-16-2024</v>
          </cell>
        </row>
        <row r="3563">
          <cell r="A3563" t="str">
            <v>NPL</v>
          </cell>
          <cell r="B3563">
            <v>2022</v>
          </cell>
          <cell r="C3563" t="str">
            <v>pvgdp_agriculture</v>
          </cell>
          <cell r="D3563">
            <v>662371.8125</v>
          </cell>
          <cell r="F3563" t="str">
            <v>Sep-16-2024</v>
          </cell>
        </row>
        <row r="3564">
          <cell r="A3564" t="str">
            <v>NPL</v>
          </cell>
          <cell r="B3564">
            <v>2022</v>
          </cell>
          <cell r="C3564" t="str">
            <v>pvgdp_industry</v>
          </cell>
          <cell r="D3564">
            <v>376647.09375</v>
          </cell>
          <cell r="F3564" t="str">
            <v>Sep-16-2024</v>
          </cell>
        </row>
        <row r="3565">
          <cell r="A3565" t="str">
            <v>NPL</v>
          </cell>
          <cell r="B3565">
            <v>2022</v>
          </cell>
          <cell r="C3565" t="str">
            <v>pvgdp_services</v>
          </cell>
          <cell r="D3565">
            <v>1224960.125</v>
          </cell>
          <cell r="F3565" t="str">
            <v>Sep-16-2024</v>
          </cell>
        </row>
        <row r="3566">
          <cell r="A3566" t="str">
            <v>NPL</v>
          </cell>
          <cell r="B3566">
            <v>2022</v>
          </cell>
          <cell r="C3566" t="str">
            <v>pvgdppc</v>
          </cell>
          <cell r="D3566">
            <v>82811.050513963462</v>
          </cell>
          <cell r="F3566" t="str">
            <v>Sep-16-2024</v>
          </cell>
        </row>
        <row r="3567">
          <cell r="A3567" t="str">
            <v>NPL</v>
          </cell>
          <cell r="B3567">
            <v>2022</v>
          </cell>
          <cell r="C3567" t="str">
            <v>pvpop_total</v>
          </cell>
          <cell r="D3567">
            <v>30547580.718994141</v>
          </cell>
          <cell r="F3567" t="str">
            <v>Sep-16-2024</v>
          </cell>
        </row>
        <row r="3568">
          <cell r="A3568" t="str">
            <v>NPL</v>
          </cell>
          <cell r="B3568">
            <v>2022</v>
          </cell>
          <cell r="C3568" t="str">
            <v>pvpop_15up</v>
          </cell>
          <cell r="D3568">
            <v>21724139.511318035</v>
          </cell>
          <cell r="F3568" t="str">
            <v>Sep-16-2024</v>
          </cell>
        </row>
        <row r="3569">
          <cell r="A3569" t="str">
            <v>NPL</v>
          </cell>
          <cell r="B3569">
            <v>2022</v>
          </cell>
          <cell r="C3569" t="str">
            <v>pvprivpc</v>
          </cell>
          <cell r="D3569">
            <v>69588.334001135139</v>
          </cell>
          <cell r="F3569" t="str">
            <v>Sep-16-2024</v>
          </cell>
        </row>
        <row r="3570">
          <cell r="A3570" t="str">
            <v>NPL</v>
          </cell>
          <cell r="B3570">
            <v>2023</v>
          </cell>
          <cell r="C3570" t="str">
            <v>pvgdp</v>
          </cell>
          <cell r="D3570">
            <v>2579070.25</v>
          </cell>
          <cell r="F3570" t="str">
            <v>Sep-16-2024</v>
          </cell>
        </row>
        <row r="3571">
          <cell r="A3571" t="str">
            <v>NPL</v>
          </cell>
          <cell r="B3571">
            <v>2023</v>
          </cell>
          <cell r="C3571" t="str">
            <v>pvgdp_agriculture</v>
          </cell>
          <cell r="D3571">
            <v>680666.9375</v>
          </cell>
          <cell r="F3571" t="str">
            <v>Sep-16-2024</v>
          </cell>
        </row>
        <row r="3572">
          <cell r="A3572" t="str">
            <v>NPL</v>
          </cell>
          <cell r="B3572">
            <v>2023</v>
          </cell>
          <cell r="C3572" t="str">
            <v>pvgdp_industry</v>
          </cell>
          <cell r="D3572">
            <v>381838.96875</v>
          </cell>
          <cell r="F3572" t="str">
            <v>Sep-16-2024</v>
          </cell>
        </row>
        <row r="3573">
          <cell r="A3573" t="str">
            <v>NPL</v>
          </cell>
          <cell r="B3573">
            <v>2023</v>
          </cell>
          <cell r="C3573" t="str">
            <v>pvgdp_services</v>
          </cell>
          <cell r="D3573">
            <v>1253829.625</v>
          </cell>
          <cell r="F3573" t="str">
            <v>Sep-16-2024</v>
          </cell>
        </row>
        <row r="3574">
          <cell r="A3574" t="str">
            <v>NPL</v>
          </cell>
          <cell r="B3574">
            <v>2023</v>
          </cell>
          <cell r="C3574" t="str">
            <v>pvgdppc</v>
          </cell>
          <cell r="D3574">
            <v>83474.270467076058</v>
          </cell>
          <cell r="F3574" t="str">
            <v>Sep-16-2024</v>
          </cell>
        </row>
        <row r="3575">
          <cell r="A3575" t="str">
            <v>NPL</v>
          </cell>
          <cell r="B3575">
            <v>2023</v>
          </cell>
          <cell r="C3575" t="str">
            <v>pvpop_total</v>
          </cell>
          <cell r="D3575">
            <v>30896589.279174805</v>
          </cell>
          <cell r="F3575" t="str">
            <v>Sep-16-2024</v>
          </cell>
        </row>
        <row r="3576">
          <cell r="A3576" t="str">
            <v>NPL</v>
          </cell>
          <cell r="B3576">
            <v>2023</v>
          </cell>
          <cell r="C3576" t="str">
            <v>pvpop_15up</v>
          </cell>
          <cell r="D3576">
            <v>22077587.484924331</v>
          </cell>
          <cell r="F3576" t="str">
            <v>Sep-16-2024</v>
          </cell>
        </row>
        <row r="3577">
          <cell r="A3577" t="str">
            <v>NPL</v>
          </cell>
          <cell r="B3577">
            <v>2023</v>
          </cell>
          <cell r="C3577" t="str">
            <v>pvprivpc</v>
          </cell>
          <cell r="D3577">
            <v>69287.275713728086</v>
          </cell>
          <cell r="F3577" t="str">
            <v>Sep-16-2024</v>
          </cell>
        </row>
        <row r="3578">
          <cell r="A3578" t="str">
            <v>NPL</v>
          </cell>
          <cell r="B3578">
            <v>2024</v>
          </cell>
          <cell r="C3578" t="str">
            <v>pvgdp</v>
          </cell>
          <cell r="D3578">
            <v>2678836.25</v>
          </cell>
          <cell r="F3578" t="str">
            <v>Sep-16-2024</v>
          </cell>
        </row>
        <row r="3579">
          <cell r="A3579" t="str">
            <v>NPL</v>
          </cell>
          <cell r="B3579">
            <v>2024</v>
          </cell>
          <cell r="C3579" t="str">
            <v>pvgdp_agriculture</v>
          </cell>
          <cell r="D3579">
            <v>701396.4375</v>
          </cell>
          <cell r="F3579" t="str">
            <v>Sep-16-2024</v>
          </cell>
        </row>
        <row r="3580">
          <cell r="A3580" t="str">
            <v>NPL</v>
          </cell>
          <cell r="B3580">
            <v>2024</v>
          </cell>
          <cell r="C3580" t="str">
            <v>pvgdp_industry</v>
          </cell>
          <cell r="D3580">
            <v>386623.4375</v>
          </cell>
          <cell r="F3580" t="str">
            <v>Sep-16-2024</v>
          </cell>
        </row>
        <row r="3581">
          <cell r="A3581" t="str">
            <v>NPL</v>
          </cell>
          <cell r="B3581">
            <v>2024</v>
          </cell>
          <cell r="C3581" t="str">
            <v>pvgdp_services</v>
          </cell>
          <cell r="D3581">
            <v>1310306.25</v>
          </cell>
          <cell r="F3581" t="str">
            <v>Sep-16-2024</v>
          </cell>
        </row>
        <row r="3582">
          <cell r="A3582" t="str">
            <v>NPL</v>
          </cell>
          <cell r="B3582">
            <v>2024</v>
          </cell>
          <cell r="C3582" t="str">
            <v>pvgdppc</v>
          </cell>
          <cell r="D3582">
            <v>85749.336851350774</v>
          </cell>
          <cell r="F3582" t="str">
            <v>Sep-16-2024</v>
          </cell>
        </row>
        <row r="3583">
          <cell r="A3583" t="str">
            <v>NPL</v>
          </cell>
          <cell r="B3583">
            <v>2024</v>
          </cell>
          <cell r="C3583" t="str">
            <v>pvpop_total</v>
          </cell>
          <cell r="D3583">
            <v>31240314.483642578</v>
          </cell>
          <cell r="F3583" t="str">
            <v>Sep-16-2024</v>
          </cell>
        </row>
        <row r="3584">
          <cell r="A3584" t="str">
            <v>NPL</v>
          </cell>
          <cell r="B3584">
            <v>2024</v>
          </cell>
          <cell r="C3584" t="str">
            <v>pvpop_15up</v>
          </cell>
          <cell r="D3584">
            <v>22418569.62945332</v>
          </cell>
          <cell r="F3584" t="str">
            <v>Sep-16-2024</v>
          </cell>
        </row>
        <row r="3585">
          <cell r="A3585" t="str">
            <v>NPL</v>
          </cell>
          <cell r="B3585">
            <v>2024</v>
          </cell>
          <cell r="C3585" t="str">
            <v>pvprivpc</v>
          </cell>
          <cell r="D3585">
            <v>69263.179188960057</v>
          </cell>
          <cell r="F3585" t="str">
            <v>Sep-16-2024</v>
          </cell>
        </row>
        <row r="3586">
          <cell r="A3586" t="str">
            <v>NPL</v>
          </cell>
          <cell r="B3586">
            <v>2025</v>
          </cell>
          <cell r="C3586" t="str">
            <v>pvgdp</v>
          </cell>
          <cell r="D3586">
            <v>2815456.75</v>
          </cell>
          <cell r="F3586" t="str">
            <v>Sep-16-2024</v>
          </cell>
        </row>
        <row r="3587">
          <cell r="A3587" t="str">
            <v>NPL</v>
          </cell>
          <cell r="B3587">
            <v>2025</v>
          </cell>
          <cell r="C3587" t="str">
            <v>pvgdp_agriculture</v>
          </cell>
          <cell r="D3587">
            <v>724542.5625</v>
          </cell>
          <cell r="F3587" t="str">
            <v>Sep-16-2024</v>
          </cell>
        </row>
        <row r="3588">
          <cell r="A3588" t="str">
            <v>NPL</v>
          </cell>
          <cell r="B3588">
            <v>2025</v>
          </cell>
          <cell r="C3588" t="str">
            <v>pvgdp_industry</v>
          </cell>
          <cell r="D3588">
            <v>405568</v>
          </cell>
          <cell r="F3588" t="str">
            <v>Sep-16-2024</v>
          </cell>
        </row>
        <row r="3589">
          <cell r="A3589" t="str">
            <v>NPL</v>
          </cell>
          <cell r="B3589">
            <v>2025</v>
          </cell>
          <cell r="C3589" t="str">
            <v>pvgdp_services</v>
          </cell>
          <cell r="D3589">
            <v>1390530.25</v>
          </cell>
          <cell r="F3589" t="str">
            <v>Sep-16-2024</v>
          </cell>
        </row>
        <row r="3590">
          <cell r="A3590" t="str">
            <v>NPL</v>
          </cell>
          <cell r="B3590">
            <v>2025</v>
          </cell>
          <cell r="C3590" t="str">
            <v>pvgdppc</v>
          </cell>
          <cell r="D3590">
            <v>89160.611790876472</v>
          </cell>
          <cell r="F3590" t="str">
            <v>Sep-16-2024</v>
          </cell>
        </row>
        <row r="3591">
          <cell r="A3591" t="str">
            <v>NPL</v>
          </cell>
          <cell r="B3591">
            <v>2025</v>
          </cell>
          <cell r="C3591" t="str">
            <v>pvpop_total</v>
          </cell>
          <cell r="D3591">
            <v>31577360.153198242</v>
          </cell>
          <cell r="F3591" t="str">
            <v>Sep-16-2024</v>
          </cell>
        </row>
        <row r="3592">
          <cell r="A3592" t="str">
            <v>NPL</v>
          </cell>
          <cell r="B3592">
            <v>2025</v>
          </cell>
          <cell r="C3592" t="str">
            <v>pvpop_15up</v>
          </cell>
          <cell r="D3592">
            <v>22749929.389921129</v>
          </cell>
          <cell r="F3592" t="str">
            <v>Sep-16-2024</v>
          </cell>
        </row>
        <row r="3593">
          <cell r="A3593" t="str">
            <v>NPL</v>
          </cell>
          <cell r="B3593">
            <v>2025</v>
          </cell>
          <cell r="C3593" t="str">
            <v>pvprivpc</v>
          </cell>
          <cell r="D3593">
            <v>69757.319462846208</v>
          </cell>
          <cell r="F3593" t="str">
            <v>Sep-16-2024</v>
          </cell>
        </row>
        <row r="3594">
          <cell r="A3594" t="str">
            <v>NPL</v>
          </cell>
          <cell r="B3594">
            <v>2026</v>
          </cell>
          <cell r="C3594" t="str">
            <v>pvgdp</v>
          </cell>
          <cell r="D3594">
            <v>2970307</v>
          </cell>
          <cell r="F3594" t="str">
            <v>Sep-16-2024</v>
          </cell>
        </row>
        <row r="3595">
          <cell r="A3595" t="str">
            <v>NPL</v>
          </cell>
          <cell r="B3595">
            <v>2026</v>
          </cell>
          <cell r="C3595" t="str">
            <v>pvgdp_agriculture</v>
          </cell>
          <cell r="D3595">
            <v>749177</v>
          </cell>
          <cell r="F3595" t="str">
            <v>Sep-16-2024</v>
          </cell>
        </row>
        <row r="3596">
          <cell r="A3596" t="str">
            <v>NPL</v>
          </cell>
          <cell r="B3596">
            <v>2026</v>
          </cell>
          <cell r="C3596" t="str">
            <v>pvgdp_industry</v>
          </cell>
          <cell r="D3596">
            <v>435985.59375</v>
          </cell>
          <cell r="F3596" t="str">
            <v>Sep-16-2024</v>
          </cell>
        </row>
        <row r="3597">
          <cell r="A3597" t="str">
            <v>NPL</v>
          </cell>
          <cell r="B3597">
            <v>2026</v>
          </cell>
          <cell r="C3597" t="str">
            <v>pvgdp_services</v>
          </cell>
          <cell r="D3597">
            <v>1474113.5</v>
          </cell>
          <cell r="F3597" t="str">
            <v>Sep-16-2024</v>
          </cell>
        </row>
        <row r="3598">
          <cell r="A3598" t="str">
            <v>NPL</v>
          </cell>
          <cell r="B3598">
            <v>2026</v>
          </cell>
          <cell r="C3598" t="str">
            <v>pvgdppc</v>
          </cell>
          <cell r="D3598">
            <v>93092.445112419868</v>
          </cell>
          <cell r="F3598" t="str">
            <v>Sep-16-2024</v>
          </cell>
        </row>
        <row r="3599">
          <cell r="A3599" t="str">
            <v>NPL</v>
          </cell>
          <cell r="B3599">
            <v>2026</v>
          </cell>
          <cell r="C3599" t="str">
            <v>pvpop_total</v>
          </cell>
          <cell r="D3599">
            <v>31907068.252563477</v>
          </cell>
          <cell r="F3599" t="str">
            <v>Sep-16-2024</v>
          </cell>
        </row>
        <row r="3600">
          <cell r="A3600" t="str">
            <v>NPL</v>
          </cell>
          <cell r="B3600">
            <v>2026</v>
          </cell>
          <cell r="C3600" t="str">
            <v>pvpop_15up</v>
          </cell>
          <cell r="D3600">
            <v>23075926.01299068</v>
          </cell>
          <cell r="F3600" t="str">
            <v>Sep-16-2024</v>
          </cell>
        </row>
        <row r="3601">
          <cell r="A3601" t="str">
            <v>NPL</v>
          </cell>
          <cell r="B3601">
            <v>2026</v>
          </cell>
          <cell r="C3601" t="str">
            <v>pvprivpc</v>
          </cell>
          <cell r="D3601">
            <v>71038.546445516637</v>
          </cell>
          <cell r="F3601" t="str">
            <v>Sep-16-2024</v>
          </cell>
        </row>
        <row r="3602">
          <cell r="A3602" t="str">
            <v>PAK</v>
          </cell>
          <cell r="B3602">
            <v>2006</v>
          </cell>
          <cell r="C3602" t="str">
            <v>pvgdp</v>
          </cell>
          <cell r="D3602">
            <v>23897596</v>
          </cell>
          <cell r="F3602" t="str">
            <v>Sep-16-2024</v>
          </cell>
        </row>
        <row r="3603">
          <cell r="A3603" t="str">
            <v>PAK</v>
          </cell>
          <cell r="B3603">
            <v>2006</v>
          </cell>
          <cell r="C3603" t="str">
            <v>pvgdp_agriculture</v>
          </cell>
          <cell r="D3603">
            <v>6103888</v>
          </cell>
          <cell r="F3603" t="str">
            <v>Sep-16-2024</v>
          </cell>
        </row>
        <row r="3604">
          <cell r="A3604" t="str">
            <v>PAK</v>
          </cell>
          <cell r="B3604">
            <v>2006</v>
          </cell>
          <cell r="C3604" t="str">
            <v>pvgdp_industry</v>
          </cell>
          <cell r="D3604">
            <v>4329873.5</v>
          </cell>
          <cell r="F3604" t="str">
            <v>Sep-16-2024</v>
          </cell>
        </row>
        <row r="3605">
          <cell r="A3605" t="str">
            <v>PAK</v>
          </cell>
          <cell r="B3605">
            <v>2006</v>
          </cell>
          <cell r="C3605" t="str">
            <v>pvgdp_services</v>
          </cell>
          <cell r="D3605">
            <v>12404422</v>
          </cell>
          <cell r="F3605" t="str">
            <v>Sep-16-2024</v>
          </cell>
        </row>
        <row r="3606">
          <cell r="A3606" t="str">
            <v>PAK</v>
          </cell>
          <cell r="B3606">
            <v>2006</v>
          </cell>
          <cell r="C3606" t="str">
            <v>pvgdppc</v>
          </cell>
          <cell r="D3606">
            <v>131359.95459515767</v>
          </cell>
          <cell r="F3606" t="str">
            <v>Sep-16-2024</v>
          </cell>
        </row>
        <row r="3607">
          <cell r="A3607" t="str">
            <v>PAK</v>
          </cell>
          <cell r="B3607">
            <v>2006</v>
          </cell>
          <cell r="C3607" t="str">
            <v>pvpop_total</v>
          </cell>
          <cell r="D3607">
            <v>181924514.77050781</v>
          </cell>
          <cell r="F3607" t="str">
            <v>Sep-16-2024</v>
          </cell>
        </row>
        <row r="3608">
          <cell r="A3608" t="str">
            <v>PAK</v>
          </cell>
          <cell r="B3608">
            <v>2006</v>
          </cell>
          <cell r="C3608" t="str">
            <v>pvpop_15up</v>
          </cell>
          <cell r="D3608">
            <v>107883122.6946335</v>
          </cell>
          <cell r="F3608" t="str">
            <v>Sep-16-2024</v>
          </cell>
        </row>
        <row r="3609">
          <cell r="A3609" t="str">
            <v>PAK</v>
          </cell>
          <cell r="B3609">
            <v>2006</v>
          </cell>
          <cell r="C3609" t="str">
            <v>pvprivpc</v>
          </cell>
          <cell r="D3609">
            <v>106144.90314490834</v>
          </cell>
          <cell r="F3609" t="str">
            <v>Sep-16-2024</v>
          </cell>
        </row>
        <row r="3610">
          <cell r="A3610" t="str">
            <v>PAK</v>
          </cell>
          <cell r="B3610">
            <v>2007</v>
          </cell>
          <cell r="C3610" t="str">
            <v>pvgdp</v>
          </cell>
          <cell r="D3610">
            <v>24404330</v>
          </cell>
          <cell r="F3610" t="str">
            <v>Sep-16-2024</v>
          </cell>
        </row>
        <row r="3611">
          <cell r="A3611" t="str">
            <v>PAK</v>
          </cell>
          <cell r="B3611">
            <v>2007</v>
          </cell>
          <cell r="C3611" t="str">
            <v>pvgdp_agriculture</v>
          </cell>
          <cell r="D3611">
            <v>6153614.5</v>
          </cell>
          <cell r="F3611" t="str">
            <v>Sep-16-2024</v>
          </cell>
        </row>
        <row r="3612">
          <cell r="A3612" t="str">
            <v>PAK</v>
          </cell>
          <cell r="B3612">
            <v>2007</v>
          </cell>
          <cell r="C3612" t="str">
            <v>pvgdp_industry</v>
          </cell>
          <cell r="D3612">
            <v>4709885.5</v>
          </cell>
          <cell r="F3612" t="str">
            <v>Sep-16-2024</v>
          </cell>
        </row>
        <row r="3613">
          <cell r="A3613" t="str">
            <v>PAK</v>
          </cell>
          <cell r="B3613">
            <v>2007</v>
          </cell>
          <cell r="C3613" t="str">
            <v>pvgdp_services</v>
          </cell>
          <cell r="D3613">
            <v>12989820</v>
          </cell>
          <cell r="F3613" t="str">
            <v>Sep-16-2024</v>
          </cell>
        </row>
        <row r="3614">
          <cell r="A3614" t="str">
            <v>PAK</v>
          </cell>
          <cell r="B3614">
            <v>2007</v>
          </cell>
          <cell r="C3614" t="str">
            <v>pvgdppc</v>
          </cell>
          <cell r="D3614">
            <v>131254.08811334567</v>
          </cell>
          <cell r="F3614" t="str">
            <v>Sep-16-2024</v>
          </cell>
        </row>
        <row r="3615">
          <cell r="A3615" t="str">
            <v>PAK</v>
          </cell>
          <cell r="B3615">
            <v>2007</v>
          </cell>
          <cell r="C3615" t="str">
            <v>pvpop_total</v>
          </cell>
          <cell r="D3615">
            <v>185931961.05957031</v>
          </cell>
          <cell r="F3615" t="str">
            <v>Sep-16-2024</v>
          </cell>
        </row>
        <row r="3616">
          <cell r="A3616" t="str">
            <v>PAK</v>
          </cell>
          <cell r="B3616">
            <v>2007</v>
          </cell>
          <cell r="C3616" t="str">
            <v>pvpop_15up</v>
          </cell>
          <cell r="D3616">
            <v>110991480.3291551</v>
          </cell>
          <cell r="F3616" t="str">
            <v>Sep-16-2024</v>
          </cell>
        </row>
        <row r="3617">
          <cell r="A3617" t="str">
            <v>PAK</v>
          </cell>
          <cell r="B3617">
            <v>2007</v>
          </cell>
          <cell r="C3617" t="str">
            <v>pvprivpc</v>
          </cell>
          <cell r="D3617">
            <v>105606.5556889866</v>
          </cell>
          <cell r="F3617" t="str">
            <v>Sep-16-2024</v>
          </cell>
        </row>
        <row r="3618">
          <cell r="A3618" t="str">
            <v>PAK</v>
          </cell>
          <cell r="B3618">
            <v>2008</v>
          </cell>
          <cell r="C3618" t="str">
            <v>pvgdp</v>
          </cell>
          <cell r="D3618">
            <v>25251782</v>
          </cell>
          <cell r="F3618" t="str">
            <v>Sep-16-2024</v>
          </cell>
        </row>
        <row r="3619">
          <cell r="A3619" t="str">
            <v>PAK</v>
          </cell>
          <cell r="B3619">
            <v>2008</v>
          </cell>
          <cell r="C3619" t="str">
            <v>pvgdp_agriculture</v>
          </cell>
          <cell r="D3619">
            <v>6363627</v>
          </cell>
          <cell r="F3619" t="str">
            <v>Sep-16-2024</v>
          </cell>
        </row>
        <row r="3620">
          <cell r="A3620" t="str">
            <v>PAK</v>
          </cell>
          <cell r="B3620">
            <v>2008</v>
          </cell>
          <cell r="C3620" t="str">
            <v>pvgdp_industry</v>
          </cell>
          <cell r="D3620">
            <v>4514625.5</v>
          </cell>
          <cell r="F3620" t="str">
            <v>Sep-16-2024</v>
          </cell>
        </row>
        <row r="3621">
          <cell r="A3621" t="str">
            <v>PAK</v>
          </cell>
          <cell r="B3621">
            <v>2008</v>
          </cell>
          <cell r="C3621" t="str">
            <v>pvgdp_services</v>
          </cell>
          <cell r="D3621">
            <v>13228662</v>
          </cell>
          <cell r="F3621" t="str">
            <v>Sep-16-2024</v>
          </cell>
        </row>
        <row r="3622">
          <cell r="A3622" t="str">
            <v>PAK</v>
          </cell>
          <cell r="B3622">
            <v>2008</v>
          </cell>
          <cell r="C3622" t="str">
            <v>pvgdppc</v>
          </cell>
          <cell r="D3622">
            <v>132817.98352171746</v>
          </cell>
          <cell r="F3622" t="str">
            <v>Sep-16-2024</v>
          </cell>
        </row>
        <row r="3623">
          <cell r="A3623" t="str">
            <v>PAK</v>
          </cell>
          <cell r="B3623">
            <v>2008</v>
          </cell>
          <cell r="C3623" t="str">
            <v>pvpop_total</v>
          </cell>
          <cell r="D3623">
            <v>190123214.72167969</v>
          </cell>
          <cell r="F3623" t="str">
            <v>Sep-16-2024</v>
          </cell>
        </row>
        <row r="3624">
          <cell r="A3624" t="str">
            <v>PAK</v>
          </cell>
          <cell r="B3624">
            <v>2008</v>
          </cell>
          <cell r="C3624" t="str">
            <v>pvpop_15up</v>
          </cell>
          <cell r="D3624">
            <v>114188521.01368487</v>
          </cell>
          <cell r="F3624" t="str">
            <v>Sep-16-2024</v>
          </cell>
        </row>
        <row r="3625">
          <cell r="A3625" t="str">
            <v>PAK</v>
          </cell>
          <cell r="B3625">
            <v>2008</v>
          </cell>
          <cell r="C3625" t="str">
            <v>pvprivpc</v>
          </cell>
          <cell r="D3625">
            <v>103926.25660640543</v>
          </cell>
          <cell r="F3625" t="str">
            <v>Sep-16-2024</v>
          </cell>
        </row>
        <row r="3626">
          <cell r="A3626" t="str">
            <v>PAK</v>
          </cell>
          <cell r="B3626">
            <v>2009</v>
          </cell>
          <cell r="C3626" t="str">
            <v>pvgdp</v>
          </cell>
          <cell r="D3626">
            <v>25630994</v>
          </cell>
          <cell r="F3626" t="str">
            <v>Sep-16-2024</v>
          </cell>
        </row>
        <row r="3627">
          <cell r="A3627" t="str">
            <v>PAK</v>
          </cell>
          <cell r="B3627">
            <v>2009</v>
          </cell>
          <cell r="C3627" t="str">
            <v>pvgdp_agriculture</v>
          </cell>
          <cell r="D3627">
            <v>6383524.5</v>
          </cell>
          <cell r="F3627" t="str">
            <v>Sep-16-2024</v>
          </cell>
        </row>
        <row r="3628">
          <cell r="A3628" t="str">
            <v>PAK</v>
          </cell>
          <cell r="B3628">
            <v>2009</v>
          </cell>
          <cell r="C3628" t="str">
            <v>pvgdp_industry</v>
          </cell>
          <cell r="D3628">
            <v>4693059.5</v>
          </cell>
          <cell r="F3628" t="str">
            <v>Sep-16-2024</v>
          </cell>
        </row>
        <row r="3629">
          <cell r="A3629" t="str">
            <v>PAK</v>
          </cell>
          <cell r="B3629">
            <v>2009</v>
          </cell>
          <cell r="C3629" t="str">
            <v>pvgdp_services</v>
          </cell>
          <cell r="D3629">
            <v>13576232</v>
          </cell>
          <cell r="F3629" t="str">
            <v>Sep-16-2024</v>
          </cell>
        </row>
        <row r="3630">
          <cell r="A3630" t="str">
            <v>PAK</v>
          </cell>
          <cell r="B3630">
            <v>2009</v>
          </cell>
          <cell r="C3630" t="str">
            <v>pvgdppc</v>
          </cell>
          <cell r="D3630">
            <v>131809.72528411922</v>
          </cell>
          <cell r="F3630" t="str">
            <v>Sep-16-2024</v>
          </cell>
        </row>
        <row r="3631">
          <cell r="A3631" t="str">
            <v>PAK</v>
          </cell>
          <cell r="B3631">
            <v>2009</v>
          </cell>
          <cell r="C3631" t="str">
            <v>pvpop_total</v>
          </cell>
          <cell r="D3631">
            <v>194454498.29101563</v>
          </cell>
          <cell r="F3631" t="str">
            <v>Sep-16-2024</v>
          </cell>
        </row>
        <row r="3632">
          <cell r="A3632" t="str">
            <v>PAK</v>
          </cell>
          <cell r="B3632">
            <v>2009</v>
          </cell>
          <cell r="C3632" t="str">
            <v>pvpop_15up</v>
          </cell>
          <cell r="D3632">
            <v>117483488.28228971</v>
          </cell>
          <cell r="F3632" t="str">
            <v>Sep-16-2024</v>
          </cell>
        </row>
        <row r="3633">
          <cell r="A3633" t="str">
            <v>PAK</v>
          </cell>
          <cell r="B3633">
            <v>2009</v>
          </cell>
          <cell r="C3633" t="str">
            <v>pvprivpc</v>
          </cell>
          <cell r="D3633">
            <v>103880.58994536154</v>
          </cell>
          <cell r="F3633" t="str">
            <v>Sep-16-2024</v>
          </cell>
        </row>
        <row r="3634">
          <cell r="A3634" t="str">
            <v>PAK</v>
          </cell>
          <cell r="B3634">
            <v>2010</v>
          </cell>
          <cell r="C3634" t="str">
            <v>pvgdp</v>
          </cell>
          <cell r="D3634">
            <v>26317934</v>
          </cell>
          <cell r="F3634" t="str">
            <v>Sep-16-2024</v>
          </cell>
        </row>
        <row r="3635">
          <cell r="A3635" t="str">
            <v>PAK</v>
          </cell>
          <cell r="B3635">
            <v>2010</v>
          </cell>
          <cell r="C3635" t="str">
            <v>pvgdp_agriculture</v>
          </cell>
          <cell r="D3635">
            <v>6556680.5</v>
          </cell>
          <cell r="F3635" t="str">
            <v>Sep-16-2024</v>
          </cell>
        </row>
        <row r="3636">
          <cell r="A3636" t="str">
            <v>PAK</v>
          </cell>
          <cell r="B3636">
            <v>2010</v>
          </cell>
          <cell r="C3636" t="str">
            <v>pvgdp_industry</v>
          </cell>
          <cell r="D3636">
            <v>4921837</v>
          </cell>
          <cell r="F3636" t="str">
            <v>Sep-16-2024</v>
          </cell>
        </row>
        <row r="3637">
          <cell r="A3637" t="str">
            <v>PAK</v>
          </cell>
          <cell r="B3637">
            <v>2010</v>
          </cell>
          <cell r="C3637" t="str">
            <v>pvgdp_services</v>
          </cell>
          <cell r="D3637">
            <v>13964279</v>
          </cell>
          <cell r="F3637" t="str">
            <v>Sep-16-2024</v>
          </cell>
        </row>
        <row r="3638">
          <cell r="A3638" t="str">
            <v>PAK</v>
          </cell>
          <cell r="B3638">
            <v>2010</v>
          </cell>
          <cell r="C3638" t="str">
            <v>pvgdppc</v>
          </cell>
          <cell r="D3638">
            <v>132515.46449457033</v>
          </cell>
          <cell r="F3638" t="str">
            <v>Sep-16-2024</v>
          </cell>
        </row>
        <row r="3639">
          <cell r="A3639" t="str">
            <v>PAK</v>
          </cell>
          <cell r="B3639">
            <v>2010</v>
          </cell>
          <cell r="C3639" t="str">
            <v>pvpop_total</v>
          </cell>
          <cell r="D3639">
            <v>198602737.42675781</v>
          </cell>
          <cell r="F3639" t="str">
            <v>Sep-16-2024</v>
          </cell>
        </row>
        <row r="3640">
          <cell r="A3640" t="str">
            <v>PAK</v>
          </cell>
          <cell r="B3640">
            <v>2010</v>
          </cell>
          <cell r="C3640" t="str">
            <v>pvpop_15up</v>
          </cell>
          <cell r="D3640">
            <v>120668173.75778991</v>
          </cell>
          <cell r="F3640" t="str">
            <v>Sep-16-2024</v>
          </cell>
        </row>
        <row r="3641">
          <cell r="A3641" t="str">
            <v>PAK</v>
          </cell>
          <cell r="B3641">
            <v>2010</v>
          </cell>
          <cell r="C3641" t="str">
            <v>pvprivpc</v>
          </cell>
          <cell r="D3641">
            <v>105800.32416597</v>
          </cell>
          <cell r="F3641" t="str">
            <v>Sep-16-2024</v>
          </cell>
        </row>
        <row r="3642">
          <cell r="A3642" t="str">
            <v>PAK</v>
          </cell>
          <cell r="B3642">
            <v>2011</v>
          </cell>
          <cell r="C3642" t="str">
            <v>pvgdp</v>
          </cell>
          <cell r="D3642">
            <v>27114732</v>
          </cell>
          <cell r="F3642" t="str">
            <v>Sep-16-2024</v>
          </cell>
        </row>
        <row r="3643">
          <cell r="A3643" t="str">
            <v>PAK</v>
          </cell>
          <cell r="B3643">
            <v>2011</v>
          </cell>
          <cell r="C3643" t="str">
            <v>pvgdp_agriculture</v>
          </cell>
          <cell r="D3643">
            <v>6768528.5</v>
          </cell>
          <cell r="F3643" t="str">
            <v>Sep-16-2024</v>
          </cell>
        </row>
        <row r="3644">
          <cell r="A3644" t="str">
            <v>PAK</v>
          </cell>
          <cell r="B3644">
            <v>2011</v>
          </cell>
          <cell r="C3644" t="str">
            <v>pvgdp_industry</v>
          </cell>
          <cell r="D3644">
            <v>5036634.5</v>
          </cell>
          <cell r="F3644" t="str">
            <v>Sep-16-2024</v>
          </cell>
        </row>
        <row r="3645">
          <cell r="A3645" t="str">
            <v>PAK</v>
          </cell>
          <cell r="B3645">
            <v>2011</v>
          </cell>
          <cell r="C3645" t="str">
            <v>pvgdp_services</v>
          </cell>
          <cell r="D3645">
            <v>14450866</v>
          </cell>
          <cell r="F3645" t="str">
            <v>Sep-16-2024</v>
          </cell>
        </row>
        <row r="3646">
          <cell r="A3646" t="str">
            <v>PAK</v>
          </cell>
          <cell r="B3646">
            <v>2011</v>
          </cell>
          <cell r="C3646" t="str">
            <v>pvgdppc</v>
          </cell>
          <cell r="D3646">
            <v>134094.69188001627</v>
          </cell>
          <cell r="F3646" t="str">
            <v>Sep-16-2024</v>
          </cell>
        </row>
        <row r="3647">
          <cell r="A3647" t="str">
            <v>PAK</v>
          </cell>
          <cell r="B3647">
            <v>2011</v>
          </cell>
          <cell r="C3647" t="str">
            <v>pvpop_total</v>
          </cell>
          <cell r="D3647">
            <v>202205856.32324219</v>
          </cell>
          <cell r="F3647" t="str">
            <v>Sep-16-2024</v>
          </cell>
        </row>
        <row r="3648">
          <cell r="A3648" t="str">
            <v>PAK</v>
          </cell>
          <cell r="B3648">
            <v>2011</v>
          </cell>
          <cell r="C3648" t="str">
            <v>pvpop_15up</v>
          </cell>
          <cell r="D3648">
            <v>123424253.19577599</v>
          </cell>
          <cell r="F3648" t="str">
            <v>Sep-16-2024</v>
          </cell>
        </row>
        <row r="3649">
          <cell r="A3649" t="str">
            <v>PAK</v>
          </cell>
          <cell r="B3649">
            <v>2011</v>
          </cell>
          <cell r="C3649" t="str">
            <v>pvprivpc</v>
          </cell>
          <cell r="D3649">
            <v>108014.48779547295</v>
          </cell>
          <cell r="F3649" t="str">
            <v>Sep-16-2024</v>
          </cell>
        </row>
        <row r="3650">
          <cell r="A3650" t="str">
            <v>PAK</v>
          </cell>
          <cell r="B3650">
            <v>2012</v>
          </cell>
          <cell r="C3650" t="str">
            <v>pvgdp</v>
          </cell>
          <cell r="D3650">
            <v>28298796</v>
          </cell>
          <cell r="F3650" t="str">
            <v>Sep-16-2024</v>
          </cell>
        </row>
        <row r="3651">
          <cell r="A3651" t="str">
            <v>PAK</v>
          </cell>
          <cell r="B3651">
            <v>2012</v>
          </cell>
          <cell r="C3651" t="str">
            <v>pvgdp_agriculture</v>
          </cell>
          <cell r="D3651">
            <v>6981192</v>
          </cell>
          <cell r="F3651" t="str">
            <v>Sep-16-2024</v>
          </cell>
        </row>
        <row r="3652">
          <cell r="A3652" t="str">
            <v>PAK</v>
          </cell>
          <cell r="B3652">
            <v>2012</v>
          </cell>
          <cell r="C3652" t="str">
            <v>pvgdp_industry</v>
          </cell>
          <cell r="D3652">
            <v>5094824</v>
          </cell>
          <cell r="F3652" t="str">
            <v>Sep-16-2024</v>
          </cell>
        </row>
        <row r="3653">
          <cell r="A3653" t="str">
            <v>PAK</v>
          </cell>
          <cell r="B3653">
            <v>2012</v>
          </cell>
          <cell r="C3653" t="str">
            <v>pvgdp_services</v>
          </cell>
          <cell r="D3653">
            <v>15192533</v>
          </cell>
          <cell r="F3653" t="str">
            <v>Sep-16-2024</v>
          </cell>
        </row>
        <row r="3654">
          <cell r="A3654" t="str">
            <v>PAK</v>
          </cell>
          <cell r="B3654">
            <v>2012</v>
          </cell>
          <cell r="C3654" t="str">
            <v>pvgdppc</v>
          </cell>
          <cell r="D3654">
            <v>137815.97822873178</v>
          </cell>
          <cell r="F3654" t="str">
            <v>Sep-16-2024</v>
          </cell>
        </row>
        <row r="3655">
          <cell r="A3655" t="str">
            <v>PAK</v>
          </cell>
          <cell r="B3655">
            <v>2012</v>
          </cell>
          <cell r="C3655" t="str">
            <v>pvpop_total</v>
          </cell>
          <cell r="D3655">
            <v>205337554.93164063</v>
          </cell>
          <cell r="F3655" t="str">
            <v>Sep-16-2024</v>
          </cell>
        </row>
        <row r="3656">
          <cell r="A3656" t="str">
            <v>PAK</v>
          </cell>
          <cell r="B3656">
            <v>2012</v>
          </cell>
          <cell r="C3656" t="str">
            <v>pvpop_15up</v>
          </cell>
          <cell r="D3656">
            <v>125712745.72488478</v>
          </cell>
          <cell r="F3656" t="str">
            <v>Sep-16-2024</v>
          </cell>
        </row>
        <row r="3657">
          <cell r="A3657" t="str">
            <v>PAK</v>
          </cell>
          <cell r="B3657">
            <v>2012</v>
          </cell>
          <cell r="C3657" t="str">
            <v>pvprivpc</v>
          </cell>
          <cell r="D3657">
            <v>109509.77772909598</v>
          </cell>
          <cell r="F3657" t="str">
            <v>Sep-16-2024</v>
          </cell>
        </row>
        <row r="3658">
          <cell r="A3658" t="str">
            <v>PAK</v>
          </cell>
          <cell r="B3658">
            <v>2013</v>
          </cell>
          <cell r="C3658" t="str">
            <v>pvgdp</v>
          </cell>
          <cell r="D3658">
            <v>29463694</v>
          </cell>
          <cell r="F3658" t="str">
            <v>Sep-16-2024</v>
          </cell>
        </row>
        <row r="3659">
          <cell r="A3659" t="str">
            <v>PAK</v>
          </cell>
          <cell r="B3659">
            <v>2013</v>
          </cell>
          <cell r="C3659" t="str">
            <v>pvgdp_agriculture</v>
          </cell>
          <cell r="D3659">
            <v>7150034.5</v>
          </cell>
          <cell r="F3659" t="str">
            <v>Sep-16-2024</v>
          </cell>
        </row>
        <row r="3660">
          <cell r="A3660" t="str">
            <v>PAK</v>
          </cell>
          <cell r="B3660">
            <v>2013</v>
          </cell>
          <cell r="C3660" t="str">
            <v>pvgdp_industry</v>
          </cell>
          <cell r="D3660">
            <v>5315788.5</v>
          </cell>
          <cell r="F3660" t="str">
            <v>Sep-16-2024</v>
          </cell>
        </row>
        <row r="3661">
          <cell r="A3661" t="str">
            <v>PAK</v>
          </cell>
          <cell r="B3661">
            <v>2013</v>
          </cell>
          <cell r="C3661" t="str">
            <v>pvgdp_services</v>
          </cell>
          <cell r="D3661">
            <v>15772481</v>
          </cell>
          <cell r="F3661" t="str">
            <v>Sep-16-2024</v>
          </cell>
        </row>
        <row r="3662">
          <cell r="A3662" t="str">
            <v>PAK</v>
          </cell>
          <cell r="B3662">
            <v>2013</v>
          </cell>
          <cell r="C3662" t="str">
            <v>pvgdppc</v>
          </cell>
          <cell r="D3662">
            <v>141481.21490984122</v>
          </cell>
          <cell r="F3662" t="str">
            <v>Sep-16-2024</v>
          </cell>
        </row>
        <row r="3663">
          <cell r="A3663" t="str">
            <v>PAK</v>
          </cell>
          <cell r="B3663">
            <v>2013</v>
          </cell>
          <cell r="C3663" t="str">
            <v>pvpop_total</v>
          </cell>
          <cell r="D3663">
            <v>208251632.69042969</v>
          </cell>
          <cell r="F3663" t="str">
            <v>Sep-16-2024</v>
          </cell>
        </row>
        <row r="3664">
          <cell r="A3664" t="str">
            <v>PAK</v>
          </cell>
          <cell r="B3664">
            <v>2013</v>
          </cell>
          <cell r="C3664" t="str">
            <v>pvpop_15up</v>
          </cell>
          <cell r="D3664">
            <v>127739863.33913687</v>
          </cell>
          <cell r="F3664" t="str">
            <v>Sep-16-2024</v>
          </cell>
        </row>
        <row r="3665">
          <cell r="A3665" t="str">
            <v>PAK</v>
          </cell>
          <cell r="B3665">
            <v>2013</v>
          </cell>
          <cell r="C3665" t="str">
            <v>pvprivpc</v>
          </cell>
          <cell r="D3665">
            <v>114129.96716011946</v>
          </cell>
          <cell r="F3665" t="str">
            <v>Sep-16-2024</v>
          </cell>
        </row>
        <row r="3666">
          <cell r="A3666" t="str">
            <v>PAK</v>
          </cell>
          <cell r="B3666">
            <v>2014</v>
          </cell>
          <cell r="C3666" t="str">
            <v>pvgdp</v>
          </cell>
          <cell r="D3666">
            <v>30706456</v>
          </cell>
          <cell r="F3666" t="str">
            <v>Sep-16-2024</v>
          </cell>
        </row>
        <row r="3667">
          <cell r="A3667" t="str">
            <v>PAK</v>
          </cell>
          <cell r="B3667">
            <v>2014</v>
          </cell>
          <cell r="C3667" t="str">
            <v>pvgdp_agriculture</v>
          </cell>
          <cell r="D3667">
            <v>7277451.5</v>
          </cell>
          <cell r="F3667" t="str">
            <v>Sep-16-2024</v>
          </cell>
        </row>
        <row r="3668">
          <cell r="A3668" t="str">
            <v>PAK</v>
          </cell>
          <cell r="B3668">
            <v>2014</v>
          </cell>
          <cell r="C3668" t="str">
            <v>pvgdp_industry</v>
          </cell>
          <cell r="D3668">
            <v>5602641</v>
          </cell>
          <cell r="F3668" t="str">
            <v>Sep-16-2024</v>
          </cell>
        </row>
        <row r="3669">
          <cell r="A3669" t="str">
            <v>PAK</v>
          </cell>
          <cell r="B3669">
            <v>2014</v>
          </cell>
          <cell r="C3669" t="str">
            <v>pvgdp_services</v>
          </cell>
          <cell r="D3669">
            <v>16434536</v>
          </cell>
          <cell r="F3669" t="str">
            <v>Sep-16-2024</v>
          </cell>
        </row>
        <row r="3670">
          <cell r="A3670" t="str">
            <v>PAK</v>
          </cell>
          <cell r="B3670">
            <v>2014</v>
          </cell>
          <cell r="C3670" t="str">
            <v>pvgdppc</v>
          </cell>
          <cell r="D3670">
            <v>145549.40505323128</v>
          </cell>
          <cell r="F3670" t="str">
            <v>Sep-16-2024</v>
          </cell>
        </row>
        <row r="3671">
          <cell r="A3671" t="str">
            <v>PAK</v>
          </cell>
          <cell r="B3671">
            <v>2014</v>
          </cell>
          <cell r="C3671" t="str">
            <v>pvpop_total</v>
          </cell>
          <cell r="D3671">
            <v>210969299.31640625</v>
          </cell>
          <cell r="F3671" t="str">
            <v>Sep-16-2024</v>
          </cell>
        </row>
        <row r="3672">
          <cell r="A3672" t="str">
            <v>PAK</v>
          </cell>
          <cell r="B3672">
            <v>2014</v>
          </cell>
          <cell r="C3672" t="str">
            <v>pvpop_15up</v>
          </cell>
          <cell r="D3672">
            <v>129653604.09701924</v>
          </cell>
          <cell r="F3672" t="str">
            <v>Sep-16-2024</v>
          </cell>
        </row>
        <row r="3673">
          <cell r="A3673" t="str">
            <v>PAK</v>
          </cell>
          <cell r="B3673">
            <v>2014</v>
          </cell>
          <cell r="C3673" t="str">
            <v>pvprivpc</v>
          </cell>
          <cell r="D3673">
            <v>116082.05591691761</v>
          </cell>
          <cell r="F3673" t="str">
            <v>Sep-16-2024</v>
          </cell>
        </row>
        <row r="3674">
          <cell r="A3674" t="str">
            <v>PAK</v>
          </cell>
          <cell r="B3674">
            <v>2015</v>
          </cell>
          <cell r="C3674" t="str">
            <v>pvgdp</v>
          </cell>
          <cell r="D3674">
            <v>32725048</v>
          </cell>
          <cell r="F3674" t="str">
            <v>Sep-16-2024</v>
          </cell>
        </row>
        <row r="3675">
          <cell r="A3675" t="str">
            <v>PAK</v>
          </cell>
          <cell r="B3675">
            <v>2015</v>
          </cell>
          <cell r="C3675" t="str">
            <v>pvgdp_agriculture</v>
          </cell>
          <cell r="D3675">
            <v>7306957</v>
          </cell>
          <cell r="F3675" t="str">
            <v>Sep-16-2024</v>
          </cell>
        </row>
        <row r="3676">
          <cell r="A3676" t="str">
            <v>PAK</v>
          </cell>
          <cell r="B3676">
            <v>2015</v>
          </cell>
          <cell r="C3676" t="str">
            <v>pvgdp_industry</v>
          </cell>
          <cell r="D3676">
            <v>5939635</v>
          </cell>
          <cell r="F3676" t="str">
            <v>Sep-16-2024</v>
          </cell>
        </row>
        <row r="3677">
          <cell r="A3677" t="str">
            <v>PAK</v>
          </cell>
          <cell r="B3677">
            <v>2015</v>
          </cell>
          <cell r="C3677" t="str">
            <v>pvgdp_services</v>
          </cell>
          <cell r="D3677">
            <v>17261612</v>
          </cell>
          <cell r="F3677" t="str">
            <v>Sep-16-2024</v>
          </cell>
        </row>
        <row r="3678">
          <cell r="A3678" t="str">
            <v>PAK</v>
          </cell>
          <cell r="B3678">
            <v>2015</v>
          </cell>
          <cell r="C3678" t="str">
            <v>pvgdppc</v>
          </cell>
          <cell r="D3678">
            <v>153261.08100323836</v>
          </cell>
          <cell r="F3678" t="str">
            <v>Sep-16-2024</v>
          </cell>
        </row>
        <row r="3679">
          <cell r="A3679" t="str">
            <v>PAK</v>
          </cell>
          <cell r="B3679">
            <v>2015</v>
          </cell>
          <cell r="C3679" t="str">
            <v>pvpop_total</v>
          </cell>
          <cell r="D3679">
            <v>213524841.30859375</v>
          </cell>
          <cell r="F3679" t="str">
            <v>Sep-16-2024</v>
          </cell>
        </row>
        <row r="3680">
          <cell r="A3680" t="str">
            <v>PAK</v>
          </cell>
          <cell r="B3680">
            <v>2015</v>
          </cell>
          <cell r="C3680" t="str">
            <v>pvpop_15up</v>
          </cell>
          <cell r="D3680">
            <v>131475189.09540628</v>
          </cell>
          <cell r="F3680" t="str">
            <v>Sep-16-2024</v>
          </cell>
        </row>
        <row r="3681">
          <cell r="A3681" t="str">
            <v>PAK</v>
          </cell>
          <cell r="B3681">
            <v>2015</v>
          </cell>
          <cell r="C3681" t="str">
            <v>pvprivpc</v>
          </cell>
          <cell r="D3681">
            <v>123656.31950916865</v>
          </cell>
          <cell r="F3681" t="str">
            <v>Sep-16-2024</v>
          </cell>
        </row>
        <row r="3682">
          <cell r="A3682" t="str">
            <v>PAK</v>
          </cell>
          <cell r="B3682">
            <v>2016</v>
          </cell>
          <cell r="C3682" t="str">
            <v>pvgdp</v>
          </cell>
          <cell r="D3682">
            <v>34175628</v>
          </cell>
          <cell r="F3682" t="str">
            <v>Sep-16-2024</v>
          </cell>
        </row>
        <row r="3683">
          <cell r="A3683" t="str">
            <v>PAK</v>
          </cell>
          <cell r="B3683">
            <v>2016</v>
          </cell>
          <cell r="C3683" t="str">
            <v>pvgdp_agriculture</v>
          </cell>
          <cell r="D3683">
            <v>7468900</v>
          </cell>
          <cell r="F3683" t="str">
            <v>Sep-16-2024</v>
          </cell>
        </row>
        <row r="3684">
          <cell r="A3684" t="str">
            <v>PAK</v>
          </cell>
          <cell r="B3684">
            <v>2016</v>
          </cell>
          <cell r="C3684" t="str">
            <v>pvgdp_industry</v>
          </cell>
          <cell r="D3684">
            <v>6213295</v>
          </cell>
          <cell r="F3684" t="str">
            <v>Sep-16-2024</v>
          </cell>
        </row>
        <row r="3685">
          <cell r="A3685" t="str">
            <v>PAK</v>
          </cell>
          <cell r="B3685">
            <v>2016</v>
          </cell>
          <cell r="C3685" t="str">
            <v>pvgdp_services</v>
          </cell>
          <cell r="D3685">
            <v>18232012</v>
          </cell>
          <cell r="F3685" t="str">
            <v>Sep-16-2024</v>
          </cell>
        </row>
        <row r="3686">
          <cell r="A3686" t="str">
            <v>PAK</v>
          </cell>
          <cell r="B3686">
            <v>2016</v>
          </cell>
          <cell r="C3686" t="str">
            <v>pvgdppc</v>
          </cell>
          <cell r="D3686">
            <v>157942.89055916097</v>
          </cell>
          <cell r="F3686" t="str">
            <v>Sep-16-2024</v>
          </cell>
        </row>
        <row r="3687">
          <cell r="A3687" t="str">
            <v>PAK</v>
          </cell>
          <cell r="B3687">
            <v>2016</v>
          </cell>
          <cell r="C3687" t="str">
            <v>pvpop_total</v>
          </cell>
          <cell r="D3687">
            <v>216379653.93066406</v>
          </cell>
          <cell r="F3687" t="str">
            <v>Sep-16-2024</v>
          </cell>
        </row>
        <row r="3688">
          <cell r="A3688" t="str">
            <v>PAK</v>
          </cell>
          <cell r="B3688">
            <v>2016</v>
          </cell>
          <cell r="C3688" t="str">
            <v>pvpop_15up</v>
          </cell>
          <cell r="D3688">
            <v>133489795.14389822</v>
          </cell>
          <cell r="F3688" t="str">
            <v>Sep-16-2024</v>
          </cell>
        </row>
        <row r="3689">
          <cell r="A3689" t="str">
            <v>PAK</v>
          </cell>
          <cell r="B3689">
            <v>2016</v>
          </cell>
          <cell r="C3689" t="str">
            <v>pvprivpc</v>
          </cell>
          <cell r="D3689">
            <v>130479.04221645019</v>
          </cell>
          <cell r="F3689" t="str">
            <v>Sep-16-2024</v>
          </cell>
        </row>
        <row r="3690">
          <cell r="A3690" t="str">
            <v>PAK</v>
          </cell>
          <cell r="B3690">
            <v>2017</v>
          </cell>
          <cell r="C3690" t="str">
            <v>pvgdp</v>
          </cell>
          <cell r="D3690">
            <v>36278012</v>
          </cell>
          <cell r="F3690" t="str">
            <v>Sep-16-2024</v>
          </cell>
        </row>
        <row r="3691">
          <cell r="A3691" t="str">
            <v>PAK</v>
          </cell>
          <cell r="B3691">
            <v>2017</v>
          </cell>
          <cell r="C3691" t="str">
            <v>pvgdp_agriculture</v>
          </cell>
          <cell r="D3691">
            <v>7758432</v>
          </cell>
          <cell r="F3691" t="str">
            <v>Sep-16-2024</v>
          </cell>
        </row>
        <row r="3692">
          <cell r="A3692" t="str">
            <v>PAK</v>
          </cell>
          <cell r="B3692">
            <v>2017</v>
          </cell>
          <cell r="C3692" t="str">
            <v>pvgdp_industry</v>
          </cell>
          <cell r="D3692">
            <v>6783864</v>
          </cell>
          <cell r="F3692" t="str">
            <v>Sep-16-2024</v>
          </cell>
        </row>
        <row r="3693">
          <cell r="A3693" t="str">
            <v>PAK</v>
          </cell>
          <cell r="B3693">
            <v>2017</v>
          </cell>
          <cell r="C3693" t="str">
            <v>pvgdp_services</v>
          </cell>
          <cell r="D3693">
            <v>19317324</v>
          </cell>
          <cell r="F3693" t="str">
            <v>Sep-16-2024</v>
          </cell>
        </row>
        <row r="3694">
          <cell r="A3694" t="str">
            <v>PAK</v>
          </cell>
          <cell r="B3694">
            <v>2017</v>
          </cell>
          <cell r="C3694" t="str">
            <v>pvgdppc</v>
          </cell>
          <cell r="D3694">
            <v>165101.571647634</v>
          </cell>
          <cell r="F3694" t="str">
            <v>Sep-16-2024</v>
          </cell>
        </row>
        <row r="3695">
          <cell r="A3695" t="str">
            <v>PAK</v>
          </cell>
          <cell r="B3695">
            <v>2017</v>
          </cell>
          <cell r="C3695" t="str">
            <v>pvpop_total</v>
          </cell>
          <cell r="D3695">
            <v>219731475.83007813</v>
          </cell>
          <cell r="F3695" t="str">
            <v>Sep-16-2024</v>
          </cell>
        </row>
        <row r="3696">
          <cell r="A3696" t="str">
            <v>PAK</v>
          </cell>
          <cell r="B3696">
            <v>2017</v>
          </cell>
          <cell r="C3696" t="str">
            <v>pvpop_15up</v>
          </cell>
          <cell r="D3696">
            <v>135974163.72654897</v>
          </cell>
          <cell r="F3696" t="str">
            <v>Sep-16-2024</v>
          </cell>
        </row>
        <row r="3697">
          <cell r="A3697" t="str">
            <v>PAK</v>
          </cell>
          <cell r="B3697">
            <v>2017</v>
          </cell>
          <cell r="C3697" t="str">
            <v>pvprivpc</v>
          </cell>
          <cell r="D3697">
            <v>137749.15899352805</v>
          </cell>
          <cell r="F3697" t="str">
            <v>Sep-16-2024</v>
          </cell>
        </row>
        <row r="3698">
          <cell r="A3698" t="str">
            <v>PAK</v>
          </cell>
          <cell r="B3698">
            <v>2018</v>
          </cell>
          <cell r="C3698" t="str">
            <v>pvgdp</v>
          </cell>
          <cell r="D3698">
            <v>37184104</v>
          </cell>
          <cell r="F3698" t="str">
            <v>Sep-16-2024</v>
          </cell>
        </row>
        <row r="3699">
          <cell r="A3699" t="str">
            <v>PAK</v>
          </cell>
          <cell r="B3699">
            <v>2018</v>
          </cell>
          <cell r="C3699" t="str">
            <v>pvgdp_agriculture</v>
          </cell>
          <cell r="D3699">
            <v>7831296</v>
          </cell>
          <cell r="F3699" t="str">
            <v>Sep-16-2024</v>
          </cell>
        </row>
        <row r="3700">
          <cell r="A3700" t="str">
            <v>PAK</v>
          </cell>
          <cell r="B3700">
            <v>2018</v>
          </cell>
          <cell r="C3700" t="str">
            <v>pvgdp_industry</v>
          </cell>
          <cell r="D3700">
            <v>6800675</v>
          </cell>
          <cell r="F3700" t="str">
            <v>Sep-16-2024</v>
          </cell>
        </row>
        <row r="3701">
          <cell r="A3701" t="str">
            <v>PAK</v>
          </cell>
          <cell r="B3701">
            <v>2018</v>
          </cell>
          <cell r="C3701" t="str">
            <v>pvgdp_services</v>
          </cell>
          <cell r="D3701">
            <v>20284070</v>
          </cell>
          <cell r="F3701" t="str">
            <v>Sep-16-2024</v>
          </cell>
        </row>
        <row r="3702">
          <cell r="A3702" t="str">
            <v>PAK</v>
          </cell>
          <cell r="B3702">
            <v>2018</v>
          </cell>
          <cell r="C3702" t="str">
            <v>pvgdppc</v>
          </cell>
          <cell r="D3702">
            <v>166525.8578830249</v>
          </cell>
          <cell r="F3702" t="str">
            <v>Sep-16-2024</v>
          </cell>
        </row>
        <row r="3703">
          <cell r="A3703" t="str">
            <v>PAK</v>
          </cell>
          <cell r="B3703">
            <v>2018</v>
          </cell>
          <cell r="C3703" t="str">
            <v>pvpop_total</v>
          </cell>
          <cell r="D3703">
            <v>223293273.92578125</v>
          </cell>
          <cell r="F3703" t="str">
            <v>Sep-16-2024</v>
          </cell>
        </row>
        <row r="3704">
          <cell r="A3704" t="str">
            <v>PAK</v>
          </cell>
          <cell r="B3704">
            <v>2018</v>
          </cell>
          <cell r="C3704" t="str">
            <v>pvpop_15up</v>
          </cell>
          <cell r="D3704">
            <v>138764475.43745762</v>
          </cell>
          <cell r="F3704" t="str">
            <v>Sep-16-2024</v>
          </cell>
        </row>
        <row r="3705">
          <cell r="A3705" t="str">
            <v>PAK</v>
          </cell>
          <cell r="B3705">
            <v>2018</v>
          </cell>
          <cell r="C3705" t="str">
            <v>pvprivpc</v>
          </cell>
          <cell r="D3705">
            <v>143103.01173971288</v>
          </cell>
          <cell r="F3705" t="str">
            <v>Sep-16-2024</v>
          </cell>
        </row>
        <row r="3706">
          <cell r="A3706" t="str">
            <v>PAK</v>
          </cell>
          <cell r="B3706">
            <v>2019</v>
          </cell>
          <cell r="C3706" t="str">
            <v>pvgdp</v>
          </cell>
          <cell r="D3706">
            <v>36710344</v>
          </cell>
          <cell r="F3706" t="str">
            <v>Sep-16-2024</v>
          </cell>
        </row>
        <row r="3707">
          <cell r="A3707" t="str">
            <v>PAK</v>
          </cell>
          <cell r="B3707">
            <v>2019</v>
          </cell>
          <cell r="C3707" t="str">
            <v>pvgdp_agriculture</v>
          </cell>
          <cell r="D3707">
            <v>8137860</v>
          </cell>
          <cell r="F3707" t="str">
            <v>Sep-16-2024</v>
          </cell>
        </row>
        <row r="3708">
          <cell r="A3708" t="str">
            <v>PAK</v>
          </cell>
          <cell r="B3708">
            <v>2019</v>
          </cell>
          <cell r="C3708" t="str">
            <v>pvgdp_industry</v>
          </cell>
          <cell r="D3708">
            <v>6409967</v>
          </cell>
          <cell r="F3708" t="str">
            <v>Sep-16-2024</v>
          </cell>
        </row>
        <row r="3709">
          <cell r="A3709" t="str">
            <v>PAK</v>
          </cell>
          <cell r="B3709">
            <v>2019</v>
          </cell>
          <cell r="C3709" t="str">
            <v>pvgdp_services</v>
          </cell>
          <cell r="D3709">
            <v>20038838</v>
          </cell>
          <cell r="F3709" t="str">
            <v>Sep-16-2024</v>
          </cell>
        </row>
        <row r="3710">
          <cell r="A3710" t="str">
            <v>PAK</v>
          </cell>
          <cell r="B3710">
            <v>2019</v>
          </cell>
          <cell r="C3710" t="str">
            <v>pvgdppc</v>
          </cell>
          <cell r="D3710">
            <v>161579.53189394507</v>
          </cell>
          <cell r="F3710" t="str">
            <v>Sep-16-2024</v>
          </cell>
        </row>
        <row r="3711">
          <cell r="A3711" t="str">
            <v>PAK</v>
          </cell>
          <cell r="B3711">
            <v>2019</v>
          </cell>
          <cell r="C3711" t="str">
            <v>pvpop_total</v>
          </cell>
          <cell r="D3711">
            <v>227196746.82617188</v>
          </cell>
          <cell r="F3711" t="str">
            <v>Sep-16-2024</v>
          </cell>
        </row>
        <row r="3712">
          <cell r="A3712" t="str">
            <v>PAK</v>
          </cell>
          <cell r="B3712">
            <v>2019</v>
          </cell>
          <cell r="C3712" t="str">
            <v>pvpop_15up</v>
          </cell>
          <cell r="D3712">
            <v>141821441.89287996</v>
          </cell>
          <cell r="F3712" t="str">
            <v>Sep-16-2024</v>
          </cell>
        </row>
        <row r="3713">
          <cell r="A3713" t="str">
            <v>PAK</v>
          </cell>
          <cell r="B3713">
            <v>2019</v>
          </cell>
          <cell r="C3713" t="str">
            <v>pvprivpc</v>
          </cell>
          <cell r="D3713">
            <v>136661.59587996051</v>
          </cell>
          <cell r="F3713" t="str">
            <v>Sep-16-2024</v>
          </cell>
        </row>
        <row r="3714">
          <cell r="A3714" t="str">
            <v>PAK</v>
          </cell>
          <cell r="B3714">
            <v>2020</v>
          </cell>
          <cell r="C3714" t="str">
            <v>pvgdp</v>
          </cell>
          <cell r="D3714">
            <v>39101616</v>
          </cell>
          <cell r="F3714" t="str">
            <v>Sep-16-2024</v>
          </cell>
        </row>
        <row r="3715">
          <cell r="A3715" t="str">
            <v>PAK</v>
          </cell>
          <cell r="B3715">
            <v>2020</v>
          </cell>
          <cell r="C3715" t="str">
            <v>pvgdp_agriculture</v>
          </cell>
          <cell r="D3715">
            <v>8424041</v>
          </cell>
          <cell r="F3715" t="str">
            <v>Sep-16-2024</v>
          </cell>
        </row>
        <row r="3716">
          <cell r="A3716" t="str">
            <v>PAK</v>
          </cell>
          <cell r="B3716">
            <v>2020</v>
          </cell>
          <cell r="C3716" t="str">
            <v>pvgdp_industry</v>
          </cell>
          <cell r="D3716">
            <v>6935438</v>
          </cell>
          <cell r="F3716" t="str">
            <v>Sep-16-2024</v>
          </cell>
        </row>
        <row r="3717">
          <cell r="A3717" t="str">
            <v>PAK</v>
          </cell>
          <cell r="B3717">
            <v>2020</v>
          </cell>
          <cell r="C3717" t="str">
            <v>pvgdp_services</v>
          </cell>
          <cell r="D3717">
            <v>21223004</v>
          </cell>
          <cell r="F3717" t="str">
            <v>Sep-16-2024</v>
          </cell>
        </row>
        <row r="3718">
          <cell r="A3718" t="str">
            <v>PAK</v>
          </cell>
          <cell r="B3718">
            <v>2020</v>
          </cell>
          <cell r="C3718" t="str">
            <v>pvgdppc</v>
          </cell>
          <cell r="D3718">
            <v>168976.91718278907</v>
          </cell>
          <cell r="F3718" t="str">
            <v>Sep-16-2024</v>
          </cell>
        </row>
        <row r="3719">
          <cell r="A3719" t="str">
            <v>PAK</v>
          </cell>
          <cell r="B3719">
            <v>2020</v>
          </cell>
          <cell r="C3719" t="str">
            <v>pvpop_total</v>
          </cell>
          <cell r="D3719">
            <v>231402114.86816406</v>
          </cell>
          <cell r="F3719" t="str">
            <v>Sep-16-2024</v>
          </cell>
        </row>
        <row r="3720">
          <cell r="A3720" t="str">
            <v>PAK</v>
          </cell>
          <cell r="B3720">
            <v>2020</v>
          </cell>
          <cell r="C3720" t="str">
            <v>pvpop_15up</v>
          </cell>
          <cell r="D3720">
            <v>145153043.00722018</v>
          </cell>
          <cell r="F3720" t="str">
            <v>Sep-16-2024</v>
          </cell>
        </row>
        <row r="3721">
          <cell r="A3721" t="str">
            <v>PAK</v>
          </cell>
          <cell r="B3721">
            <v>2020</v>
          </cell>
          <cell r="C3721" t="str">
            <v>pvprivpc</v>
          </cell>
          <cell r="D3721">
            <v>146844.01661306908</v>
          </cell>
          <cell r="F3721" t="str">
            <v>Sep-16-2024</v>
          </cell>
        </row>
        <row r="3722">
          <cell r="A3722" t="str">
            <v>PAK</v>
          </cell>
          <cell r="B3722">
            <v>2021</v>
          </cell>
          <cell r="C3722" t="str">
            <v>pvgdp</v>
          </cell>
          <cell r="D3722">
            <v>40969932</v>
          </cell>
          <cell r="F3722" t="str">
            <v>Sep-16-2024</v>
          </cell>
        </row>
        <row r="3723">
          <cell r="A3723" t="str">
            <v>PAK</v>
          </cell>
          <cell r="B3723">
            <v>2021</v>
          </cell>
          <cell r="C3723" t="str">
            <v>pvgdp_agriculture</v>
          </cell>
          <cell r="D3723">
            <v>8778647</v>
          </cell>
          <cell r="F3723" t="str">
            <v>Sep-16-2024</v>
          </cell>
        </row>
        <row r="3724">
          <cell r="A3724" t="str">
            <v>PAK</v>
          </cell>
          <cell r="B3724">
            <v>2021</v>
          </cell>
          <cell r="C3724" t="str">
            <v>pvgdp_industry</v>
          </cell>
          <cell r="D3724">
            <v>7421583</v>
          </cell>
          <cell r="F3724" t="str">
            <v>Sep-16-2024</v>
          </cell>
        </row>
        <row r="3725">
          <cell r="A3725" t="str">
            <v>PAK</v>
          </cell>
          <cell r="B3725">
            <v>2021</v>
          </cell>
          <cell r="C3725" t="str">
            <v>pvgdp_services</v>
          </cell>
          <cell r="D3725">
            <v>22643030</v>
          </cell>
          <cell r="F3725" t="str">
            <v>Sep-16-2024</v>
          </cell>
        </row>
        <row r="3726">
          <cell r="A3726" t="str">
            <v>PAK</v>
          </cell>
          <cell r="B3726">
            <v>2021</v>
          </cell>
          <cell r="C3726" t="str">
            <v>pvgdppc</v>
          </cell>
          <cell r="D3726">
            <v>173730.33558110383</v>
          </cell>
          <cell r="F3726" t="str">
            <v>Sep-16-2024</v>
          </cell>
        </row>
        <row r="3727">
          <cell r="A3727" t="str">
            <v>PAK</v>
          </cell>
          <cell r="B3727">
            <v>2021</v>
          </cell>
          <cell r="C3727" t="str">
            <v>pvpop_total</v>
          </cell>
          <cell r="D3727">
            <v>235824859.61914063</v>
          </cell>
          <cell r="F3727" t="str">
            <v>Sep-16-2024</v>
          </cell>
        </row>
        <row r="3728">
          <cell r="A3728" t="str">
            <v>PAK</v>
          </cell>
          <cell r="B3728">
            <v>2021</v>
          </cell>
          <cell r="C3728" t="str">
            <v>pvpop_15up</v>
          </cell>
          <cell r="D3728">
            <v>148710919.04272586</v>
          </cell>
          <cell r="F3728" t="str">
            <v>Sep-16-2024</v>
          </cell>
        </row>
        <row r="3729">
          <cell r="A3729" t="str">
            <v>PAK</v>
          </cell>
          <cell r="B3729">
            <v>2021</v>
          </cell>
          <cell r="C3729" t="str">
            <v>pvprivpc</v>
          </cell>
          <cell r="D3729">
            <v>154126.78739086553</v>
          </cell>
          <cell r="F3729" t="str">
            <v>Sep-16-2024</v>
          </cell>
        </row>
        <row r="3730">
          <cell r="A3730" t="str">
            <v>PAK</v>
          </cell>
          <cell r="B3730">
            <v>2022</v>
          </cell>
          <cell r="C3730" t="str">
            <v>pvgdp</v>
          </cell>
          <cell r="D3730">
            <v>40958492</v>
          </cell>
          <cell r="F3730" t="str">
            <v>Sep-16-2024</v>
          </cell>
        </row>
        <row r="3731">
          <cell r="A3731" t="str">
            <v>PAK</v>
          </cell>
          <cell r="B3731">
            <v>2022</v>
          </cell>
          <cell r="C3731" t="str">
            <v>pvgdp_agriculture</v>
          </cell>
          <cell r="D3731">
            <v>8977824</v>
          </cell>
          <cell r="F3731" t="str">
            <v>Sep-16-2024</v>
          </cell>
        </row>
        <row r="3732">
          <cell r="A3732" t="str">
            <v>PAK</v>
          </cell>
          <cell r="B3732">
            <v>2022</v>
          </cell>
          <cell r="C3732" t="str">
            <v>pvgdp_industry</v>
          </cell>
          <cell r="D3732">
            <v>7144225</v>
          </cell>
          <cell r="F3732" t="str">
            <v>Sep-16-2024</v>
          </cell>
        </row>
        <row r="3733">
          <cell r="A3733" t="str">
            <v>PAK</v>
          </cell>
          <cell r="B3733">
            <v>2022</v>
          </cell>
          <cell r="C3733" t="str">
            <v>pvgdp_services</v>
          </cell>
          <cell r="D3733">
            <v>22641272</v>
          </cell>
          <cell r="F3733" t="str">
            <v>Sep-16-2024</v>
          </cell>
        </row>
        <row r="3734">
          <cell r="A3734" t="str">
            <v>PAK</v>
          </cell>
          <cell r="B3734">
            <v>2022</v>
          </cell>
          <cell r="C3734" t="str">
            <v>pvgdppc</v>
          </cell>
          <cell r="D3734">
            <v>170315.73756007754</v>
          </cell>
          <cell r="F3734" t="str">
            <v>Sep-16-2024</v>
          </cell>
        </row>
        <row r="3735">
          <cell r="A3735" t="str">
            <v>PAK</v>
          </cell>
          <cell r="B3735">
            <v>2022</v>
          </cell>
          <cell r="C3735" t="str">
            <v>pvpop_total</v>
          </cell>
          <cell r="D3735">
            <v>240485656.73828125</v>
          </cell>
          <cell r="F3735" t="str">
            <v>Sep-16-2024</v>
          </cell>
        </row>
        <row r="3736">
          <cell r="A3736" t="str">
            <v>PAK</v>
          </cell>
          <cell r="B3736">
            <v>2022</v>
          </cell>
          <cell r="C3736" t="str">
            <v>pvpop_15up</v>
          </cell>
          <cell r="D3736">
            <v>152550770.84042385</v>
          </cell>
          <cell r="F3736" t="str">
            <v>Sep-16-2024</v>
          </cell>
        </row>
        <row r="3737">
          <cell r="A3737" t="str">
            <v>PAK</v>
          </cell>
          <cell r="B3737">
            <v>2022</v>
          </cell>
          <cell r="C3737" t="str">
            <v>pvprivpc</v>
          </cell>
          <cell r="D3737">
            <v>154997.06928702877</v>
          </cell>
          <cell r="F3737" t="str">
            <v>Sep-16-2024</v>
          </cell>
        </row>
        <row r="3738">
          <cell r="A3738" t="str">
            <v>PAK</v>
          </cell>
          <cell r="B3738">
            <v>2023</v>
          </cell>
          <cell r="C3738" t="str">
            <v>pvgdp</v>
          </cell>
          <cell r="D3738">
            <v>42086352</v>
          </cell>
          <cell r="F3738" t="str">
            <v>Sep-16-2024</v>
          </cell>
        </row>
        <row r="3739">
          <cell r="A3739" t="str">
            <v>PAK</v>
          </cell>
          <cell r="B3739">
            <v>2023</v>
          </cell>
          <cell r="C3739" t="str">
            <v>pvgdp_agriculture</v>
          </cell>
          <cell r="D3739">
            <v>9539130</v>
          </cell>
          <cell r="F3739" t="str">
            <v>Sep-16-2024</v>
          </cell>
        </row>
        <row r="3740">
          <cell r="A3740" t="str">
            <v>PAK</v>
          </cell>
          <cell r="B3740">
            <v>2023</v>
          </cell>
          <cell r="C3740" t="str">
            <v>pvgdp_industry</v>
          </cell>
          <cell r="D3740">
            <v>7252477</v>
          </cell>
          <cell r="F3740" t="str">
            <v>Sep-16-2024</v>
          </cell>
        </row>
        <row r="3741">
          <cell r="A3741" t="str">
            <v>PAK</v>
          </cell>
          <cell r="B3741">
            <v>2023</v>
          </cell>
          <cell r="C3741" t="str">
            <v>pvgdp_services</v>
          </cell>
          <cell r="D3741">
            <v>22893086</v>
          </cell>
          <cell r="F3741" t="str">
            <v>Sep-16-2024</v>
          </cell>
        </row>
        <row r="3742">
          <cell r="A3742" t="str">
            <v>PAK</v>
          </cell>
          <cell r="B3742">
            <v>2023</v>
          </cell>
          <cell r="C3742" t="str">
            <v>pvgdppc</v>
          </cell>
          <cell r="D3742">
            <v>171634.04793333195</v>
          </cell>
          <cell r="F3742" t="str">
            <v>Sep-16-2024</v>
          </cell>
        </row>
        <row r="3743">
          <cell r="A3743" t="str">
            <v>PAK</v>
          </cell>
          <cell r="B3743">
            <v>2023</v>
          </cell>
          <cell r="C3743" t="str">
            <v>pvpop_total</v>
          </cell>
          <cell r="D3743">
            <v>245209808.34960938</v>
          </cell>
          <cell r="F3743" t="str">
            <v>Sep-16-2024</v>
          </cell>
        </row>
        <row r="3744">
          <cell r="A3744" t="str">
            <v>PAK</v>
          </cell>
          <cell r="B3744">
            <v>2023</v>
          </cell>
          <cell r="C3744" t="str">
            <v>pvpop_15up</v>
          </cell>
          <cell r="D3744">
            <v>156580919.52101976</v>
          </cell>
          <cell r="F3744" t="str">
            <v>Sep-16-2024</v>
          </cell>
        </row>
        <row r="3745">
          <cell r="A3745" t="str">
            <v>PAK</v>
          </cell>
          <cell r="B3745">
            <v>2023</v>
          </cell>
          <cell r="C3745" t="str">
            <v>pvprivpc</v>
          </cell>
          <cell r="D3745">
            <v>155739.31669793598</v>
          </cell>
          <cell r="F3745" t="str">
            <v>Sep-16-2024</v>
          </cell>
        </row>
        <row r="3746">
          <cell r="A3746" t="str">
            <v>PAK</v>
          </cell>
          <cell r="B3746">
            <v>2024</v>
          </cell>
          <cell r="C3746" t="str">
            <v>pvgdp</v>
          </cell>
          <cell r="D3746">
            <v>43249832</v>
          </cell>
          <cell r="F3746" t="str">
            <v>Sep-16-2024</v>
          </cell>
        </row>
        <row r="3747">
          <cell r="A3747" t="str">
            <v>PAK</v>
          </cell>
          <cell r="B3747">
            <v>2024</v>
          </cell>
          <cell r="C3747" t="str">
            <v>pvgdp_agriculture</v>
          </cell>
          <cell r="D3747">
            <v>9723640</v>
          </cell>
          <cell r="F3747" t="str">
            <v>Sep-16-2024</v>
          </cell>
        </row>
        <row r="3748">
          <cell r="A3748" t="str">
            <v>PAK</v>
          </cell>
          <cell r="B3748">
            <v>2024</v>
          </cell>
          <cell r="C3748" t="str">
            <v>pvgdp_industry</v>
          </cell>
          <cell r="D3748">
            <v>7476152</v>
          </cell>
          <cell r="F3748" t="str">
            <v>Sep-16-2024</v>
          </cell>
        </row>
        <row r="3749">
          <cell r="A3749" t="str">
            <v>PAK</v>
          </cell>
          <cell r="B3749">
            <v>2024</v>
          </cell>
          <cell r="C3749" t="str">
            <v>pvgdp_services</v>
          </cell>
          <cell r="D3749">
            <v>23581990</v>
          </cell>
          <cell r="F3749" t="str">
            <v>Sep-16-2024</v>
          </cell>
        </row>
        <row r="3750">
          <cell r="A3750" t="str">
            <v>PAK</v>
          </cell>
          <cell r="B3750">
            <v>2024</v>
          </cell>
          <cell r="C3750" t="str">
            <v>pvgdppc</v>
          </cell>
          <cell r="D3750">
            <v>173034.70802147657</v>
          </cell>
          <cell r="F3750" t="str">
            <v>Sep-16-2024</v>
          </cell>
        </row>
        <row r="3751">
          <cell r="A3751" t="str">
            <v>PAK</v>
          </cell>
          <cell r="B3751">
            <v>2024</v>
          </cell>
          <cell r="C3751" t="str">
            <v>pvpop_total</v>
          </cell>
          <cell r="D3751">
            <v>249948883.05664063</v>
          </cell>
          <cell r="F3751" t="str">
            <v>Sep-16-2024</v>
          </cell>
        </row>
        <row r="3752">
          <cell r="A3752" t="str">
            <v>PAK</v>
          </cell>
          <cell r="B3752">
            <v>2024</v>
          </cell>
          <cell r="C3752" t="str">
            <v>pvpop_15up</v>
          </cell>
          <cell r="D3752">
            <v>160692609.81992194</v>
          </cell>
          <cell r="F3752" t="str">
            <v>Sep-16-2024</v>
          </cell>
        </row>
        <row r="3753">
          <cell r="A3753" t="str">
            <v>PAK</v>
          </cell>
          <cell r="B3753">
            <v>2024</v>
          </cell>
          <cell r="C3753" t="str">
            <v>pvprivpc</v>
          </cell>
          <cell r="D3753">
            <v>156996.54873475718</v>
          </cell>
          <cell r="F3753" t="str">
            <v>Sep-16-2024</v>
          </cell>
        </row>
        <row r="3754">
          <cell r="A3754" t="str">
            <v>PAK</v>
          </cell>
          <cell r="B3754">
            <v>2025</v>
          </cell>
          <cell r="C3754" t="str">
            <v>pvgdp</v>
          </cell>
          <cell r="D3754">
            <v>44615980</v>
          </cell>
          <cell r="F3754" t="str">
            <v>Sep-16-2024</v>
          </cell>
        </row>
        <row r="3755">
          <cell r="A3755" t="str">
            <v>PAK</v>
          </cell>
          <cell r="B3755">
            <v>2025</v>
          </cell>
          <cell r="C3755" t="str">
            <v>pvgdp_agriculture</v>
          </cell>
          <cell r="D3755">
            <v>9998643</v>
          </cell>
          <cell r="F3755" t="str">
            <v>Sep-16-2024</v>
          </cell>
        </row>
        <row r="3756">
          <cell r="A3756" t="str">
            <v>PAK</v>
          </cell>
          <cell r="B3756">
            <v>2025</v>
          </cell>
          <cell r="C3756" t="str">
            <v>pvgdp_industry</v>
          </cell>
          <cell r="D3756">
            <v>7713302.5</v>
          </cell>
          <cell r="F3756" t="str">
            <v>Sep-16-2024</v>
          </cell>
        </row>
        <row r="3757">
          <cell r="A3757" t="str">
            <v>PAK</v>
          </cell>
          <cell r="B3757">
            <v>2025</v>
          </cell>
          <cell r="C3757" t="str">
            <v>pvgdp_services</v>
          </cell>
          <cell r="D3757">
            <v>24358026</v>
          </cell>
          <cell r="F3757" t="str">
            <v>Sep-16-2024</v>
          </cell>
        </row>
        <row r="3758">
          <cell r="A3758" t="str">
            <v>PAK</v>
          </cell>
          <cell r="B3758">
            <v>2025</v>
          </cell>
          <cell r="C3758" t="str">
            <v>pvgdppc</v>
          </cell>
          <cell r="D3758">
            <v>175160.74374067309</v>
          </cell>
          <cell r="F3758" t="str">
            <v>Sep-16-2024</v>
          </cell>
        </row>
        <row r="3759">
          <cell r="A3759" t="str">
            <v>PAK</v>
          </cell>
          <cell r="B3759">
            <v>2025</v>
          </cell>
          <cell r="C3759" t="str">
            <v>pvpop_total</v>
          </cell>
          <cell r="D3759">
            <v>254714492.79785156</v>
          </cell>
          <cell r="F3759" t="str">
            <v>Sep-16-2024</v>
          </cell>
        </row>
        <row r="3760">
          <cell r="A3760" t="str">
            <v>PAK</v>
          </cell>
          <cell r="B3760">
            <v>2025</v>
          </cell>
          <cell r="C3760" t="str">
            <v>pvpop_15up</v>
          </cell>
          <cell r="D3760">
            <v>164887159.79098541</v>
          </cell>
          <cell r="F3760" t="str">
            <v>Sep-16-2024</v>
          </cell>
        </row>
        <row r="3761">
          <cell r="A3761" t="str">
            <v>PAK</v>
          </cell>
          <cell r="B3761">
            <v>2025</v>
          </cell>
          <cell r="C3761" t="str">
            <v>pvprivpc</v>
          </cell>
          <cell r="D3761">
            <v>159152.13757456807</v>
          </cell>
          <cell r="F3761" t="str">
            <v>Sep-16-2024</v>
          </cell>
        </row>
        <row r="3762">
          <cell r="A3762" t="str">
            <v>AFG</v>
          </cell>
          <cell r="B3762">
            <v>2019</v>
          </cell>
          <cell r="C3762" t="str">
            <v>maindfc</v>
          </cell>
          <cell r="D3762">
            <v>4.8488678932189941</v>
          </cell>
          <cell r="F3762" t="str">
            <v>14 Aug 2024</v>
          </cell>
        </row>
        <row r="3763">
          <cell r="A3763" t="str">
            <v>AFG</v>
          </cell>
          <cell r="B3763">
            <v>2026</v>
          </cell>
          <cell r="C3763" t="str">
            <v>madebt_</v>
          </cell>
          <cell r="D3763">
            <v>7.5411114692687988</v>
          </cell>
          <cell r="F3763" t="str">
            <v>14 Aug 2024</v>
          </cell>
        </row>
        <row r="3764">
          <cell r="A3764" t="str">
            <v>AFG</v>
          </cell>
          <cell r="B3764">
            <v>2013</v>
          </cell>
          <cell r="C3764" t="str">
            <v>mainvz</v>
          </cell>
          <cell r="D3764">
            <v>15.464701652526855</v>
          </cell>
          <cell r="F3764" t="str">
            <v>14 Aug 2024</v>
          </cell>
        </row>
        <row r="3765">
          <cell r="A3765" t="str">
            <v>AFG</v>
          </cell>
          <cell r="B3765">
            <v>2022</v>
          </cell>
          <cell r="C3765" t="str">
            <v>mar_taxfc</v>
          </cell>
          <cell r="D3765">
            <v>4.7559185028076172</v>
          </cell>
          <cell r="F3765" t="str">
            <v>14 Aug 2024</v>
          </cell>
        </row>
        <row r="3766">
          <cell r="A3766" t="str">
            <v>AFG</v>
          </cell>
          <cell r="B3766">
            <v>2020</v>
          </cell>
          <cell r="C3766" t="str">
            <v>malabz</v>
          </cell>
          <cell r="D3766">
            <v>4.1220049858093262</v>
          </cell>
          <cell r="F3766" t="str">
            <v>14 Aug 2024</v>
          </cell>
        </row>
        <row r="3767">
          <cell r="A3767" t="str">
            <v>AFG</v>
          </cell>
          <cell r="B3767">
            <v>2025</v>
          </cell>
          <cell r="C3767" t="str">
            <v>masrvfc</v>
          </cell>
          <cell r="D3767">
            <v>2.4548325538635254</v>
          </cell>
          <cell r="F3767" t="str">
            <v>14 Aug 2024</v>
          </cell>
        </row>
        <row r="3768">
          <cell r="A3768" t="str">
            <v>AFG</v>
          </cell>
          <cell r="B3768">
            <v>2013</v>
          </cell>
          <cell r="C3768" t="str">
            <v>mac_labz</v>
          </cell>
          <cell r="D3768">
            <v>3.2688367366790771</v>
          </cell>
          <cell r="F3768" t="str">
            <v>14 Aug 2024</v>
          </cell>
        </row>
        <row r="3769">
          <cell r="A3769" t="str">
            <v>AFG</v>
          </cell>
          <cell r="B3769">
            <v>2019</v>
          </cell>
          <cell r="C3769" t="str">
            <v>mar_expz</v>
          </cell>
          <cell r="D3769">
            <v>8.1053686141967773</v>
          </cell>
          <cell r="F3769" t="str">
            <v>14 Aug 2024</v>
          </cell>
        </row>
        <row r="3770">
          <cell r="A3770" t="str">
            <v>AFG</v>
          </cell>
          <cell r="B3770">
            <v>2022</v>
          </cell>
          <cell r="C3770" t="str">
            <v>maagrfc</v>
          </cell>
          <cell r="D3770">
            <v>3.9500000476837158</v>
          </cell>
          <cell r="F3770" t="str">
            <v>14 Aug 2024</v>
          </cell>
        </row>
        <row r="3771">
          <cell r="A3771" t="str">
            <v>AFG</v>
          </cell>
          <cell r="B3771">
            <v>2021</v>
          </cell>
          <cell r="C3771" t="str">
            <v>magap_</v>
          </cell>
          <cell r="D3771">
            <v>-6.7468738555908203</v>
          </cell>
          <cell r="F3771" t="str">
            <v>14 Aug 2024</v>
          </cell>
        </row>
        <row r="3772">
          <cell r="A3772" t="str">
            <v>AFG</v>
          </cell>
          <cell r="B3772">
            <v>2010</v>
          </cell>
          <cell r="C3772" t="str">
            <v>maagrfc</v>
          </cell>
          <cell r="D3772">
            <v>-6.3751344680786133</v>
          </cell>
          <cell r="F3772" t="str">
            <v>14 Aug 2024</v>
          </cell>
        </row>
        <row r="3773">
          <cell r="A3773" t="str">
            <v>AFG</v>
          </cell>
          <cell r="B3773">
            <v>2020</v>
          </cell>
          <cell r="C3773" t="str">
            <v>mafdi_</v>
          </cell>
          <cell r="D3773">
            <v>0</v>
          </cell>
          <cell r="F3773" t="str">
            <v>14 Aug 2024</v>
          </cell>
        </row>
        <row r="3774">
          <cell r="A3774" t="str">
            <v>AFG</v>
          </cell>
          <cell r="B3774">
            <v>2005</v>
          </cell>
          <cell r="C3774" t="str">
            <v>mar_srvfc</v>
          </cell>
          <cell r="D3774">
            <v>43.413902282714844</v>
          </cell>
          <cell r="F3774" t="str">
            <v>14 Aug 2024</v>
          </cell>
        </row>
        <row r="3775">
          <cell r="A3775" t="str">
            <v>AFG</v>
          </cell>
          <cell r="B3775">
            <v>2013</v>
          </cell>
          <cell r="C3775" t="str">
            <v>mac_tfpz</v>
          </cell>
          <cell r="D3775">
            <v>0.71174466609954834</v>
          </cell>
          <cell r="F3775" t="str">
            <v>14 Aug 2024</v>
          </cell>
        </row>
        <row r="3776">
          <cell r="A3776" t="str">
            <v>AFG</v>
          </cell>
          <cell r="B3776">
            <v>2026</v>
          </cell>
          <cell r="C3776" t="str">
            <v>masrvfc</v>
          </cell>
          <cell r="D3776">
            <v>2.4374804496765137</v>
          </cell>
          <cell r="F3776" t="str">
            <v>14 Aug 2024</v>
          </cell>
        </row>
        <row r="3777">
          <cell r="A3777" t="str">
            <v>AFG</v>
          </cell>
          <cell r="B3777">
            <v>2016</v>
          </cell>
          <cell r="C3777" t="str">
            <v>masrvfc</v>
          </cell>
          <cell r="D3777">
            <v>1.9794826507568359</v>
          </cell>
          <cell r="F3777" t="str">
            <v>14 Aug 2024</v>
          </cell>
        </row>
        <row r="3778">
          <cell r="A3778" t="str">
            <v>AFG</v>
          </cell>
          <cell r="B3778">
            <v>2012</v>
          </cell>
          <cell r="C3778" t="str">
            <v>mar_taxfc</v>
          </cell>
          <cell r="D3778">
            <v>4.5480818748474121</v>
          </cell>
          <cell r="F3778" t="str">
            <v>14 Aug 2024</v>
          </cell>
        </row>
        <row r="3779">
          <cell r="A3779" t="str">
            <v>AFG</v>
          </cell>
          <cell r="B3779">
            <v>2018</v>
          </cell>
          <cell r="C3779" t="str">
            <v>madeficit_</v>
          </cell>
          <cell r="D3779">
            <v>1.6341956853866577</v>
          </cell>
          <cell r="F3779" t="str">
            <v>14 Aug 2024</v>
          </cell>
        </row>
        <row r="3780">
          <cell r="A3780" t="str">
            <v>AFG</v>
          </cell>
          <cell r="B3780">
            <v>2022</v>
          </cell>
          <cell r="C3780" t="str">
            <v>mar_srvfc</v>
          </cell>
          <cell r="D3780">
            <v>55.788913726806641</v>
          </cell>
          <cell r="F3780" t="str">
            <v>14 Aug 2024</v>
          </cell>
        </row>
        <row r="3781">
          <cell r="A3781" t="str">
            <v>AFG</v>
          </cell>
          <cell r="B3781">
            <v>2007</v>
          </cell>
          <cell r="C3781" t="str">
            <v>macab_</v>
          </cell>
          <cell r="D3781">
            <v>11.06635856628418</v>
          </cell>
          <cell r="F3781" t="str">
            <v>14 Aug 2024</v>
          </cell>
        </row>
        <row r="3782">
          <cell r="A3782" t="str">
            <v>AFG</v>
          </cell>
          <cell r="B3782">
            <v>2018</v>
          </cell>
          <cell r="C3782" t="str">
            <v>magdpz</v>
          </cell>
          <cell r="D3782">
            <v>1.1892281770706177</v>
          </cell>
          <cell r="F3782" t="str">
            <v>14 Aug 2024</v>
          </cell>
        </row>
        <row r="3783">
          <cell r="A3783" t="str">
            <v>AFG</v>
          </cell>
          <cell r="B3783">
            <v>2016</v>
          </cell>
          <cell r="C3783" t="str">
            <v>mainvz</v>
          </cell>
          <cell r="D3783">
            <v>-2.1423027515411377</v>
          </cell>
          <cell r="F3783" t="str">
            <v>14 Aug 2024</v>
          </cell>
        </row>
        <row r="3784">
          <cell r="A3784" t="str">
            <v>AFG</v>
          </cell>
          <cell r="B3784">
            <v>2009</v>
          </cell>
          <cell r="C3784" t="str">
            <v>magdpz</v>
          </cell>
          <cell r="D3784">
            <v>23.357536315917969</v>
          </cell>
          <cell r="F3784" t="str">
            <v>14 Aug 2024</v>
          </cell>
        </row>
        <row r="3785">
          <cell r="A3785" t="str">
            <v>AFG</v>
          </cell>
          <cell r="B3785">
            <v>2012</v>
          </cell>
          <cell r="C3785" t="str">
            <v>mareer</v>
          </cell>
          <cell r="D3785">
            <v>137.04240417480469</v>
          </cell>
          <cell r="F3785" t="str">
            <v>14 Aug 2024</v>
          </cell>
        </row>
        <row r="3786">
          <cell r="A3786" t="str">
            <v>AFG</v>
          </cell>
          <cell r="B3786">
            <v>2018</v>
          </cell>
          <cell r="C3786" t="str">
            <v>maimpz</v>
          </cell>
          <cell r="D3786">
            <v>13.074324607849121</v>
          </cell>
          <cell r="F3786" t="str">
            <v>14 Aug 2024</v>
          </cell>
        </row>
        <row r="3787">
          <cell r="A3787" t="str">
            <v>AFG</v>
          </cell>
          <cell r="B3787">
            <v>2008</v>
          </cell>
          <cell r="C3787" t="str">
            <v>madeficit_</v>
          </cell>
          <cell r="D3787">
            <v>-1.8085993528366089</v>
          </cell>
          <cell r="F3787" t="str">
            <v>14 Aug 2024</v>
          </cell>
        </row>
        <row r="3788">
          <cell r="A3788" t="str">
            <v>AFG</v>
          </cell>
          <cell r="B3788">
            <v>2011</v>
          </cell>
          <cell r="C3788" t="str">
            <v>maconz</v>
          </cell>
          <cell r="D3788">
            <v>4.9671335220336914</v>
          </cell>
          <cell r="F3788" t="str">
            <v>14 Aug 2024</v>
          </cell>
        </row>
        <row r="3789">
          <cell r="A3789" t="str">
            <v>AFG</v>
          </cell>
          <cell r="B3789">
            <v>2007</v>
          </cell>
          <cell r="C3789" t="str">
            <v>magovz</v>
          </cell>
          <cell r="D3789">
            <v>8.3247098922729492</v>
          </cell>
          <cell r="F3789" t="str">
            <v>14 Aug 2024</v>
          </cell>
        </row>
        <row r="3790">
          <cell r="A3790" t="str">
            <v>AFG</v>
          </cell>
          <cell r="B3790">
            <v>2005</v>
          </cell>
          <cell r="C3790" t="str">
            <v>maimpz</v>
          </cell>
          <cell r="D3790">
            <v>59.403766632080078</v>
          </cell>
          <cell r="F3790" t="str">
            <v>14 Aug 2024</v>
          </cell>
        </row>
        <row r="3791">
          <cell r="A3791" t="str">
            <v>AFG</v>
          </cell>
          <cell r="B3791">
            <v>2012</v>
          </cell>
          <cell r="C3791" t="str">
            <v>macab_</v>
          </cell>
          <cell r="D3791">
            <v>3.6521117687225342</v>
          </cell>
          <cell r="F3791" t="str">
            <v>14 Aug 2024</v>
          </cell>
        </row>
        <row r="3792">
          <cell r="A3792" t="str">
            <v>AFG</v>
          </cell>
          <cell r="B3792">
            <v>2007</v>
          </cell>
          <cell r="C3792" t="str">
            <v>mafdi_</v>
          </cell>
          <cell r="D3792"/>
          <cell r="F3792" t="str">
            <v>14 Aug 2024</v>
          </cell>
        </row>
        <row r="3793">
          <cell r="A3793" t="str">
            <v>AFG</v>
          </cell>
          <cell r="B3793">
            <v>2009</v>
          </cell>
          <cell r="C3793" t="str">
            <v>mar_taxfc</v>
          </cell>
          <cell r="D3793">
            <v>2.8167505264282227</v>
          </cell>
          <cell r="F3793" t="str">
            <v>14 Aug 2024</v>
          </cell>
        </row>
        <row r="3794">
          <cell r="A3794" t="str">
            <v>AFG</v>
          </cell>
          <cell r="B3794">
            <v>2014</v>
          </cell>
          <cell r="C3794" t="str">
            <v>mataxfc</v>
          </cell>
          <cell r="D3794">
            <v>-7.6584296226501465</v>
          </cell>
          <cell r="F3794" t="str">
            <v>14 Aug 2024</v>
          </cell>
        </row>
        <row r="3795">
          <cell r="A3795" t="str">
            <v>AFG</v>
          </cell>
          <cell r="B3795">
            <v>2013</v>
          </cell>
          <cell r="C3795" t="str">
            <v>madebt_</v>
          </cell>
          <cell r="D3795">
            <v>6.1202392578125</v>
          </cell>
          <cell r="F3795" t="str">
            <v>14 Aug 2024</v>
          </cell>
        </row>
        <row r="3796">
          <cell r="A3796" t="str">
            <v>AFG</v>
          </cell>
          <cell r="B3796">
            <v>2023</v>
          </cell>
          <cell r="C3796" t="str">
            <v>mar_expz</v>
          </cell>
          <cell r="D3796">
            <v>9.0489263534545898</v>
          </cell>
          <cell r="F3796" t="str">
            <v>14 Aug 2024</v>
          </cell>
        </row>
        <row r="3797">
          <cell r="A3797" t="str">
            <v>AFG</v>
          </cell>
          <cell r="B3797">
            <v>2005</v>
          </cell>
          <cell r="C3797" t="str">
            <v>maindfc</v>
          </cell>
          <cell r="D3797">
            <v>12.991724014282227</v>
          </cell>
          <cell r="F3797" t="str">
            <v>14 Aug 2024</v>
          </cell>
        </row>
        <row r="3798">
          <cell r="A3798" t="str">
            <v>AFG</v>
          </cell>
          <cell r="B3798">
            <v>2015</v>
          </cell>
          <cell r="C3798" t="str">
            <v>mar_taxfc</v>
          </cell>
          <cell r="D3798">
            <v>4.7159862518310547</v>
          </cell>
          <cell r="F3798" t="str">
            <v>14 Aug 2024</v>
          </cell>
        </row>
        <row r="3799">
          <cell r="A3799" t="str">
            <v>AFG</v>
          </cell>
          <cell r="B3799">
            <v>2011</v>
          </cell>
          <cell r="C3799" t="str">
            <v>mareer</v>
          </cell>
          <cell r="D3799">
            <v>168.00900268554688</v>
          </cell>
          <cell r="F3799" t="str">
            <v>14 Aug 2024</v>
          </cell>
        </row>
        <row r="3800">
          <cell r="A3800" t="str">
            <v>AFG</v>
          </cell>
          <cell r="B3800">
            <v>2021</v>
          </cell>
          <cell r="C3800" t="str">
            <v>mar_expz</v>
          </cell>
          <cell r="D3800">
            <v>8.3184118270874023</v>
          </cell>
          <cell r="F3800" t="str">
            <v>14 Aug 2024</v>
          </cell>
        </row>
        <row r="3801">
          <cell r="A3801" t="str">
            <v>AFG</v>
          </cell>
          <cell r="B3801">
            <v>2009</v>
          </cell>
          <cell r="C3801" t="str">
            <v>magap_</v>
          </cell>
          <cell r="D3801">
            <v>0.68715810775756836</v>
          </cell>
          <cell r="F3801" t="str">
            <v>14 Aug 2024</v>
          </cell>
        </row>
        <row r="3802">
          <cell r="A3802" t="str">
            <v>AFG</v>
          </cell>
          <cell r="B3802">
            <v>2026</v>
          </cell>
          <cell r="C3802" t="str">
            <v>mar_srvfc</v>
          </cell>
          <cell r="D3802">
            <v>54.549995422363281</v>
          </cell>
          <cell r="F3802" t="str">
            <v>14 Aug 2024</v>
          </cell>
        </row>
        <row r="3803">
          <cell r="A3803" t="str">
            <v>AFG</v>
          </cell>
          <cell r="B3803">
            <v>2023</v>
          </cell>
          <cell r="C3803" t="str">
            <v>macpiz</v>
          </cell>
          <cell r="D3803">
            <v>5</v>
          </cell>
          <cell r="F3803" t="str">
            <v>14 Aug 2024</v>
          </cell>
        </row>
        <row r="3804">
          <cell r="A3804" t="str">
            <v>AFG</v>
          </cell>
          <cell r="B3804">
            <v>2013</v>
          </cell>
          <cell r="C3804" t="str">
            <v>masrvfc</v>
          </cell>
          <cell r="D3804">
            <v>7.8265519142150879</v>
          </cell>
          <cell r="F3804" t="str">
            <v>14 Aug 2024</v>
          </cell>
        </row>
        <row r="3805">
          <cell r="A3805" t="str">
            <v>AFG</v>
          </cell>
          <cell r="B3805">
            <v>2013</v>
          </cell>
          <cell r="C3805" t="str">
            <v>maexpz</v>
          </cell>
          <cell r="D3805">
            <v>-39.2940673828125</v>
          </cell>
          <cell r="F3805" t="str">
            <v>14 Aug 2024</v>
          </cell>
        </row>
        <row r="3806">
          <cell r="A3806" t="str">
            <v>AFG</v>
          </cell>
          <cell r="B3806">
            <v>2023</v>
          </cell>
          <cell r="C3806" t="str">
            <v>mac_labz</v>
          </cell>
          <cell r="D3806">
            <v>2.2667751312255859</v>
          </cell>
          <cell r="F3806" t="str">
            <v>14 Aug 2024</v>
          </cell>
        </row>
        <row r="3807">
          <cell r="A3807" t="str">
            <v>AFG</v>
          </cell>
          <cell r="B3807">
            <v>2024</v>
          </cell>
          <cell r="C3807" t="str">
            <v>maexpz</v>
          </cell>
          <cell r="D3807">
            <v>7.3000001907348633</v>
          </cell>
          <cell r="F3807" t="str">
            <v>14 Aug 2024</v>
          </cell>
        </row>
        <row r="3808">
          <cell r="A3808" t="str">
            <v>AFG</v>
          </cell>
          <cell r="B3808">
            <v>2020</v>
          </cell>
          <cell r="C3808" t="str">
            <v>mar_agrfc</v>
          </cell>
          <cell r="D3808">
            <v>31.989559173583984</v>
          </cell>
          <cell r="F3808" t="str">
            <v>14 Aug 2024</v>
          </cell>
        </row>
        <row r="3809">
          <cell r="A3809" t="str">
            <v>AFG</v>
          </cell>
          <cell r="B3809">
            <v>2026</v>
          </cell>
          <cell r="C3809" t="str">
            <v>maimpz</v>
          </cell>
          <cell r="D3809">
            <v>3.5</v>
          </cell>
          <cell r="F3809" t="str">
            <v>14 Aug 2024</v>
          </cell>
        </row>
        <row r="3810">
          <cell r="A3810" t="str">
            <v>AFG</v>
          </cell>
          <cell r="B3810">
            <v>2017</v>
          </cell>
          <cell r="C3810" t="str">
            <v>mafdi_</v>
          </cell>
          <cell r="D3810">
            <v>-0.21770373876011409</v>
          </cell>
          <cell r="F3810" t="str">
            <v>14 Aug 2024</v>
          </cell>
        </row>
        <row r="3811">
          <cell r="A3811" t="str">
            <v>AFG</v>
          </cell>
          <cell r="B3811">
            <v>2022</v>
          </cell>
          <cell r="C3811" t="str">
            <v>maconz</v>
          </cell>
          <cell r="D3811">
            <v>3</v>
          </cell>
          <cell r="F3811" t="str">
            <v>14 Aug 2024</v>
          </cell>
        </row>
        <row r="3812">
          <cell r="A3812" t="str">
            <v>AFG</v>
          </cell>
          <cell r="B3812">
            <v>2024</v>
          </cell>
          <cell r="C3812" t="str">
            <v>macab_</v>
          </cell>
          <cell r="D3812">
            <v>-13.339975357055664</v>
          </cell>
          <cell r="F3812" t="str">
            <v>14 Aug 2024</v>
          </cell>
        </row>
        <row r="3813">
          <cell r="A3813" t="str">
            <v>AFG</v>
          </cell>
          <cell r="B3813">
            <v>2014</v>
          </cell>
          <cell r="C3813" t="str">
            <v>mainvz</v>
          </cell>
          <cell r="D3813">
            <v>7.7711405754089355</v>
          </cell>
          <cell r="F3813" t="str">
            <v>14 Aug 2024</v>
          </cell>
        </row>
        <row r="3814">
          <cell r="A3814" t="str">
            <v>AFG</v>
          </cell>
          <cell r="B3814">
            <v>2017</v>
          </cell>
          <cell r="C3814" t="str">
            <v>magdpz</v>
          </cell>
          <cell r="D3814">
            <v>2.647003173828125</v>
          </cell>
          <cell r="F3814" t="str">
            <v>14 Aug 2024</v>
          </cell>
        </row>
        <row r="3815">
          <cell r="A3815" t="str">
            <v>AFG</v>
          </cell>
          <cell r="B3815">
            <v>2009</v>
          </cell>
          <cell r="C3815" t="str">
            <v>mainvz</v>
          </cell>
          <cell r="D3815">
            <v>9.345733642578125</v>
          </cell>
          <cell r="F3815" t="str">
            <v>14 Aug 2024</v>
          </cell>
        </row>
        <row r="3816">
          <cell r="A3816" t="str">
            <v>AFG</v>
          </cell>
          <cell r="B3816">
            <v>2006</v>
          </cell>
          <cell r="C3816" t="str">
            <v>mar_taxfc</v>
          </cell>
          <cell r="D3816">
            <v>3.6611526012420654</v>
          </cell>
          <cell r="F3816" t="str">
            <v>14 Aug 2024</v>
          </cell>
        </row>
        <row r="3817">
          <cell r="A3817" t="str">
            <v>AFG</v>
          </cell>
          <cell r="B3817">
            <v>2009</v>
          </cell>
          <cell r="C3817" t="str">
            <v>mafdi_</v>
          </cell>
          <cell r="D3817">
            <v>-0.22644224223004611</v>
          </cell>
          <cell r="F3817" t="str">
            <v>14 Aug 2024</v>
          </cell>
        </row>
        <row r="3818">
          <cell r="A3818" t="str">
            <v>AFG</v>
          </cell>
          <cell r="B3818">
            <v>2015</v>
          </cell>
          <cell r="C3818" t="str">
            <v>macab_</v>
          </cell>
          <cell r="D3818">
            <v>-1.5332436561584473</v>
          </cell>
          <cell r="F3818" t="str">
            <v>14 Aug 2024</v>
          </cell>
        </row>
        <row r="3819">
          <cell r="A3819" t="str">
            <v>AFG</v>
          </cell>
          <cell r="B3819">
            <v>2010</v>
          </cell>
          <cell r="C3819" t="str">
            <v>mar_srvfc</v>
          </cell>
          <cell r="D3819">
            <v>51.847202301025391</v>
          </cell>
          <cell r="F3819" t="str">
            <v>14 Aug 2024</v>
          </cell>
        </row>
        <row r="3820">
          <cell r="A3820" t="str">
            <v>AFG</v>
          </cell>
          <cell r="B3820">
            <v>2014</v>
          </cell>
          <cell r="C3820" t="str">
            <v>maimpz</v>
          </cell>
          <cell r="D3820">
            <v>26.331140518188477</v>
          </cell>
          <cell r="F3820" t="str">
            <v>14 Aug 2024</v>
          </cell>
        </row>
        <row r="3821">
          <cell r="A3821" t="str">
            <v>AFG</v>
          </cell>
          <cell r="B3821">
            <v>2023</v>
          </cell>
          <cell r="C3821" t="str">
            <v>maimpz</v>
          </cell>
          <cell r="D3821">
            <v>3.5</v>
          </cell>
          <cell r="F3821" t="str">
            <v>14 Aug 2024</v>
          </cell>
        </row>
        <row r="3822">
          <cell r="A3822" t="str">
            <v>AFG</v>
          </cell>
          <cell r="B3822">
            <v>2015</v>
          </cell>
          <cell r="C3822" t="str">
            <v>mareer</v>
          </cell>
          <cell r="D3822">
            <v>100</v>
          </cell>
          <cell r="F3822" t="str">
            <v>14 Aug 2024</v>
          </cell>
        </row>
        <row r="3823">
          <cell r="A3823" t="str">
            <v>AFG</v>
          </cell>
          <cell r="B3823">
            <v>2017</v>
          </cell>
          <cell r="C3823" t="str">
            <v>magovz</v>
          </cell>
          <cell r="D3823">
            <v>3.3339343070983887</v>
          </cell>
          <cell r="F3823" t="str">
            <v>14 Aug 2024</v>
          </cell>
        </row>
        <row r="3824">
          <cell r="A3824" t="str">
            <v>AFG</v>
          </cell>
          <cell r="B3824">
            <v>2011</v>
          </cell>
          <cell r="C3824" t="str">
            <v>maindfc</v>
          </cell>
          <cell r="D3824">
            <v>9.8076705932617188</v>
          </cell>
          <cell r="F3824" t="str">
            <v>14 Aug 2024</v>
          </cell>
        </row>
        <row r="3825">
          <cell r="A3825" t="str">
            <v>AFG</v>
          </cell>
          <cell r="B3825">
            <v>2021</v>
          </cell>
          <cell r="C3825" t="str">
            <v>mafdi_</v>
          </cell>
          <cell r="D3825">
            <v>-9.7879997515719894E-2</v>
          </cell>
          <cell r="F3825" t="str">
            <v>14 Aug 2024</v>
          </cell>
        </row>
        <row r="3826">
          <cell r="A3826" t="str">
            <v>AFG</v>
          </cell>
          <cell r="B3826">
            <v>2023</v>
          </cell>
          <cell r="C3826" t="str">
            <v>mar_impz</v>
          </cell>
          <cell r="D3826">
            <v>50.818031311035156</v>
          </cell>
          <cell r="F3826" t="str">
            <v>14 Aug 2024</v>
          </cell>
        </row>
        <row r="3827">
          <cell r="A3827" t="str">
            <v>AFG</v>
          </cell>
          <cell r="B3827">
            <v>2014</v>
          </cell>
          <cell r="C3827" t="str">
            <v>mac_tfpz</v>
          </cell>
          <cell r="D3827">
            <v>-0.15720270574092865</v>
          </cell>
          <cell r="F3827" t="str">
            <v>14 Aug 2024</v>
          </cell>
        </row>
        <row r="3828">
          <cell r="A3828" t="str">
            <v>AFG</v>
          </cell>
          <cell r="B3828">
            <v>2016</v>
          </cell>
          <cell r="C3828" t="str">
            <v>magovz</v>
          </cell>
          <cell r="D3828">
            <v>7.8018960952758789</v>
          </cell>
          <cell r="F3828" t="str">
            <v>14 Aug 2024</v>
          </cell>
        </row>
        <row r="3829">
          <cell r="A3829" t="str">
            <v>AFG</v>
          </cell>
          <cell r="B3829">
            <v>2009</v>
          </cell>
          <cell r="C3829" t="str">
            <v>mar_expz</v>
          </cell>
          <cell r="D3829">
            <v>20.989704132080078</v>
          </cell>
          <cell r="F3829" t="str">
            <v>14 Aug 2024</v>
          </cell>
        </row>
        <row r="3830">
          <cell r="A3830" t="str">
            <v>AFG</v>
          </cell>
          <cell r="B3830">
            <v>2024</v>
          </cell>
          <cell r="C3830" t="str">
            <v>mainvz</v>
          </cell>
          <cell r="D3830">
            <v>1.2651419639587402</v>
          </cell>
          <cell r="F3830" t="str">
            <v>14 Aug 2024</v>
          </cell>
        </row>
        <row r="3831">
          <cell r="A3831" t="str">
            <v>AFG</v>
          </cell>
          <cell r="B3831">
            <v>2008</v>
          </cell>
          <cell r="C3831" t="str">
            <v>mac_tfpz</v>
          </cell>
          <cell r="D3831">
            <v>3.4878461360931396</v>
          </cell>
          <cell r="F3831" t="str">
            <v>14 Aug 2024</v>
          </cell>
        </row>
        <row r="3832">
          <cell r="A3832" t="str">
            <v>AFG</v>
          </cell>
          <cell r="B3832">
            <v>2014</v>
          </cell>
          <cell r="C3832" t="str">
            <v>macab_</v>
          </cell>
          <cell r="D3832">
            <v>1.9112439155578613</v>
          </cell>
          <cell r="F3832" t="str">
            <v>14 Aug 2024</v>
          </cell>
        </row>
        <row r="3833">
          <cell r="A3833" t="str">
            <v>AFG</v>
          </cell>
          <cell r="B3833">
            <v>2023</v>
          </cell>
          <cell r="C3833" t="str">
            <v>magap_</v>
          </cell>
          <cell r="D3833">
            <v>-5.2626838684082031</v>
          </cell>
          <cell r="F3833" t="str">
            <v>14 Aug 2024</v>
          </cell>
        </row>
        <row r="3834">
          <cell r="A3834" t="str">
            <v>AFG</v>
          </cell>
          <cell r="B3834">
            <v>2022</v>
          </cell>
          <cell r="C3834" t="str">
            <v>mac_labz</v>
          </cell>
          <cell r="D3834">
            <v>2.1992418766021729</v>
          </cell>
          <cell r="F3834" t="str">
            <v>14 Aug 2024</v>
          </cell>
        </row>
        <row r="3835">
          <cell r="A3835" t="str">
            <v>AFG</v>
          </cell>
          <cell r="B3835">
            <v>2026</v>
          </cell>
          <cell r="C3835" t="str">
            <v>mac_tfpz</v>
          </cell>
          <cell r="D3835">
            <v>-0.64761161804199219</v>
          </cell>
          <cell r="F3835" t="str">
            <v>14 Aug 2024</v>
          </cell>
        </row>
        <row r="3836">
          <cell r="A3836" t="str">
            <v>AFG</v>
          </cell>
          <cell r="B3836">
            <v>2018</v>
          </cell>
          <cell r="C3836" t="str">
            <v>maagrfc</v>
          </cell>
          <cell r="D3836">
            <v>-4.415311336517334</v>
          </cell>
          <cell r="F3836" t="str">
            <v>14 Aug 2024</v>
          </cell>
        </row>
        <row r="3837">
          <cell r="A3837" t="str">
            <v>AFG</v>
          </cell>
          <cell r="B3837">
            <v>2021</v>
          </cell>
          <cell r="C3837" t="str">
            <v>madebt_</v>
          </cell>
          <cell r="D3837">
            <v>9.6646013259887695</v>
          </cell>
          <cell r="F3837" t="str">
            <v>14 Aug 2024</v>
          </cell>
        </row>
        <row r="3838">
          <cell r="A3838" t="str">
            <v>AFG</v>
          </cell>
          <cell r="B3838">
            <v>2021</v>
          </cell>
          <cell r="C3838" t="str">
            <v>masrvfc</v>
          </cell>
          <cell r="D3838">
            <v>2.2683272361755371</v>
          </cell>
          <cell r="F3838" t="str">
            <v>14 Aug 2024</v>
          </cell>
        </row>
        <row r="3839">
          <cell r="A3839" t="str">
            <v>AFG</v>
          </cell>
          <cell r="B3839">
            <v>2022</v>
          </cell>
          <cell r="C3839" t="str">
            <v>mafdi_</v>
          </cell>
          <cell r="D3839">
            <v>-0.19726999637634099</v>
          </cell>
          <cell r="F3839" t="str">
            <v>14 Aug 2024</v>
          </cell>
        </row>
        <row r="3840">
          <cell r="A3840" t="str">
            <v>AFG</v>
          </cell>
          <cell r="B3840">
            <v>2025</v>
          </cell>
          <cell r="C3840" t="str">
            <v>maimpz</v>
          </cell>
          <cell r="D3840">
            <v>3.5</v>
          </cell>
          <cell r="F3840" t="str">
            <v>14 Aug 2024</v>
          </cell>
        </row>
        <row r="3841">
          <cell r="A3841" t="str">
            <v>AFG</v>
          </cell>
          <cell r="B3841">
            <v>2011</v>
          </cell>
          <cell r="C3841" t="str">
            <v>mar_expz</v>
          </cell>
          <cell r="D3841">
            <v>22.735357284545898</v>
          </cell>
          <cell r="F3841" t="str">
            <v>14 Aug 2024</v>
          </cell>
        </row>
        <row r="3842">
          <cell r="A3842" t="str">
            <v>AFG</v>
          </cell>
          <cell r="B3842">
            <v>2006</v>
          </cell>
          <cell r="C3842" t="str">
            <v>mapanusatls</v>
          </cell>
          <cell r="D3842">
            <v>49.930000305175781</v>
          </cell>
          <cell r="F3842" t="str">
            <v>14 Aug 2024</v>
          </cell>
        </row>
        <row r="3843">
          <cell r="A3843" t="str">
            <v>AFG</v>
          </cell>
          <cell r="B3843">
            <v>2024</v>
          </cell>
          <cell r="C3843" t="str">
            <v>masrvfc</v>
          </cell>
          <cell r="D3843">
            <v>2.4717881679534912</v>
          </cell>
          <cell r="F3843" t="str">
            <v>14 Aug 2024</v>
          </cell>
        </row>
        <row r="3844">
          <cell r="A3844" t="str">
            <v>AFG</v>
          </cell>
          <cell r="B3844">
            <v>2008</v>
          </cell>
          <cell r="C3844" t="str">
            <v>mar_con</v>
          </cell>
          <cell r="D3844">
            <v>99.362480163574219</v>
          </cell>
          <cell r="F3844" t="str">
            <v>14 Aug 2024</v>
          </cell>
        </row>
        <row r="3845">
          <cell r="A3845" t="str">
            <v>AFG</v>
          </cell>
          <cell r="B3845">
            <v>2005</v>
          </cell>
          <cell r="C3845" t="str">
            <v>mainvz</v>
          </cell>
          <cell r="D3845">
            <v>17.189245223999023</v>
          </cell>
          <cell r="F3845" t="str">
            <v>14 Aug 2024</v>
          </cell>
        </row>
        <row r="3846">
          <cell r="A3846" t="str">
            <v>AFG</v>
          </cell>
          <cell r="B3846">
            <v>2026</v>
          </cell>
          <cell r="C3846" t="str">
            <v>magdpz</v>
          </cell>
          <cell r="D3846">
            <v>3.0399999618530273</v>
          </cell>
          <cell r="F3846" t="str">
            <v>14 Aug 2024</v>
          </cell>
        </row>
        <row r="3847">
          <cell r="A3847" t="str">
            <v>AFG</v>
          </cell>
          <cell r="B3847">
            <v>2026</v>
          </cell>
          <cell r="C3847" t="str">
            <v>maexpz</v>
          </cell>
          <cell r="D3847">
            <v>7.3000001907348633</v>
          </cell>
          <cell r="F3847" t="str">
            <v>14 Aug 2024</v>
          </cell>
        </row>
        <row r="3848">
          <cell r="A3848" t="str">
            <v>AFG</v>
          </cell>
          <cell r="B3848">
            <v>2025</v>
          </cell>
          <cell r="C3848" t="str">
            <v>maagrfc</v>
          </cell>
          <cell r="D3848">
            <v>4.4499998092651367</v>
          </cell>
          <cell r="F3848" t="str">
            <v>14 Aug 2024</v>
          </cell>
        </row>
        <row r="3849">
          <cell r="A3849" t="str">
            <v>AFG</v>
          </cell>
          <cell r="B3849">
            <v>2026</v>
          </cell>
          <cell r="C3849" t="str">
            <v>mar_agrfc</v>
          </cell>
          <cell r="D3849">
            <v>33.350822448730469</v>
          </cell>
          <cell r="F3849" t="str">
            <v>14 Aug 2024</v>
          </cell>
        </row>
        <row r="3850">
          <cell r="A3850" t="str">
            <v>AFG</v>
          </cell>
          <cell r="B3850">
            <v>2019</v>
          </cell>
          <cell r="C3850" t="str">
            <v>malabz</v>
          </cell>
          <cell r="D3850">
            <v>3.7424473762512207</v>
          </cell>
          <cell r="F3850" t="str">
            <v>14 Aug 2024</v>
          </cell>
        </row>
        <row r="3851">
          <cell r="A3851" t="str">
            <v>AFG</v>
          </cell>
          <cell r="B3851">
            <v>2024</v>
          </cell>
          <cell r="C3851" t="str">
            <v>mareer</v>
          </cell>
          <cell r="D3851">
            <v>87.807952880859375</v>
          </cell>
          <cell r="F3851" t="str">
            <v>14 Aug 2024</v>
          </cell>
        </row>
        <row r="3852">
          <cell r="A3852" t="str">
            <v>AFG</v>
          </cell>
          <cell r="B3852">
            <v>2025</v>
          </cell>
          <cell r="C3852" t="str">
            <v>maindfc</v>
          </cell>
          <cell r="D3852">
            <v>1.9500000476837158</v>
          </cell>
          <cell r="F3852" t="str">
            <v>14 Aug 2024</v>
          </cell>
        </row>
        <row r="3853">
          <cell r="A3853" t="str">
            <v>AFG</v>
          </cell>
          <cell r="B3853">
            <v>2018</v>
          </cell>
          <cell r="C3853" t="str">
            <v>maconz</v>
          </cell>
          <cell r="D3853">
            <v>9.974635124206543</v>
          </cell>
          <cell r="F3853" t="str">
            <v>14 Aug 2024</v>
          </cell>
        </row>
        <row r="3854">
          <cell r="A3854" t="str">
            <v>AFG</v>
          </cell>
          <cell r="B3854">
            <v>2013</v>
          </cell>
          <cell r="C3854" t="str">
            <v>magovz</v>
          </cell>
          <cell r="D3854">
            <v>15.464701652526855</v>
          </cell>
          <cell r="F3854" t="str">
            <v>14 Aug 2024</v>
          </cell>
        </row>
        <row r="3855">
          <cell r="A3855" t="str">
            <v>AFG</v>
          </cell>
          <cell r="B3855">
            <v>2015</v>
          </cell>
          <cell r="C3855" t="str">
            <v>maindfc</v>
          </cell>
          <cell r="D3855">
            <v>4.1711215972900391</v>
          </cell>
          <cell r="F3855" t="str">
            <v>14 Aug 2024</v>
          </cell>
        </row>
        <row r="3856">
          <cell r="A3856" t="str">
            <v>AFG</v>
          </cell>
          <cell r="B3856">
            <v>2010</v>
          </cell>
          <cell r="C3856" t="str">
            <v>maindfc</v>
          </cell>
          <cell r="D3856">
            <v>6.2706012725830078</v>
          </cell>
          <cell r="F3856" t="str">
            <v>14 Aug 2024</v>
          </cell>
        </row>
        <row r="3857">
          <cell r="A3857" t="str">
            <v>AFG</v>
          </cell>
          <cell r="B3857">
            <v>2009</v>
          </cell>
          <cell r="C3857" t="str">
            <v>maindfc</v>
          </cell>
          <cell r="D3857">
            <v>6.1071414947509766</v>
          </cell>
          <cell r="F3857" t="str">
            <v>14 Aug 2024</v>
          </cell>
        </row>
        <row r="3858">
          <cell r="A3858" t="str">
            <v>AFG</v>
          </cell>
          <cell r="B3858">
            <v>2007</v>
          </cell>
          <cell r="C3858" t="str">
            <v>mar_agrfc</v>
          </cell>
          <cell r="D3858">
            <v>42.492206573486328</v>
          </cell>
          <cell r="F3858" t="str">
            <v>14 Aug 2024</v>
          </cell>
        </row>
        <row r="3859">
          <cell r="A3859" t="str">
            <v>AFG</v>
          </cell>
          <cell r="B3859">
            <v>2014</v>
          </cell>
          <cell r="C3859" t="str">
            <v>mar_srvfc</v>
          </cell>
          <cell r="D3859">
            <v>61.236351013183594</v>
          </cell>
          <cell r="F3859" t="str">
            <v>14 Aug 2024</v>
          </cell>
        </row>
        <row r="3860">
          <cell r="A3860" t="str">
            <v>AFG</v>
          </cell>
          <cell r="B3860">
            <v>2009</v>
          </cell>
          <cell r="C3860" t="str">
            <v>magovz</v>
          </cell>
          <cell r="D3860">
            <v>9.345733642578125</v>
          </cell>
          <cell r="F3860" t="str">
            <v>14 Aug 2024</v>
          </cell>
        </row>
        <row r="3861">
          <cell r="A3861" t="str">
            <v>AFG</v>
          </cell>
          <cell r="B3861">
            <v>2015</v>
          </cell>
          <cell r="C3861" t="str">
            <v>maconz</v>
          </cell>
          <cell r="D3861">
            <v>8.2816686630249023</v>
          </cell>
          <cell r="F3861" t="str">
            <v>14 Aug 2024</v>
          </cell>
        </row>
        <row r="3862">
          <cell r="A3862" t="str">
            <v>AFG</v>
          </cell>
          <cell r="B3862">
            <v>2012</v>
          </cell>
          <cell r="C3862" t="str">
            <v>magdpz</v>
          </cell>
          <cell r="D3862">
            <v>20.778158187866211</v>
          </cell>
          <cell r="F3862" t="str">
            <v>14 Aug 2024</v>
          </cell>
        </row>
        <row r="3863">
          <cell r="A3863" t="str">
            <v>AFG</v>
          </cell>
          <cell r="B3863">
            <v>2020</v>
          </cell>
          <cell r="C3863" t="str">
            <v>macpiz</v>
          </cell>
          <cell r="D3863">
            <v>5.5999999046325684</v>
          </cell>
          <cell r="F3863" t="str">
            <v>14 Aug 2024</v>
          </cell>
        </row>
        <row r="3864">
          <cell r="A3864" t="str">
            <v>AFG</v>
          </cell>
          <cell r="B3864">
            <v>2014</v>
          </cell>
          <cell r="C3864" t="str">
            <v>mapanusatls</v>
          </cell>
          <cell r="D3864">
            <v>58.069999694824219</v>
          </cell>
          <cell r="F3864" t="str">
            <v>14 Aug 2024</v>
          </cell>
        </row>
        <row r="3865">
          <cell r="A3865" t="str">
            <v>AFG</v>
          </cell>
          <cell r="B3865">
            <v>2007</v>
          </cell>
          <cell r="C3865" t="str">
            <v>mainvz</v>
          </cell>
          <cell r="D3865">
            <v>8.3247098922729492</v>
          </cell>
          <cell r="F3865" t="str">
            <v>14 Aug 2024</v>
          </cell>
        </row>
        <row r="3866">
          <cell r="A3866" t="str">
            <v>AFG</v>
          </cell>
          <cell r="B3866">
            <v>2017</v>
          </cell>
          <cell r="C3866" t="str">
            <v>mar_taxfc</v>
          </cell>
          <cell r="D3866">
            <v>5.3423328399658203</v>
          </cell>
          <cell r="F3866" t="str">
            <v>14 Aug 2024</v>
          </cell>
        </row>
        <row r="3867">
          <cell r="A3867" t="str">
            <v>AFG</v>
          </cell>
          <cell r="B3867">
            <v>2011</v>
          </cell>
          <cell r="C3867" t="str">
            <v>maagrfc</v>
          </cell>
          <cell r="D3867">
            <v>-7.5923233032226563</v>
          </cell>
          <cell r="F3867" t="str">
            <v>14 Aug 2024</v>
          </cell>
        </row>
        <row r="3868">
          <cell r="A3868" t="str">
            <v>AFG</v>
          </cell>
          <cell r="B3868">
            <v>2006</v>
          </cell>
          <cell r="C3868" t="str">
            <v>mac_labz</v>
          </cell>
          <cell r="D3868">
            <v>3.5379433631896973</v>
          </cell>
          <cell r="F3868" t="str">
            <v>14 Aug 2024</v>
          </cell>
        </row>
        <row r="3869">
          <cell r="A3869" t="str">
            <v>AFG</v>
          </cell>
          <cell r="B3869">
            <v>2018</v>
          </cell>
          <cell r="C3869" t="str">
            <v>madebt_</v>
          </cell>
          <cell r="D3869">
            <v>5.7890949249267578</v>
          </cell>
          <cell r="F3869" t="str">
            <v>14 Aug 2024</v>
          </cell>
        </row>
        <row r="3870">
          <cell r="A3870" t="str">
            <v>AFG</v>
          </cell>
          <cell r="B3870">
            <v>2026</v>
          </cell>
          <cell r="C3870" t="str">
            <v>magap_</v>
          </cell>
          <cell r="D3870">
            <v>-2.3958344459533691</v>
          </cell>
          <cell r="F3870" t="str">
            <v>14 Aug 2024</v>
          </cell>
        </row>
        <row r="3871">
          <cell r="A3871" t="str">
            <v>AFG</v>
          </cell>
          <cell r="B3871">
            <v>2023</v>
          </cell>
          <cell r="C3871" t="str">
            <v>macab_</v>
          </cell>
          <cell r="D3871">
            <v>-9.1880121231079102</v>
          </cell>
          <cell r="F3871" t="str">
            <v>14 Aug 2024</v>
          </cell>
        </row>
        <row r="3872">
          <cell r="A3872" t="str">
            <v>AFG</v>
          </cell>
          <cell r="B3872">
            <v>2026</v>
          </cell>
          <cell r="C3872" t="str">
            <v>mataxfc</v>
          </cell>
          <cell r="D3872">
            <v>3.0399999618530273</v>
          </cell>
          <cell r="F3872" t="str">
            <v>14 Aug 2024</v>
          </cell>
        </row>
        <row r="3873">
          <cell r="A3873" t="str">
            <v>AFG</v>
          </cell>
          <cell r="B3873">
            <v>2006</v>
          </cell>
          <cell r="C3873" t="str">
            <v>macpiz</v>
          </cell>
          <cell r="D3873">
            <v>12.829631805419922</v>
          </cell>
          <cell r="F3873" t="str">
            <v>14 Aug 2024</v>
          </cell>
        </row>
        <row r="3874">
          <cell r="A3874" t="str">
            <v>AFG</v>
          </cell>
          <cell r="B3874">
            <v>2017</v>
          </cell>
          <cell r="C3874" t="str">
            <v>mac_labz</v>
          </cell>
          <cell r="D3874">
            <v>2.5909528732299805</v>
          </cell>
          <cell r="F3874" t="str">
            <v>14 Aug 2024</v>
          </cell>
        </row>
        <row r="3875">
          <cell r="A3875" t="str">
            <v>AFG</v>
          </cell>
          <cell r="B3875">
            <v>2009</v>
          </cell>
          <cell r="C3875" t="str">
            <v>maconz</v>
          </cell>
          <cell r="D3875">
            <v>9.345733642578125</v>
          </cell>
          <cell r="F3875" t="str">
            <v>14 Aug 2024</v>
          </cell>
        </row>
        <row r="3876">
          <cell r="A3876" t="str">
            <v>AFG</v>
          </cell>
          <cell r="B3876">
            <v>2024</v>
          </cell>
          <cell r="C3876" t="str">
            <v>maagrfc</v>
          </cell>
          <cell r="D3876">
            <v>4.4499998092651367</v>
          </cell>
          <cell r="F3876" t="str">
            <v>14 Aug 2024</v>
          </cell>
        </row>
        <row r="3877">
          <cell r="A3877" t="str">
            <v>AFG</v>
          </cell>
          <cell r="B3877">
            <v>2022</v>
          </cell>
          <cell r="C3877" t="str">
            <v>malabz</v>
          </cell>
          <cell r="D3877">
            <v>3.1417741775512695</v>
          </cell>
          <cell r="F3877" t="str">
            <v>14 Aug 2024</v>
          </cell>
        </row>
        <row r="3878">
          <cell r="A3878" t="str">
            <v>AFG</v>
          </cell>
          <cell r="B3878">
            <v>2007</v>
          </cell>
          <cell r="C3878" t="str">
            <v>mataxfc</v>
          </cell>
          <cell r="D3878">
            <v>12.217442512512207</v>
          </cell>
          <cell r="F3878" t="str">
            <v>14 Aug 2024</v>
          </cell>
        </row>
        <row r="3879">
          <cell r="A3879" t="str">
            <v>AFG</v>
          </cell>
          <cell r="B3879">
            <v>2024</v>
          </cell>
          <cell r="C3879" t="str">
            <v>maimpz</v>
          </cell>
          <cell r="D3879">
            <v>3.5</v>
          </cell>
          <cell r="F3879" t="str">
            <v>14 Aug 2024</v>
          </cell>
        </row>
        <row r="3880">
          <cell r="A3880" t="str">
            <v>AFG</v>
          </cell>
          <cell r="B3880">
            <v>2009</v>
          </cell>
          <cell r="C3880" t="str">
            <v>mar_agrfc</v>
          </cell>
          <cell r="D3880">
            <v>40.900135040283203</v>
          </cell>
          <cell r="F3880" t="str">
            <v>14 Aug 2024</v>
          </cell>
        </row>
        <row r="3881">
          <cell r="A3881" t="str">
            <v>AFG</v>
          </cell>
          <cell r="B3881">
            <v>2014</v>
          </cell>
          <cell r="C3881" t="str">
            <v>masrvfc</v>
          </cell>
          <cell r="D3881">
            <v>4.530153751373291</v>
          </cell>
          <cell r="F3881" t="str">
            <v>14 Aug 2024</v>
          </cell>
        </row>
        <row r="3882">
          <cell r="A3882" t="str">
            <v>AFG</v>
          </cell>
          <cell r="B3882">
            <v>2006</v>
          </cell>
          <cell r="C3882" t="str">
            <v>magdpz</v>
          </cell>
          <cell r="D3882">
            <v>2.2619976997375488</v>
          </cell>
          <cell r="F3882" t="str">
            <v>14 Aug 2024</v>
          </cell>
        </row>
        <row r="3883">
          <cell r="A3883" t="str">
            <v>AFG</v>
          </cell>
          <cell r="B3883">
            <v>2005</v>
          </cell>
          <cell r="C3883" t="str">
            <v>malabz</v>
          </cell>
          <cell r="D3883">
            <v>0</v>
          </cell>
          <cell r="F3883" t="str">
            <v>14 Aug 2024</v>
          </cell>
        </row>
        <row r="3884">
          <cell r="A3884" t="str">
            <v>AFG</v>
          </cell>
          <cell r="B3884">
            <v>2006</v>
          </cell>
          <cell r="C3884" t="str">
            <v>maindfc</v>
          </cell>
          <cell r="D3884">
            <v>13.667543411254883</v>
          </cell>
          <cell r="F3884" t="str">
            <v>14 Aug 2024</v>
          </cell>
        </row>
        <row r="3885">
          <cell r="A3885" t="str">
            <v>AFG</v>
          </cell>
          <cell r="B3885">
            <v>2008</v>
          </cell>
          <cell r="C3885" t="str">
            <v>mar_indfc</v>
          </cell>
          <cell r="D3885">
            <v>14.332480430603027</v>
          </cell>
          <cell r="F3885" t="str">
            <v>14 Aug 2024</v>
          </cell>
        </row>
        <row r="3886">
          <cell r="A3886" t="str">
            <v>AFG</v>
          </cell>
          <cell r="B3886">
            <v>2010</v>
          </cell>
          <cell r="C3886" t="str">
            <v>magdpz</v>
          </cell>
          <cell r="D3886">
            <v>8.0257406234741211</v>
          </cell>
          <cell r="F3886" t="str">
            <v>14 Aug 2024</v>
          </cell>
        </row>
        <row r="3887">
          <cell r="A3887" t="str">
            <v>AFG</v>
          </cell>
          <cell r="B3887">
            <v>2024</v>
          </cell>
          <cell r="C3887" t="str">
            <v>mar_taxfc</v>
          </cell>
          <cell r="D3887">
            <v>4.7559185028076172</v>
          </cell>
          <cell r="F3887" t="str">
            <v>14 Aug 2024</v>
          </cell>
        </row>
        <row r="3888">
          <cell r="A3888" t="str">
            <v>AFG</v>
          </cell>
          <cell r="B3888">
            <v>2014</v>
          </cell>
          <cell r="C3888" t="str">
            <v>mafdi_</v>
          </cell>
          <cell r="D3888">
            <v>-0.20369481369336559</v>
          </cell>
          <cell r="F3888" t="str">
            <v>14 Aug 2024</v>
          </cell>
        </row>
        <row r="3889">
          <cell r="A3889" t="str">
            <v>AFG</v>
          </cell>
          <cell r="B3889">
            <v>2005</v>
          </cell>
          <cell r="C3889" t="str">
            <v>maconz</v>
          </cell>
          <cell r="D3889">
            <v>0</v>
          </cell>
          <cell r="F3889" t="str">
            <v>14 Aug 2024</v>
          </cell>
        </row>
        <row r="3890">
          <cell r="A3890" t="str">
            <v>AFG</v>
          </cell>
          <cell r="B3890">
            <v>2011</v>
          </cell>
          <cell r="C3890" t="str">
            <v>magovz</v>
          </cell>
          <cell r="D3890">
            <v>4.9671335220336914</v>
          </cell>
          <cell r="F3890" t="str">
            <v>14 Aug 2024</v>
          </cell>
        </row>
        <row r="3891">
          <cell r="A3891" t="str">
            <v>AFG</v>
          </cell>
          <cell r="B3891">
            <v>2024</v>
          </cell>
          <cell r="C3891" t="str">
            <v>magdpz</v>
          </cell>
          <cell r="D3891">
            <v>3.0399999618530273</v>
          </cell>
          <cell r="F3891" t="str">
            <v>14 Aug 2024</v>
          </cell>
        </row>
        <row r="3892">
          <cell r="A3892" t="str">
            <v>AFG</v>
          </cell>
          <cell r="B3892">
            <v>2024</v>
          </cell>
          <cell r="C3892" t="str">
            <v>madeficit_</v>
          </cell>
          <cell r="D3892">
            <v>-0.72972220182418823</v>
          </cell>
          <cell r="F3892" t="str">
            <v>14 Aug 2024</v>
          </cell>
        </row>
        <row r="3893">
          <cell r="A3893" t="str">
            <v>AFG</v>
          </cell>
          <cell r="B3893">
            <v>2025</v>
          </cell>
          <cell r="C3893" t="str">
            <v>mareer</v>
          </cell>
          <cell r="D3893">
            <v>85.485855102539063</v>
          </cell>
          <cell r="F3893" t="str">
            <v>14 Aug 2024</v>
          </cell>
        </row>
        <row r="3894">
          <cell r="A3894" t="str">
            <v>AFG</v>
          </cell>
          <cell r="B3894">
            <v>2019</v>
          </cell>
          <cell r="C3894" t="str">
            <v>mar_indfc</v>
          </cell>
          <cell r="D3894">
            <v>12.925155639648438</v>
          </cell>
          <cell r="F3894" t="str">
            <v>14 Aug 2024</v>
          </cell>
        </row>
        <row r="3895">
          <cell r="A3895" t="str">
            <v>AFG</v>
          </cell>
          <cell r="B3895">
            <v>2007</v>
          </cell>
          <cell r="C3895" t="str">
            <v>mar_impz</v>
          </cell>
          <cell r="D3895">
            <v>87.071365356445313</v>
          </cell>
          <cell r="F3895" t="str">
            <v>14 Aug 2024</v>
          </cell>
        </row>
        <row r="3896">
          <cell r="A3896" t="str">
            <v>AFG</v>
          </cell>
          <cell r="B3896">
            <v>2018</v>
          </cell>
          <cell r="C3896" t="str">
            <v>macab_</v>
          </cell>
          <cell r="D3896">
            <v>2.7067651748657227</v>
          </cell>
          <cell r="F3896" t="str">
            <v>14 Aug 2024</v>
          </cell>
        </row>
        <row r="3897">
          <cell r="A3897" t="str">
            <v>AFG</v>
          </cell>
          <cell r="B3897">
            <v>2021</v>
          </cell>
          <cell r="C3897" t="str">
            <v>macab_</v>
          </cell>
          <cell r="D3897">
            <v>-1.2180520296096802</v>
          </cell>
          <cell r="F3897" t="str">
            <v>14 Aug 2024</v>
          </cell>
        </row>
        <row r="3898">
          <cell r="A3898" t="str">
            <v>AFG</v>
          </cell>
          <cell r="B3898">
            <v>2025</v>
          </cell>
          <cell r="C3898" t="str">
            <v>maexpz</v>
          </cell>
          <cell r="D3898">
            <v>7.3000001907348633</v>
          </cell>
          <cell r="F3898" t="str">
            <v>14 Aug 2024</v>
          </cell>
        </row>
        <row r="3899">
          <cell r="A3899" t="str">
            <v>AFG</v>
          </cell>
          <cell r="B3899">
            <v>2024</v>
          </cell>
          <cell r="C3899" t="str">
            <v>mar_agrfc</v>
          </cell>
          <cell r="D3899">
            <v>32.456478118896484</v>
          </cell>
          <cell r="F3899" t="str">
            <v>14 Aug 2024</v>
          </cell>
        </row>
        <row r="3900">
          <cell r="A3900" t="str">
            <v>AFG</v>
          </cell>
          <cell r="B3900">
            <v>2006</v>
          </cell>
          <cell r="C3900" t="str">
            <v>mataxfc</v>
          </cell>
          <cell r="D3900">
            <v>14.898647308349609</v>
          </cell>
          <cell r="F3900" t="str">
            <v>14 Aug 2024</v>
          </cell>
        </row>
        <row r="3901">
          <cell r="A3901" t="str">
            <v>AFG</v>
          </cell>
          <cell r="B3901">
            <v>2016</v>
          </cell>
          <cell r="C3901" t="str">
            <v>matfpz</v>
          </cell>
          <cell r="D3901">
            <v>-1.6460306644439697</v>
          </cell>
          <cell r="F3901" t="str">
            <v>14 Aug 2024</v>
          </cell>
        </row>
        <row r="3902">
          <cell r="A3902" t="str">
            <v>AFG</v>
          </cell>
          <cell r="B3902">
            <v>2005</v>
          </cell>
          <cell r="C3902" t="str">
            <v>mar_expz</v>
          </cell>
          <cell r="D3902">
            <v>37.073104858398438</v>
          </cell>
          <cell r="F3902" t="str">
            <v>14 Aug 2024</v>
          </cell>
        </row>
        <row r="3903">
          <cell r="A3903" t="str">
            <v>AFG</v>
          </cell>
          <cell r="B3903">
            <v>2010</v>
          </cell>
          <cell r="C3903" t="str">
            <v>maimpz</v>
          </cell>
          <cell r="D3903">
            <v>-10.922049522399902</v>
          </cell>
          <cell r="F3903" t="str">
            <v>14 Aug 2024</v>
          </cell>
        </row>
        <row r="3904">
          <cell r="A3904" t="str">
            <v>AFG</v>
          </cell>
          <cell r="B3904">
            <v>2008</v>
          </cell>
          <cell r="C3904" t="str">
            <v>matfpz</v>
          </cell>
          <cell r="D3904">
            <v>3.4878461360931396</v>
          </cell>
          <cell r="F3904" t="str">
            <v>14 Aug 2024</v>
          </cell>
        </row>
        <row r="3905">
          <cell r="A3905" t="str">
            <v>AFG</v>
          </cell>
          <cell r="B3905">
            <v>2024</v>
          </cell>
          <cell r="C3905" t="str">
            <v>magap_</v>
          </cell>
          <cell r="D3905">
            <v>-4.3165478706359863</v>
          </cell>
          <cell r="F3905" t="str">
            <v>14 Aug 2024</v>
          </cell>
        </row>
        <row r="3906">
          <cell r="A3906" t="str">
            <v>AFG</v>
          </cell>
          <cell r="B3906">
            <v>2023</v>
          </cell>
          <cell r="C3906" t="str">
            <v>mareer</v>
          </cell>
          <cell r="D3906">
            <v>89.857307434082031</v>
          </cell>
          <cell r="F3906" t="str">
            <v>14 Aug 2024</v>
          </cell>
        </row>
        <row r="3907">
          <cell r="A3907" t="str">
            <v>AFG</v>
          </cell>
          <cell r="B3907">
            <v>2013</v>
          </cell>
          <cell r="C3907" t="str">
            <v>mar_taxfc</v>
          </cell>
          <cell r="D3907">
            <v>4.7523283958435059</v>
          </cell>
          <cell r="F3907" t="str">
            <v>14 Aug 2024</v>
          </cell>
        </row>
        <row r="3908">
          <cell r="A3908" t="str">
            <v>AFG</v>
          </cell>
          <cell r="B3908">
            <v>2012</v>
          </cell>
          <cell r="C3908" t="str">
            <v>mainvz</v>
          </cell>
          <cell r="D3908">
            <v>21.594451904296875</v>
          </cell>
          <cell r="F3908" t="str">
            <v>14 Aug 2024</v>
          </cell>
        </row>
        <row r="3909">
          <cell r="A3909" t="str">
            <v>AFG</v>
          </cell>
          <cell r="B3909">
            <v>2020</v>
          </cell>
          <cell r="C3909" t="str">
            <v>mapanusatls</v>
          </cell>
          <cell r="D3909">
            <v>77.099998474121094</v>
          </cell>
          <cell r="F3909" t="str">
            <v>14 Aug 2024</v>
          </cell>
        </row>
        <row r="3910">
          <cell r="A3910" t="str">
            <v>AFG</v>
          </cell>
          <cell r="B3910">
            <v>2023</v>
          </cell>
          <cell r="C3910" t="str">
            <v>mapanusatls</v>
          </cell>
          <cell r="D3910">
            <v>89.25</v>
          </cell>
          <cell r="F3910" t="str">
            <v>14 Aug 2024</v>
          </cell>
        </row>
        <row r="3911">
          <cell r="A3911" t="str">
            <v>AFG</v>
          </cell>
          <cell r="B3911">
            <v>2023</v>
          </cell>
          <cell r="C3911" t="str">
            <v>maindfc</v>
          </cell>
          <cell r="D3911">
            <v>1.9500000476837158</v>
          </cell>
          <cell r="F3911" t="str">
            <v>14 Aug 2024</v>
          </cell>
        </row>
        <row r="3912">
          <cell r="A3912" t="str">
            <v>AFG</v>
          </cell>
          <cell r="B3912">
            <v>2011</v>
          </cell>
          <cell r="C3912" t="str">
            <v>mar_taxfc</v>
          </cell>
          <cell r="D3912">
            <v>4.2916769981384277</v>
          </cell>
          <cell r="F3912" t="str">
            <v>14 Aug 2024</v>
          </cell>
        </row>
        <row r="3913">
          <cell r="A3913" t="str">
            <v>AFG</v>
          </cell>
          <cell r="B3913">
            <v>2017</v>
          </cell>
          <cell r="C3913" t="str">
            <v>maagrfc</v>
          </cell>
          <cell r="D3913">
            <v>6.4110589027404785</v>
          </cell>
          <cell r="F3913" t="str">
            <v>14 Aug 2024</v>
          </cell>
        </row>
        <row r="3914">
          <cell r="A3914" t="str">
            <v>AFG</v>
          </cell>
          <cell r="B3914">
            <v>2025</v>
          </cell>
          <cell r="C3914" t="str">
            <v>matfpz</v>
          </cell>
          <cell r="D3914">
            <v>-0.71596419811248779</v>
          </cell>
          <cell r="F3914" t="str">
            <v>14 Aug 2024</v>
          </cell>
        </row>
        <row r="3915">
          <cell r="A3915" t="str">
            <v>AFG</v>
          </cell>
          <cell r="B3915">
            <v>2024</v>
          </cell>
          <cell r="C3915" t="str">
            <v>mapanusatls</v>
          </cell>
          <cell r="D3915">
            <v>93.712501525878906</v>
          </cell>
          <cell r="F3915" t="str">
            <v>14 Aug 2024</v>
          </cell>
        </row>
        <row r="3916">
          <cell r="A3916" t="str">
            <v>AFG</v>
          </cell>
          <cell r="B3916">
            <v>2025</v>
          </cell>
          <cell r="C3916" t="str">
            <v>maconz</v>
          </cell>
          <cell r="D3916">
            <v>3.5</v>
          </cell>
          <cell r="F3916" t="str">
            <v>14 Aug 2024</v>
          </cell>
        </row>
        <row r="3917">
          <cell r="A3917" t="str">
            <v>AFG</v>
          </cell>
          <cell r="B3917">
            <v>2019</v>
          </cell>
          <cell r="C3917" t="str">
            <v>mataxfc</v>
          </cell>
          <cell r="D3917">
            <v>-5.6528935432434082</v>
          </cell>
          <cell r="F3917" t="str">
            <v>14 Aug 2024</v>
          </cell>
        </row>
        <row r="3918">
          <cell r="A3918" t="str">
            <v>AFG</v>
          </cell>
          <cell r="B3918">
            <v>2016</v>
          </cell>
          <cell r="C3918" t="str">
            <v>mar_con</v>
          </cell>
          <cell r="D3918">
            <v>95.724128723144531</v>
          </cell>
          <cell r="F3918" t="str">
            <v>14 Aug 2024</v>
          </cell>
        </row>
        <row r="3919">
          <cell r="A3919" t="str">
            <v>AFG</v>
          </cell>
          <cell r="B3919">
            <v>2007</v>
          </cell>
          <cell r="C3919" t="str">
            <v>magap_</v>
          </cell>
          <cell r="D3919">
            <v>-5.6331691741943359</v>
          </cell>
          <cell r="F3919" t="str">
            <v>14 Aug 2024</v>
          </cell>
        </row>
        <row r="3920">
          <cell r="A3920" t="str">
            <v>AFG</v>
          </cell>
          <cell r="B3920">
            <v>2008</v>
          </cell>
          <cell r="C3920" t="str">
            <v>mar_expz</v>
          </cell>
          <cell r="D3920">
            <v>26.319972991943359</v>
          </cell>
          <cell r="F3920" t="str">
            <v>14 Aug 2024</v>
          </cell>
        </row>
        <row r="3921">
          <cell r="A3921" t="str">
            <v>AFG</v>
          </cell>
          <cell r="B3921">
            <v>2016</v>
          </cell>
          <cell r="C3921" t="str">
            <v>mafdi_</v>
          </cell>
          <cell r="D3921">
            <v>-0.43500485831351682</v>
          </cell>
          <cell r="F3921" t="str">
            <v>14 Aug 2024</v>
          </cell>
        </row>
        <row r="3922">
          <cell r="A3922" t="str">
            <v>AFG</v>
          </cell>
          <cell r="B3922">
            <v>2019</v>
          </cell>
          <cell r="C3922" t="str">
            <v>mac_labz</v>
          </cell>
          <cell r="D3922">
            <v>2.6197130680084229</v>
          </cell>
          <cell r="F3922" t="str">
            <v>14 Aug 2024</v>
          </cell>
        </row>
        <row r="3923">
          <cell r="A3923" t="str">
            <v>AFG</v>
          </cell>
          <cell r="B3923">
            <v>2015</v>
          </cell>
          <cell r="C3923" t="str">
            <v>mar_indfc</v>
          </cell>
          <cell r="D3923">
            <v>11.376370429992676</v>
          </cell>
          <cell r="F3923" t="str">
            <v>14 Aug 2024</v>
          </cell>
        </row>
        <row r="3924">
          <cell r="A3924" t="str">
            <v>AFG</v>
          </cell>
          <cell r="B3924">
            <v>2014</v>
          </cell>
          <cell r="C3924" t="str">
            <v>magovz</v>
          </cell>
          <cell r="D3924">
            <v>7.7711405754089355</v>
          </cell>
          <cell r="F3924" t="str">
            <v>14 Aug 2024</v>
          </cell>
        </row>
        <row r="3925">
          <cell r="A3925" t="str">
            <v>AFG</v>
          </cell>
          <cell r="B3925">
            <v>2012</v>
          </cell>
          <cell r="C3925" t="str">
            <v>maconz</v>
          </cell>
          <cell r="D3925">
            <v>21.594451904296875</v>
          </cell>
          <cell r="F3925" t="str">
            <v>14 Aug 2024</v>
          </cell>
        </row>
        <row r="3926">
          <cell r="A3926" t="str">
            <v>AFG</v>
          </cell>
          <cell r="B3926">
            <v>2007</v>
          </cell>
          <cell r="C3926" t="str">
            <v>madebt_</v>
          </cell>
          <cell r="D3926">
            <v>8.5747919082641602</v>
          </cell>
          <cell r="F3926" t="str">
            <v>14 Aug 2024</v>
          </cell>
        </row>
        <row r="3927">
          <cell r="A3927" t="str">
            <v>AFG</v>
          </cell>
          <cell r="B3927">
            <v>2023</v>
          </cell>
          <cell r="C3927" t="str">
            <v>mar_con</v>
          </cell>
          <cell r="D3927">
            <v>98.376045227050781</v>
          </cell>
          <cell r="F3927" t="str">
            <v>14 Aug 2024</v>
          </cell>
        </row>
        <row r="3928">
          <cell r="A3928" t="str">
            <v>AFG</v>
          </cell>
          <cell r="B3928">
            <v>2023</v>
          </cell>
          <cell r="C3928" t="str">
            <v>maconz</v>
          </cell>
          <cell r="D3928">
            <v>3.5</v>
          </cell>
          <cell r="F3928" t="str">
            <v>14 Aug 2024</v>
          </cell>
        </row>
        <row r="3929">
          <cell r="A3929" t="str">
            <v>AFG</v>
          </cell>
          <cell r="B3929">
            <v>2007</v>
          </cell>
          <cell r="C3929" t="str">
            <v>masrvfc</v>
          </cell>
          <cell r="D3929">
            <v>6.7310037612915039</v>
          </cell>
          <cell r="F3929" t="str">
            <v>14 Aug 2024</v>
          </cell>
        </row>
        <row r="3930">
          <cell r="A3930" t="str">
            <v>AFG</v>
          </cell>
          <cell r="B3930">
            <v>2022</v>
          </cell>
          <cell r="C3930" t="str">
            <v>mac_tfpz</v>
          </cell>
          <cell r="D3930">
            <v>-0.89806544780731201</v>
          </cell>
          <cell r="F3930" t="str">
            <v>14 Aug 2024</v>
          </cell>
        </row>
        <row r="3931">
          <cell r="A3931" t="str">
            <v>AFG</v>
          </cell>
          <cell r="B3931">
            <v>2015</v>
          </cell>
          <cell r="C3931" t="str">
            <v>magap_</v>
          </cell>
          <cell r="D3931">
            <v>1.3736610412597656</v>
          </cell>
          <cell r="F3931" t="str">
            <v>14 Aug 2024</v>
          </cell>
        </row>
        <row r="3932">
          <cell r="A3932" t="str">
            <v>AFG</v>
          </cell>
          <cell r="B3932">
            <v>2011</v>
          </cell>
          <cell r="C3932" t="str">
            <v>mapanusatls</v>
          </cell>
          <cell r="D3932">
            <v>47.759998321533203</v>
          </cell>
          <cell r="F3932" t="str">
            <v>14 Aug 2024</v>
          </cell>
        </row>
        <row r="3933">
          <cell r="A3933" t="str">
            <v>AFG</v>
          </cell>
          <cell r="B3933">
            <v>2005</v>
          </cell>
          <cell r="C3933" t="str">
            <v>magovz</v>
          </cell>
          <cell r="D3933">
            <v>0</v>
          </cell>
          <cell r="F3933" t="str">
            <v>14 Aug 2024</v>
          </cell>
        </row>
        <row r="3934">
          <cell r="A3934" t="str">
            <v>AFG</v>
          </cell>
          <cell r="B3934">
            <v>2013</v>
          </cell>
          <cell r="C3934" t="str">
            <v>madeficit_</v>
          </cell>
          <cell r="D3934">
            <v>-0.5488402247428894</v>
          </cell>
          <cell r="F3934" t="str">
            <v>14 Aug 2024</v>
          </cell>
        </row>
        <row r="3935">
          <cell r="A3935" t="str">
            <v>AFG</v>
          </cell>
          <cell r="B3935">
            <v>2024</v>
          </cell>
          <cell r="C3935" t="str">
            <v>mar_srvfc</v>
          </cell>
          <cell r="D3935">
            <v>55.184242248535156</v>
          </cell>
          <cell r="F3935" t="str">
            <v>14 Aug 2024</v>
          </cell>
        </row>
        <row r="3936">
          <cell r="A3936" t="str">
            <v>AFG</v>
          </cell>
          <cell r="B3936">
            <v>2026</v>
          </cell>
          <cell r="C3936" t="str">
            <v>maagrfc</v>
          </cell>
          <cell r="D3936">
            <v>4.4499998092651367</v>
          </cell>
          <cell r="F3936" t="str">
            <v>14 Aug 2024</v>
          </cell>
        </row>
        <row r="3937">
          <cell r="A3937" t="str">
            <v>AFG</v>
          </cell>
          <cell r="B3937">
            <v>2020</v>
          </cell>
          <cell r="C3937" t="str">
            <v>mac_tfpz</v>
          </cell>
          <cell r="D3937">
            <v>-2.3894648551940918</v>
          </cell>
          <cell r="F3937" t="str">
            <v>14 Aug 2024</v>
          </cell>
        </row>
        <row r="3938">
          <cell r="A3938" t="str">
            <v>AFG</v>
          </cell>
          <cell r="B3938">
            <v>2017</v>
          </cell>
          <cell r="C3938" t="str">
            <v>mar_indfc</v>
          </cell>
          <cell r="D3938">
            <v>11.730608940124512</v>
          </cell>
          <cell r="F3938" t="str">
            <v>14 Aug 2024</v>
          </cell>
        </row>
        <row r="3939">
          <cell r="A3939" t="str">
            <v>AFG</v>
          </cell>
          <cell r="B3939">
            <v>2009</v>
          </cell>
          <cell r="C3939" t="str">
            <v>madeficit_</v>
          </cell>
          <cell r="D3939">
            <v>-0.89046937227249146</v>
          </cell>
          <cell r="F3939" t="str">
            <v>14 Aug 2024</v>
          </cell>
        </row>
        <row r="3940">
          <cell r="A3940" t="str">
            <v>AFG</v>
          </cell>
          <cell r="B3940">
            <v>2016</v>
          </cell>
          <cell r="C3940" t="str">
            <v>madeficit_</v>
          </cell>
          <cell r="D3940">
            <v>0.12725798785686493</v>
          </cell>
          <cell r="F3940" t="str">
            <v>14 Aug 2024</v>
          </cell>
        </row>
        <row r="3941">
          <cell r="A3941" t="str">
            <v>AFG</v>
          </cell>
          <cell r="B3941">
            <v>2022</v>
          </cell>
          <cell r="C3941" t="str">
            <v>matfpz</v>
          </cell>
          <cell r="D3941">
            <v>-0.89806544780731201</v>
          </cell>
          <cell r="F3941" t="str">
            <v>14 Aug 2024</v>
          </cell>
        </row>
        <row r="3942">
          <cell r="A3942" t="str">
            <v>AFG</v>
          </cell>
          <cell r="B3942">
            <v>2016</v>
          </cell>
          <cell r="C3942" t="str">
            <v>macpiz</v>
          </cell>
          <cell r="D3942">
            <v>-0.72962832450866699</v>
          </cell>
          <cell r="F3942" t="str">
            <v>14 Aug 2024</v>
          </cell>
        </row>
        <row r="3943">
          <cell r="A3943" t="str">
            <v>AFG</v>
          </cell>
          <cell r="B3943">
            <v>2020</v>
          </cell>
          <cell r="C3943" t="str">
            <v>mataxfc</v>
          </cell>
          <cell r="D3943">
            <v>-2.6405909061431885</v>
          </cell>
          <cell r="F3943" t="str">
            <v>14 Aug 2024</v>
          </cell>
        </row>
        <row r="3944">
          <cell r="A3944" t="str">
            <v>AFG</v>
          </cell>
          <cell r="B3944">
            <v>2025</v>
          </cell>
          <cell r="C3944" t="str">
            <v>mar_srvfc</v>
          </cell>
          <cell r="D3944">
            <v>54.870849609375</v>
          </cell>
          <cell r="F3944" t="str">
            <v>14 Aug 2024</v>
          </cell>
        </row>
        <row r="3945">
          <cell r="A3945" t="str">
            <v>AFG</v>
          </cell>
          <cell r="B3945">
            <v>2005</v>
          </cell>
          <cell r="C3945" t="str">
            <v>maagrfc</v>
          </cell>
          <cell r="D3945">
            <v>17.698102951049805</v>
          </cell>
          <cell r="F3945" t="str">
            <v>14 Aug 2024</v>
          </cell>
        </row>
        <row r="3946">
          <cell r="A3946" t="str">
            <v>AFG</v>
          </cell>
          <cell r="B3946">
            <v>2014</v>
          </cell>
          <cell r="C3946" t="str">
            <v>madebt_</v>
          </cell>
          <cell r="D3946">
            <v>8.3514261245727539</v>
          </cell>
          <cell r="F3946" t="str">
            <v>14 Aug 2024</v>
          </cell>
        </row>
        <row r="3947">
          <cell r="A3947" t="str">
            <v>AFG</v>
          </cell>
          <cell r="B3947">
            <v>2017</v>
          </cell>
          <cell r="C3947" t="str">
            <v>mareer</v>
          </cell>
          <cell r="D3947">
            <v>97.725074768066406</v>
          </cell>
          <cell r="F3947" t="str">
            <v>14 Aug 2024</v>
          </cell>
        </row>
        <row r="3948">
          <cell r="A3948" t="str">
            <v>AFG</v>
          </cell>
          <cell r="B3948">
            <v>2020</v>
          </cell>
          <cell r="C3948" t="str">
            <v>mainvz</v>
          </cell>
          <cell r="D3948">
            <v>-13.640098571777344</v>
          </cell>
          <cell r="F3948" t="str">
            <v>14 Aug 2024</v>
          </cell>
        </row>
        <row r="3949">
          <cell r="A3949" t="str">
            <v>AFG</v>
          </cell>
          <cell r="B3949">
            <v>2009</v>
          </cell>
          <cell r="C3949" t="str">
            <v>macpiz</v>
          </cell>
          <cell r="D3949">
            <v>12.943718910217285</v>
          </cell>
          <cell r="F3949" t="str">
            <v>14 Aug 2024</v>
          </cell>
        </row>
        <row r="3950">
          <cell r="A3950" t="str">
            <v>AFG</v>
          </cell>
          <cell r="B3950">
            <v>2019</v>
          </cell>
          <cell r="C3950" t="str">
            <v>maexpz</v>
          </cell>
          <cell r="D3950">
            <v>-6.3196249008178711</v>
          </cell>
          <cell r="F3950" t="str">
            <v>14 Aug 2024</v>
          </cell>
        </row>
        <row r="3951">
          <cell r="A3951" t="str">
            <v>AFG</v>
          </cell>
          <cell r="B3951">
            <v>2012</v>
          </cell>
          <cell r="C3951" t="str">
            <v>mapanusatls</v>
          </cell>
          <cell r="D3951">
            <v>52.139999389648438</v>
          </cell>
          <cell r="F3951" t="str">
            <v>14 Aug 2024</v>
          </cell>
        </row>
        <row r="3952">
          <cell r="A3952" t="str">
            <v>AFG</v>
          </cell>
          <cell r="B3952">
            <v>2025</v>
          </cell>
          <cell r="C3952" t="str">
            <v>macab_</v>
          </cell>
          <cell r="D3952">
            <v>-18.600126266479492</v>
          </cell>
          <cell r="F3952" t="str">
            <v>14 Aug 2024</v>
          </cell>
        </row>
        <row r="3953">
          <cell r="A3953" t="str">
            <v>AFG</v>
          </cell>
          <cell r="B3953">
            <v>2009</v>
          </cell>
          <cell r="C3953" t="str">
            <v>mar_srvfc</v>
          </cell>
          <cell r="D3953">
            <v>46.838027954101563</v>
          </cell>
          <cell r="F3953" t="str">
            <v>14 Aug 2024</v>
          </cell>
        </row>
        <row r="3954">
          <cell r="A3954" t="str">
            <v>AFG</v>
          </cell>
          <cell r="B3954">
            <v>2022</v>
          </cell>
          <cell r="C3954" t="str">
            <v>mapanusatls</v>
          </cell>
          <cell r="D3954">
            <v>85</v>
          </cell>
          <cell r="F3954" t="str">
            <v>14 Aug 2024</v>
          </cell>
        </row>
        <row r="3955">
          <cell r="A3955" t="str">
            <v>AFG</v>
          </cell>
          <cell r="B3955">
            <v>2014</v>
          </cell>
          <cell r="C3955" t="str">
            <v>maindfc</v>
          </cell>
          <cell r="D3955">
            <v>2.7657804489135742</v>
          </cell>
          <cell r="F3955" t="str">
            <v>14 Aug 2024</v>
          </cell>
        </row>
        <row r="3956">
          <cell r="A3956" t="str">
            <v>AFG</v>
          </cell>
          <cell r="B3956">
            <v>2020</v>
          </cell>
          <cell r="C3956" t="str">
            <v>mac_labz</v>
          </cell>
          <cell r="D3956">
            <v>2.8854036331176758</v>
          </cell>
          <cell r="F3956" t="str">
            <v>14 Aug 2024</v>
          </cell>
        </row>
        <row r="3957">
          <cell r="A3957" t="str">
            <v>AFG</v>
          </cell>
          <cell r="B3957">
            <v>2005</v>
          </cell>
          <cell r="C3957" t="str">
            <v>matfpz</v>
          </cell>
          <cell r="D3957">
            <v>3.8707816600799561</v>
          </cell>
          <cell r="F3957" t="str">
            <v>14 Aug 2024</v>
          </cell>
        </row>
        <row r="3958">
          <cell r="A3958" t="str">
            <v>AFG</v>
          </cell>
          <cell r="B3958">
            <v>2020</v>
          </cell>
          <cell r="C3958" t="str">
            <v>mar_indfc</v>
          </cell>
          <cell r="D3958">
            <v>12.584599494934082</v>
          </cell>
          <cell r="F3958" t="str">
            <v>14 Aug 2024</v>
          </cell>
        </row>
        <row r="3959">
          <cell r="A3959" t="str">
            <v>AFG</v>
          </cell>
          <cell r="B3959">
            <v>2007</v>
          </cell>
          <cell r="C3959" t="str">
            <v>mar_taxfc</v>
          </cell>
          <cell r="D3959">
            <v>3.731198787689209</v>
          </cell>
          <cell r="F3959" t="str">
            <v>14 Aug 2024</v>
          </cell>
        </row>
        <row r="3960">
          <cell r="A3960" t="str">
            <v>AFG</v>
          </cell>
          <cell r="B3960">
            <v>2006</v>
          </cell>
          <cell r="C3960" t="str">
            <v>mar_agrfc</v>
          </cell>
          <cell r="D3960">
            <v>40.791904449462891</v>
          </cell>
          <cell r="F3960" t="str">
            <v>14 Aug 2024</v>
          </cell>
        </row>
        <row r="3961">
          <cell r="A3961" t="str">
            <v>AFG</v>
          </cell>
          <cell r="B3961">
            <v>2024</v>
          </cell>
          <cell r="C3961" t="str">
            <v>macpiz</v>
          </cell>
          <cell r="D3961">
            <v>5</v>
          </cell>
          <cell r="F3961" t="str">
            <v>14 Aug 2024</v>
          </cell>
        </row>
        <row r="3962">
          <cell r="A3962" t="str">
            <v>AFG</v>
          </cell>
          <cell r="B3962">
            <v>2021</v>
          </cell>
          <cell r="C3962" t="str">
            <v>mar_indfc</v>
          </cell>
          <cell r="D3962">
            <v>12.701711654663086</v>
          </cell>
          <cell r="F3962" t="str">
            <v>14 Aug 2024</v>
          </cell>
        </row>
        <row r="3963">
          <cell r="A3963" t="str">
            <v>AFG</v>
          </cell>
          <cell r="B3963">
            <v>2013</v>
          </cell>
          <cell r="C3963" t="str">
            <v>mar_indfc</v>
          </cell>
          <cell r="D3963">
            <v>10.967392921447754</v>
          </cell>
          <cell r="F3963" t="str">
            <v>14 Aug 2024</v>
          </cell>
        </row>
        <row r="3964">
          <cell r="A3964" t="str">
            <v>AFG</v>
          </cell>
          <cell r="B3964">
            <v>2016</v>
          </cell>
          <cell r="C3964" t="str">
            <v>maagrfc</v>
          </cell>
          <cell r="D3964">
            <v>5.9717516899108887</v>
          </cell>
          <cell r="F3964" t="str">
            <v>14 Aug 2024</v>
          </cell>
        </row>
        <row r="3965">
          <cell r="A3965" t="str">
            <v>AFG</v>
          </cell>
          <cell r="B3965">
            <v>2009</v>
          </cell>
          <cell r="C3965" t="str">
            <v>mar_impz</v>
          </cell>
          <cell r="D3965">
            <v>49.203948974609375</v>
          </cell>
          <cell r="F3965" t="str">
            <v>14 Aug 2024</v>
          </cell>
        </row>
        <row r="3966">
          <cell r="A3966" t="str">
            <v>AFG</v>
          </cell>
          <cell r="B3966">
            <v>2009</v>
          </cell>
          <cell r="C3966" t="str">
            <v>mapanusatls</v>
          </cell>
          <cell r="D3966">
            <v>49.180000305175781</v>
          </cell>
          <cell r="F3966" t="str">
            <v>14 Aug 2024</v>
          </cell>
        </row>
        <row r="3967">
          <cell r="A3967" t="str">
            <v>AFG</v>
          </cell>
          <cell r="B3967">
            <v>2015</v>
          </cell>
          <cell r="C3967" t="str">
            <v>mar_srvfc</v>
          </cell>
          <cell r="D3967">
            <v>62.425270080566406</v>
          </cell>
          <cell r="F3967" t="str">
            <v>14 Aug 2024</v>
          </cell>
        </row>
        <row r="3968">
          <cell r="A3968" t="str">
            <v>AFG</v>
          </cell>
          <cell r="B3968">
            <v>2010</v>
          </cell>
          <cell r="C3968" t="str">
            <v>maexpz</v>
          </cell>
          <cell r="D3968">
            <v>-10.682891845703125</v>
          </cell>
          <cell r="F3968" t="str">
            <v>14 Aug 2024</v>
          </cell>
        </row>
        <row r="3969">
          <cell r="A3969" t="str">
            <v>AFG</v>
          </cell>
          <cell r="B3969">
            <v>2009</v>
          </cell>
          <cell r="C3969" t="str">
            <v>matfpz</v>
          </cell>
          <cell r="D3969">
            <v>3.257521390914917</v>
          </cell>
          <cell r="F3969" t="str">
            <v>14 Aug 2024</v>
          </cell>
        </row>
        <row r="3970">
          <cell r="A3970" t="str">
            <v>AFG</v>
          </cell>
          <cell r="B3970">
            <v>2015</v>
          </cell>
          <cell r="C3970" t="str">
            <v>maexpz</v>
          </cell>
          <cell r="D3970">
            <v>-20.047096252441406</v>
          </cell>
          <cell r="F3970" t="str">
            <v>14 Aug 2024</v>
          </cell>
        </row>
        <row r="3971">
          <cell r="A3971" t="str">
            <v>AFG</v>
          </cell>
          <cell r="B3971">
            <v>2013</v>
          </cell>
          <cell r="C3971" t="str">
            <v>mar_impz</v>
          </cell>
          <cell r="D3971">
            <v>39.414421081542969</v>
          </cell>
          <cell r="F3971" t="str">
            <v>14 Aug 2024</v>
          </cell>
        </row>
        <row r="3972">
          <cell r="A3972" t="str">
            <v>AFG</v>
          </cell>
          <cell r="B3972">
            <v>2013</v>
          </cell>
          <cell r="C3972" t="str">
            <v>matfpz</v>
          </cell>
          <cell r="D3972">
            <v>0.71174466609954834</v>
          </cell>
          <cell r="F3972" t="str">
            <v>14 Aug 2024</v>
          </cell>
        </row>
        <row r="3973">
          <cell r="A3973" t="str">
            <v>AFG</v>
          </cell>
          <cell r="B3973">
            <v>2010</v>
          </cell>
          <cell r="C3973" t="str">
            <v>maconz</v>
          </cell>
          <cell r="D3973">
            <v>3.719393253326416</v>
          </cell>
          <cell r="F3973" t="str">
            <v>14 Aug 2024</v>
          </cell>
        </row>
        <row r="3974">
          <cell r="A3974" t="str">
            <v>AFG</v>
          </cell>
          <cell r="B3974">
            <v>2018</v>
          </cell>
          <cell r="C3974" t="str">
            <v>mar_expz</v>
          </cell>
          <cell r="D3974">
            <v>8.9905900955200195</v>
          </cell>
          <cell r="F3974" t="str">
            <v>14 Aug 2024</v>
          </cell>
        </row>
        <row r="3975">
          <cell r="A3975" t="str">
            <v>AFG</v>
          </cell>
          <cell r="B3975">
            <v>2025</v>
          </cell>
          <cell r="C3975" t="str">
            <v>mataxfc</v>
          </cell>
          <cell r="D3975">
            <v>3.0399999618530273</v>
          </cell>
          <cell r="F3975" t="str">
            <v>14 Aug 2024</v>
          </cell>
        </row>
        <row r="3976">
          <cell r="A3976" t="str">
            <v>AFG</v>
          </cell>
          <cell r="B3976">
            <v>2006</v>
          </cell>
          <cell r="C3976" t="str">
            <v>masrvfc</v>
          </cell>
          <cell r="D3976">
            <v>5.3882675170898438</v>
          </cell>
          <cell r="F3976" t="str">
            <v>14 Aug 2024</v>
          </cell>
        </row>
        <row r="3977">
          <cell r="A3977" t="str">
            <v>AFG</v>
          </cell>
          <cell r="B3977">
            <v>2020</v>
          </cell>
          <cell r="C3977" t="str">
            <v>maexpz</v>
          </cell>
          <cell r="D3977">
            <v>-2.2999999523162842</v>
          </cell>
          <cell r="F3977" t="str">
            <v>14 Aug 2024</v>
          </cell>
        </row>
        <row r="3978">
          <cell r="A3978" t="str">
            <v>AFG</v>
          </cell>
          <cell r="B3978">
            <v>2009</v>
          </cell>
          <cell r="C3978" t="str">
            <v>masrvfc</v>
          </cell>
          <cell r="D3978">
            <v>14.854449272155762</v>
          </cell>
          <cell r="F3978" t="str">
            <v>14 Aug 2024</v>
          </cell>
        </row>
        <row r="3979">
          <cell r="A3979" t="str">
            <v>AFG</v>
          </cell>
          <cell r="B3979">
            <v>2014</v>
          </cell>
          <cell r="C3979" t="str">
            <v>mar_expz</v>
          </cell>
          <cell r="D3979">
            <v>10.149624824523926</v>
          </cell>
          <cell r="F3979" t="str">
            <v>14 Aug 2024</v>
          </cell>
        </row>
        <row r="3980">
          <cell r="A3980" t="str">
            <v>AFG</v>
          </cell>
          <cell r="B3980">
            <v>2005</v>
          </cell>
          <cell r="C3980" t="str">
            <v>mafdi_</v>
          </cell>
          <cell r="D3980">
            <v>0</v>
          </cell>
          <cell r="F3980" t="str">
            <v>14 Aug 2024</v>
          </cell>
        </row>
        <row r="3981">
          <cell r="A3981" t="str">
            <v>AFG</v>
          </cell>
          <cell r="B3981">
            <v>2005</v>
          </cell>
          <cell r="C3981" t="str">
            <v>mar_impz</v>
          </cell>
          <cell r="D3981">
            <v>104.83412170410156</v>
          </cell>
          <cell r="F3981" t="str">
            <v>14 Aug 2024</v>
          </cell>
        </row>
        <row r="3982">
          <cell r="A3982" t="str">
            <v>AFG</v>
          </cell>
          <cell r="B3982">
            <v>2005</v>
          </cell>
          <cell r="C3982" t="str">
            <v>mar_agrfc</v>
          </cell>
          <cell r="D3982">
            <v>43.784378051757813</v>
          </cell>
          <cell r="F3982" t="str">
            <v>14 Aug 2024</v>
          </cell>
        </row>
        <row r="3983">
          <cell r="A3983" t="str">
            <v>AFG</v>
          </cell>
          <cell r="B3983">
            <v>2011</v>
          </cell>
          <cell r="C3983" t="str">
            <v>mataxfc</v>
          </cell>
          <cell r="D3983">
            <v>10.160874366760254</v>
          </cell>
          <cell r="F3983" t="str">
            <v>14 Aug 2024</v>
          </cell>
        </row>
        <row r="3984">
          <cell r="A3984" t="str">
            <v>AFG</v>
          </cell>
          <cell r="B3984">
            <v>2009</v>
          </cell>
          <cell r="C3984" t="str">
            <v>madebt_</v>
          </cell>
          <cell r="D3984">
            <v>8.1680030822753906</v>
          </cell>
          <cell r="F3984" t="str">
            <v>14 Aug 2024</v>
          </cell>
        </row>
        <row r="3985">
          <cell r="A3985" t="str">
            <v>AFG</v>
          </cell>
          <cell r="B3985">
            <v>2022</v>
          </cell>
          <cell r="C3985" t="str">
            <v>mar_impz</v>
          </cell>
          <cell r="D3985">
            <v>50.592170715332031</v>
          </cell>
          <cell r="F3985" t="str">
            <v>14 Aug 2024</v>
          </cell>
        </row>
        <row r="3986">
          <cell r="A3986" t="str">
            <v>AFG</v>
          </cell>
          <cell r="B3986">
            <v>2016</v>
          </cell>
          <cell r="C3986" t="str">
            <v>mar_taxfc</v>
          </cell>
          <cell r="D3986">
            <v>5.0085530281066895</v>
          </cell>
          <cell r="F3986" t="str">
            <v>14 Aug 2024</v>
          </cell>
        </row>
        <row r="3987">
          <cell r="A3987" t="str">
            <v>AFG</v>
          </cell>
          <cell r="B3987">
            <v>2007</v>
          </cell>
          <cell r="C3987" t="str">
            <v>maindfc</v>
          </cell>
          <cell r="D3987">
            <v>7.6331262588500977</v>
          </cell>
          <cell r="F3987" t="str">
            <v>14 Aug 2024</v>
          </cell>
        </row>
        <row r="3988">
          <cell r="A3988" t="str">
            <v>AFG</v>
          </cell>
          <cell r="B3988">
            <v>2005</v>
          </cell>
          <cell r="C3988" t="str">
            <v>mac_tfpz</v>
          </cell>
          <cell r="D3988">
            <v>3.8707816600799561</v>
          </cell>
          <cell r="F3988" t="str">
            <v>14 Aug 2024</v>
          </cell>
        </row>
        <row r="3989">
          <cell r="A3989" t="str">
            <v>AFG</v>
          </cell>
          <cell r="B3989">
            <v>2018</v>
          </cell>
          <cell r="C3989" t="str">
            <v>mar_agrfc</v>
          </cell>
          <cell r="D3989">
            <v>26.543743133544922</v>
          </cell>
          <cell r="F3989" t="str">
            <v>14 Aug 2024</v>
          </cell>
        </row>
        <row r="3990">
          <cell r="A3990" t="str">
            <v>AFG</v>
          </cell>
          <cell r="B3990">
            <v>2019</v>
          </cell>
          <cell r="C3990" t="str">
            <v>mafdi_</v>
          </cell>
          <cell r="D3990">
            <v>1.526999999999994E-2</v>
          </cell>
          <cell r="F3990" t="str">
            <v>14 Aug 2024</v>
          </cell>
        </row>
        <row r="3991">
          <cell r="A3991" t="str">
            <v>AFG</v>
          </cell>
          <cell r="B3991">
            <v>2008</v>
          </cell>
          <cell r="C3991" t="str">
            <v>mapanusatls</v>
          </cell>
          <cell r="D3991">
            <v>50.950000762939453</v>
          </cell>
          <cell r="F3991" t="str">
            <v>14 Aug 2024</v>
          </cell>
        </row>
        <row r="3992">
          <cell r="A3992" t="str">
            <v>AFG</v>
          </cell>
          <cell r="B3992">
            <v>2018</v>
          </cell>
          <cell r="C3992" t="str">
            <v>maexpz</v>
          </cell>
          <cell r="D3992">
            <v>49.634754180908203</v>
          </cell>
          <cell r="F3992" t="str">
            <v>14 Aug 2024</v>
          </cell>
        </row>
        <row r="3993">
          <cell r="A3993" t="str">
            <v>AFG</v>
          </cell>
          <cell r="B3993">
            <v>2011</v>
          </cell>
          <cell r="C3993" t="str">
            <v>magap_</v>
          </cell>
          <cell r="D3993">
            <v>0.46122181415557861</v>
          </cell>
          <cell r="F3993" t="str">
            <v>14 Aug 2024</v>
          </cell>
        </row>
        <row r="3994">
          <cell r="A3994" t="str">
            <v>AFG</v>
          </cell>
          <cell r="B3994">
            <v>2005</v>
          </cell>
          <cell r="C3994" t="str">
            <v>mareer</v>
          </cell>
          <cell r="D3994">
            <v>245.24497985839844</v>
          </cell>
          <cell r="F3994" t="str">
            <v>14 Aug 2024</v>
          </cell>
        </row>
        <row r="3995">
          <cell r="A3995" t="str">
            <v>AFG</v>
          </cell>
          <cell r="B3995">
            <v>2023</v>
          </cell>
          <cell r="C3995" t="str">
            <v>magdpz</v>
          </cell>
          <cell r="D3995">
            <v>3.0399999618530273</v>
          </cell>
          <cell r="F3995" t="str">
            <v>14 Aug 2024</v>
          </cell>
        </row>
        <row r="3996">
          <cell r="A3996" t="str">
            <v>AFG</v>
          </cell>
          <cell r="B3996">
            <v>2010</v>
          </cell>
          <cell r="C3996" t="str">
            <v>macpiz</v>
          </cell>
          <cell r="D3996">
            <v>26.76484489440918</v>
          </cell>
          <cell r="F3996" t="str">
            <v>14 Aug 2024</v>
          </cell>
        </row>
        <row r="3997">
          <cell r="A3997" t="str">
            <v>AFG</v>
          </cell>
          <cell r="B3997">
            <v>2011</v>
          </cell>
          <cell r="C3997" t="str">
            <v>mar_indfc</v>
          </cell>
          <cell r="D3997">
            <v>12.431721687316895</v>
          </cell>
          <cell r="F3997" t="str">
            <v>14 Aug 2024</v>
          </cell>
        </row>
        <row r="3998">
          <cell r="A3998" t="str">
            <v>AFG</v>
          </cell>
          <cell r="B3998">
            <v>2010</v>
          </cell>
          <cell r="C3998" t="str">
            <v>magovz</v>
          </cell>
          <cell r="D3998">
            <v>3.719393253326416</v>
          </cell>
          <cell r="F3998" t="str">
            <v>14 Aug 2024</v>
          </cell>
        </row>
        <row r="3999">
          <cell r="A3999" t="str">
            <v>AFG</v>
          </cell>
          <cell r="B3999">
            <v>2016</v>
          </cell>
          <cell r="C3999" t="str">
            <v>mar_impz</v>
          </cell>
          <cell r="D3999">
            <v>48.055110931396484</v>
          </cell>
          <cell r="F3999" t="str">
            <v>14 Aug 2024</v>
          </cell>
        </row>
        <row r="4000">
          <cell r="A4000" t="str">
            <v>AFG</v>
          </cell>
          <cell r="B4000">
            <v>2021</v>
          </cell>
          <cell r="C4000" t="str">
            <v>mar_impz</v>
          </cell>
          <cell r="D4000">
            <v>50.356632232666016</v>
          </cell>
          <cell r="F4000" t="str">
            <v>14 Aug 2024</v>
          </cell>
        </row>
        <row r="4001">
          <cell r="A4001" t="str">
            <v>AFG</v>
          </cell>
          <cell r="B4001">
            <v>2023</v>
          </cell>
          <cell r="C4001" t="str">
            <v>mataxfc</v>
          </cell>
          <cell r="D4001">
            <v>3.0399999618530273</v>
          </cell>
          <cell r="F4001" t="str">
            <v>14 Aug 2024</v>
          </cell>
        </row>
        <row r="4002">
          <cell r="A4002" t="str">
            <v>AFG</v>
          </cell>
          <cell r="B4002">
            <v>2026</v>
          </cell>
          <cell r="C4002" t="str">
            <v>madeficit_</v>
          </cell>
          <cell r="D4002">
            <v>-0.72993910312652588</v>
          </cell>
          <cell r="F4002" t="str">
            <v>14 Aug 2024</v>
          </cell>
        </row>
        <row r="4003">
          <cell r="A4003" t="str">
            <v>AFG</v>
          </cell>
          <cell r="B4003">
            <v>2012</v>
          </cell>
          <cell r="C4003" t="str">
            <v>maindfc</v>
          </cell>
          <cell r="D4003">
            <v>6.394071102142334</v>
          </cell>
          <cell r="F4003" t="str">
            <v>14 Aug 2024</v>
          </cell>
        </row>
        <row r="4004">
          <cell r="A4004" t="str">
            <v>AFG</v>
          </cell>
          <cell r="B4004">
            <v>2017</v>
          </cell>
          <cell r="C4004" t="str">
            <v>mainvz</v>
          </cell>
          <cell r="D4004">
            <v>19.434480667114258</v>
          </cell>
          <cell r="F4004" t="str">
            <v>14 Aug 2024</v>
          </cell>
        </row>
        <row r="4005">
          <cell r="A4005" t="str">
            <v>AFG</v>
          </cell>
          <cell r="B4005">
            <v>2025</v>
          </cell>
          <cell r="C4005" t="str">
            <v>madebt_</v>
          </cell>
          <cell r="D4005">
            <v>8.0308656692504883</v>
          </cell>
          <cell r="F4005" t="str">
            <v>14 Aug 2024</v>
          </cell>
        </row>
        <row r="4006">
          <cell r="A4006" t="str">
            <v>AFG</v>
          </cell>
          <cell r="B4006">
            <v>2014</v>
          </cell>
          <cell r="C4006" t="str">
            <v>maexpz</v>
          </cell>
          <cell r="D4006">
            <v>37.014301300048828</v>
          </cell>
          <cell r="F4006" t="str">
            <v>14 Aug 2024</v>
          </cell>
        </row>
        <row r="4007">
          <cell r="A4007" t="str">
            <v>AFG</v>
          </cell>
          <cell r="B4007">
            <v>2026</v>
          </cell>
          <cell r="C4007" t="str">
            <v>mar_indfc</v>
          </cell>
          <cell r="D4007">
            <v>12.099180221557617</v>
          </cell>
          <cell r="F4007" t="str">
            <v>14 Aug 2024</v>
          </cell>
        </row>
        <row r="4008">
          <cell r="A4008" t="str">
            <v>AFG</v>
          </cell>
          <cell r="B4008">
            <v>2015</v>
          </cell>
          <cell r="C4008" t="str">
            <v>malabz</v>
          </cell>
          <cell r="D4008">
            <v>4.0600156784057617</v>
          </cell>
          <cell r="F4008" t="str">
            <v>14 Aug 2024</v>
          </cell>
        </row>
        <row r="4009">
          <cell r="A4009" t="str">
            <v>AFG</v>
          </cell>
          <cell r="B4009">
            <v>2020</v>
          </cell>
          <cell r="C4009" t="str">
            <v>matfpz</v>
          </cell>
          <cell r="D4009">
            <v>-2.3894648551940918</v>
          </cell>
          <cell r="F4009" t="str">
            <v>14 Aug 2024</v>
          </cell>
        </row>
        <row r="4010">
          <cell r="A4010" t="str">
            <v>AFG</v>
          </cell>
          <cell r="B4010">
            <v>2010</v>
          </cell>
          <cell r="C4010" t="str">
            <v>madeficit_</v>
          </cell>
          <cell r="D4010">
            <v>0.63454139232635498</v>
          </cell>
          <cell r="F4010" t="str">
            <v>14 Aug 2024</v>
          </cell>
        </row>
        <row r="4011">
          <cell r="A4011" t="str">
            <v>AFG</v>
          </cell>
          <cell r="B4011">
            <v>2020</v>
          </cell>
          <cell r="C4011" t="str">
            <v>mareer</v>
          </cell>
          <cell r="D4011">
            <v>94.367637634277344</v>
          </cell>
          <cell r="F4011" t="str">
            <v>14 Aug 2024</v>
          </cell>
        </row>
        <row r="4012">
          <cell r="A4012" t="str">
            <v>AFG</v>
          </cell>
          <cell r="B4012">
            <v>2014</v>
          </cell>
          <cell r="C4012" t="str">
            <v>malabz</v>
          </cell>
          <cell r="D4012">
            <v>5.0138649940490723</v>
          </cell>
          <cell r="F4012" t="str">
            <v>14 Aug 2024</v>
          </cell>
        </row>
        <row r="4013">
          <cell r="A4013" t="str">
            <v>AFG</v>
          </cell>
          <cell r="B4013">
            <v>2021</v>
          </cell>
          <cell r="C4013" t="str">
            <v>mareer</v>
          </cell>
          <cell r="D4013">
            <v>90.014694213867188</v>
          </cell>
          <cell r="F4013" t="str">
            <v>14 Aug 2024</v>
          </cell>
        </row>
        <row r="4014">
          <cell r="A4014" t="str">
            <v>AFG</v>
          </cell>
          <cell r="B4014">
            <v>2015</v>
          </cell>
          <cell r="C4014" t="str">
            <v>mataxfc</v>
          </cell>
          <cell r="D4014">
            <v>10.908373832702637</v>
          </cell>
          <cell r="F4014" t="str">
            <v>14 Aug 2024</v>
          </cell>
        </row>
        <row r="4015">
          <cell r="A4015" t="str">
            <v>AFG</v>
          </cell>
          <cell r="B4015">
            <v>2021</v>
          </cell>
          <cell r="C4015" t="str">
            <v>mar_con</v>
          </cell>
          <cell r="D4015">
            <v>97.577484130859375</v>
          </cell>
          <cell r="F4015" t="str">
            <v>14 Aug 2024</v>
          </cell>
        </row>
        <row r="4016">
          <cell r="A4016" t="str">
            <v>AFG</v>
          </cell>
          <cell r="B4016">
            <v>2026</v>
          </cell>
          <cell r="C4016" t="str">
            <v>mafdi_</v>
          </cell>
          <cell r="D4016">
            <v>-0.26198627988364059</v>
          </cell>
          <cell r="F4016" t="str">
            <v>14 Aug 2024</v>
          </cell>
        </row>
        <row r="4017">
          <cell r="A4017" t="str">
            <v>AFG</v>
          </cell>
          <cell r="B4017">
            <v>2018</v>
          </cell>
          <cell r="C4017" t="str">
            <v>mac_labz</v>
          </cell>
          <cell r="D4017">
            <v>2.6021792888641357</v>
          </cell>
          <cell r="F4017" t="str">
            <v>14 Aug 2024</v>
          </cell>
        </row>
        <row r="4018">
          <cell r="A4018" t="str">
            <v>AFG</v>
          </cell>
          <cell r="B4018">
            <v>2022</v>
          </cell>
          <cell r="C4018" t="str">
            <v>magap_</v>
          </cell>
          <cell r="D4018">
            <v>-6.1994643211364746</v>
          </cell>
          <cell r="F4018" t="str">
            <v>14 Aug 2024</v>
          </cell>
        </row>
        <row r="4019">
          <cell r="A4019" t="str">
            <v>AFG</v>
          </cell>
          <cell r="B4019">
            <v>2018</v>
          </cell>
          <cell r="C4019" t="str">
            <v>masrvfc</v>
          </cell>
          <cell r="D4019">
            <v>1.9381712675094604</v>
          </cell>
          <cell r="F4019" t="str">
            <v>14 Aug 2024</v>
          </cell>
        </row>
        <row r="4020">
          <cell r="A4020" t="str">
            <v>AFG</v>
          </cell>
          <cell r="B4020">
            <v>2022</v>
          </cell>
          <cell r="C4020" t="str">
            <v>maexpz</v>
          </cell>
          <cell r="D4020">
            <v>7.1999998092651367</v>
          </cell>
          <cell r="F4020" t="str">
            <v>14 Aug 2024</v>
          </cell>
        </row>
        <row r="4021">
          <cell r="A4021" t="str">
            <v>AFG</v>
          </cell>
          <cell r="B4021">
            <v>2016</v>
          </cell>
          <cell r="C4021" t="str">
            <v>mac_labz</v>
          </cell>
          <cell r="D4021">
            <v>2.2160496711730957</v>
          </cell>
          <cell r="F4021" t="str">
            <v>14 Aug 2024</v>
          </cell>
        </row>
        <row r="4022">
          <cell r="A4022" t="str">
            <v>AFG</v>
          </cell>
          <cell r="B4022">
            <v>2023</v>
          </cell>
          <cell r="C4022" t="str">
            <v>mainvz</v>
          </cell>
          <cell r="D4022">
            <v>1.2651419639587402</v>
          </cell>
          <cell r="F4022" t="str">
            <v>14 Aug 2024</v>
          </cell>
        </row>
        <row r="4023">
          <cell r="A4023" t="str">
            <v>AFG</v>
          </cell>
          <cell r="B4023">
            <v>2016</v>
          </cell>
          <cell r="C4023" t="str">
            <v>mapanusatls</v>
          </cell>
          <cell r="D4023">
            <v>66.839401245117188</v>
          </cell>
          <cell r="F4023" t="str">
            <v>14 Aug 2024</v>
          </cell>
        </row>
        <row r="4024">
          <cell r="A4024" t="str">
            <v>AFG</v>
          </cell>
          <cell r="B4024">
            <v>2016</v>
          </cell>
          <cell r="C4024" t="str">
            <v>maexpz</v>
          </cell>
          <cell r="D4024">
            <v>-20.696382522583008</v>
          </cell>
          <cell r="F4024" t="str">
            <v>14 Aug 2024</v>
          </cell>
        </row>
        <row r="4025">
          <cell r="A4025" t="str">
            <v>AFG</v>
          </cell>
          <cell r="B4025">
            <v>2022</v>
          </cell>
          <cell r="C4025" t="str">
            <v>magovz</v>
          </cell>
          <cell r="D4025">
            <v>1.3350169658660889</v>
          </cell>
          <cell r="F4025" t="str">
            <v>14 Aug 2024</v>
          </cell>
        </row>
        <row r="4026">
          <cell r="A4026" t="str">
            <v>AFG</v>
          </cell>
          <cell r="B4026">
            <v>2006</v>
          </cell>
          <cell r="C4026" t="str">
            <v>mar_expz</v>
          </cell>
          <cell r="D4026">
            <v>35.123588562011719</v>
          </cell>
          <cell r="F4026" t="str">
            <v>14 Aug 2024</v>
          </cell>
        </row>
        <row r="4027">
          <cell r="A4027" t="str">
            <v>AFG</v>
          </cell>
          <cell r="B4027">
            <v>2016</v>
          </cell>
          <cell r="C4027" t="str">
            <v>mataxfc</v>
          </cell>
          <cell r="D4027">
            <v>9.0851030349731445</v>
          </cell>
          <cell r="F4027" t="str">
            <v>14 Aug 2024</v>
          </cell>
        </row>
        <row r="4028">
          <cell r="A4028" t="str">
            <v>AFG</v>
          </cell>
          <cell r="B4028">
            <v>2009</v>
          </cell>
          <cell r="C4028" t="str">
            <v>mar_indfc</v>
          </cell>
          <cell r="D4028">
            <v>12.261837959289551</v>
          </cell>
          <cell r="F4028" t="str">
            <v>14 Aug 2024</v>
          </cell>
        </row>
        <row r="4029">
          <cell r="A4029" t="str">
            <v>AFG</v>
          </cell>
          <cell r="B4029">
            <v>2019</v>
          </cell>
          <cell r="C4029" t="str">
            <v>matfpz</v>
          </cell>
          <cell r="D4029">
            <v>-3.0246429443359375</v>
          </cell>
          <cell r="F4029" t="str">
            <v>14 Aug 2024</v>
          </cell>
        </row>
        <row r="4030">
          <cell r="A4030" t="str">
            <v>AFG</v>
          </cell>
          <cell r="B4030">
            <v>2009</v>
          </cell>
          <cell r="C4030" t="str">
            <v>maimpz</v>
          </cell>
          <cell r="D4030">
            <v>-14.016738891601563</v>
          </cell>
          <cell r="F4030" t="str">
            <v>14 Aug 2024</v>
          </cell>
        </row>
        <row r="4031">
          <cell r="A4031" t="str">
            <v>AFG</v>
          </cell>
          <cell r="B4031">
            <v>2017</v>
          </cell>
          <cell r="C4031" t="str">
            <v>maconz</v>
          </cell>
          <cell r="D4031">
            <v>3.4998021125793457</v>
          </cell>
          <cell r="F4031" t="str">
            <v>14 Aug 2024</v>
          </cell>
        </row>
        <row r="4032">
          <cell r="A4032" t="str">
            <v>AFG</v>
          </cell>
          <cell r="B4032">
            <v>2012</v>
          </cell>
          <cell r="C4032" t="str">
            <v>maexpz</v>
          </cell>
          <cell r="D4032">
            <v>-29.970891952514648</v>
          </cell>
          <cell r="F4032" t="str">
            <v>14 Aug 2024</v>
          </cell>
        </row>
        <row r="4033">
          <cell r="A4033" t="str">
            <v>AFG</v>
          </cell>
          <cell r="B4033">
            <v>2010</v>
          </cell>
          <cell r="C4033" t="str">
            <v>madebt_</v>
          </cell>
          <cell r="D4033">
            <v>5.4088530540466309</v>
          </cell>
          <cell r="F4033" t="str">
            <v>14 Aug 2024</v>
          </cell>
        </row>
        <row r="4034">
          <cell r="A4034" t="str">
            <v>AFG</v>
          </cell>
          <cell r="B4034">
            <v>2008</v>
          </cell>
          <cell r="C4034" t="str">
            <v>mar_srvfc</v>
          </cell>
          <cell r="D4034">
            <v>50.57794189453125</v>
          </cell>
          <cell r="F4034" t="str">
            <v>14 Aug 2024</v>
          </cell>
        </row>
        <row r="4035">
          <cell r="A4035" t="str">
            <v>AFG</v>
          </cell>
          <cell r="B4035">
            <v>2018</v>
          </cell>
          <cell r="C4035" t="str">
            <v>mar_taxfc</v>
          </cell>
          <cell r="D4035">
            <v>5.3061614036560059</v>
          </cell>
          <cell r="F4035" t="str">
            <v>14 Aug 2024</v>
          </cell>
        </row>
        <row r="4036">
          <cell r="A4036" t="str">
            <v>AFG</v>
          </cell>
          <cell r="B4036">
            <v>2025</v>
          </cell>
          <cell r="C4036" t="str">
            <v>mafdi_</v>
          </cell>
          <cell r="D4036">
            <v>-0.27376654477972567</v>
          </cell>
          <cell r="F4036" t="str">
            <v>14 Aug 2024</v>
          </cell>
        </row>
        <row r="4037">
          <cell r="A4037" t="str">
            <v>AFG</v>
          </cell>
          <cell r="B4037">
            <v>2015</v>
          </cell>
          <cell r="C4037" t="str">
            <v>mafdi_</v>
          </cell>
          <cell r="D4037">
            <v>-0.96411608731178589</v>
          </cell>
          <cell r="F4037" t="str">
            <v>14 Aug 2024</v>
          </cell>
        </row>
        <row r="4038">
          <cell r="A4038" t="str">
            <v>AFG</v>
          </cell>
          <cell r="B4038">
            <v>2005</v>
          </cell>
          <cell r="C4038" t="str">
            <v>masrvfc</v>
          </cell>
          <cell r="D4038">
            <v>12.787842750549316</v>
          </cell>
          <cell r="F4038" t="str">
            <v>14 Aug 2024</v>
          </cell>
        </row>
        <row r="4039">
          <cell r="A4039" t="str">
            <v>AFG</v>
          </cell>
          <cell r="B4039">
            <v>2010</v>
          </cell>
          <cell r="C4039" t="str">
            <v>mac_labz</v>
          </cell>
          <cell r="D4039">
            <v>2.551436185836792</v>
          </cell>
          <cell r="F4039" t="str">
            <v>14 Aug 2024</v>
          </cell>
        </row>
        <row r="4040">
          <cell r="A4040" t="str">
            <v>AFG</v>
          </cell>
          <cell r="B4040">
            <v>2019</v>
          </cell>
          <cell r="C4040" t="str">
            <v>mac_tfpz</v>
          </cell>
          <cell r="D4040">
            <v>-3.0246429443359375</v>
          </cell>
          <cell r="F4040" t="str">
            <v>14 Aug 2024</v>
          </cell>
        </row>
        <row r="4041">
          <cell r="A4041" t="str">
            <v>AFG</v>
          </cell>
          <cell r="B4041">
            <v>2013</v>
          </cell>
          <cell r="C4041" t="str">
            <v>mar_expz</v>
          </cell>
          <cell r="D4041">
            <v>7.5947003364562988</v>
          </cell>
          <cell r="F4041" t="str">
            <v>14 Aug 2024</v>
          </cell>
        </row>
        <row r="4042">
          <cell r="A4042" t="str">
            <v>AFG</v>
          </cell>
          <cell r="B4042">
            <v>2015</v>
          </cell>
          <cell r="C4042" t="str">
            <v>mar_agrfc</v>
          </cell>
          <cell r="D4042">
            <v>26.198358535766602</v>
          </cell>
          <cell r="F4042" t="str">
            <v>14 Aug 2024</v>
          </cell>
        </row>
        <row r="4043">
          <cell r="A4043" t="str">
            <v>AFG</v>
          </cell>
          <cell r="B4043">
            <v>2025</v>
          </cell>
          <cell r="C4043" t="str">
            <v>macpiz</v>
          </cell>
          <cell r="D4043">
            <v>5</v>
          </cell>
          <cell r="F4043" t="str">
            <v>14 Aug 2024</v>
          </cell>
        </row>
        <row r="4044">
          <cell r="A4044" t="str">
            <v>AFG</v>
          </cell>
          <cell r="B4044">
            <v>2025</v>
          </cell>
          <cell r="C4044" t="str">
            <v>mac_labz</v>
          </cell>
          <cell r="D4044">
            <v>2.2002179622650146</v>
          </cell>
          <cell r="F4044" t="str">
            <v>14 Aug 2024</v>
          </cell>
        </row>
        <row r="4045">
          <cell r="A4045" t="str">
            <v>AFG</v>
          </cell>
          <cell r="B4045">
            <v>2006</v>
          </cell>
          <cell r="C4045" t="str">
            <v>magap_</v>
          </cell>
          <cell r="D4045">
            <v>-6.8640651702880859</v>
          </cell>
          <cell r="F4045" t="str">
            <v>14 Aug 2024</v>
          </cell>
        </row>
        <row r="4046">
          <cell r="A4046" t="str">
            <v>AFG</v>
          </cell>
          <cell r="B4046">
            <v>2020</v>
          </cell>
          <cell r="C4046" t="str">
            <v>maindfc</v>
          </cell>
          <cell r="D4046">
            <v>-4.440000057220459</v>
          </cell>
          <cell r="F4046" t="str">
            <v>14 Aug 2024</v>
          </cell>
        </row>
        <row r="4047">
          <cell r="A4047" t="str">
            <v>AFG</v>
          </cell>
          <cell r="B4047">
            <v>2010</v>
          </cell>
          <cell r="C4047" t="str">
            <v>mafdi_</v>
          </cell>
          <cell r="D4047">
            <v>-0.85065117924323341</v>
          </cell>
          <cell r="F4047" t="str">
            <v>14 Aug 2024</v>
          </cell>
        </row>
        <row r="4048">
          <cell r="A4048" t="str">
            <v>AFG</v>
          </cell>
          <cell r="B4048">
            <v>2017</v>
          </cell>
          <cell r="C4048" t="str">
            <v>magap_</v>
          </cell>
          <cell r="D4048">
            <v>-0.78480839729309082</v>
          </cell>
          <cell r="F4048" t="str">
            <v>14 Aug 2024</v>
          </cell>
        </row>
        <row r="4049">
          <cell r="A4049" t="str">
            <v>AFG</v>
          </cell>
          <cell r="B4049">
            <v>2026</v>
          </cell>
          <cell r="C4049" t="str">
            <v>mar_impz</v>
          </cell>
          <cell r="D4049">
            <v>51.501670837402344</v>
          </cell>
          <cell r="F4049" t="str">
            <v>14 Aug 2024</v>
          </cell>
        </row>
        <row r="4050">
          <cell r="A4050" t="str">
            <v>AFG</v>
          </cell>
          <cell r="B4050">
            <v>2022</v>
          </cell>
          <cell r="C4050" t="str">
            <v>masrvfc</v>
          </cell>
          <cell r="D4050">
            <v>2.0212974548339844</v>
          </cell>
          <cell r="F4050" t="str">
            <v>14 Aug 2024</v>
          </cell>
        </row>
        <row r="4051">
          <cell r="A4051" t="str">
            <v>AFG</v>
          </cell>
          <cell r="B4051">
            <v>2016</v>
          </cell>
          <cell r="C4051" t="str">
            <v>mar_agrfc</v>
          </cell>
          <cell r="D4051">
            <v>27.029531478881836</v>
          </cell>
          <cell r="F4051" t="str">
            <v>14 Aug 2024</v>
          </cell>
        </row>
        <row r="4052">
          <cell r="A4052" t="str">
            <v>AFG</v>
          </cell>
          <cell r="B4052">
            <v>2017</v>
          </cell>
          <cell r="C4052" t="str">
            <v>madeficit_</v>
          </cell>
          <cell r="D4052">
            <v>-0.67310589551925659</v>
          </cell>
          <cell r="F4052" t="str">
            <v>14 Aug 2024</v>
          </cell>
        </row>
        <row r="4053">
          <cell r="A4053" t="str">
            <v>AFG</v>
          </cell>
          <cell r="B4053">
            <v>2025</v>
          </cell>
          <cell r="C4053" t="str">
            <v>mainvz</v>
          </cell>
          <cell r="D4053">
            <v>1.2651419639587402</v>
          </cell>
          <cell r="F4053" t="str">
            <v>14 Aug 2024</v>
          </cell>
        </row>
        <row r="4054">
          <cell r="A4054" t="str">
            <v>AFG</v>
          </cell>
          <cell r="B4054">
            <v>2024</v>
          </cell>
          <cell r="C4054" t="str">
            <v>madebt_</v>
          </cell>
          <cell r="D4054">
            <v>8.6225795745849609</v>
          </cell>
          <cell r="F4054" t="str">
            <v>14 Aug 2024</v>
          </cell>
        </row>
        <row r="4055">
          <cell r="A4055" t="str">
            <v>AFG</v>
          </cell>
          <cell r="B4055">
            <v>2021</v>
          </cell>
          <cell r="C4055" t="str">
            <v>mac_labz</v>
          </cell>
          <cell r="D4055">
            <v>2.5554208755493164</v>
          </cell>
          <cell r="F4055" t="str">
            <v>14 Aug 2024</v>
          </cell>
        </row>
        <row r="4056">
          <cell r="A4056" t="str">
            <v>AFG</v>
          </cell>
          <cell r="B4056">
            <v>2014</v>
          </cell>
          <cell r="C4056" t="str">
            <v>mar_agrfc</v>
          </cell>
          <cell r="D4056">
            <v>27.822063446044922</v>
          </cell>
          <cell r="F4056" t="str">
            <v>14 Aug 2024</v>
          </cell>
        </row>
        <row r="4057">
          <cell r="A4057" t="str">
            <v>AFG</v>
          </cell>
          <cell r="B4057">
            <v>2008</v>
          </cell>
          <cell r="C4057" t="str">
            <v>malabz</v>
          </cell>
          <cell r="D4057">
            <v>1.582588791847229</v>
          </cell>
          <cell r="F4057" t="str">
            <v>14 Aug 2024</v>
          </cell>
        </row>
        <row r="4058">
          <cell r="A4058" t="str">
            <v>AFG</v>
          </cell>
          <cell r="B4058">
            <v>2021</v>
          </cell>
          <cell r="C4058" t="str">
            <v>maexpz</v>
          </cell>
          <cell r="D4058">
            <v>4.0999999046325684</v>
          </cell>
          <cell r="F4058" t="str">
            <v>14 Aug 2024</v>
          </cell>
        </row>
        <row r="4059">
          <cell r="A4059" t="str">
            <v>AFG</v>
          </cell>
          <cell r="B4059">
            <v>2017</v>
          </cell>
          <cell r="C4059" t="str">
            <v>masrvfc</v>
          </cell>
          <cell r="D4059">
            <v>-0.68254631757736206</v>
          </cell>
          <cell r="F4059" t="str">
            <v>14 Aug 2024</v>
          </cell>
        </row>
        <row r="4060">
          <cell r="A4060" t="str">
            <v>AFG</v>
          </cell>
          <cell r="B4060">
            <v>2020</v>
          </cell>
          <cell r="C4060" t="str">
            <v>madebt_</v>
          </cell>
          <cell r="D4060">
            <v>8.2073144912719727</v>
          </cell>
          <cell r="F4060" t="str">
            <v>14 Aug 2024</v>
          </cell>
        </row>
        <row r="4061">
          <cell r="A4061" t="str">
            <v>AFG</v>
          </cell>
          <cell r="B4061">
            <v>2013</v>
          </cell>
          <cell r="C4061" t="str">
            <v>maimpz</v>
          </cell>
          <cell r="D4061">
            <v>23.125026702880859</v>
          </cell>
          <cell r="F4061" t="str">
            <v>14 Aug 2024</v>
          </cell>
        </row>
        <row r="4062">
          <cell r="A4062" t="str">
            <v>AFG</v>
          </cell>
          <cell r="B4062">
            <v>2016</v>
          </cell>
          <cell r="C4062" t="str">
            <v>mar_indfc</v>
          </cell>
          <cell r="D4062">
            <v>10.991043090820313</v>
          </cell>
          <cell r="F4062" t="str">
            <v>14 Aug 2024</v>
          </cell>
        </row>
        <row r="4063">
          <cell r="A4063" t="str">
            <v>AFG</v>
          </cell>
          <cell r="B4063">
            <v>2017</v>
          </cell>
          <cell r="C4063" t="str">
            <v>macab_</v>
          </cell>
          <cell r="D4063">
            <v>2.4372870922088623</v>
          </cell>
          <cell r="F4063" t="str">
            <v>14 Aug 2024</v>
          </cell>
        </row>
        <row r="4064">
          <cell r="A4064" t="str">
            <v>AFG</v>
          </cell>
          <cell r="B4064">
            <v>2005</v>
          </cell>
          <cell r="C4064" t="str">
            <v>mar_con</v>
          </cell>
          <cell r="D4064">
            <v>115.87286376953125</v>
          </cell>
          <cell r="F4064" t="str">
            <v>14 Aug 2024</v>
          </cell>
        </row>
        <row r="4065">
          <cell r="A4065" t="str">
            <v>AFG</v>
          </cell>
          <cell r="B4065">
            <v>2011</v>
          </cell>
          <cell r="C4065" t="str">
            <v>maimpz</v>
          </cell>
          <cell r="D4065">
            <v>13.190459251403809</v>
          </cell>
          <cell r="F4065" t="str">
            <v>14 Aug 2024</v>
          </cell>
        </row>
        <row r="4066">
          <cell r="A4066" t="str">
            <v>AFG</v>
          </cell>
          <cell r="B4066">
            <v>2019</v>
          </cell>
          <cell r="C4066" t="str">
            <v>mar_impz</v>
          </cell>
          <cell r="D4066">
            <v>51.512035369873047</v>
          </cell>
          <cell r="F4066" t="str">
            <v>14 Aug 2024</v>
          </cell>
        </row>
        <row r="4067">
          <cell r="A4067" t="str">
            <v>AFG</v>
          </cell>
          <cell r="B4067">
            <v>2015</v>
          </cell>
          <cell r="C4067" t="str">
            <v>mac_labz</v>
          </cell>
          <cell r="D4067">
            <v>2.8420109748840332</v>
          </cell>
          <cell r="F4067" t="str">
            <v>14 Aug 2024</v>
          </cell>
        </row>
        <row r="4068">
          <cell r="A4068" t="str">
            <v>AFG</v>
          </cell>
          <cell r="B4068">
            <v>2018</v>
          </cell>
          <cell r="C4068" t="str">
            <v>mar_impz</v>
          </cell>
          <cell r="D4068">
            <v>57.445831298828125</v>
          </cell>
          <cell r="F4068" t="str">
            <v>14 Aug 2024</v>
          </cell>
        </row>
        <row r="4069">
          <cell r="A4069" t="str">
            <v>AFG</v>
          </cell>
          <cell r="B4069">
            <v>2013</v>
          </cell>
          <cell r="C4069" t="str">
            <v>mareer</v>
          </cell>
          <cell r="D4069">
            <v>116.59126281738281</v>
          </cell>
          <cell r="F4069" t="str">
            <v>14 Aug 2024</v>
          </cell>
        </row>
        <row r="4070">
          <cell r="A4070" t="str">
            <v>AFG</v>
          </cell>
          <cell r="B4070">
            <v>2007</v>
          </cell>
          <cell r="C4070" t="str">
            <v>maconz</v>
          </cell>
          <cell r="D4070">
            <v>8.3247098922729492</v>
          </cell>
          <cell r="F4070" t="str">
            <v>14 Aug 2024</v>
          </cell>
        </row>
        <row r="4071">
          <cell r="A4071" t="str">
            <v>AFG</v>
          </cell>
          <cell r="B4071">
            <v>2007</v>
          </cell>
          <cell r="C4071" t="str">
            <v>mar_expz</v>
          </cell>
          <cell r="D4071">
            <v>26.597049713134766</v>
          </cell>
          <cell r="F4071" t="str">
            <v>14 Aug 2024</v>
          </cell>
        </row>
        <row r="4072">
          <cell r="A4072" t="str">
            <v>AFG</v>
          </cell>
          <cell r="B4072">
            <v>2008</v>
          </cell>
          <cell r="C4072" t="str">
            <v>maagrfc</v>
          </cell>
          <cell r="D4072">
            <v>-14.916329383850098</v>
          </cell>
          <cell r="F4072" t="str">
            <v>14 Aug 2024</v>
          </cell>
        </row>
        <row r="4073">
          <cell r="A4073" t="str">
            <v>AFG</v>
          </cell>
          <cell r="B4073">
            <v>2016</v>
          </cell>
          <cell r="C4073" t="str">
            <v>malabz</v>
          </cell>
          <cell r="D4073">
            <v>3.1657853126525879</v>
          </cell>
          <cell r="F4073" t="str">
            <v>14 Aug 2024</v>
          </cell>
        </row>
        <row r="4074">
          <cell r="A4074" t="str">
            <v>AFG</v>
          </cell>
          <cell r="B4074">
            <v>2015</v>
          </cell>
          <cell r="C4074" t="str">
            <v>mar_expz</v>
          </cell>
          <cell r="D4074">
            <v>8.0642862319946289</v>
          </cell>
          <cell r="F4074" t="str">
            <v>14 Aug 2024</v>
          </cell>
        </row>
        <row r="4075">
          <cell r="A4075" t="str">
            <v>AFG</v>
          </cell>
          <cell r="B4075">
            <v>2005</v>
          </cell>
          <cell r="C4075" t="str">
            <v>mar_indfc</v>
          </cell>
          <cell r="D4075">
            <v>12.801722526550293</v>
          </cell>
          <cell r="F4075" t="str">
            <v>14 Aug 2024</v>
          </cell>
        </row>
        <row r="4076">
          <cell r="A4076" t="str">
            <v>AFG</v>
          </cell>
          <cell r="B4076">
            <v>2006</v>
          </cell>
          <cell r="C4076" t="str">
            <v>mareer</v>
          </cell>
          <cell r="D4076">
            <v>221.60835266113281</v>
          </cell>
          <cell r="F4076" t="str">
            <v>14 Aug 2024</v>
          </cell>
        </row>
        <row r="4077">
          <cell r="A4077" t="str">
            <v>AFG</v>
          </cell>
          <cell r="B4077">
            <v>2022</v>
          </cell>
          <cell r="C4077" t="str">
            <v>macab_</v>
          </cell>
          <cell r="D4077">
            <v>-5.210665225982666</v>
          </cell>
          <cell r="F4077" t="str">
            <v>14 Aug 2024</v>
          </cell>
        </row>
        <row r="4078">
          <cell r="A4078" t="str">
            <v>AFG</v>
          </cell>
          <cell r="B4078">
            <v>2010</v>
          </cell>
          <cell r="C4078" t="str">
            <v>mainvz</v>
          </cell>
          <cell r="D4078">
            <v>3.719393253326416</v>
          </cell>
          <cell r="F4078" t="str">
            <v>14 Aug 2024</v>
          </cell>
        </row>
        <row r="4079">
          <cell r="A4079" t="str">
            <v>AFG</v>
          </cell>
          <cell r="B4079">
            <v>2016</v>
          </cell>
          <cell r="C4079" t="str">
            <v>magap_</v>
          </cell>
          <cell r="D4079">
            <v>-8.9127272367477417E-2</v>
          </cell>
          <cell r="F4079" t="str">
            <v>14 Aug 2024</v>
          </cell>
        </row>
        <row r="4080">
          <cell r="A4080" t="str">
            <v>AFG</v>
          </cell>
          <cell r="B4080">
            <v>2024</v>
          </cell>
          <cell r="C4080" t="str">
            <v>mar_impz</v>
          </cell>
          <cell r="D4080">
            <v>51.044895172119141</v>
          </cell>
          <cell r="F4080" t="str">
            <v>14 Aug 2024</v>
          </cell>
        </row>
        <row r="4081">
          <cell r="A4081" t="str">
            <v>AFG</v>
          </cell>
          <cell r="B4081">
            <v>2025</v>
          </cell>
          <cell r="C4081" t="str">
            <v>mar_agrfc</v>
          </cell>
          <cell r="D4081">
            <v>32.900611877441406</v>
          </cell>
          <cell r="F4081" t="str">
            <v>14 Aug 2024</v>
          </cell>
        </row>
        <row r="4082">
          <cell r="A4082" t="str">
            <v>AFG</v>
          </cell>
          <cell r="B4082">
            <v>2015</v>
          </cell>
          <cell r="C4082" t="str">
            <v>matfpz</v>
          </cell>
          <cell r="D4082">
            <v>-0.9581221342086792</v>
          </cell>
          <cell r="F4082" t="str">
            <v>14 Aug 2024</v>
          </cell>
        </row>
        <row r="4083">
          <cell r="A4083" t="str">
            <v>AFG</v>
          </cell>
          <cell r="B4083">
            <v>2007</v>
          </cell>
          <cell r="C4083" t="str">
            <v>mar_con</v>
          </cell>
          <cell r="D4083">
            <v>110.75118255615234</v>
          </cell>
          <cell r="F4083" t="str">
            <v>14 Aug 2024</v>
          </cell>
        </row>
        <row r="4084">
          <cell r="A4084" t="str">
            <v>AFG</v>
          </cell>
          <cell r="B4084">
            <v>2009</v>
          </cell>
          <cell r="C4084" t="str">
            <v>mataxfc</v>
          </cell>
          <cell r="D4084">
            <v>3.56131911277771</v>
          </cell>
          <cell r="F4084" t="str">
            <v>14 Aug 2024</v>
          </cell>
        </row>
        <row r="4085">
          <cell r="A4085" t="str">
            <v>AFG</v>
          </cell>
          <cell r="B4085">
            <v>2012</v>
          </cell>
          <cell r="C4085" t="str">
            <v>mar_expz</v>
          </cell>
          <cell r="D4085">
            <v>13.182323455810547</v>
          </cell>
          <cell r="F4085" t="str">
            <v>14 Aug 2024</v>
          </cell>
        </row>
        <row r="4086">
          <cell r="A4086" t="str">
            <v>AFG</v>
          </cell>
          <cell r="B4086">
            <v>2012</v>
          </cell>
          <cell r="C4086" t="str">
            <v>mar_impz</v>
          </cell>
          <cell r="D4086">
            <v>33.730381011962891</v>
          </cell>
          <cell r="F4086" t="str">
            <v>14 Aug 2024</v>
          </cell>
        </row>
        <row r="4087">
          <cell r="A4087" t="str">
            <v>AFG</v>
          </cell>
          <cell r="B4087">
            <v>2020</v>
          </cell>
          <cell r="C4087" t="str">
            <v>mar_srvfc</v>
          </cell>
          <cell r="D4087">
            <v>55.42584228515625</v>
          </cell>
          <cell r="F4087" t="str">
            <v>14 Aug 2024</v>
          </cell>
        </row>
        <row r="4088">
          <cell r="A4088" t="str">
            <v>AFG</v>
          </cell>
          <cell r="B4088">
            <v>2012</v>
          </cell>
          <cell r="C4088" t="str">
            <v>mac_labz</v>
          </cell>
          <cell r="D4088">
            <v>4.1153678894042969</v>
          </cell>
          <cell r="F4088" t="str">
            <v>14 Aug 2024</v>
          </cell>
        </row>
        <row r="4089">
          <cell r="A4089" t="str">
            <v>AFG</v>
          </cell>
          <cell r="B4089">
            <v>2012</v>
          </cell>
          <cell r="C4089" t="str">
            <v>magap_</v>
          </cell>
          <cell r="D4089">
            <v>12.805700302124023</v>
          </cell>
          <cell r="F4089" t="str">
            <v>14 Aug 2024</v>
          </cell>
        </row>
        <row r="4090">
          <cell r="A4090" t="str">
            <v>AFG</v>
          </cell>
          <cell r="B4090">
            <v>2009</v>
          </cell>
          <cell r="C4090" t="str">
            <v>mac_tfpz</v>
          </cell>
          <cell r="D4090">
            <v>3.257521390914917</v>
          </cell>
          <cell r="F4090" t="str">
            <v>14 Aug 2024</v>
          </cell>
        </row>
        <row r="4091">
          <cell r="A4091" t="str">
            <v>AFG</v>
          </cell>
          <cell r="B4091">
            <v>2011</v>
          </cell>
          <cell r="C4091" t="str">
            <v>mar_agrfc</v>
          </cell>
          <cell r="D4091">
            <v>30.743541717529297</v>
          </cell>
          <cell r="F4091" t="str">
            <v>14 Aug 2024</v>
          </cell>
        </row>
        <row r="4092">
          <cell r="A4092" t="str">
            <v>AFG</v>
          </cell>
          <cell r="B4092">
            <v>2015</v>
          </cell>
          <cell r="C4092" t="str">
            <v>magdpz</v>
          </cell>
          <cell r="D4092">
            <v>0.62786656618118286</v>
          </cell>
          <cell r="F4092" t="str">
            <v>14 Aug 2024</v>
          </cell>
        </row>
        <row r="4093">
          <cell r="A4093" t="str">
            <v>AFG</v>
          </cell>
          <cell r="B4093">
            <v>2017</v>
          </cell>
          <cell r="C4093" t="str">
            <v>mar_impz</v>
          </cell>
          <cell r="D4093">
            <v>51.407772064208984</v>
          </cell>
          <cell r="F4093" t="str">
            <v>14 Aug 2024</v>
          </cell>
        </row>
        <row r="4094">
          <cell r="A4094" t="str">
            <v>AFG</v>
          </cell>
          <cell r="B4094">
            <v>2025</v>
          </cell>
          <cell r="C4094" t="str">
            <v>magap_</v>
          </cell>
          <cell r="D4094">
            <v>-3.3609628677368164</v>
          </cell>
          <cell r="F4094" t="str">
            <v>14 Aug 2024</v>
          </cell>
        </row>
        <row r="4095">
          <cell r="A4095" t="str">
            <v>AFG</v>
          </cell>
          <cell r="B4095">
            <v>2025</v>
          </cell>
          <cell r="C4095" t="str">
            <v>magdpz</v>
          </cell>
          <cell r="D4095">
            <v>3.0399999618530273</v>
          </cell>
          <cell r="F4095" t="str">
            <v>14 Aug 2024</v>
          </cell>
        </row>
        <row r="4096">
          <cell r="A4096" t="str">
            <v>AFG</v>
          </cell>
          <cell r="B4096">
            <v>2023</v>
          </cell>
          <cell r="C4096" t="str">
            <v>mac_tfpz</v>
          </cell>
          <cell r="D4096">
            <v>-0.87260198593139648</v>
          </cell>
          <cell r="F4096" t="str">
            <v>14 Aug 2024</v>
          </cell>
        </row>
        <row r="4097">
          <cell r="A4097" t="str">
            <v>AFG</v>
          </cell>
          <cell r="B4097">
            <v>2013</v>
          </cell>
          <cell r="C4097" t="str">
            <v>mar_srvfc</v>
          </cell>
          <cell r="D4097">
            <v>60.344722747802734</v>
          </cell>
          <cell r="F4097" t="str">
            <v>14 Aug 2024</v>
          </cell>
        </row>
        <row r="4098">
          <cell r="A4098" t="str">
            <v>AFG</v>
          </cell>
          <cell r="B4098">
            <v>2010</v>
          </cell>
          <cell r="C4098" t="str">
            <v>mar_con</v>
          </cell>
          <cell r="D4098">
            <v>84.56512451171875</v>
          </cell>
          <cell r="F4098" t="str">
            <v>14 Aug 2024</v>
          </cell>
        </row>
        <row r="4099">
          <cell r="A4099" t="str">
            <v>AFG</v>
          </cell>
          <cell r="B4099">
            <v>2011</v>
          </cell>
          <cell r="C4099" t="str">
            <v>mainvz</v>
          </cell>
          <cell r="D4099">
            <v>4.9671335220336914</v>
          </cell>
          <cell r="F4099" t="str">
            <v>14 Aug 2024</v>
          </cell>
        </row>
        <row r="4100">
          <cell r="A4100" t="str">
            <v>AFG</v>
          </cell>
          <cell r="B4100">
            <v>2026</v>
          </cell>
          <cell r="C4100" t="str">
            <v>matfpz</v>
          </cell>
          <cell r="D4100">
            <v>-0.64761161804199219</v>
          </cell>
          <cell r="F4100" t="str">
            <v>14 Aug 2024</v>
          </cell>
        </row>
        <row r="4101">
          <cell r="A4101" t="str">
            <v>AFG</v>
          </cell>
          <cell r="B4101">
            <v>2012</v>
          </cell>
          <cell r="C4101" t="str">
            <v>mataxfc</v>
          </cell>
          <cell r="D4101">
            <v>27.680110931396484</v>
          </cell>
          <cell r="F4101" t="str">
            <v>14 Aug 2024</v>
          </cell>
        </row>
        <row r="4102">
          <cell r="A4102" t="str">
            <v>AFG</v>
          </cell>
          <cell r="B4102">
            <v>2007</v>
          </cell>
          <cell r="C4102" t="str">
            <v>maexpz</v>
          </cell>
          <cell r="D4102">
            <v>-16.563177108764648</v>
          </cell>
          <cell r="F4102" t="str">
            <v>14 Aug 2024</v>
          </cell>
        </row>
        <row r="4103">
          <cell r="A4103" t="str">
            <v>AFG</v>
          </cell>
          <cell r="B4103">
            <v>2007</v>
          </cell>
          <cell r="C4103" t="str">
            <v>mar_indfc</v>
          </cell>
          <cell r="D4103">
            <v>13.965353965759277</v>
          </cell>
          <cell r="F4103" t="str">
            <v>14 Aug 2024</v>
          </cell>
        </row>
        <row r="4104">
          <cell r="A4104" t="str">
            <v>AFG</v>
          </cell>
          <cell r="B4104">
            <v>2010</v>
          </cell>
          <cell r="C4104" t="str">
            <v>mapanusatls</v>
          </cell>
          <cell r="D4104">
            <v>45.799999237060547</v>
          </cell>
          <cell r="F4104" t="str">
            <v>14 Aug 2024</v>
          </cell>
        </row>
        <row r="4105">
          <cell r="A4105" t="str">
            <v>AFG</v>
          </cell>
          <cell r="B4105">
            <v>2008</v>
          </cell>
          <cell r="C4105" t="str">
            <v>macpiz</v>
          </cell>
          <cell r="D4105">
            <v>5.181027889251709</v>
          </cell>
          <cell r="F4105" t="str">
            <v>14 Aug 2024</v>
          </cell>
        </row>
        <row r="4106">
          <cell r="A4106" t="str">
            <v>AFG</v>
          </cell>
          <cell r="B4106">
            <v>2021</v>
          </cell>
          <cell r="C4106" t="str">
            <v>maconz</v>
          </cell>
          <cell r="D4106">
            <v>1.5</v>
          </cell>
          <cell r="F4106" t="str">
            <v>14 Aug 2024</v>
          </cell>
        </row>
        <row r="4107">
          <cell r="A4107" t="str">
            <v>AFG</v>
          </cell>
          <cell r="B4107">
            <v>2022</v>
          </cell>
          <cell r="C4107" t="str">
            <v>mar_indfc</v>
          </cell>
          <cell r="D4107">
            <v>12.624971389770508</v>
          </cell>
          <cell r="F4107" t="str">
            <v>14 Aug 2024</v>
          </cell>
        </row>
        <row r="4108">
          <cell r="A4108" t="str">
            <v>AFG</v>
          </cell>
          <cell r="B4108">
            <v>2024</v>
          </cell>
          <cell r="C4108" t="str">
            <v>matfpz</v>
          </cell>
          <cell r="D4108">
            <v>-0.76923370361328125</v>
          </cell>
          <cell r="F4108" t="str">
            <v>14 Aug 2024</v>
          </cell>
        </row>
        <row r="4109">
          <cell r="A4109" t="str">
            <v>AFG</v>
          </cell>
          <cell r="B4109">
            <v>2016</v>
          </cell>
          <cell r="C4109" t="str">
            <v>maconz</v>
          </cell>
          <cell r="D4109">
            <v>-3.8015522956848145</v>
          </cell>
          <cell r="F4109" t="str">
            <v>14 Aug 2024</v>
          </cell>
        </row>
        <row r="4110">
          <cell r="A4110" t="str">
            <v>AFG</v>
          </cell>
          <cell r="B4110">
            <v>2006</v>
          </cell>
          <cell r="C4110" t="str">
            <v>magovz</v>
          </cell>
          <cell r="D4110">
            <v>-0.57935881614685059</v>
          </cell>
          <cell r="F4110" t="str">
            <v>14 Aug 2024</v>
          </cell>
        </row>
        <row r="4111">
          <cell r="A4111" t="str">
            <v>AFG</v>
          </cell>
          <cell r="B4111">
            <v>2010</v>
          </cell>
          <cell r="C4111" t="str">
            <v>mataxfc</v>
          </cell>
          <cell r="D4111">
            <v>59.192043304443359</v>
          </cell>
          <cell r="F4111" t="str">
            <v>14 Aug 2024</v>
          </cell>
        </row>
        <row r="4112">
          <cell r="A4112" t="str">
            <v>AFG</v>
          </cell>
          <cell r="B4112">
            <v>2022</v>
          </cell>
          <cell r="C4112" t="str">
            <v>mar_con</v>
          </cell>
          <cell r="D4112">
            <v>97.938812255859375</v>
          </cell>
          <cell r="F4112" t="str">
            <v>14 Aug 2024</v>
          </cell>
        </row>
        <row r="4113">
          <cell r="A4113" t="str">
            <v>AFG</v>
          </cell>
          <cell r="B4113">
            <v>2021</v>
          </cell>
          <cell r="C4113" t="str">
            <v>maimpz</v>
          </cell>
          <cell r="D4113">
            <v>2.2999999523162842</v>
          </cell>
          <cell r="F4113" t="str">
            <v>14 Aug 2024</v>
          </cell>
        </row>
        <row r="4114">
          <cell r="A4114" t="str">
            <v>AFG</v>
          </cell>
          <cell r="B4114">
            <v>2017</v>
          </cell>
          <cell r="C4114" t="str">
            <v>madebt_</v>
          </cell>
          <cell r="D4114">
            <v>6.6236686706542969</v>
          </cell>
          <cell r="F4114" t="str">
            <v>14 Aug 2024</v>
          </cell>
        </row>
        <row r="4115">
          <cell r="A4115" t="str">
            <v>AFG</v>
          </cell>
          <cell r="B4115">
            <v>2014</v>
          </cell>
          <cell r="C4115" t="str">
            <v>mac_labz</v>
          </cell>
          <cell r="D4115">
            <v>3.5097055435180664</v>
          </cell>
          <cell r="F4115" t="str">
            <v>14 Aug 2024</v>
          </cell>
        </row>
        <row r="4116">
          <cell r="A4116" t="str">
            <v>AFG</v>
          </cell>
          <cell r="B4116">
            <v>2019</v>
          </cell>
          <cell r="C4116" t="str">
            <v>maimpz</v>
          </cell>
          <cell r="D4116">
            <v>-6.8218145370483398</v>
          </cell>
          <cell r="F4116" t="str">
            <v>14 Aug 2024</v>
          </cell>
        </row>
        <row r="4117">
          <cell r="A4117" t="str">
            <v>AFG</v>
          </cell>
          <cell r="B4117">
            <v>2018</v>
          </cell>
          <cell r="C4117" t="str">
            <v>mar_con</v>
          </cell>
          <cell r="D4117">
            <v>104.89937591552734</v>
          </cell>
          <cell r="F4117" t="str">
            <v>14 Aug 2024</v>
          </cell>
        </row>
        <row r="4118">
          <cell r="A4118" t="str">
            <v>AFG</v>
          </cell>
          <cell r="B4118">
            <v>2019</v>
          </cell>
          <cell r="C4118" t="str">
            <v>madebt_</v>
          </cell>
          <cell r="D4118">
            <v>7.1236495971679688</v>
          </cell>
          <cell r="F4118" t="str">
            <v>14 Aug 2024</v>
          </cell>
        </row>
        <row r="4119">
          <cell r="A4119" t="str">
            <v>AFG</v>
          </cell>
          <cell r="B4119">
            <v>2006</v>
          </cell>
          <cell r="C4119" t="str">
            <v>mar_indfc</v>
          </cell>
          <cell r="D4119">
            <v>14.28682804107666</v>
          </cell>
          <cell r="F4119" t="str">
            <v>14 Aug 2024</v>
          </cell>
        </row>
        <row r="4120">
          <cell r="A4120" t="str">
            <v>AFG</v>
          </cell>
          <cell r="B4120">
            <v>2020</v>
          </cell>
          <cell r="C4120" t="str">
            <v>maconz</v>
          </cell>
          <cell r="D4120">
            <v>-3.7000000476837158</v>
          </cell>
          <cell r="F4120" t="str">
            <v>14 Aug 2024</v>
          </cell>
        </row>
        <row r="4121">
          <cell r="A4121" t="str">
            <v>AFG</v>
          </cell>
          <cell r="B4121">
            <v>2020</v>
          </cell>
          <cell r="C4121" t="str">
            <v>masrvfc</v>
          </cell>
          <cell r="D4121">
            <v>-4.9249467849731445</v>
          </cell>
          <cell r="F4121" t="str">
            <v>14 Aug 2024</v>
          </cell>
        </row>
        <row r="4122">
          <cell r="A4122" t="str">
            <v>AFG</v>
          </cell>
          <cell r="B4122">
            <v>2016</v>
          </cell>
          <cell r="C4122" t="str">
            <v>magdpz</v>
          </cell>
          <cell r="D4122">
            <v>3.0000360012054443</v>
          </cell>
          <cell r="F4122" t="str">
            <v>14 Aug 2024</v>
          </cell>
        </row>
        <row r="4123">
          <cell r="A4123" t="str">
            <v>AFG</v>
          </cell>
          <cell r="B4123">
            <v>2021</v>
          </cell>
          <cell r="C4123" t="str">
            <v>macpiz</v>
          </cell>
          <cell r="D4123">
            <v>3.7999999523162842</v>
          </cell>
          <cell r="F4123" t="str">
            <v>14 Aug 2024</v>
          </cell>
        </row>
        <row r="4124">
          <cell r="A4124" t="str">
            <v>AFG</v>
          </cell>
          <cell r="B4124">
            <v>2021</v>
          </cell>
          <cell r="C4124" t="str">
            <v>maindfc</v>
          </cell>
          <cell r="D4124">
            <v>1.9500000476837158</v>
          </cell>
          <cell r="F4124" t="str">
            <v>14 Aug 2024</v>
          </cell>
        </row>
        <row r="4125">
          <cell r="A4125" t="str">
            <v>AFG</v>
          </cell>
          <cell r="B4125">
            <v>2015</v>
          </cell>
          <cell r="C4125" t="str">
            <v>mac_tfpz</v>
          </cell>
          <cell r="D4125">
            <v>-0.9581221342086792</v>
          </cell>
          <cell r="F4125" t="str">
            <v>14 Aug 2024</v>
          </cell>
        </row>
        <row r="4126">
          <cell r="A4126" t="str">
            <v>AFG</v>
          </cell>
          <cell r="B4126">
            <v>2006</v>
          </cell>
          <cell r="C4126" t="str">
            <v>maconz</v>
          </cell>
          <cell r="D4126">
            <v>-0.57935881614685059</v>
          </cell>
          <cell r="F4126" t="str">
            <v>14 Aug 2024</v>
          </cell>
        </row>
        <row r="4127">
          <cell r="A4127" t="str">
            <v>AFG</v>
          </cell>
          <cell r="B4127">
            <v>2024</v>
          </cell>
          <cell r="C4127" t="str">
            <v>mar_indfc</v>
          </cell>
          <cell r="D4127">
            <v>12.359280586242676</v>
          </cell>
          <cell r="F4127" t="str">
            <v>14 Aug 2024</v>
          </cell>
        </row>
        <row r="4128">
          <cell r="A4128" t="str">
            <v>AFG</v>
          </cell>
          <cell r="B4128">
            <v>2008</v>
          </cell>
          <cell r="C4128" t="str">
            <v>masrvfc</v>
          </cell>
          <cell r="D4128">
            <v>19.681146621704102</v>
          </cell>
          <cell r="F4128" t="str">
            <v>14 Aug 2024</v>
          </cell>
        </row>
        <row r="4129">
          <cell r="A4129" t="str">
            <v>AFG</v>
          </cell>
          <cell r="B4129">
            <v>2005</v>
          </cell>
          <cell r="C4129" t="str">
            <v>madeficit_</v>
          </cell>
          <cell r="D4129">
            <v>-0.22980883717536926</v>
          </cell>
          <cell r="F4129" t="str">
            <v>14 Aug 2024</v>
          </cell>
        </row>
        <row r="4130">
          <cell r="A4130" t="str">
            <v>AFG</v>
          </cell>
          <cell r="B4130">
            <v>2017</v>
          </cell>
          <cell r="C4130" t="str">
            <v>maexpz</v>
          </cell>
          <cell r="D4130">
            <v>0.51125526428222656</v>
          </cell>
          <cell r="F4130" t="str">
            <v>14 Aug 2024</v>
          </cell>
        </row>
        <row r="4131">
          <cell r="A4131" t="str">
            <v>AFG</v>
          </cell>
          <cell r="B4131">
            <v>2020</v>
          </cell>
          <cell r="C4131" t="str">
            <v>maimpz</v>
          </cell>
          <cell r="D4131">
            <v>-5.3000001907348633</v>
          </cell>
          <cell r="F4131" t="str">
            <v>14 Aug 2024</v>
          </cell>
        </row>
        <row r="4132">
          <cell r="A4132" t="str">
            <v>AFG</v>
          </cell>
          <cell r="B4132">
            <v>2010</v>
          </cell>
          <cell r="C4132" t="str">
            <v>macab_</v>
          </cell>
          <cell r="D4132">
            <v>4.8333659172058105</v>
          </cell>
          <cell r="F4132" t="str">
            <v>14 Aug 2024</v>
          </cell>
        </row>
        <row r="4133">
          <cell r="A4133" t="str">
            <v>AFG</v>
          </cell>
          <cell r="B4133">
            <v>2024</v>
          </cell>
          <cell r="C4133" t="str">
            <v>mafdi_</v>
          </cell>
          <cell r="D4133">
            <v>-0.28607651161701009</v>
          </cell>
          <cell r="F4133" t="str">
            <v>14 Aug 2024</v>
          </cell>
        </row>
        <row r="4134">
          <cell r="A4134" t="str">
            <v>AFG</v>
          </cell>
          <cell r="B4134">
            <v>2010</v>
          </cell>
          <cell r="C4134" t="str">
            <v>mar_agrfc</v>
          </cell>
          <cell r="D4134">
            <v>35.927074432373047</v>
          </cell>
          <cell r="F4134" t="str">
            <v>14 Aug 2024</v>
          </cell>
        </row>
        <row r="4135">
          <cell r="A4135" t="str">
            <v>AFG</v>
          </cell>
          <cell r="B4135">
            <v>2020</v>
          </cell>
          <cell r="C4135" t="str">
            <v>maagrfc</v>
          </cell>
          <cell r="D4135">
            <v>5.1500000953674316</v>
          </cell>
          <cell r="F4135" t="str">
            <v>14 Aug 2024</v>
          </cell>
        </row>
        <row r="4136">
          <cell r="A4136" t="str">
            <v>AFG</v>
          </cell>
          <cell r="B4136">
            <v>2022</v>
          </cell>
          <cell r="C4136" t="str">
            <v>mataxfc</v>
          </cell>
          <cell r="D4136">
            <v>2.619999885559082</v>
          </cell>
          <cell r="F4136" t="str">
            <v>14 Aug 2024</v>
          </cell>
        </row>
        <row r="4137">
          <cell r="A4137" t="str">
            <v>AFG</v>
          </cell>
          <cell r="B4137">
            <v>2008</v>
          </cell>
          <cell r="C4137" t="str">
            <v>mareer</v>
          </cell>
          <cell r="D4137">
            <v>177.80101013183594</v>
          </cell>
          <cell r="F4137" t="str">
            <v>14 Aug 2024</v>
          </cell>
        </row>
        <row r="4138">
          <cell r="A4138" t="str">
            <v>AFG</v>
          </cell>
          <cell r="B4138">
            <v>2008</v>
          </cell>
          <cell r="C4138" t="str">
            <v>maconz</v>
          </cell>
          <cell r="D4138">
            <v>-7.880709171295166</v>
          </cell>
          <cell r="F4138" t="str">
            <v>14 Aug 2024</v>
          </cell>
        </row>
        <row r="4139">
          <cell r="A4139" t="str">
            <v>AFG</v>
          </cell>
          <cell r="B4139">
            <v>2009</v>
          </cell>
          <cell r="C4139" t="str">
            <v>mar_con</v>
          </cell>
          <cell r="D4139">
            <v>88.076202392578125</v>
          </cell>
          <cell r="F4139" t="str">
            <v>14 Aug 2024</v>
          </cell>
        </row>
        <row r="4140">
          <cell r="A4140" t="str">
            <v>AFG</v>
          </cell>
          <cell r="B4140">
            <v>2008</v>
          </cell>
          <cell r="C4140" t="str">
            <v>magovz</v>
          </cell>
          <cell r="D4140">
            <v>-7.880709171295166</v>
          </cell>
          <cell r="F4140" t="str">
            <v>14 Aug 2024</v>
          </cell>
        </row>
        <row r="4141">
          <cell r="A4141" t="str">
            <v>AFG</v>
          </cell>
          <cell r="B4141">
            <v>2005</v>
          </cell>
          <cell r="C4141" t="str">
            <v>mac_labz</v>
          </cell>
          <cell r="D4141">
            <v>0</v>
          </cell>
          <cell r="F4141" t="str">
            <v>14 Aug 2024</v>
          </cell>
        </row>
        <row r="4142">
          <cell r="A4142" t="str">
            <v>AFG</v>
          </cell>
          <cell r="B4142">
            <v>2023</v>
          </cell>
          <cell r="C4142" t="str">
            <v>mar_srvfc</v>
          </cell>
          <cell r="D4142">
            <v>55.490242004394531</v>
          </cell>
          <cell r="F4142" t="str">
            <v>14 Aug 2024</v>
          </cell>
        </row>
        <row r="4143">
          <cell r="A4143" t="str">
            <v>AFG</v>
          </cell>
          <cell r="B4143">
            <v>2011</v>
          </cell>
          <cell r="C4143" t="str">
            <v>mac_tfpz</v>
          </cell>
          <cell r="D4143">
            <v>2.2728776931762695</v>
          </cell>
          <cell r="F4143" t="str">
            <v>14 Aug 2024</v>
          </cell>
        </row>
        <row r="4144">
          <cell r="A4144" t="str">
            <v>AFG</v>
          </cell>
          <cell r="B4144">
            <v>2021</v>
          </cell>
          <cell r="C4144" t="str">
            <v>mar_taxfc</v>
          </cell>
          <cell r="D4144">
            <v>4.7559185028076172</v>
          </cell>
          <cell r="F4144" t="str">
            <v>14 Aug 2024</v>
          </cell>
        </row>
        <row r="4145">
          <cell r="A4145" t="str">
            <v>AFG</v>
          </cell>
          <cell r="B4145">
            <v>2008</v>
          </cell>
          <cell r="C4145" t="str">
            <v>maexpz</v>
          </cell>
          <cell r="D4145">
            <v>1.6081454753875732</v>
          </cell>
          <cell r="F4145" t="str">
            <v>14 Aug 2024</v>
          </cell>
        </row>
        <row r="4146">
          <cell r="A4146" t="str">
            <v>AFG</v>
          </cell>
          <cell r="B4146">
            <v>2026</v>
          </cell>
          <cell r="C4146" t="str">
            <v>mar_expz</v>
          </cell>
          <cell r="D4146">
            <v>10.218300819396973</v>
          </cell>
          <cell r="F4146" t="str">
            <v>14 Aug 2024</v>
          </cell>
        </row>
        <row r="4147">
          <cell r="A4147" t="str">
            <v>AFG</v>
          </cell>
          <cell r="B4147">
            <v>2013</v>
          </cell>
          <cell r="C4147" t="str">
            <v>macpiz</v>
          </cell>
          <cell r="D4147">
            <v>6.2827277183532715</v>
          </cell>
          <cell r="F4147" t="str">
            <v>14 Aug 2024</v>
          </cell>
        </row>
        <row r="4148">
          <cell r="A4148" t="str">
            <v>AFG</v>
          </cell>
          <cell r="B4148">
            <v>2023</v>
          </cell>
          <cell r="C4148" t="str">
            <v>magovz</v>
          </cell>
          <cell r="D4148">
            <v>1.7689787149429321</v>
          </cell>
          <cell r="F4148" t="str">
            <v>14 Aug 2024</v>
          </cell>
        </row>
        <row r="4149">
          <cell r="A4149" t="str">
            <v>AFG</v>
          </cell>
          <cell r="B4149">
            <v>2005</v>
          </cell>
          <cell r="C4149" t="str">
            <v>macab_</v>
          </cell>
          <cell r="D4149">
            <v>6.2924256324768066</v>
          </cell>
          <cell r="F4149" t="str">
            <v>14 Aug 2024</v>
          </cell>
        </row>
        <row r="4150">
          <cell r="A4150" t="str">
            <v>AFG</v>
          </cell>
          <cell r="B4150">
            <v>2010</v>
          </cell>
          <cell r="C4150" t="str">
            <v>malabz</v>
          </cell>
          <cell r="D4150">
            <v>3.6449086666107178</v>
          </cell>
          <cell r="F4150" t="str">
            <v>14 Aug 2024</v>
          </cell>
        </row>
        <row r="4151">
          <cell r="A4151" t="str">
            <v>AFG</v>
          </cell>
          <cell r="B4151">
            <v>2009</v>
          </cell>
          <cell r="C4151" t="str">
            <v>macab_</v>
          </cell>
          <cell r="D4151">
            <v>2.7525339126586914</v>
          </cell>
          <cell r="F4151" t="str">
            <v>14 Aug 2024</v>
          </cell>
        </row>
        <row r="4152">
          <cell r="A4152" t="str">
            <v>AFG</v>
          </cell>
          <cell r="B4152">
            <v>2006</v>
          </cell>
          <cell r="C4152" t="str">
            <v>macab_</v>
          </cell>
          <cell r="D4152">
            <v>7.2859382629394531</v>
          </cell>
          <cell r="F4152" t="str">
            <v>14 Aug 2024</v>
          </cell>
        </row>
        <row r="4153">
          <cell r="A4153" t="str">
            <v>AFG</v>
          </cell>
          <cell r="B4153">
            <v>2020</v>
          </cell>
          <cell r="C4153" t="str">
            <v>magdpz</v>
          </cell>
          <cell r="D4153">
            <v>-1.8899999856948853</v>
          </cell>
          <cell r="F4153" t="str">
            <v>14 Aug 2024</v>
          </cell>
        </row>
        <row r="4154">
          <cell r="A4154" t="str">
            <v>AFG</v>
          </cell>
          <cell r="B4154">
            <v>2007</v>
          </cell>
          <cell r="C4154" t="str">
            <v>malabz</v>
          </cell>
          <cell r="D4154">
            <v>0.82619863748550415</v>
          </cell>
          <cell r="F4154" t="str">
            <v>14 Aug 2024</v>
          </cell>
        </row>
        <row r="4155">
          <cell r="A4155" t="str">
            <v>AFG</v>
          </cell>
          <cell r="B4155">
            <v>2019</v>
          </cell>
          <cell r="C4155" t="str">
            <v>magdpz</v>
          </cell>
          <cell r="D4155">
            <v>3.9116034507751465</v>
          </cell>
          <cell r="F4155" t="str">
            <v>14 Aug 2024</v>
          </cell>
        </row>
        <row r="4156">
          <cell r="A4156" t="str">
            <v>AFG</v>
          </cell>
          <cell r="B4156">
            <v>2020</v>
          </cell>
          <cell r="C4156" t="str">
            <v>magovz</v>
          </cell>
          <cell r="D4156">
            <v>5.6107020378112793</v>
          </cell>
          <cell r="F4156" t="str">
            <v>14 Aug 2024</v>
          </cell>
        </row>
        <row r="4157">
          <cell r="A4157" t="str">
            <v>AFG</v>
          </cell>
          <cell r="B4157">
            <v>2014</v>
          </cell>
          <cell r="C4157" t="str">
            <v>madeficit_</v>
          </cell>
          <cell r="D4157">
            <v>-1.6591449975967407</v>
          </cell>
          <cell r="F4157" t="str">
            <v>14 Aug 2024</v>
          </cell>
        </row>
        <row r="4158">
          <cell r="A4158" t="str">
            <v>AFG</v>
          </cell>
          <cell r="B4158">
            <v>2015</v>
          </cell>
          <cell r="C4158" t="str">
            <v>mar_con</v>
          </cell>
          <cell r="D4158">
            <v>102.49217987060547</v>
          </cell>
          <cell r="F4158" t="str">
            <v>14 Aug 2024</v>
          </cell>
        </row>
        <row r="4159">
          <cell r="A4159" t="str">
            <v>AFG</v>
          </cell>
          <cell r="B4159">
            <v>2019</v>
          </cell>
          <cell r="C4159" t="str">
            <v>masrvfc</v>
          </cell>
          <cell r="D4159">
            <v>-1.3857351541519165</v>
          </cell>
          <cell r="F4159" t="str">
            <v>14 Aug 2024</v>
          </cell>
        </row>
        <row r="4160">
          <cell r="A4160" t="str">
            <v>AFG</v>
          </cell>
          <cell r="B4160">
            <v>2014</v>
          </cell>
          <cell r="C4160" t="str">
            <v>mar_indfc</v>
          </cell>
          <cell r="D4160">
            <v>10.941586494445801</v>
          </cell>
          <cell r="F4160" t="str">
            <v>14 Aug 2024</v>
          </cell>
        </row>
        <row r="4161">
          <cell r="A4161" t="str">
            <v>AFG</v>
          </cell>
          <cell r="B4161">
            <v>2011</v>
          </cell>
          <cell r="C4161" t="str">
            <v>madebt_</v>
          </cell>
          <cell r="D4161">
            <v>5.0095815658569336</v>
          </cell>
          <cell r="F4161" t="str">
            <v>14 Aug 2024</v>
          </cell>
        </row>
        <row r="4162">
          <cell r="A4162" t="str">
            <v>AFG</v>
          </cell>
          <cell r="B4162">
            <v>2018</v>
          </cell>
          <cell r="C4162" t="str">
            <v>mac_tfpz</v>
          </cell>
          <cell r="D4162">
            <v>-2.6760611534118652</v>
          </cell>
          <cell r="F4162" t="str">
            <v>14 Aug 2024</v>
          </cell>
        </row>
        <row r="4163">
          <cell r="A4163" t="str">
            <v>AFG</v>
          </cell>
          <cell r="B4163">
            <v>2025</v>
          </cell>
          <cell r="C4163" t="str">
            <v>mac_tfpz</v>
          </cell>
          <cell r="D4163">
            <v>-0.71596419811248779</v>
          </cell>
          <cell r="F4163" t="str">
            <v>14 Aug 2024</v>
          </cell>
        </row>
        <row r="4164">
          <cell r="A4164" t="str">
            <v>AFG</v>
          </cell>
          <cell r="B4164">
            <v>2013</v>
          </cell>
          <cell r="C4164" t="str">
            <v>macab_</v>
          </cell>
          <cell r="D4164">
            <v>0.78812366724014282</v>
          </cell>
          <cell r="F4164" t="str">
            <v>14 Aug 2024</v>
          </cell>
        </row>
        <row r="4165">
          <cell r="A4165" t="str">
            <v>AFG</v>
          </cell>
          <cell r="B4165">
            <v>2006</v>
          </cell>
          <cell r="C4165" t="str">
            <v>mar_impz</v>
          </cell>
          <cell r="D4165">
            <v>98.304115295410156</v>
          </cell>
          <cell r="F4165" t="str">
            <v>14 Aug 2024</v>
          </cell>
        </row>
        <row r="4166">
          <cell r="A4166" t="str">
            <v>AFG</v>
          </cell>
          <cell r="B4166">
            <v>2022</v>
          </cell>
          <cell r="C4166" t="str">
            <v>mar_expz</v>
          </cell>
          <cell r="D4166">
            <v>8.6896677017211914</v>
          </cell>
          <cell r="F4166" t="str">
            <v>14 Aug 2024</v>
          </cell>
        </row>
        <row r="4167">
          <cell r="A4167" t="str">
            <v>AFG</v>
          </cell>
          <cell r="B4167">
            <v>2008</v>
          </cell>
          <cell r="C4167" t="str">
            <v>maindfc</v>
          </cell>
          <cell r="D4167">
            <v>5.7418179512023926</v>
          </cell>
          <cell r="F4167" t="str">
            <v>14 Aug 2024</v>
          </cell>
        </row>
        <row r="4168">
          <cell r="A4168" t="str">
            <v>AFG</v>
          </cell>
          <cell r="B4168">
            <v>2008</v>
          </cell>
          <cell r="C4168" t="str">
            <v>macab_</v>
          </cell>
          <cell r="D4168">
            <v>19.148090362548828</v>
          </cell>
          <cell r="F4168" t="str">
            <v>14 Aug 2024</v>
          </cell>
        </row>
        <row r="4169">
          <cell r="A4169" t="str">
            <v>AFG</v>
          </cell>
          <cell r="B4169">
            <v>2014</v>
          </cell>
          <cell r="C4169" t="str">
            <v>magap_</v>
          </cell>
          <cell r="D4169">
            <v>6.3928709030151367</v>
          </cell>
          <cell r="F4169" t="str">
            <v>14 Aug 2024</v>
          </cell>
        </row>
        <row r="4170">
          <cell r="A4170" t="str">
            <v>AFG</v>
          </cell>
          <cell r="B4170">
            <v>2007</v>
          </cell>
          <cell r="C4170" t="str">
            <v>mac_labz</v>
          </cell>
          <cell r="D4170">
            <v>0.57833904027938843</v>
          </cell>
          <cell r="F4170" t="str">
            <v>14 Aug 2024</v>
          </cell>
        </row>
        <row r="4171">
          <cell r="A4171" t="str">
            <v>AFG</v>
          </cell>
          <cell r="B4171">
            <v>2023</v>
          </cell>
          <cell r="C4171" t="str">
            <v>madebt_</v>
          </cell>
          <cell r="D4171">
            <v>9.3313789367675781</v>
          </cell>
          <cell r="F4171" t="str">
            <v>14 Aug 2024</v>
          </cell>
        </row>
        <row r="4172">
          <cell r="A4172" t="str">
            <v>AFG</v>
          </cell>
          <cell r="B4172">
            <v>2009</v>
          </cell>
          <cell r="C4172" t="str">
            <v>mareer</v>
          </cell>
          <cell r="D4172">
            <v>182.94371032714844</v>
          </cell>
          <cell r="F4172" t="str">
            <v>14 Aug 2024</v>
          </cell>
        </row>
        <row r="4173">
          <cell r="A4173" t="str">
            <v>AFG</v>
          </cell>
          <cell r="B4173">
            <v>2018</v>
          </cell>
          <cell r="C4173" t="str">
            <v>mataxfc</v>
          </cell>
          <cell r="D4173">
            <v>0.53862249851226807</v>
          </cell>
          <cell r="F4173" t="str">
            <v>14 Aug 2024</v>
          </cell>
        </row>
        <row r="4174">
          <cell r="A4174" t="str">
            <v>AFG</v>
          </cell>
          <cell r="B4174">
            <v>2006</v>
          </cell>
          <cell r="C4174" t="str">
            <v>mac_tfpz</v>
          </cell>
          <cell r="D4174">
            <v>3.7348542213439941</v>
          </cell>
          <cell r="F4174" t="str">
            <v>14 Aug 2024</v>
          </cell>
        </row>
        <row r="4175">
          <cell r="A4175" t="str">
            <v>AFG</v>
          </cell>
          <cell r="B4175">
            <v>2017</v>
          </cell>
          <cell r="C4175" t="str">
            <v>mar_agrfc</v>
          </cell>
          <cell r="D4175">
            <v>28.109767913818359</v>
          </cell>
          <cell r="F4175" t="str">
            <v>14 Aug 2024</v>
          </cell>
        </row>
        <row r="4176">
          <cell r="A4176" t="str">
            <v>AFG</v>
          </cell>
          <cell r="B4176">
            <v>2018</v>
          </cell>
          <cell r="C4176" t="str">
            <v>mar_srvfc</v>
          </cell>
          <cell r="D4176">
            <v>60.584079742431641</v>
          </cell>
          <cell r="F4176" t="str">
            <v>14 Aug 2024</v>
          </cell>
        </row>
        <row r="4177">
          <cell r="A4177" t="str">
            <v>AFG</v>
          </cell>
          <cell r="B4177">
            <v>2014</v>
          </cell>
          <cell r="C4177" t="str">
            <v>macpiz</v>
          </cell>
          <cell r="D4177">
            <v>7.403679370880127</v>
          </cell>
          <cell r="F4177" t="str">
            <v>14 Aug 2024</v>
          </cell>
        </row>
        <row r="4178">
          <cell r="A4178" t="str">
            <v>AFG</v>
          </cell>
          <cell r="B4178">
            <v>2021</v>
          </cell>
          <cell r="C4178" t="str">
            <v>mainvz</v>
          </cell>
          <cell r="D4178">
            <v>-0.11161298304796219</v>
          </cell>
          <cell r="F4178" t="str">
            <v>14 Aug 2024</v>
          </cell>
        </row>
        <row r="4179">
          <cell r="A4179" t="str">
            <v>AFG</v>
          </cell>
          <cell r="B4179">
            <v>2025</v>
          </cell>
          <cell r="C4179" t="str">
            <v>magovz</v>
          </cell>
          <cell r="D4179">
            <v>1.7689787149429321</v>
          </cell>
          <cell r="F4179" t="str">
            <v>14 Aug 2024</v>
          </cell>
        </row>
        <row r="4180">
          <cell r="A4180" t="str">
            <v>AFG</v>
          </cell>
          <cell r="B4180">
            <v>2010</v>
          </cell>
          <cell r="C4180" t="str">
            <v>mar_impz</v>
          </cell>
          <cell r="D4180">
            <v>40.573543548583984</v>
          </cell>
          <cell r="F4180" t="str">
            <v>14 Aug 2024</v>
          </cell>
        </row>
        <row r="4181">
          <cell r="A4181" t="str">
            <v>AFG</v>
          </cell>
          <cell r="B4181">
            <v>2025</v>
          </cell>
          <cell r="C4181" t="str">
            <v>malabz</v>
          </cell>
          <cell r="D4181">
            <v>3.1431686878204346</v>
          </cell>
          <cell r="F4181" t="str">
            <v>14 Aug 2024</v>
          </cell>
        </row>
        <row r="4182">
          <cell r="A4182" t="str">
            <v>AFG</v>
          </cell>
          <cell r="B4182">
            <v>2011</v>
          </cell>
          <cell r="C4182" t="str">
            <v>macpiz</v>
          </cell>
          <cell r="D4182">
            <v>-12.232666969299316</v>
          </cell>
          <cell r="F4182" t="str">
            <v>14 Aug 2024</v>
          </cell>
        </row>
        <row r="4183">
          <cell r="A4183" t="str">
            <v>AFG</v>
          </cell>
          <cell r="B4183">
            <v>2009</v>
          </cell>
          <cell r="C4183" t="str">
            <v>maexpz</v>
          </cell>
          <cell r="D4183">
            <v>-1.6245853900909424</v>
          </cell>
          <cell r="F4183" t="str">
            <v>14 Aug 2024</v>
          </cell>
        </row>
        <row r="4184">
          <cell r="A4184" t="str">
            <v>AFG</v>
          </cell>
          <cell r="B4184">
            <v>2020</v>
          </cell>
          <cell r="C4184" t="str">
            <v>mar_impz</v>
          </cell>
          <cell r="D4184">
            <v>49.721637725830078</v>
          </cell>
          <cell r="F4184" t="str">
            <v>14 Aug 2024</v>
          </cell>
        </row>
        <row r="4185">
          <cell r="A4185" t="str">
            <v>AFG</v>
          </cell>
          <cell r="B4185">
            <v>2006</v>
          </cell>
          <cell r="C4185" t="str">
            <v>madebt_</v>
          </cell>
          <cell r="D4185">
            <v>6.9007863998413086</v>
          </cell>
          <cell r="F4185" t="str">
            <v>14 Aug 2024</v>
          </cell>
        </row>
        <row r="4186">
          <cell r="A4186" t="str">
            <v>AFG</v>
          </cell>
          <cell r="B4186">
            <v>2011</v>
          </cell>
          <cell r="C4186" t="str">
            <v>matfpz</v>
          </cell>
          <cell r="D4186">
            <v>2.2728776931762695</v>
          </cell>
          <cell r="F4186" t="str">
            <v>14 Aug 2024</v>
          </cell>
        </row>
        <row r="4187">
          <cell r="A4187" t="str">
            <v>AFG</v>
          </cell>
          <cell r="B4187">
            <v>2010</v>
          </cell>
          <cell r="C4187" t="str">
            <v>mar_taxfc</v>
          </cell>
          <cell r="D4187">
            <v>4.2070302963256836</v>
          </cell>
          <cell r="F4187" t="str">
            <v>14 Aug 2024</v>
          </cell>
        </row>
        <row r="4188">
          <cell r="A4188" t="str">
            <v>AFG</v>
          </cell>
          <cell r="B4188">
            <v>2011</v>
          </cell>
          <cell r="C4188" t="str">
            <v>mar_impz</v>
          </cell>
          <cell r="D4188">
            <v>42.493659973144531</v>
          </cell>
          <cell r="F4188" t="str">
            <v>14 Aug 2024</v>
          </cell>
        </row>
        <row r="4189">
          <cell r="A4189" t="str">
            <v>AFG</v>
          </cell>
          <cell r="B4189">
            <v>2007</v>
          </cell>
          <cell r="C4189" t="str">
            <v>macpiz</v>
          </cell>
          <cell r="D4189">
            <v>12.331821441650391</v>
          </cell>
          <cell r="F4189" t="str">
            <v>14 Aug 2024</v>
          </cell>
        </row>
        <row r="4190">
          <cell r="A4190" t="str">
            <v>AFG</v>
          </cell>
          <cell r="B4190">
            <v>2014</v>
          </cell>
          <cell r="C4190" t="str">
            <v>mar_con</v>
          </cell>
          <cell r="D4190">
            <v>95.247604370117188</v>
          </cell>
          <cell r="F4190" t="str">
            <v>14 Aug 2024</v>
          </cell>
        </row>
        <row r="4191">
          <cell r="A4191" t="str">
            <v>AFG</v>
          </cell>
          <cell r="B4191">
            <v>2022</v>
          </cell>
          <cell r="C4191" t="str">
            <v>maindfc</v>
          </cell>
          <cell r="D4191">
            <v>2</v>
          </cell>
          <cell r="F4191" t="str">
            <v>14 Aug 2024</v>
          </cell>
        </row>
        <row r="4192">
          <cell r="A4192" t="str">
            <v>AFG</v>
          </cell>
          <cell r="B4192">
            <v>2024</v>
          </cell>
          <cell r="C4192" t="str">
            <v>mar_con</v>
          </cell>
          <cell r="D4192">
            <v>98.815223693847656</v>
          </cell>
          <cell r="F4192" t="str">
            <v>14 Aug 2024</v>
          </cell>
        </row>
        <row r="4193">
          <cell r="A4193" t="str">
            <v>AFG</v>
          </cell>
          <cell r="B4193">
            <v>2005</v>
          </cell>
          <cell r="C4193" t="str">
            <v>mapanusatls</v>
          </cell>
          <cell r="D4193">
            <v>49.630001068115234</v>
          </cell>
          <cell r="F4193" t="str">
            <v>14 Aug 2024</v>
          </cell>
        </row>
        <row r="4194">
          <cell r="A4194" t="str">
            <v>AFG</v>
          </cell>
          <cell r="B4194">
            <v>2021</v>
          </cell>
          <cell r="C4194" t="str">
            <v>mac_tfpz</v>
          </cell>
          <cell r="D4194">
            <v>-1.2360591888427734</v>
          </cell>
          <cell r="F4194" t="str">
            <v>14 Aug 2024</v>
          </cell>
        </row>
        <row r="4195">
          <cell r="A4195" t="str">
            <v>AFG</v>
          </cell>
          <cell r="B4195">
            <v>2021</v>
          </cell>
          <cell r="C4195" t="str">
            <v>mar_agrfc</v>
          </cell>
          <cell r="D4195">
            <v>31.181982040405273</v>
          </cell>
          <cell r="F4195" t="str">
            <v>14 Aug 2024</v>
          </cell>
        </row>
        <row r="4196">
          <cell r="A4196" t="str">
            <v>AFG</v>
          </cell>
          <cell r="B4196">
            <v>2014</v>
          </cell>
          <cell r="C4196" t="str">
            <v>mar_taxfc</v>
          </cell>
          <cell r="D4196">
            <v>4.2602205276489258</v>
          </cell>
          <cell r="F4196" t="str">
            <v>14 Aug 2024</v>
          </cell>
        </row>
        <row r="4197">
          <cell r="A4197" t="str">
            <v>AFG</v>
          </cell>
          <cell r="B4197">
            <v>2014</v>
          </cell>
          <cell r="C4197" t="str">
            <v>mareer</v>
          </cell>
          <cell r="D4197">
            <v>108.17265319824219</v>
          </cell>
          <cell r="F4197" t="str">
            <v>14 Aug 2024</v>
          </cell>
        </row>
        <row r="4198">
          <cell r="A4198" t="str">
            <v>AFG</v>
          </cell>
          <cell r="B4198">
            <v>2023</v>
          </cell>
          <cell r="C4198" t="str">
            <v>matfpz</v>
          </cell>
          <cell r="D4198">
            <v>-0.87260198593139648</v>
          </cell>
          <cell r="F4198" t="str">
            <v>14 Aug 2024</v>
          </cell>
        </row>
        <row r="4199">
          <cell r="A4199" t="str">
            <v>AFG</v>
          </cell>
          <cell r="B4199">
            <v>2012</v>
          </cell>
          <cell r="C4199" t="str">
            <v>maagrfc</v>
          </cell>
          <cell r="D4199">
            <v>18.224788665771484</v>
          </cell>
          <cell r="F4199" t="str">
            <v>14 Aug 2024</v>
          </cell>
        </row>
        <row r="4200">
          <cell r="A4200" t="str">
            <v>AFG</v>
          </cell>
          <cell r="B4200">
            <v>2022</v>
          </cell>
          <cell r="C4200" t="str">
            <v>mainvz</v>
          </cell>
          <cell r="D4200">
            <v>1.3935856819152832</v>
          </cell>
          <cell r="F4200" t="str">
            <v>14 Aug 2024</v>
          </cell>
        </row>
        <row r="4201">
          <cell r="A4201" t="str">
            <v>AFG</v>
          </cell>
          <cell r="B4201">
            <v>2021</v>
          </cell>
          <cell r="C4201" t="str">
            <v>mataxfc</v>
          </cell>
          <cell r="D4201">
            <v>1.0099999904632568</v>
          </cell>
          <cell r="F4201" t="str">
            <v>14 Aug 2024</v>
          </cell>
        </row>
        <row r="4202">
          <cell r="A4202" t="str">
            <v>AFG</v>
          </cell>
          <cell r="B4202">
            <v>2019</v>
          </cell>
          <cell r="C4202" t="str">
            <v>magovz</v>
          </cell>
          <cell r="D4202">
            <v>15.047666549682617</v>
          </cell>
          <cell r="F4202" t="str">
            <v>14 Aug 2024</v>
          </cell>
        </row>
        <row r="4203">
          <cell r="A4203" t="str">
            <v>AFG</v>
          </cell>
          <cell r="B4203">
            <v>2013</v>
          </cell>
          <cell r="C4203" t="str">
            <v>mafdi_</v>
          </cell>
          <cell r="D4203">
            <v>-0.21073980827741159</v>
          </cell>
          <cell r="F4203" t="str">
            <v>14 Aug 2024</v>
          </cell>
        </row>
        <row r="4204">
          <cell r="A4204" t="str">
            <v>AFG</v>
          </cell>
          <cell r="B4204">
            <v>2014</v>
          </cell>
          <cell r="C4204" t="str">
            <v>matfpz</v>
          </cell>
          <cell r="D4204">
            <v>-0.15720270574092865</v>
          </cell>
          <cell r="F4204" t="str">
            <v>14 Aug 2024</v>
          </cell>
        </row>
        <row r="4205">
          <cell r="A4205" t="str">
            <v>AFG</v>
          </cell>
          <cell r="B4205">
            <v>2015</v>
          </cell>
          <cell r="C4205" t="str">
            <v>maagrfc</v>
          </cell>
          <cell r="D4205">
            <v>-5.6572179794311523</v>
          </cell>
          <cell r="F4205" t="str">
            <v>14 Aug 2024</v>
          </cell>
        </row>
        <row r="4206">
          <cell r="A4206" t="str">
            <v>AFG</v>
          </cell>
          <cell r="B4206">
            <v>2021</v>
          </cell>
          <cell r="C4206" t="str">
            <v>malabz</v>
          </cell>
          <cell r="D4206">
            <v>3.6506013870239258</v>
          </cell>
          <cell r="F4206" t="str">
            <v>14 Aug 2024</v>
          </cell>
        </row>
        <row r="4207">
          <cell r="A4207" t="str">
            <v>AFG</v>
          </cell>
          <cell r="B4207">
            <v>2015</v>
          </cell>
          <cell r="C4207" t="str">
            <v>macpiz</v>
          </cell>
          <cell r="D4207">
            <v>4.6353311538696289</v>
          </cell>
          <cell r="F4207" t="str">
            <v>14 Aug 2024</v>
          </cell>
        </row>
        <row r="4208">
          <cell r="A4208" t="str">
            <v>AFG</v>
          </cell>
          <cell r="B4208">
            <v>2015</v>
          </cell>
          <cell r="C4208" t="str">
            <v>madebt_</v>
          </cell>
          <cell r="D4208">
            <v>7.081690788269043</v>
          </cell>
          <cell r="F4208" t="str">
            <v>14 Aug 2024</v>
          </cell>
        </row>
        <row r="4209">
          <cell r="A4209" t="str">
            <v>AFG</v>
          </cell>
          <cell r="B4209">
            <v>2012</v>
          </cell>
          <cell r="C4209" t="str">
            <v>mar_srvfc</v>
          </cell>
          <cell r="D4209">
            <v>58.854331970214844</v>
          </cell>
          <cell r="F4209" t="str">
            <v>14 Aug 2024</v>
          </cell>
        </row>
        <row r="4210">
          <cell r="A4210" t="str">
            <v>AFG</v>
          </cell>
          <cell r="B4210">
            <v>2026</v>
          </cell>
          <cell r="C4210" t="str">
            <v>mar_con</v>
          </cell>
          <cell r="D4210">
            <v>99.699470520019531</v>
          </cell>
          <cell r="F4210" t="str">
            <v>14 Aug 2024</v>
          </cell>
        </row>
        <row r="4211">
          <cell r="A4211" t="str">
            <v>AFG</v>
          </cell>
          <cell r="B4211">
            <v>2022</v>
          </cell>
          <cell r="C4211" t="str">
            <v>macpiz</v>
          </cell>
          <cell r="D4211">
            <v>4.5</v>
          </cell>
          <cell r="F4211" t="str">
            <v>14 Aug 2024</v>
          </cell>
        </row>
        <row r="4212">
          <cell r="A4212" t="str">
            <v>AFG</v>
          </cell>
          <cell r="B4212">
            <v>2015</v>
          </cell>
          <cell r="C4212" t="str">
            <v>maimpz</v>
          </cell>
          <cell r="D4212">
            <v>17.662693023681641</v>
          </cell>
          <cell r="F4212" t="str">
            <v>14 Aug 2024</v>
          </cell>
        </row>
        <row r="4213">
          <cell r="A4213" t="str">
            <v>AFG</v>
          </cell>
          <cell r="B4213">
            <v>2020</v>
          </cell>
          <cell r="C4213" t="str">
            <v>magap_</v>
          </cell>
          <cell r="D4213">
            <v>-5.8134002685546875</v>
          </cell>
          <cell r="F4213" t="str">
            <v>14 Aug 2024</v>
          </cell>
        </row>
        <row r="4214">
          <cell r="A4214" t="str">
            <v>AFG</v>
          </cell>
          <cell r="B4214">
            <v>2013</v>
          </cell>
          <cell r="C4214" t="str">
            <v>mar_con</v>
          </cell>
          <cell r="D4214">
            <v>90.610420227050781</v>
          </cell>
          <cell r="F4214" t="str">
            <v>14 Aug 2024</v>
          </cell>
        </row>
        <row r="4215">
          <cell r="A4215" t="str">
            <v>AFG</v>
          </cell>
          <cell r="B4215">
            <v>2007</v>
          </cell>
          <cell r="C4215" t="str">
            <v>magdpz</v>
          </cell>
          <cell r="D4215">
            <v>10.185179710388184</v>
          </cell>
          <cell r="F4215" t="str">
            <v>14 Aug 2024</v>
          </cell>
        </row>
        <row r="4216">
          <cell r="A4216" t="str">
            <v>AFG</v>
          </cell>
          <cell r="B4216">
            <v>2005</v>
          </cell>
          <cell r="C4216" t="str">
            <v>mataxfc</v>
          </cell>
          <cell r="D4216">
            <v>-44.042304992675781</v>
          </cell>
          <cell r="F4216" t="str">
            <v>14 Aug 2024</v>
          </cell>
        </row>
        <row r="4217">
          <cell r="A4217" t="str">
            <v>AFG</v>
          </cell>
          <cell r="B4217">
            <v>2015</v>
          </cell>
          <cell r="C4217" t="str">
            <v>mapanusatls</v>
          </cell>
          <cell r="D4217">
            <v>68.052497863769531</v>
          </cell>
          <cell r="F4217" t="str">
            <v>14 Aug 2024</v>
          </cell>
        </row>
        <row r="4218">
          <cell r="A4218" t="str">
            <v>AFG</v>
          </cell>
          <cell r="B4218">
            <v>2018</v>
          </cell>
          <cell r="C4218" t="str">
            <v>mainvz</v>
          </cell>
          <cell r="D4218">
            <v>-3.2972086220979691E-2</v>
          </cell>
          <cell r="F4218" t="str">
            <v>14 Aug 2024</v>
          </cell>
        </row>
        <row r="4219">
          <cell r="A4219" t="str">
            <v>AFG</v>
          </cell>
          <cell r="B4219">
            <v>2017</v>
          </cell>
          <cell r="C4219" t="str">
            <v>mapanusatls</v>
          </cell>
          <cell r="D4219">
            <v>69.493301391601563</v>
          </cell>
          <cell r="F4219" t="str">
            <v>14 Aug 2024</v>
          </cell>
        </row>
        <row r="4220">
          <cell r="A4220" t="str">
            <v>AFG</v>
          </cell>
          <cell r="B4220">
            <v>2017</v>
          </cell>
          <cell r="C4220" t="str">
            <v>matfpz</v>
          </cell>
          <cell r="D4220">
            <v>-2.2176592350006104</v>
          </cell>
          <cell r="F4220" t="str">
            <v>14 Aug 2024</v>
          </cell>
        </row>
        <row r="4221">
          <cell r="A4221" t="str">
            <v>AFG</v>
          </cell>
          <cell r="B4221">
            <v>2012</v>
          </cell>
          <cell r="C4221" t="str">
            <v>madeficit_</v>
          </cell>
          <cell r="D4221">
            <v>0.14530289173126221</v>
          </cell>
          <cell r="F4221" t="str">
            <v>14 Aug 2024</v>
          </cell>
        </row>
        <row r="4222">
          <cell r="A4222" t="str">
            <v>AFG</v>
          </cell>
          <cell r="B4222">
            <v>2015</v>
          </cell>
          <cell r="C4222" t="str">
            <v>mar_impz</v>
          </cell>
          <cell r="D4222">
            <v>56.788383483886719</v>
          </cell>
          <cell r="F4222" t="str">
            <v>14 Aug 2024</v>
          </cell>
        </row>
        <row r="4223">
          <cell r="A4223" t="str">
            <v>AFG</v>
          </cell>
          <cell r="B4223">
            <v>2013</v>
          </cell>
          <cell r="C4223" t="str">
            <v>malabz</v>
          </cell>
          <cell r="D4223">
            <v>4.669766902923584</v>
          </cell>
          <cell r="F4223" t="str">
            <v>14 Aug 2024</v>
          </cell>
        </row>
        <row r="4224">
          <cell r="A4224" t="str">
            <v>AFG</v>
          </cell>
          <cell r="B4224">
            <v>2016</v>
          </cell>
          <cell r="C4224" t="str">
            <v>mac_tfpz</v>
          </cell>
          <cell r="D4224">
            <v>-1.6460306644439697</v>
          </cell>
          <cell r="F4224" t="str">
            <v>14 Aug 2024</v>
          </cell>
        </row>
        <row r="4225">
          <cell r="A4225" t="str">
            <v>AFG</v>
          </cell>
          <cell r="B4225">
            <v>2016</v>
          </cell>
          <cell r="C4225" t="str">
            <v>macab_</v>
          </cell>
          <cell r="D4225">
            <v>3.7094290256500244</v>
          </cell>
          <cell r="F4225" t="str">
            <v>14 Aug 2024</v>
          </cell>
        </row>
        <row r="4226">
          <cell r="A4226" t="str">
            <v>AFG</v>
          </cell>
          <cell r="B4226">
            <v>2023</v>
          </cell>
          <cell r="C4226" t="str">
            <v>maexpz</v>
          </cell>
          <cell r="D4226">
            <v>7.3000001907348633</v>
          </cell>
          <cell r="F4226" t="str">
            <v>14 Aug 2024</v>
          </cell>
        </row>
        <row r="4227">
          <cell r="A4227" t="str">
            <v>AFG</v>
          </cell>
          <cell r="B4227">
            <v>2025</v>
          </cell>
          <cell r="C4227" t="str">
            <v>mar_con</v>
          </cell>
          <cell r="D4227">
            <v>99.256362915039063</v>
          </cell>
          <cell r="F4227" t="str">
            <v>14 Aug 2024</v>
          </cell>
        </row>
        <row r="4228">
          <cell r="A4228" t="str">
            <v>AFG</v>
          </cell>
          <cell r="B4228">
            <v>2025</v>
          </cell>
          <cell r="C4228" t="str">
            <v>mar_taxfc</v>
          </cell>
          <cell r="D4228">
            <v>4.7559185028076172</v>
          </cell>
          <cell r="F4228" t="str">
            <v>14 Aug 2024</v>
          </cell>
        </row>
        <row r="4229">
          <cell r="A4229" t="str">
            <v>AFG</v>
          </cell>
          <cell r="B4229">
            <v>2009</v>
          </cell>
          <cell r="C4229" t="str">
            <v>maagrfc</v>
          </cell>
          <cell r="D4229">
            <v>44.562953948974609</v>
          </cell>
          <cell r="F4229" t="str">
            <v>14 Aug 2024</v>
          </cell>
        </row>
        <row r="4230">
          <cell r="A4230" t="str">
            <v>AFG</v>
          </cell>
          <cell r="B4230">
            <v>2015</v>
          </cell>
          <cell r="C4230" t="str">
            <v>mainvz</v>
          </cell>
          <cell r="D4230">
            <v>8.2816686630249023</v>
          </cell>
          <cell r="F4230" t="str">
            <v>14 Aug 2024</v>
          </cell>
        </row>
        <row r="4231">
          <cell r="A4231" t="str">
            <v>AFG</v>
          </cell>
          <cell r="B4231">
            <v>2016</v>
          </cell>
          <cell r="C4231" t="str">
            <v>maindfc</v>
          </cell>
          <cell r="D4231">
            <v>-0.7659144401550293</v>
          </cell>
          <cell r="F4231" t="str">
            <v>14 Aug 2024</v>
          </cell>
        </row>
        <row r="4232">
          <cell r="A4232" t="str">
            <v>AFG</v>
          </cell>
          <cell r="B4232">
            <v>2008</v>
          </cell>
          <cell r="C4232" t="str">
            <v>mar_taxfc</v>
          </cell>
          <cell r="D4232">
            <v>3.3733484745025635</v>
          </cell>
          <cell r="F4232" t="str">
            <v>14 Aug 2024</v>
          </cell>
        </row>
        <row r="4233">
          <cell r="A4233" t="str">
            <v>AFG</v>
          </cell>
          <cell r="B4233">
            <v>2008</v>
          </cell>
          <cell r="C4233" t="str">
            <v>mafdi_</v>
          </cell>
          <cell r="D4233">
            <v>-0.21113331044140879</v>
          </cell>
          <cell r="F4233" t="str">
            <v>14 Aug 2024</v>
          </cell>
        </row>
        <row r="4234">
          <cell r="A4234" t="str">
            <v>AFG</v>
          </cell>
          <cell r="B4234">
            <v>2011</v>
          </cell>
          <cell r="C4234" t="str">
            <v>magdpz</v>
          </cell>
          <cell r="D4234">
            <v>8.075840950012207</v>
          </cell>
          <cell r="F4234" t="str">
            <v>14 Aug 2024</v>
          </cell>
        </row>
        <row r="4235">
          <cell r="A4235" t="str">
            <v>AFG</v>
          </cell>
          <cell r="B4235">
            <v>2017</v>
          </cell>
          <cell r="C4235" t="str">
            <v>maimpz</v>
          </cell>
          <cell r="D4235">
            <v>9.8083791732788086</v>
          </cell>
          <cell r="F4235" t="str">
            <v>14 Aug 2024</v>
          </cell>
        </row>
        <row r="4236">
          <cell r="A4236" t="str">
            <v>AFG</v>
          </cell>
          <cell r="B4236">
            <v>2025</v>
          </cell>
          <cell r="C4236" t="str">
            <v>mar_expz</v>
          </cell>
          <cell r="D4236">
            <v>9.8126163482666016</v>
          </cell>
          <cell r="F4236" t="str">
            <v>14 Aug 2024</v>
          </cell>
        </row>
        <row r="4237">
          <cell r="A4237" t="str">
            <v>AFG</v>
          </cell>
          <cell r="B4237">
            <v>2006</v>
          </cell>
          <cell r="C4237" t="str">
            <v>maexpz</v>
          </cell>
          <cell r="D4237">
            <v>-3.1155273914337158</v>
          </cell>
          <cell r="F4237" t="str">
            <v>14 Aug 2024</v>
          </cell>
        </row>
        <row r="4238">
          <cell r="A4238" t="str">
            <v>AFG</v>
          </cell>
          <cell r="B4238">
            <v>2016</v>
          </cell>
          <cell r="C4238" t="str">
            <v>mar_expz</v>
          </cell>
          <cell r="D4238">
            <v>6.2089986801147461</v>
          </cell>
          <cell r="F4238" t="str">
            <v>14 Aug 2024</v>
          </cell>
        </row>
        <row r="4239">
          <cell r="A4239" t="str">
            <v>AFG</v>
          </cell>
          <cell r="B4239">
            <v>2019</v>
          </cell>
          <cell r="C4239" t="str">
            <v>madeficit_</v>
          </cell>
          <cell r="D4239">
            <v>-1.0580811500549316</v>
          </cell>
          <cell r="F4239" t="str">
            <v>14 Aug 2024</v>
          </cell>
        </row>
        <row r="4240">
          <cell r="A4240" t="str">
            <v>AFG</v>
          </cell>
          <cell r="B4240">
            <v>2014</v>
          </cell>
          <cell r="C4240" t="str">
            <v>maconz</v>
          </cell>
          <cell r="D4240">
            <v>7.7711405754089355</v>
          </cell>
          <cell r="F4240" t="str">
            <v>14 Aug 2024</v>
          </cell>
        </row>
        <row r="4241">
          <cell r="A4241" t="str">
            <v>AFG</v>
          </cell>
          <cell r="B4241">
            <v>2016</v>
          </cell>
          <cell r="C4241" t="str">
            <v>mar_srvfc</v>
          </cell>
          <cell r="D4241">
            <v>61.979423522949219</v>
          </cell>
          <cell r="F4241" t="str">
            <v>14 Aug 2024</v>
          </cell>
        </row>
        <row r="4242">
          <cell r="A4242" t="str">
            <v>AFG</v>
          </cell>
          <cell r="B4242">
            <v>2026</v>
          </cell>
          <cell r="C4242" t="str">
            <v>magovz</v>
          </cell>
          <cell r="D4242">
            <v>1.7689787149429321</v>
          </cell>
          <cell r="F4242" t="str">
            <v>14 Aug 2024</v>
          </cell>
        </row>
        <row r="4243">
          <cell r="A4243" t="str">
            <v>AFG</v>
          </cell>
          <cell r="B4243">
            <v>2026</v>
          </cell>
          <cell r="C4243" t="str">
            <v>maconz</v>
          </cell>
          <cell r="D4243">
            <v>3.5</v>
          </cell>
          <cell r="F4243" t="str">
            <v>14 Aug 2024</v>
          </cell>
        </row>
        <row r="4244">
          <cell r="A4244" t="str">
            <v>AFG</v>
          </cell>
          <cell r="B4244">
            <v>2017</v>
          </cell>
          <cell r="C4244" t="str">
            <v>mac_tfpz</v>
          </cell>
          <cell r="D4244">
            <v>-2.2176592350006104</v>
          </cell>
          <cell r="F4244" t="str">
            <v>14 Aug 2024</v>
          </cell>
        </row>
        <row r="4245">
          <cell r="A4245" t="str">
            <v>AFG</v>
          </cell>
          <cell r="B4245">
            <v>2024</v>
          </cell>
          <cell r="C4245" t="str">
            <v>mataxfc</v>
          </cell>
          <cell r="D4245">
            <v>3.0399999618530273</v>
          </cell>
          <cell r="F4245" t="str">
            <v>14 Aug 2024</v>
          </cell>
        </row>
        <row r="4246">
          <cell r="A4246" t="str">
            <v>AFG</v>
          </cell>
          <cell r="B4246">
            <v>2017</v>
          </cell>
          <cell r="C4246" t="str">
            <v>macpiz</v>
          </cell>
          <cell r="D4246">
            <v>4.9778299331665039</v>
          </cell>
          <cell r="F4246" t="str">
            <v>14 Aug 2024</v>
          </cell>
        </row>
        <row r="4247">
          <cell r="A4247" t="str">
            <v>AFG</v>
          </cell>
          <cell r="B4247">
            <v>2022</v>
          </cell>
          <cell r="C4247" t="str">
            <v>mar_agrfc</v>
          </cell>
          <cell r="D4247">
            <v>31.586112976074219</v>
          </cell>
          <cell r="F4247" t="str">
            <v>14 Aug 2024</v>
          </cell>
        </row>
        <row r="4248">
          <cell r="A4248" t="str">
            <v>AFG</v>
          </cell>
          <cell r="B4248">
            <v>2026</v>
          </cell>
          <cell r="C4248" t="str">
            <v>mar_taxfc</v>
          </cell>
          <cell r="D4248">
            <v>4.7559185028076172</v>
          </cell>
          <cell r="F4248" t="str">
            <v>14 Aug 2024</v>
          </cell>
        </row>
        <row r="4249">
          <cell r="A4249" t="str">
            <v>AFG</v>
          </cell>
          <cell r="B4249">
            <v>2025</v>
          </cell>
          <cell r="C4249" t="str">
            <v>mar_impz</v>
          </cell>
          <cell r="D4249">
            <v>51.272773742675781</v>
          </cell>
          <cell r="F4249" t="str">
            <v>14 Aug 2024</v>
          </cell>
        </row>
        <row r="4250">
          <cell r="A4250" t="str">
            <v>AFG</v>
          </cell>
          <cell r="B4250">
            <v>2011</v>
          </cell>
          <cell r="C4250" t="str">
            <v>mac_labz</v>
          </cell>
          <cell r="D4250">
            <v>3.6517508029937744</v>
          </cell>
          <cell r="F4250" t="str">
            <v>14 Aug 2024</v>
          </cell>
        </row>
        <row r="4251">
          <cell r="A4251" t="str">
            <v>AFG</v>
          </cell>
          <cell r="B4251">
            <v>2023</v>
          </cell>
          <cell r="C4251" t="str">
            <v>malabz</v>
          </cell>
          <cell r="D4251">
            <v>3.2382502555847168</v>
          </cell>
          <cell r="F4251" t="str">
            <v>14 Aug 2024</v>
          </cell>
        </row>
        <row r="4252">
          <cell r="A4252" t="str">
            <v>AFG</v>
          </cell>
          <cell r="B4252">
            <v>2026</v>
          </cell>
          <cell r="C4252" t="str">
            <v>mapanusatls</v>
          </cell>
          <cell r="D4252">
            <v>103.31803131103516</v>
          </cell>
          <cell r="F4252" t="str">
            <v>14 Aug 2024</v>
          </cell>
        </row>
        <row r="4253">
          <cell r="A4253" t="str">
            <v>AFG</v>
          </cell>
          <cell r="B4253">
            <v>2017</v>
          </cell>
          <cell r="C4253" t="str">
            <v>malabz</v>
          </cell>
          <cell r="D4253">
            <v>3.7013614177703857</v>
          </cell>
          <cell r="F4253" t="str">
            <v>14 Aug 2024</v>
          </cell>
        </row>
        <row r="4254">
          <cell r="A4254" t="str">
            <v>AFG</v>
          </cell>
          <cell r="B4254">
            <v>2010</v>
          </cell>
          <cell r="C4254" t="str">
            <v>matfpz</v>
          </cell>
          <cell r="D4254">
            <v>2.8436439037322998</v>
          </cell>
          <cell r="F4254" t="str">
            <v>14 Aug 2024</v>
          </cell>
        </row>
        <row r="4255">
          <cell r="A4255" t="str">
            <v>AFG</v>
          </cell>
          <cell r="B4255">
            <v>2012</v>
          </cell>
          <cell r="C4255" t="str">
            <v>masrvfc</v>
          </cell>
          <cell r="D4255">
            <v>24.785173416137695</v>
          </cell>
          <cell r="F4255" t="str">
            <v>14 Aug 2024</v>
          </cell>
        </row>
        <row r="4256">
          <cell r="A4256" t="str">
            <v>AFG</v>
          </cell>
          <cell r="B4256">
            <v>2005</v>
          </cell>
          <cell r="C4256" t="str">
            <v>maexpz</v>
          </cell>
          <cell r="D4256">
            <v>51.512508392333984</v>
          </cell>
          <cell r="F4256" t="str">
            <v>14 Aug 2024</v>
          </cell>
        </row>
        <row r="4257">
          <cell r="A4257" t="str">
            <v>AFG</v>
          </cell>
          <cell r="B4257">
            <v>2024</v>
          </cell>
          <cell r="C4257" t="str">
            <v>mar_expz</v>
          </cell>
          <cell r="D4257">
            <v>9.4230375289916992</v>
          </cell>
          <cell r="F4257" t="str">
            <v>14 Aug 2024</v>
          </cell>
        </row>
        <row r="4258">
          <cell r="A4258" t="str">
            <v>AFG</v>
          </cell>
          <cell r="B4258">
            <v>2008</v>
          </cell>
          <cell r="C4258" t="str">
            <v>mar_agrfc</v>
          </cell>
          <cell r="D4258">
            <v>35.089576721191406</v>
          </cell>
          <cell r="F4258" t="str">
            <v>14 Aug 2024</v>
          </cell>
        </row>
        <row r="4259">
          <cell r="A4259" t="str">
            <v>AFG</v>
          </cell>
          <cell r="B4259">
            <v>2021</v>
          </cell>
          <cell r="C4259" t="str">
            <v>mar_srvfc</v>
          </cell>
          <cell r="D4259">
            <v>56.116306304931641</v>
          </cell>
          <cell r="F4259" t="str">
            <v>14 Aug 2024</v>
          </cell>
        </row>
        <row r="4260">
          <cell r="A4260" t="str">
            <v>AFG</v>
          </cell>
          <cell r="B4260">
            <v>2017</v>
          </cell>
          <cell r="C4260" t="str">
            <v>mar_con</v>
          </cell>
          <cell r="D4260">
            <v>96.5194091796875</v>
          </cell>
          <cell r="F4260" t="str">
            <v>14 Aug 2024</v>
          </cell>
        </row>
        <row r="4261">
          <cell r="A4261" t="str">
            <v>AFG</v>
          </cell>
          <cell r="B4261">
            <v>2006</v>
          </cell>
          <cell r="C4261" t="str">
            <v>madeficit_</v>
          </cell>
          <cell r="D4261">
            <v>0.19177478551864624</v>
          </cell>
          <cell r="F4261" t="str">
            <v>14 Aug 2024</v>
          </cell>
        </row>
        <row r="4262">
          <cell r="A4262" t="str">
            <v>AFG</v>
          </cell>
          <cell r="B4262">
            <v>2010</v>
          </cell>
          <cell r="C4262" t="str">
            <v>mareer</v>
          </cell>
          <cell r="D4262">
            <v>166.70547485351563</v>
          </cell>
          <cell r="F4262" t="str">
            <v>14 Aug 2024</v>
          </cell>
        </row>
        <row r="4263">
          <cell r="A4263" t="str">
            <v>AFG</v>
          </cell>
          <cell r="B4263">
            <v>2024</v>
          </cell>
          <cell r="C4263" t="str">
            <v>malabz</v>
          </cell>
          <cell r="D4263">
            <v>3.132530689239502</v>
          </cell>
          <cell r="F4263" t="str">
            <v>14 Aug 2024</v>
          </cell>
        </row>
        <row r="4264">
          <cell r="A4264" t="str">
            <v>AFG</v>
          </cell>
          <cell r="B4264">
            <v>2023</v>
          </cell>
          <cell r="C4264" t="str">
            <v>mar_indfc</v>
          </cell>
          <cell r="D4264">
            <v>12.491419792175293</v>
          </cell>
          <cell r="F4264" t="str">
            <v>14 Aug 2024</v>
          </cell>
        </row>
        <row r="4265">
          <cell r="A4265" t="str">
            <v>AFG</v>
          </cell>
          <cell r="B4265">
            <v>2017</v>
          </cell>
          <cell r="C4265" t="str">
            <v>mar_srvfc</v>
          </cell>
          <cell r="D4265">
            <v>60.159622192382813</v>
          </cell>
          <cell r="F4265" t="str">
            <v>14 Aug 2024</v>
          </cell>
        </row>
        <row r="4266">
          <cell r="A4266" t="str">
            <v>AFG</v>
          </cell>
          <cell r="B4266">
            <v>2014</v>
          </cell>
          <cell r="C4266" t="str">
            <v>mar_impz</v>
          </cell>
          <cell r="D4266">
            <v>48.566745758056641</v>
          </cell>
          <cell r="F4266" t="str">
            <v>14 Aug 2024</v>
          </cell>
        </row>
        <row r="4267">
          <cell r="A4267" t="str">
            <v>AFG</v>
          </cell>
          <cell r="B4267">
            <v>2024</v>
          </cell>
          <cell r="C4267" t="str">
            <v>mac_labz</v>
          </cell>
          <cell r="D4267">
            <v>2.1927714347839355</v>
          </cell>
          <cell r="F4267" t="str">
            <v>14 Aug 2024</v>
          </cell>
        </row>
        <row r="4268">
          <cell r="A4268" t="str">
            <v>AFG</v>
          </cell>
          <cell r="B4268">
            <v>2019</v>
          </cell>
          <cell r="C4268" t="str">
            <v>mar_con</v>
          </cell>
          <cell r="D4268">
            <v>98.93157958984375</v>
          </cell>
          <cell r="F4268" t="str">
            <v>14 Aug 2024</v>
          </cell>
        </row>
        <row r="4269">
          <cell r="A4269" t="str">
            <v>AFG</v>
          </cell>
          <cell r="B4269">
            <v>2025</v>
          </cell>
          <cell r="C4269" t="str">
            <v>mapanusatls</v>
          </cell>
          <cell r="D4269">
            <v>98.398124694824219</v>
          </cell>
          <cell r="F4269" t="str">
            <v>14 Aug 2024</v>
          </cell>
        </row>
        <row r="4270">
          <cell r="A4270" t="str">
            <v>AFG</v>
          </cell>
          <cell r="B4270">
            <v>2017</v>
          </cell>
          <cell r="C4270" t="str">
            <v>mataxfc</v>
          </cell>
          <cell r="D4270">
            <v>9.1406898498535156</v>
          </cell>
          <cell r="F4270" t="str">
            <v>14 Aug 2024</v>
          </cell>
        </row>
        <row r="4271">
          <cell r="A4271" t="str">
            <v>AFG</v>
          </cell>
          <cell r="B4271">
            <v>2018</v>
          </cell>
          <cell r="C4271" t="str">
            <v>malabz</v>
          </cell>
          <cell r="D4271">
            <v>3.7173991203308105</v>
          </cell>
          <cell r="F4271" t="str">
            <v>14 Aug 2024</v>
          </cell>
        </row>
        <row r="4272">
          <cell r="A4272" t="str">
            <v>AFG</v>
          </cell>
          <cell r="B4272">
            <v>2007</v>
          </cell>
          <cell r="C4272" t="str">
            <v>mapanusatls</v>
          </cell>
          <cell r="D4272">
            <v>49.799999237060547</v>
          </cell>
          <cell r="F4272" t="str">
            <v>14 Aug 2024</v>
          </cell>
        </row>
        <row r="4273">
          <cell r="A4273" t="str">
            <v>AFG</v>
          </cell>
          <cell r="B4273">
            <v>2026</v>
          </cell>
          <cell r="C4273" t="str">
            <v>malabz</v>
          </cell>
          <cell r="D4273">
            <v>3.1021661758422852</v>
          </cell>
          <cell r="F4273" t="str">
            <v>14 Aug 2024</v>
          </cell>
        </row>
        <row r="4274">
          <cell r="A4274" t="str">
            <v>AFG</v>
          </cell>
          <cell r="B4274">
            <v>2016</v>
          </cell>
          <cell r="C4274" t="str">
            <v>maimpz</v>
          </cell>
          <cell r="D4274">
            <v>-12.83995532989502</v>
          </cell>
          <cell r="F4274" t="str">
            <v>14 Aug 2024</v>
          </cell>
        </row>
        <row r="4275">
          <cell r="A4275" t="str">
            <v>AFG</v>
          </cell>
          <cell r="B4275">
            <v>2006</v>
          </cell>
          <cell r="C4275" t="str">
            <v>maagrfc</v>
          </cell>
          <cell r="D4275">
            <v>-5.1092510223388672</v>
          </cell>
          <cell r="F4275" t="str">
            <v>14 Aug 2024</v>
          </cell>
        </row>
        <row r="4276">
          <cell r="A4276" t="str">
            <v>AFG</v>
          </cell>
          <cell r="B4276">
            <v>2019</v>
          </cell>
          <cell r="C4276" t="str">
            <v>mar_srvfc</v>
          </cell>
          <cell r="D4276">
            <v>57.216102600097656</v>
          </cell>
          <cell r="F4276" t="str">
            <v>14 Aug 2024</v>
          </cell>
        </row>
        <row r="4277">
          <cell r="A4277" t="str">
            <v>AFG</v>
          </cell>
          <cell r="B4277">
            <v>2020</v>
          </cell>
          <cell r="C4277" t="str">
            <v>mar_con</v>
          </cell>
          <cell r="D4277">
            <v>97.106422424316406</v>
          </cell>
          <cell r="F4277" t="str">
            <v>14 Aug 2024</v>
          </cell>
        </row>
        <row r="4278">
          <cell r="A4278" t="str">
            <v>AFG</v>
          </cell>
          <cell r="B4278">
            <v>2014</v>
          </cell>
          <cell r="C4278" t="str">
            <v>maagrfc</v>
          </cell>
          <cell r="D4278">
            <v>-0.10070511698722839</v>
          </cell>
          <cell r="F4278" t="str">
            <v>14 Aug 2024</v>
          </cell>
        </row>
        <row r="4279">
          <cell r="A4279" t="str">
            <v>AFG</v>
          </cell>
          <cell r="B4279">
            <v>2006</v>
          </cell>
          <cell r="C4279" t="str">
            <v>mafdi_</v>
          </cell>
          <cell r="D4279"/>
          <cell r="F4279" t="str">
            <v>14 Aug 2024</v>
          </cell>
        </row>
        <row r="4280">
          <cell r="A4280" t="str">
            <v>AFG</v>
          </cell>
          <cell r="B4280">
            <v>2021</v>
          </cell>
          <cell r="C4280" t="str">
            <v>magdpz</v>
          </cell>
          <cell r="D4280">
            <v>1.0099999904632568</v>
          </cell>
          <cell r="F4280" t="str">
            <v>14 Aug 2024</v>
          </cell>
        </row>
        <row r="4281">
          <cell r="A4281" t="str">
            <v>AFG</v>
          </cell>
          <cell r="B4281">
            <v>2015</v>
          </cell>
          <cell r="C4281" t="str">
            <v>masrvfc</v>
          </cell>
          <cell r="D4281">
            <v>2.1351077556610107</v>
          </cell>
          <cell r="F4281" t="str">
            <v>14 Aug 2024</v>
          </cell>
        </row>
        <row r="4282">
          <cell r="A4282" t="str">
            <v>AFG</v>
          </cell>
          <cell r="B4282">
            <v>2018</v>
          </cell>
          <cell r="C4282" t="str">
            <v>magap_</v>
          </cell>
          <cell r="D4282">
            <v>-3.1777188777923584</v>
          </cell>
          <cell r="F4282" t="str">
            <v>14 Aug 2024</v>
          </cell>
        </row>
        <row r="4283">
          <cell r="A4283" t="str">
            <v>AFG</v>
          </cell>
          <cell r="B4283">
            <v>2013</v>
          </cell>
          <cell r="C4283" t="str">
            <v>mar_agrfc</v>
          </cell>
          <cell r="D4283">
            <v>28.687883377075195</v>
          </cell>
          <cell r="F4283" t="str">
            <v>14 Aug 2024</v>
          </cell>
        </row>
        <row r="4284">
          <cell r="A4284" t="str">
            <v>AFG</v>
          </cell>
          <cell r="B4284">
            <v>2021</v>
          </cell>
          <cell r="C4284" t="str">
            <v>mapanusatls</v>
          </cell>
          <cell r="D4284">
            <v>80.959999084472656</v>
          </cell>
          <cell r="F4284" t="str">
            <v>14 Aug 2024</v>
          </cell>
        </row>
        <row r="4285">
          <cell r="A4285" t="str">
            <v>AFG</v>
          </cell>
          <cell r="B4285">
            <v>2025</v>
          </cell>
          <cell r="C4285" t="str">
            <v>mar_indfc</v>
          </cell>
          <cell r="D4285">
            <v>12.228538513183594</v>
          </cell>
          <cell r="F4285" t="str">
            <v>14 Aug 2024</v>
          </cell>
        </row>
        <row r="4286">
          <cell r="A4286" t="str">
            <v>AFG</v>
          </cell>
          <cell r="B4286">
            <v>2020</v>
          </cell>
          <cell r="C4286" t="str">
            <v>mar_taxfc</v>
          </cell>
          <cell r="D4286">
            <v>4.7559185028076172</v>
          </cell>
          <cell r="F4286" t="str">
            <v>14 Aug 2024</v>
          </cell>
        </row>
        <row r="4287">
          <cell r="A4287" t="str">
            <v>AFG</v>
          </cell>
          <cell r="B4287">
            <v>2021</v>
          </cell>
          <cell r="C4287" t="str">
            <v>matfpz</v>
          </cell>
          <cell r="D4287">
            <v>-1.2360591888427734</v>
          </cell>
          <cell r="F4287" t="str">
            <v>14 Aug 2024</v>
          </cell>
        </row>
        <row r="4288">
          <cell r="A4288" t="str">
            <v>AFG</v>
          </cell>
          <cell r="B4288">
            <v>2011</v>
          </cell>
          <cell r="C4288" t="str">
            <v>mar_srvfc</v>
          </cell>
          <cell r="D4288">
            <v>56.824737548828125</v>
          </cell>
          <cell r="F4288" t="str">
            <v>14 Aug 2024</v>
          </cell>
        </row>
        <row r="4289">
          <cell r="A4289" t="str">
            <v>AFG</v>
          </cell>
          <cell r="B4289">
            <v>2018</v>
          </cell>
          <cell r="C4289" t="str">
            <v>maindfc</v>
          </cell>
          <cell r="D4289">
            <v>11.074641227722168</v>
          </cell>
          <cell r="F4289" t="str">
            <v>14 Aug 2024</v>
          </cell>
        </row>
        <row r="4290">
          <cell r="A4290" t="str">
            <v>AFG</v>
          </cell>
          <cell r="B4290">
            <v>2006</v>
          </cell>
          <cell r="C4290" t="str">
            <v>mar_srvfc</v>
          </cell>
          <cell r="D4290">
            <v>44.921268463134766</v>
          </cell>
          <cell r="F4290" t="str">
            <v>14 Aug 2024</v>
          </cell>
        </row>
        <row r="4291">
          <cell r="A4291" t="str">
            <v>AFG</v>
          </cell>
          <cell r="B4291">
            <v>2026</v>
          </cell>
          <cell r="C4291" t="str">
            <v>maindfc</v>
          </cell>
          <cell r="D4291">
            <v>1.9500000476837158</v>
          </cell>
          <cell r="F4291" t="str">
            <v>14 Aug 2024</v>
          </cell>
        </row>
        <row r="4292">
          <cell r="A4292" t="str">
            <v>AFG</v>
          </cell>
          <cell r="B4292">
            <v>2022</v>
          </cell>
          <cell r="C4292" t="str">
            <v>madebt_</v>
          </cell>
          <cell r="D4292">
            <v>9.9286518096923828</v>
          </cell>
          <cell r="F4292" t="str">
            <v>14 Aug 2024</v>
          </cell>
        </row>
        <row r="4293">
          <cell r="A4293" t="str">
            <v>AFG</v>
          </cell>
          <cell r="B4293">
            <v>2006</v>
          </cell>
          <cell r="C4293" t="str">
            <v>matfpz</v>
          </cell>
          <cell r="D4293">
            <v>3.7348542213439941</v>
          </cell>
          <cell r="F4293" t="str">
            <v>14 Aug 2024</v>
          </cell>
        </row>
        <row r="4294">
          <cell r="A4294" t="str">
            <v>AFG</v>
          </cell>
          <cell r="B4294">
            <v>2018</v>
          </cell>
          <cell r="C4294" t="str">
            <v>matfpz</v>
          </cell>
          <cell r="D4294">
            <v>-2.6760611534118652</v>
          </cell>
          <cell r="F4294" t="str">
            <v>14 Aug 2024</v>
          </cell>
        </row>
        <row r="4295">
          <cell r="A4295" t="str">
            <v>AFG</v>
          </cell>
          <cell r="B4295">
            <v>2006</v>
          </cell>
          <cell r="C4295" t="str">
            <v>malabz</v>
          </cell>
          <cell r="D4295">
            <v>5.0542049407958984</v>
          </cell>
          <cell r="F4295" t="str">
            <v>14 Aug 2024</v>
          </cell>
        </row>
        <row r="4296">
          <cell r="A4296" t="str">
            <v>AFG</v>
          </cell>
          <cell r="B4296">
            <v>2026</v>
          </cell>
          <cell r="C4296" t="str">
            <v>macab_</v>
          </cell>
          <cell r="D4296">
            <v>-25.721952438354492</v>
          </cell>
          <cell r="F4296" t="str">
            <v>14 Aug 2024</v>
          </cell>
        </row>
        <row r="4297">
          <cell r="A4297" t="str">
            <v>AFG</v>
          </cell>
          <cell r="B4297">
            <v>2007</v>
          </cell>
          <cell r="C4297" t="str">
            <v>mareer</v>
          </cell>
          <cell r="D4297">
            <v>192.3057861328125</v>
          </cell>
          <cell r="F4297" t="str">
            <v>14 Aug 2024</v>
          </cell>
        </row>
        <row r="4298">
          <cell r="A4298" t="str">
            <v>AFG</v>
          </cell>
          <cell r="B4298">
            <v>2022</v>
          </cell>
          <cell r="C4298" t="str">
            <v>mareer</v>
          </cell>
          <cell r="D4298">
            <v>93.402664184570313</v>
          </cell>
          <cell r="F4298" t="str">
            <v>14 Aug 2024</v>
          </cell>
        </row>
        <row r="4299">
          <cell r="A4299" t="str">
            <v>AFG</v>
          </cell>
          <cell r="B4299">
            <v>2020</v>
          </cell>
          <cell r="C4299" t="str">
            <v>madeficit_</v>
          </cell>
          <cell r="D4299">
            <v>-2.3579485416412354</v>
          </cell>
          <cell r="F4299" t="str">
            <v>14 Aug 2024</v>
          </cell>
        </row>
        <row r="4300">
          <cell r="A4300" t="str">
            <v>AFG</v>
          </cell>
          <cell r="B4300">
            <v>2023</v>
          </cell>
          <cell r="C4300" t="str">
            <v>mafdi_</v>
          </cell>
          <cell r="D4300">
            <v>-0.29893999854805531</v>
          </cell>
          <cell r="F4300" t="str">
            <v>14 Aug 2024</v>
          </cell>
        </row>
        <row r="4301">
          <cell r="A4301" t="str">
            <v>AFG</v>
          </cell>
          <cell r="B4301">
            <v>2005</v>
          </cell>
          <cell r="C4301" t="str">
            <v>magdpz</v>
          </cell>
          <cell r="D4301">
            <v>11.229713439941406</v>
          </cell>
          <cell r="F4301" t="str">
            <v>14 Aug 2024</v>
          </cell>
        </row>
        <row r="4302">
          <cell r="A4302" t="str">
            <v>AFG</v>
          </cell>
          <cell r="B4302">
            <v>2026</v>
          </cell>
          <cell r="C4302" t="str">
            <v>mac_labz</v>
          </cell>
          <cell r="D4302">
            <v>2.1715164184570313</v>
          </cell>
          <cell r="F4302" t="str">
            <v>14 Aug 2024</v>
          </cell>
        </row>
        <row r="4303">
          <cell r="A4303" t="str">
            <v>AFG</v>
          </cell>
          <cell r="B4303">
            <v>2018</v>
          </cell>
          <cell r="C4303" t="str">
            <v>magovz</v>
          </cell>
          <cell r="D4303">
            <v>-17.75926399230957</v>
          </cell>
          <cell r="F4303" t="str">
            <v>14 Aug 2024</v>
          </cell>
        </row>
        <row r="4304">
          <cell r="A4304" t="str">
            <v>AFG</v>
          </cell>
          <cell r="B4304">
            <v>2018</v>
          </cell>
          <cell r="C4304" t="str">
            <v>mar_indfc</v>
          </cell>
          <cell r="D4304">
            <v>12.872178077697754</v>
          </cell>
          <cell r="F4304" t="str">
            <v>14 Aug 2024</v>
          </cell>
        </row>
        <row r="4305">
          <cell r="A4305" t="str">
            <v>AFG</v>
          </cell>
          <cell r="B4305">
            <v>2007</v>
          </cell>
          <cell r="C4305" t="str">
            <v>mar_srvfc</v>
          </cell>
          <cell r="D4305">
            <v>43.542442321777344</v>
          </cell>
          <cell r="F4305" t="str">
            <v>14 Aug 2024</v>
          </cell>
        </row>
        <row r="4306">
          <cell r="A4306" t="str">
            <v>AFG</v>
          </cell>
          <cell r="B4306">
            <v>2023</v>
          </cell>
          <cell r="C4306" t="str">
            <v>madeficit_</v>
          </cell>
          <cell r="D4306">
            <v>-0.72972220182418823</v>
          </cell>
          <cell r="F4306" t="str">
            <v>14 Aug 2024</v>
          </cell>
        </row>
        <row r="4307">
          <cell r="A4307" t="str">
            <v>AFG</v>
          </cell>
          <cell r="B4307">
            <v>2023</v>
          </cell>
          <cell r="C4307" t="str">
            <v>masrvfc</v>
          </cell>
          <cell r="D4307">
            <v>2.48836350440979</v>
          </cell>
          <cell r="F4307" t="str">
            <v>14 Aug 2024</v>
          </cell>
        </row>
        <row r="4308">
          <cell r="A4308" t="str">
            <v>AFG</v>
          </cell>
          <cell r="B4308">
            <v>2023</v>
          </cell>
          <cell r="C4308" t="str">
            <v>mar_taxfc</v>
          </cell>
          <cell r="D4308">
            <v>4.7559185028076172</v>
          </cell>
          <cell r="F4308" t="str">
            <v>14 Aug 2024</v>
          </cell>
        </row>
        <row r="4309">
          <cell r="A4309" t="str">
            <v>AFG</v>
          </cell>
          <cell r="B4309">
            <v>2019</v>
          </cell>
          <cell r="C4309" t="str">
            <v>maconz</v>
          </cell>
          <cell r="D4309">
            <v>-2</v>
          </cell>
          <cell r="F4309" t="str">
            <v>14 Aug 2024</v>
          </cell>
        </row>
        <row r="4310">
          <cell r="A4310" t="str">
            <v>AFG</v>
          </cell>
          <cell r="B4310">
            <v>2020</v>
          </cell>
          <cell r="C4310" t="str">
            <v>mar_expz</v>
          </cell>
          <cell r="D4310">
            <v>8.0714960098266602</v>
          </cell>
          <cell r="F4310" t="str">
            <v>14 Aug 2024</v>
          </cell>
        </row>
        <row r="4311">
          <cell r="A4311" t="str">
            <v>AFG</v>
          </cell>
          <cell r="B4311">
            <v>2008</v>
          </cell>
          <cell r="C4311" t="str">
            <v>mac_labz</v>
          </cell>
          <cell r="D4311">
            <v>1.1078121662139893</v>
          </cell>
          <cell r="F4311" t="str">
            <v>14 Aug 2024</v>
          </cell>
        </row>
        <row r="4312">
          <cell r="A4312" t="str">
            <v>AFG</v>
          </cell>
          <cell r="B4312">
            <v>2005</v>
          </cell>
          <cell r="C4312" t="str">
            <v>madebt_</v>
          </cell>
          <cell r="D4312">
            <v>49.695003509521484</v>
          </cell>
          <cell r="F4312" t="str">
            <v>14 Aug 2024</v>
          </cell>
        </row>
        <row r="4313">
          <cell r="A4313" t="str">
            <v>AFG</v>
          </cell>
          <cell r="B4313">
            <v>2008</v>
          </cell>
          <cell r="C4313" t="str">
            <v>madebt_</v>
          </cell>
          <cell r="D4313">
            <v>8.8562870025634766</v>
          </cell>
          <cell r="F4313" t="str">
            <v>14 Aug 2024</v>
          </cell>
        </row>
        <row r="4314">
          <cell r="A4314" t="str">
            <v>AFG</v>
          </cell>
          <cell r="B4314">
            <v>2018</v>
          </cell>
          <cell r="C4314" t="str">
            <v>mareer</v>
          </cell>
          <cell r="D4314">
            <v>87.449028015136719</v>
          </cell>
          <cell r="F4314" t="str">
            <v>14 Aug 2024</v>
          </cell>
        </row>
        <row r="4315">
          <cell r="A4315" t="str">
            <v>AFG</v>
          </cell>
          <cell r="B4315">
            <v>2019</v>
          </cell>
          <cell r="C4315" t="str">
            <v>mainvz</v>
          </cell>
          <cell r="D4315">
            <v>-15.326896667480469</v>
          </cell>
          <cell r="F4315" t="str">
            <v>14 Aug 2024</v>
          </cell>
        </row>
        <row r="4316">
          <cell r="A4316" t="str">
            <v>AFG</v>
          </cell>
          <cell r="B4316">
            <v>2008</v>
          </cell>
          <cell r="C4316" t="str">
            <v>magap_</v>
          </cell>
          <cell r="D4316">
            <v>-11.076416969299316</v>
          </cell>
          <cell r="F4316" t="str">
            <v>14 Aug 2024</v>
          </cell>
        </row>
        <row r="4317">
          <cell r="A4317" t="str">
            <v>AFG</v>
          </cell>
          <cell r="B4317">
            <v>2012</v>
          </cell>
          <cell r="C4317" t="str">
            <v>mafdi_</v>
          </cell>
          <cell r="D4317">
            <v>-0.26443688347738947</v>
          </cell>
          <cell r="F4317" t="str">
            <v>14 Aug 2024</v>
          </cell>
        </row>
        <row r="4318">
          <cell r="A4318" t="str">
            <v>AFG</v>
          </cell>
          <cell r="B4318">
            <v>2008</v>
          </cell>
          <cell r="C4318" t="str">
            <v>maimpz</v>
          </cell>
          <cell r="D4318">
            <v>-16.756000518798828</v>
          </cell>
          <cell r="F4318" t="str">
            <v>14 Aug 2024</v>
          </cell>
        </row>
        <row r="4319">
          <cell r="A4319" t="str">
            <v>AFG</v>
          </cell>
          <cell r="B4319">
            <v>2022</v>
          </cell>
          <cell r="C4319" t="str">
            <v>madeficit_</v>
          </cell>
          <cell r="D4319">
            <v>-0.72972220182418823</v>
          </cell>
          <cell r="F4319" t="str">
            <v>14 Aug 2024</v>
          </cell>
        </row>
        <row r="4320">
          <cell r="A4320" t="str">
            <v>AFG</v>
          </cell>
          <cell r="B4320">
            <v>2016</v>
          </cell>
          <cell r="C4320" t="str">
            <v>madebt_</v>
          </cell>
          <cell r="D4320">
            <v>6.5358333587646484</v>
          </cell>
          <cell r="F4320" t="str">
            <v>14 Aug 2024</v>
          </cell>
        </row>
        <row r="4321">
          <cell r="A4321" t="str">
            <v>AFG</v>
          </cell>
          <cell r="B4321">
            <v>2008</v>
          </cell>
          <cell r="C4321" t="str">
            <v>mar_impz</v>
          </cell>
          <cell r="D4321">
            <v>70.591392517089844</v>
          </cell>
          <cell r="F4321" t="str">
            <v>14 Aug 2024</v>
          </cell>
        </row>
        <row r="4322">
          <cell r="A4322" t="str">
            <v>AFG</v>
          </cell>
          <cell r="B4322">
            <v>2018</v>
          </cell>
          <cell r="C4322" t="str">
            <v>mapanusatls</v>
          </cell>
          <cell r="D4322">
            <v>74.955596923828125</v>
          </cell>
          <cell r="F4322" t="str">
            <v>14 Aug 2024</v>
          </cell>
        </row>
        <row r="4323">
          <cell r="A4323" t="str">
            <v>AFG</v>
          </cell>
          <cell r="B4323">
            <v>2021</v>
          </cell>
          <cell r="C4323" t="str">
            <v>magovz</v>
          </cell>
          <cell r="D4323">
            <v>1.2248414754867554</v>
          </cell>
          <cell r="F4323" t="str">
            <v>14 Aug 2024</v>
          </cell>
        </row>
        <row r="4324">
          <cell r="A4324" t="str">
            <v>AFG</v>
          </cell>
          <cell r="B4324">
            <v>2005</v>
          </cell>
          <cell r="C4324" t="str">
            <v>magap_</v>
          </cell>
          <cell r="D4324">
            <v>1.4743180274963379</v>
          </cell>
          <cell r="F4324" t="str">
            <v>14 Aug 2024</v>
          </cell>
        </row>
        <row r="4325">
          <cell r="A4325" t="str">
            <v>AFG</v>
          </cell>
          <cell r="B4325">
            <v>2008</v>
          </cell>
          <cell r="C4325" t="str">
            <v>mataxfc</v>
          </cell>
          <cell r="D4325">
            <v>-6.8484311103820801</v>
          </cell>
          <cell r="F4325" t="str">
            <v>14 Aug 2024</v>
          </cell>
        </row>
        <row r="4326">
          <cell r="A4326" t="str">
            <v>AFG</v>
          </cell>
          <cell r="B4326">
            <v>2009</v>
          </cell>
          <cell r="C4326" t="str">
            <v>mac_labz</v>
          </cell>
          <cell r="D4326">
            <v>3.3775734901428223</v>
          </cell>
          <cell r="F4326" t="str">
            <v>14 Aug 2024</v>
          </cell>
        </row>
        <row r="4327">
          <cell r="A4327" t="str">
            <v>AFG</v>
          </cell>
          <cell r="B4327">
            <v>2019</v>
          </cell>
          <cell r="C4327" t="str">
            <v>maagrfc</v>
          </cell>
          <cell r="D4327">
            <v>17.45982551574707</v>
          </cell>
          <cell r="F4327" t="str">
            <v>14 Aug 2024</v>
          </cell>
        </row>
        <row r="4328">
          <cell r="A4328" t="str">
            <v>AFG</v>
          </cell>
          <cell r="B4328">
            <v>2006</v>
          </cell>
          <cell r="C4328" t="str">
            <v>maimpz</v>
          </cell>
          <cell r="D4328">
            <v>-4.1077909469604492</v>
          </cell>
          <cell r="F4328" t="str">
            <v>14 Aug 2024</v>
          </cell>
        </row>
        <row r="4329">
          <cell r="A4329" t="str">
            <v>AFG</v>
          </cell>
          <cell r="B4329">
            <v>2021</v>
          </cell>
          <cell r="C4329" t="str">
            <v>maagrfc</v>
          </cell>
          <cell r="D4329">
            <v>-1.5399999618530273</v>
          </cell>
          <cell r="F4329" t="str">
            <v>14 Aug 2024</v>
          </cell>
        </row>
        <row r="4330">
          <cell r="A4330" t="str">
            <v>AFG</v>
          </cell>
          <cell r="B4330">
            <v>2022</v>
          </cell>
          <cell r="C4330" t="str">
            <v>maimpz</v>
          </cell>
          <cell r="D4330">
            <v>3.0999999046325684</v>
          </cell>
          <cell r="F4330" t="str">
            <v>14 Aug 2024</v>
          </cell>
        </row>
        <row r="4331">
          <cell r="A4331" t="str">
            <v>AFG</v>
          </cell>
          <cell r="B4331">
            <v>2019</v>
          </cell>
          <cell r="C4331" t="str">
            <v>macab_</v>
          </cell>
          <cell r="D4331">
            <v>0.57021331787109375</v>
          </cell>
          <cell r="F4331" t="str">
            <v>14 Aug 2024</v>
          </cell>
        </row>
        <row r="4332">
          <cell r="A4332" t="str">
            <v>AFG</v>
          </cell>
          <cell r="B4332">
            <v>2013</v>
          </cell>
          <cell r="C4332" t="str">
            <v>mapanusatls</v>
          </cell>
          <cell r="D4332">
            <v>56.639999389648438</v>
          </cell>
          <cell r="F4332" t="str">
            <v>14 Aug 2024</v>
          </cell>
        </row>
        <row r="4333">
          <cell r="A4333" t="str">
            <v>AFG</v>
          </cell>
          <cell r="B4333">
            <v>2008</v>
          </cell>
          <cell r="C4333" t="str">
            <v>magdpz</v>
          </cell>
          <cell r="D4333">
            <v>2.6777970790863037</v>
          </cell>
          <cell r="F4333" t="str">
            <v>14 Aug 2024</v>
          </cell>
        </row>
        <row r="4334">
          <cell r="A4334" t="str">
            <v>AFG</v>
          </cell>
          <cell r="B4334">
            <v>2008</v>
          </cell>
          <cell r="C4334" t="str">
            <v>mainvz</v>
          </cell>
          <cell r="D4334">
            <v>-7.880709171295166</v>
          </cell>
          <cell r="F4334" t="str">
            <v>14 Aug 2024</v>
          </cell>
        </row>
        <row r="4335">
          <cell r="A4335" t="str">
            <v>AFG</v>
          </cell>
          <cell r="B4335">
            <v>2019</v>
          </cell>
          <cell r="C4335" t="str">
            <v>magap_</v>
          </cell>
          <cell r="D4335">
            <v>-2.0586841106414795</v>
          </cell>
          <cell r="F4335" t="str">
            <v>14 Aug 2024</v>
          </cell>
        </row>
        <row r="4336">
          <cell r="A4336" t="str">
            <v>AFG</v>
          </cell>
          <cell r="B4336">
            <v>2023</v>
          </cell>
          <cell r="C4336" t="str">
            <v>mar_agrfc</v>
          </cell>
          <cell r="D4336">
            <v>32.018337249755859</v>
          </cell>
          <cell r="F4336" t="str">
            <v>14 Aug 2024</v>
          </cell>
        </row>
        <row r="4337">
          <cell r="A4337" t="str">
            <v>AFG</v>
          </cell>
          <cell r="B4337">
            <v>2012</v>
          </cell>
          <cell r="C4337" t="str">
            <v>mar_agrfc</v>
          </cell>
          <cell r="D4337">
            <v>30.167579650878906</v>
          </cell>
          <cell r="F4337" t="str">
            <v>14 Aug 2024</v>
          </cell>
        </row>
        <row r="4338">
          <cell r="A4338" t="str">
            <v>AFG</v>
          </cell>
          <cell r="B4338">
            <v>2010</v>
          </cell>
          <cell r="C4338" t="str">
            <v>magap_</v>
          </cell>
          <cell r="D4338">
            <v>0.49520984292030334</v>
          </cell>
          <cell r="F4338" t="str">
            <v>14 Aug 2024</v>
          </cell>
        </row>
        <row r="4339">
          <cell r="A4339" t="str">
            <v>AFG</v>
          </cell>
          <cell r="B4339">
            <v>2007</v>
          </cell>
          <cell r="C4339" t="str">
            <v>madeficit_</v>
          </cell>
          <cell r="D4339">
            <v>-0.93632102012634277</v>
          </cell>
          <cell r="F4339" t="str">
            <v>14 Aug 2024</v>
          </cell>
        </row>
        <row r="4340">
          <cell r="A4340" t="str">
            <v>AFG</v>
          </cell>
          <cell r="B4340">
            <v>2018</v>
          </cell>
          <cell r="C4340" t="str">
            <v>macpiz</v>
          </cell>
          <cell r="D4340">
            <v>0.6291235089302063</v>
          </cell>
          <cell r="F4340" t="str">
            <v>14 Aug 2024</v>
          </cell>
        </row>
        <row r="4341">
          <cell r="A4341" t="str">
            <v>AFG</v>
          </cell>
          <cell r="B4341">
            <v>2005</v>
          </cell>
          <cell r="C4341" t="str">
            <v>mar_taxfc</v>
          </cell>
          <cell r="D4341">
            <v>3.2454280853271484</v>
          </cell>
          <cell r="F4341" t="str">
            <v>14 Aug 2024</v>
          </cell>
        </row>
        <row r="4342">
          <cell r="A4342" t="str">
            <v>AFG</v>
          </cell>
          <cell r="B4342">
            <v>2018</v>
          </cell>
          <cell r="C4342" t="str">
            <v>mafdi_</v>
          </cell>
          <cell r="D4342">
            <v>-0.45520175878415142</v>
          </cell>
          <cell r="F4342" t="str">
            <v>14 Aug 2024</v>
          </cell>
        </row>
        <row r="4343">
          <cell r="A4343" t="str">
            <v>AFG</v>
          </cell>
          <cell r="B4343">
            <v>2012</v>
          </cell>
          <cell r="C4343" t="str">
            <v>madebt_</v>
          </cell>
          <cell r="D4343">
            <v>5.4020090103149414</v>
          </cell>
          <cell r="F4343" t="str">
            <v>14 Aug 2024</v>
          </cell>
        </row>
        <row r="4344">
          <cell r="A4344" t="str">
            <v>AFG</v>
          </cell>
          <cell r="B4344">
            <v>2010</v>
          </cell>
          <cell r="C4344" t="str">
            <v>mar_expz</v>
          </cell>
          <cell r="D4344">
            <v>17.354564666748047</v>
          </cell>
          <cell r="F4344" t="str">
            <v>14 Aug 2024</v>
          </cell>
        </row>
        <row r="4345">
          <cell r="A4345" t="str">
            <v>AFG</v>
          </cell>
          <cell r="B4345">
            <v>2019</v>
          </cell>
          <cell r="C4345" t="str">
            <v>mapanusatls</v>
          </cell>
          <cell r="D4345">
            <v>77.400001525878906</v>
          </cell>
          <cell r="F4345" t="str">
            <v>14 Aug 2024</v>
          </cell>
        </row>
        <row r="4346">
          <cell r="A4346" t="str">
            <v>AFG</v>
          </cell>
          <cell r="B4346">
            <v>2010</v>
          </cell>
          <cell r="C4346" t="str">
            <v>mar_indfc</v>
          </cell>
          <cell r="D4346">
            <v>12.225724220275879</v>
          </cell>
          <cell r="F4346" t="str">
            <v>14 Aug 2024</v>
          </cell>
        </row>
        <row r="4347">
          <cell r="A4347" t="str">
            <v>AFG</v>
          </cell>
          <cell r="B4347">
            <v>2015</v>
          </cell>
          <cell r="C4347" t="str">
            <v>madeficit_</v>
          </cell>
          <cell r="D4347">
            <v>-1.4337314367294312</v>
          </cell>
          <cell r="F4347" t="str">
            <v>14 Aug 2024</v>
          </cell>
        </row>
        <row r="4348">
          <cell r="A4348" t="str">
            <v>AFG</v>
          </cell>
          <cell r="B4348">
            <v>2019</v>
          </cell>
          <cell r="C4348" t="str">
            <v>mar_agrfc</v>
          </cell>
          <cell r="D4348">
            <v>29.858743667602539</v>
          </cell>
          <cell r="F4348" t="str">
            <v>14 Aug 2024</v>
          </cell>
        </row>
        <row r="4349">
          <cell r="A4349" t="str">
            <v>AFG</v>
          </cell>
          <cell r="B4349">
            <v>2006</v>
          </cell>
          <cell r="C4349" t="str">
            <v>mar_con</v>
          </cell>
          <cell r="D4349">
            <v>112.65332794189453</v>
          </cell>
          <cell r="F4349" t="str">
            <v>14 Aug 2024</v>
          </cell>
        </row>
        <row r="4350">
          <cell r="A4350" t="str">
            <v>AFG</v>
          </cell>
          <cell r="B4350">
            <v>2025</v>
          </cell>
          <cell r="C4350" t="str">
            <v>madeficit_</v>
          </cell>
          <cell r="D4350">
            <v>-0.729805588722229</v>
          </cell>
          <cell r="F4350" t="str">
            <v>14 Aug 2024</v>
          </cell>
        </row>
        <row r="4351">
          <cell r="A4351" t="str">
            <v>AFG</v>
          </cell>
          <cell r="B4351">
            <v>2010</v>
          </cell>
          <cell r="C4351" t="str">
            <v>masrvfc</v>
          </cell>
          <cell r="D4351">
            <v>17.983381271362305</v>
          </cell>
          <cell r="F4351" t="str">
            <v>14 Aug 2024</v>
          </cell>
        </row>
        <row r="4352">
          <cell r="A4352" t="str">
            <v>AFG</v>
          </cell>
          <cell r="B4352">
            <v>2006</v>
          </cell>
          <cell r="C4352" t="str">
            <v>mainvz</v>
          </cell>
          <cell r="D4352">
            <v>-0.57935881614685059</v>
          </cell>
          <cell r="F4352" t="str">
            <v>14 Aug 2024</v>
          </cell>
        </row>
        <row r="4353">
          <cell r="A4353" t="str">
            <v>AFG</v>
          </cell>
          <cell r="B4353">
            <v>2024</v>
          </cell>
          <cell r="C4353" t="str">
            <v>mac_tfpz</v>
          </cell>
          <cell r="D4353">
            <v>-0.76923370361328125</v>
          </cell>
          <cell r="F4353" t="str">
            <v>14 Aug 2024</v>
          </cell>
        </row>
        <row r="4354">
          <cell r="A4354" t="str">
            <v>AFG</v>
          </cell>
          <cell r="B4354">
            <v>2011</v>
          </cell>
          <cell r="C4354" t="str">
            <v>macab_</v>
          </cell>
          <cell r="D4354">
            <v>5.0093774795532227</v>
          </cell>
          <cell r="F4354" t="str">
            <v>14 Aug 2024</v>
          </cell>
        </row>
        <row r="4355">
          <cell r="A4355" t="str">
            <v>AFG</v>
          </cell>
          <cell r="B4355">
            <v>2012</v>
          </cell>
          <cell r="C4355" t="str">
            <v>malabz</v>
          </cell>
          <cell r="D4355">
            <v>5.8790969848632813</v>
          </cell>
          <cell r="F4355" t="str">
            <v>14 Aug 2024</v>
          </cell>
        </row>
        <row r="4356">
          <cell r="A4356" t="str">
            <v>AFG</v>
          </cell>
          <cell r="B4356">
            <v>2011</v>
          </cell>
          <cell r="C4356" t="str">
            <v>maexpz</v>
          </cell>
          <cell r="D4356">
            <v>41.584812164306641</v>
          </cell>
          <cell r="F4356" t="str">
            <v>14 Aug 2024</v>
          </cell>
        </row>
        <row r="4357">
          <cell r="A4357" t="str">
            <v>AFG</v>
          </cell>
          <cell r="B4357">
            <v>2011</v>
          </cell>
          <cell r="C4357" t="str">
            <v>mafdi_</v>
          </cell>
          <cell r="D4357">
            <v>-0.19147797501094671</v>
          </cell>
          <cell r="F4357" t="str">
            <v>14 Aug 2024</v>
          </cell>
        </row>
        <row r="4358">
          <cell r="A4358" t="str">
            <v>AFG</v>
          </cell>
          <cell r="B4358">
            <v>2010</v>
          </cell>
          <cell r="C4358" t="str">
            <v>mac_tfpz</v>
          </cell>
          <cell r="D4358">
            <v>2.8436439037322998</v>
          </cell>
          <cell r="F4358" t="str">
            <v>14 Aug 2024</v>
          </cell>
        </row>
        <row r="4359">
          <cell r="A4359" t="str">
            <v>AFG</v>
          </cell>
          <cell r="B4359">
            <v>2012</v>
          </cell>
          <cell r="C4359" t="str">
            <v>mac_tfpz</v>
          </cell>
          <cell r="D4359">
            <v>1.5605900287628174</v>
          </cell>
          <cell r="F4359" t="str">
            <v>14 Aug 2024</v>
          </cell>
        </row>
        <row r="4360">
          <cell r="A4360" t="str">
            <v>AFG</v>
          </cell>
          <cell r="B4360">
            <v>2011</v>
          </cell>
          <cell r="C4360" t="str">
            <v>mar_con</v>
          </cell>
          <cell r="D4360">
            <v>82.132682800292969</v>
          </cell>
          <cell r="F4360" t="str">
            <v>14 Aug 2024</v>
          </cell>
        </row>
        <row r="4361">
          <cell r="A4361" t="str">
            <v>AFG</v>
          </cell>
          <cell r="B4361">
            <v>2011</v>
          </cell>
          <cell r="C4361" t="str">
            <v>malabz</v>
          </cell>
          <cell r="D4361">
            <v>5.2167868614196777</v>
          </cell>
          <cell r="F4361" t="str">
            <v>14 Aug 2024</v>
          </cell>
        </row>
        <row r="4362">
          <cell r="A4362" t="str">
            <v>AFG</v>
          </cell>
          <cell r="B4362">
            <v>2007</v>
          </cell>
          <cell r="C4362" t="str">
            <v>maagrfc</v>
          </cell>
          <cell r="D4362">
            <v>14.700446128845215</v>
          </cell>
          <cell r="F4362" t="str">
            <v>14 Aug 2024</v>
          </cell>
        </row>
        <row r="4363">
          <cell r="A4363" t="str">
            <v>AFG</v>
          </cell>
          <cell r="B4363">
            <v>2019</v>
          </cell>
          <cell r="C4363" t="str">
            <v>mareer</v>
          </cell>
          <cell r="D4363">
            <v>90.984085083007813</v>
          </cell>
          <cell r="F4363" t="str">
            <v>14 Aug 2024</v>
          </cell>
        </row>
        <row r="4364">
          <cell r="A4364" t="str">
            <v>AFG</v>
          </cell>
          <cell r="B4364">
            <v>2024</v>
          </cell>
          <cell r="C4364" t="str">
            <v>maconz</v>
          </cell>
          <cell r="D4364">
            <v>3.5</v>
          </cell>
          <cell r="F4364" t="str">
            <v>14 Aug 2024</v>
          </cell>
        </row>
        <row r="4365">
          <cell r="A4365" t="str">
            <v>AFG</v>
          </cell>
          <cell r="B4365">
            <v>2021</v>
          </cell>
          <cell r="C4365" t="str">
            <v>madeficit_</v>
          </cell>
          <cell r="D4365">
            <v>-0.27838605642318726</v>
          </cell>
          <cell r="F4365" t="str">
            <v>14 Aug 2024</v>
          </cell>
        </row>
        <row r="4366">
          <cell r="A4366" t="str">
            <v>AFG</v>
          </cell>
          <cell r="B4366">
            <v>2005</v>
          </cell>
          <cell r="C4366" t="str">
            <v>macpiz</v>
          </cell>
          <cell r="D4366">
            <v>-0.94981169700622559</v>
          </cell>
          <cell r="F4366" t="str">
            <v>14 Aug 2024</v>
          </cell>
        </row>
        <row r="4367">
          <cell r="A4367" t="str">
            <v>AFG</v>
          </cell>
          <cell r="B4367">
            <v>2026</v>
          </cell>
          <cell r="C4367" t="str">
            <v>macpiz</v>
          </cell>
          <cell r="D4367">
            <v>5</v>
          </cell>
          <cell r="F4367" t="str">
            <v>14 Aug 2024</v>
          </cell>
        </row>
        <row r="4368">
          <cell r="A4368" t="str">
            <v>AFG</v>
          </cell>
          <cell r="B4368">
            <v>2012</v>
          </cell>
          <cell r="C4368" t="str">
            <v>macpiz</v>
          </cell>
          <cell r="D4368">
            <v>18.730533599853516</v>
          </cell>
          <cell r="F4368" t="str">
            <v>14 Aug 2024</v>
          </cell>
        </row>
        <row r="4369">
          <cell r="A4369" t="str">
            <v>AFG</v>
          </cell>
          <cell r="B4369">
            <v>2013</v>
          </cell>
          <cell r="C4369" t="str">
            <v>maagrfc</v>
          </cell>
          <cell r="D4369">
            <v>5.2674198523163795E-3</v>
          </cell>
          <cell r="F4369" t="str">
            <v>14 Aug 2024</v>
          </cell>
        </row>
        <row r="4370">
          <cell r="A4370" t="str">
            <v>AFG</v>
          </cell>
          <cell r="B4370">
            <v>2016</v>
          </cell>
          <cell r="C4370" t="str">
            <v>mareer</v>
          </cell>
          <cell r="D4370">
            <v>101.12485504150391</v>
          </cell>
          <cell r="F4370" t="str">
            <v>14 Aug 2024</v>
          </cell>
        </row>
        <row r="4371">
          <cell r="A4371" t="str">
            <v>AFG</v>
          </cell>
          <cell r="B4371">
            <v>2007</v>
          </cell>
          <cell r="C4371" t="str">
            <v>mac_tfpz</v>
          </cell>
          <cell r="D4371">
            <v>3.6306357383728027</v>
          </cell>
          <cell r="F4371" t="str">
            <v>14 Aug 2024</v>
          </cell>
        </row>
        <row r="4372">
          <cell r="A4372" t="str">
            <v>AFG</v>
          </cell>
          <cell r="B4372">
            <v>2020</v>
          </cell>
          <cell r="C4372" t="str">
            <v>macab_</v>
          </cell>
          <cell r="D4372">
            <v>2.882155179977417</v>
          </cell>
          <cell r="F4372" t="str">
            <v>14 Aug 2024</v>
          </cell>
        </row>
        <row r="4373">
          <cell r="A4373" t="str">
            <v>AFG</v>
          </cell>
          <cell r="B4373">
            <v>2012</v>
          </cell>
          <cell r="C4373" t="str">
            <v>maimpz</v>
          </cell>
          <cell r="D4373">
            <v>-4.1293845176696777</v>
          </cell>
          <cell r="F4373" t="str">
            <v>14 Aug 2024</v>
          </cell>
        </row>
        <row r="4374">
          <cell r="A4374" t="str">
            <v>AFG</v>
          </cell>
          <cell r="B4374">
            <v>2019</v>
          </cell>
          <cell r="C4374" t="str">
            <v>macpiz</v>
          </cell>
          <cell r="D4374">
            <v>2.304060697555542</v>
          </cell>
          <cell r="F4374" t="str">
            <v>14 Aug 2024</v>
          </cell>
        </row>
        <row r="4375">
          <cell r="A4375" t="str">
            <v>AFG</v>
          </cell>
          <cell r="B4375">
            <v>2026</v>
          </cell>
          <cell r="C4375" t="str">
            <v>mareer</v>
          </cell>
          <cell r="D4375">
            <v>83.121452331542969</v>
          </cell>
          <cell r="F4375" t="str">
            <v>14 Aug 2024</v>
          </cell>
        </row>
        <row r="4376">
          <cell r="A4376" t="str">
            <v>AFG</v>
          </cell>
          <cell r="B4376">
            <v>2012</v>
          </cell>
          <cell r="C4376" t="str">
            <v>magovz</v>
          </cell>
          <cell r="D4376">
            <v>21.594451904296875</v>
          </cell>
          <cell r="F4376" t="str">
            <v>14 Aug 2024</v>
          </cell>
        </row>
        <row r="4377">
          <cell r="A4377" t="str">
            <v>AFG</v>
          </cell>
          <cell r="B4377">
            <v>2023</v>
          </cell>
          <cell r="C4377" t="str">
            <v>maagrfc</v>
          </cell>
          <cell r="D4377">
            <v>4.4499998092651367</v>
          </cell>
          <cell r="F4377" t="str">
            <v>14 Aug 2024</v>
          </cell>
        </row>
        <row r="4378">
          <cell r="A4378" t="str">
            <v>AFG</v>
          </cell>
          <cell r="B4378">
            <v>2011</v>
          </cell>
          <cell r="C4378" t="str">
            <v>madeficit_</v>
          </cell>
          <cell r="D4378">
            <v>-0.44128555059432983</v>
          </cell>
          <cell r="F4378" t="str">
            <v>14 Aug 2024</v>
          </cell>
        </row>
        <row r="4379">
          <cell r="A4379" t="str">
            <v>AFG</v>
          </cell>
          <cell r="B4379">
            <v>2012</v>
          </cell>
          <cell r="C4379" t="str">
            <v>mar_con</v>
          </cell>
          <cell r="D4379">
            <v>82.687782287597656</v>
          </cell>
          <cell r="F4379" t="str">
            <v>14 Aug 2024</v>
          </cell>
        </row>
        <row r="4380">
          <cell r="A4380" t="str">
            <v>AFG</v>
          </cell>
          <cell r="B4380">
            <v>2012</v>
          </cell>
          <cell r="C4380" t="str">
            <v>mar_indfc</v>
          </cell>
          <cell r="D4380">
            <v>10.97808837890625</v>
          </cell>
          <cell r="F4380" t="str">
            <v>14 Aug 2024</v>
          </cell>
        </row>
        <row r="4381">
          <cell r="A4381" t="str">
            <v>AFG</v>
          </cell>
          <cell r="B4381">
            <v>2017</v>
          </cell>
          <cell r="C4381" t="str">
            <v>maindfc</v>
          </cell>
          <cell r="D4381">
            <v>9.2067928314208984</v>
          </cell>
          <cell r="F4381" t="str">
            <v>14 Aug 2024</v>
          </cell>
        </row>
        <row r="4382">
          <cell r="A4382" t="str">
            <v>AFG</v>
          </cell>
          <cell r="B4382">
            <v>2012</v>
          </cell>
          <cell r="C4382" t="str">
            <v>matfpz</v>
          </cell>
          <cell r="D4382">
            <v>1.5605900287628174</v>
          </cell>
          <cell r="F4382" t="str">
            <v>14 Aug 2024</v>
          </cell>
        </row>
        <row r="4383">
          <cell r="A4383" t="str">
            <v>AFG</v>
          </cell>
          <cell r="B4383">
            <v>2024</v>
          </cell>
          <cell r="C4383" t="str">
            <v>maindfc</v>
          </cell>
          <cell r="D4383">
            <v>1.9500000476837158</v>
          </cell>
          <cell r="F4383" t="str">
            <v>14 Aug 2024</v>
          </cell>
        </row>
        <row r="4384">
          <cell r="A4384" t="str">
            <v>AFG</v>
          </cell>
          <cell r="B4384">
            <v>2022</v>
          </cell>
          <cell r="C4384" t="str">
            <v>magdpz</v>
          </cell>
          <cell r="D4384">
            <v>2.619999885559082</v>
          </cell>
          <cell r="F4384" t="str">
            <v>14 Aug 2024</v>
          </cell>
        </row>
        <row r="4385">
          <cell r="A4385" t="str">
            <v>AFG</v>
          </cell>
          <cell r="B4385">
            <v>2019</v>
          </cell>
          <cell r="C4385" t="str">
            <v>mar_taxfc</v>
          </cell>
          <cell r="D4385">
            <v>4.794342041015625</v>
          </cell>
          <cell r="F4385" t="str">
            <v>14 Aug 2024</v>
          </cell>
        </row>
        <row r="4386">
          <cell r="A4386" t="str">
            <v>AFG</v>
          </cell>
          <cell r="B4386">
            <v>2014</v>
          </cell>
          <cell r="C4386" t="str">
            <v>magdpz</v>
          </cell>
          <cell r="D4386">
            <v>2.5242388248443604</v>
          </cell>
          <cell r="F4386" t="str">
            <v>14 Aug 2024</v>
          </cell>
        </row>
        <row r="4387">
          <cell r="A4387" t="str">
            <v>AFG</v>
          </cell>
          <cell r="B4387">
            <v>2007</v>
          </cell>
          <cell r="C4387" t="str">
            <v>maimpz</v>
          </cell>
          <cell r="D4387">
            <v>-2.4051656723022461</v>
          </cell>
          <cell r="F4387" t="str">
            <v>14 Aug 2024</v>
          </cell>
        </row>
        <row r="4388">
          <cell r="A4388" t="str">
            <v>AFG</v>
          </cell>
          <cell r="B4388">
            <v>2013</v>
          </cell>
          <cell r="C4388" t="str">
            <v>maconz</v>
          </cell>
          <cell r="D4388">
            <v>15.464701652526855</v>
          </cell>
          <cell r="F4388" t="str">
            <v>14 Aug 2024</v>
          </cell>
        </row>
        <row r="4389">
          <cell r="A4389" t="str">
            <v>AFG</v>
          </cell>
          <cell r="B4389">
            <v>2011</v>
          </cell>
          <cell r="C4389" t="str">
            <v>masrvfc</v>
          </cell>
          <cell r="D4389">
            <v>18.355405807495117</v>
          </cell>
          <cell r="F4389" t="str">
            <v>14 Aug 2024</v>
          </cell>
        </row>
        <row r="4390">
          <cell r="A4390" t="str">
            <v>AFG</v>
          </cell>
          <cell r="B4390">
            <v>2013</v>
          </cell>
          <cell r="C4390" t="str">
            <v>magap_</v>
          </cell>
          <cell r="D4390">
            <v>10.938577651977539</v>
          </cell>
          <cell r="F4390" t="str">
            <v>14 Aug 2024</v>
          </cell>
        </row>
        <row r="4391">
          <cell r="A4391" t="str">
            <v>AFG</v>
          </cell>
          <cell r="B4391">
            <v>2013</v>
          </cell>
          <cell r="C4391" t="str">
            <v>maindfc</v>
          </cell>
          <cell r="D4391">
            <v>5.0609908103942871</v>
          </cell>
          <cell r="F4391" t="str">
            <v>14 Aug 2024</v>
          </cell>
        </row>
        <row r="4392">
          <cell r="A4392" t="str">
            <v>AFG</v>
          </cell>
          <cell r="B4392">
            <v>2013</v>
          </cell>
          <cell r="C4392" t="str">
            <v>magdpz</v>
          </cell>
          <cell r="D4392">
            <v>5.3689026832580566</v>
          </cell>
          <cell r="F4392" t="str">
            <v>14 Aug 2024</v>
          </cell>
        </row>
        <row r="4393">
          <cell r="A4393" t="str">
            <v>AFG</v>
          </cell>
          <cell r="B4393">
            <v>2026</v>
          </cell>
          <cell r="C4393" t="str">
            <v>mainvz</v>
          </cell>
          <cell r="D4393">
            <v>1.2651419639587402</v>
          </cell>
          <cell r="F4393" t="str">
            <v>14 Aug 2024</v>
          </cell>
        </row>
        <row r="4394">
          <cell r="A4394" t="str">
            <v>AFG</v>
          </cell>
          <cell r="B4394">
            <v>2007</v>
          </cell>
          <cell r="C4394" t="str">
            <v>matfpz</v>
          </cell>
          <cell r="D4394">
            <v>3.6306357383728027</v>
          </cell>
          <cell r="F4394" t="str">
            <v>14 Aug 2024</v>
          </cell>
        </row>
        <row r="4395">
          <cell r="A4395" t="str">
            <v>AFG</v>
          </cell>
          <cell r="B4395">
            <v>2009</v>
          </cell>
          <cell r="C4395" t="str">
            <v>malabz</v>
          </cell>
          <cell r="D4395">
            <v>4.8251051902770996</v>
          </cell>
          <cell r="F4395" t="str">
            <v>14 Aug 2024</v>
          </cell>
        </row>
        <row r="4396">
          <cell r="A4396" t="str">
            <v>AFG</v>
          </cell>
          <cell r="B4396">
            <v>2017</v>
          </cell>
          <cell r="C4396" t="str">
            <v>mar_expz</v>
          </cell>
          <cell r="D4396">
            <v>6.0798101425170898</v>
          </cell>
          <cell r="F4396" t="str">
            <v>14 Aug 2024</v>
          </cell>
        </row>
        <row r="4397">
          <cell r="A4397" t="str">
            <v>AFG</v>
          </cell>
          <cell r="B4397">
            <v>2013</v>
          </cell>
          <cell r="C4397" t="str">
            <v>mataxfc</v>
          </cell>
          <cell r="D4397">
            <v>9.8861589431762695</v>
          </cell>
          <cell r="F4397" t="str">
            <v>14 Aug 2024</v>
          </cell>
        </row>
        <row r="4398">
          <cell r="A4398" t="str">
            <v>AFG</v>
          </cell>
          <cell r="B4398">
            <v>2024</v>
          </cell>
          <cell r="C4398" t="str">
            <v>magovz</v>
          </cell>
          <cell r="D4398">
            <v>1.7689787149429321</v>
          </cell>
          <cell r="F4398" t="str">
            <v>14 Aug 2024</v>
          </cell>
        </row>
        <row r="4399">
          <cell r="A4399" t="str">
            <v>AFG</v>
          </cell>
          <cell r="B4399">
            <v>2015</v>
          </cell>
          <cell r="C4399" t="str">
            <v>magovz</v>
          </cell>
          <cell r="D4399">
            <v>8.2816686630249023</v>
          </cell>
          <cell r="F4399" t="str">
            <v>14 Aug 2024</v>
          </cell>
        </row>
        <row r="4400">
          <cell r="A4400" t="str">
            <v>BGD</v>
          </cell>
          <cell r="B4400">
            <v>2022</v>
          </cell>
          <cell r="C4400" t="str">
            <v>maagrfc</v>
          </cell>
          <cell r="D4400">
            <v>3.0539817810058594</v>
          </cell>
          <cell r="F4400" t="str">
            <v>14 Aug 2024</v>
          </cell>
        </row>
        <row r="4401">
          <cell r="A4401" t="str">
            <v>BGD</v>
          </cell>
          <cell r="B4401">
            <v>2020</v>
          </cell>
          <cell r="C4401" t="str">
            <v>mafdi_</v>
          </cell>
          <cell r="D4401">
            <v>-0.33985826373100281</v>
          </cell>
          <cell r="F4401" t="str">
            <v>14 Aug 2024</v>
          </cell>
        </row>
        <row r="4402">
          <cell r="A4402" t="str">
            <v>BGD</v>
          </cell>
          <cell r="B4402">
            <v>2009</v>
          </cell>
          <cell r="C4402" t="str">
            <v>mar_agrfc</v>
          </cell>
          <cell r="D4402">
            <v>18.363143920898438</v>
          </cell>
          <cell r="F4402" t="str">
            <v>14 Aug 2024</v>
          </cell>
        </row>
        <row r="4403">
          <cell r="A4403" t="str">
            <v>BGD</v>
          </cell>
          <cell r="B4403">
            <v>2011</v>
          </cell>
          <cell r="C4403" t="str">
            <v>mataxfc</v>
          </cell>
          <cell r="D4403">
            <v>2.926074743270874</v>
          </cell>
          <cell r="F4403" t="str">
            <v>14 Aug 2024</v>
          </cell>
        </row>
        <row r="4404">
          <cell r="A4404" t="str">
            <v>BGD</v>
          </cell>
          <cell r="B4404">
            <v>2019</v>
          </cell>
          <cell r="C4404" t="str">
            <v>mar_con</v>
          </cell>
          <cell r="D4404">
            <v>66.056976318359375</v>
          </cell>
          <cell r="F4404" t="str">
            <v>14 Aug 2024</v>
          </cell>
        </row>
        <row r="4405">
          <cell r="A4405" t="str">
            <v>BGD</v>
          </cell>
          <cell r="B4405">
            <v>2007</v>
          </cell>
          <cell r="C4405" t="str">
            <v>mareer</v>
          </cell>
          <cell r="D4405">
            <v>59.518218994140625</v>
          </cell>
          <cell r="F4405" t="str">
            <v>14 Aug 2024</v>
          </cell>
        </row>
        <row r="4406">
          <cell r="A4406" t="str">
            <v>BGD</v>
          </cell>
          <cell r="B4406">
            <v>2011</v>
          </cell>
          <cell r="C4406" t="str">
            <v>madeficit_</v>
          </cell>
          <cell r="D4406">
            <v>-3.024381160736084</v>
          </cell>
          <cell r="F4406" t="str">
            <v>14 Aug 2024</v>
          </cell>
        </row>
        <row r="4407">
          <cell r="A4407" t="str">
            <v>BGD</v>
          </cell>
          <cell r="B4407">
            <v>2010</v>
          </cell>
          <cell r="C4407" t="str">
            <v>maindfc</v>
          </cell>
          <cell r="D4407">
            <v>7.0322017669677734</v>
          </cell>
          <cell r="F4407" t="str">
            <v>14 Aug 2024</v>
          </cell>
        </row>
        <row r="4408">
          <cell r="A4408" t="str">
            <v>BGD</v>
          </cell>
          <cell r="B4408">
            <v>2025</v>
          </cell>
          <cell r="C4408" t="str">
            <v>macpiz</v>
          </cell>
          <cell r="D4408">
            <v>8.5</v>
          </cell>
          <cell r="F4408" t="str">
            <v>14 Aug 2024</v>
          </cell>
        </row>
        <row r="4409">
          <cell r="A4409" t="str">
            <v>BGD</v>
          </cell>
          <cell r="B4409">
            <v>2014</v>
          </cell>
          <cell r="C4409" t="str">
            <v>mac_labz</v>
          </cell>
          <cell r="D4409">
            <v>1.5508493185043335</v>
          </cell>
          <cell r="F4409" t="str">
            <v>14 Aug 2024</v>
          </cell>
        </row>
        <row r="4410">
          <cell r="A4410" t="str">
            <v>BGD</v>
          </cell>
          <cell r="B4410">
            <v>2012</v>
          </cell>
          <cell r="C4410" t="str">
            <v>magdpz</v>
          </cell>
          <cell r="D4410">
            <v>6.5214352607727051</v>
          </cell>
          <cell r="F4410" t="str">
            <v>14 Aug 2024</v>
          </cell>
        </row>
        <row r="4411">
          <cell r="A4411" t="str">
            <v>BGD</v>
          </cell>
          <cell r="B4411">
            <v>2020</v>
          </cell>
          <cell r="C4411" t="str">
            <v>magdpz</v>
          </cell>
          <cell r="D4411">
            <v>3.448033332824707</v>
          </cell>
          <cell r="F4411" t="str">
            <v>14 Aug 2024</v>
          </cell>
        </row>
        <row r="4412">
          <cell r="A4412" t="str">
            <v>BGD</v>
          </cell>
          <cell r="B4412">
            <v>2021</v>
          </cell>
          <cell r="C4412" t="str">
            <v>macab_</v>
          </cell>
          <cell r="D4412">
            <v>-1.0990419387817383</v>
          </cell>
          <cell r="F4412" t="str">
            <v>14 Aug 2024</v>
          </cell>
        </row>
        <row r="4413">
          <cell r="A4413" t="str">
            <v>BGD</v>
          </cell>
          <cell r="B4413">
            <v>2022</v>
          </cell>
          <cell r="C4413" t="str">
            <v>maindfc</v>
          </cell>
          <cell r="D4413">
            <v>9.8556842803955078</v>
          </cell>
          <cell r="F4413" t="str">
            <v>14 Aug 2024</v>
          </cell>
        </row>
        <row r="4414">
          <cell r="A4414" t="str">
            <v>BGD</v>
          </cell>
          <cell r="B4414">
            <v>2024</v>
          </cell>
          <cell r="C4414" t="str">
            <v>mareer</v>
          </cell>
          <cell r="D4414">
            <v>104.81016540527344</v>
          </cell>
          <cell r="F4414" t="str">
            <v>14 Aug 2024</v>
          </cell>
        </row>
        <row r="4415">
          <cell r="A4415" t="str">
            <v>BGD</v>
          </cell>
          <cell r="B4415">
            <v>2015</v>
          </cell>
          <cell r="C4415" t="str">
            <v>magovz</v>
          </cell>
          <cell r="D4415">
            <v>8.7515707015991211</v>
          </cell>
          <cell r="F4415" t="str">
            <v>14 Aug 2024</v>
          </cell>
        </row>
        <row r="4416">
          <cell r="A4416" t="str">
            <v>BGD</v>
          </cell>
          <cell r="B4416">
            <v>2023</v>
          </cell>
          <cell r="C4416" t="str">
            <v>madeficit_</v>
          </cell>
          <cell r="D4416">
            <v>-4.3738570213317871</v>
          </cell>
          <cell r="F4416" t="str">
            <v>14 Aug 2024</v>
          </cell>
        </row>
        <row r="4417">
          <cell r="A4417" t="str">
            <v>BGD</v>
          </cell>
          <cell r="B4417">
            <v>2014</v>
          </cell>
          <cell r="C4417" t="str">
            <v>macpiz</v>
          </cell>
          <cell r="D4417">
            <v>7.3494791984558105</v>
          </cell>
          <cell r="F4417" t="str">
            <v>14 Aug 2024</v>
          </cell>
        </row>
        <row r="4418">
          <cell r="A4418" t="str">
            <v>BGD</v>
          </cell>
          <cell r="B4418">
            <v>2010</v>
          </cell>
          <cell r="C4418" t="str">
            <v>mapanusatls</v>
          </cell>
          <cell r="D4418">
            <v>69.185417175292969</v>
          </cell>
          <cell r="F4418" t="str">
            <v>14 Aug 2024</v>
          </cell>
        </row>
        <row r="4419">
          <cell r="A4419" t="str">
            <v>BGD</v>
          </cell>
          <cell r="B4419">
            <v>2012</v>
          </cell>
          <cell r="C4419" t="str">
            <v>mainvz</v>
          </cell>
          <cell r="D4419">
            <v>10.518452644348145</v>
          </cell>
          <cell r="F4419" t="str">
            <v>14 Aug 2024</v>
          </cell>
        </row>
        <row r="4420">
          <cell r="A4420" t="str">
            <v>BGD</v>
          </cell>
          <cell r="B4420">
            <v>2022</v>
          </cell>
          <cell r="C4420" t="str">
            <v>mar_impz</v>
          </cell>
          <cell r="D4420">
            <v>20.897741317749023</v>
          </cell>
          <cell r="F4420" t="str">
            <v>14 Aug 2024</v>
          </cell>
        </row>
        <row r="4421">
          <cell r="A4421" t="str">
            <v>BGD</v>
          </cell>
          <cell r="B4421">
            <v>2016</v>
          </cell>
          <cell r="C4421" t="str">
            <v>magovz</v>
          </cell>
          <cell r="D4421">
            <v>8.3684282302856445</v>
          </cell>
          <cell r="F4421" t="str">
            <v>14 Aug 2024</v>
          </cell>
        </row>
        <row r="4422">
          <cell r="A4422" t="str">
            <v>BGD</v>
          </cell>
          <cell r="B4422">
            <v>2024</v>
          </cell>
          <cell r="C4422" t="str">
            <v>mainvz</v>
          </cell>
          <cell r="D4422">
            <v>5.5606088638305664</v>
          </cell>
          <cell r="F4422" t="str">
            <v>14 Aug 2024</v>
          </cell>
        </row>
        <row r="4423">
          <cell r="A4423" t="str">
            <v>BGD</v>
          </cell>
          <cell r="B4423">
            <v>2019</v>
          </cell>
          <cell r="C4423" t="str">
            <v>mar_expz</v>
          </cell>
          <cell r="D4423">
            <v>13.094755172729492</v>
          </cell>
          <cell r="F4423" t="str">
            <v>14 Aug 2024</v>
          </cell>
        </row>
        <row r="4424">
          <cell r="A4424" t="str">
            <v>BGD</v>
          </cell>
          <cell r="B4424">
            <v>2023</v>
          </cell>
          <cell r="C4424" t="str">
            <v>mar_indfc</v>
          </cell>
          <cell r="D4424">
            <v>37.652393341064453</v>
          </cell>
          <cell r="F4424" t="str">
            <v>14 Aug 2024</v>
          </cell>
        </row>
        <row r="4425">
          <cell r="A4425" t="str">
            <v>BGD</v>
          </cell>
          <cell r="B4425">
            <v>2013</v>
          </cell>
          <cell r="C4425" t="str">
            <v>maagrfc</v>
          </cell>
          <cell r="D4425">
            <v>2.4648876190185547</v>
          </cell>
          <cell r="F4425" t="str">
            <v>14 Aug 2024</v>
          </cell>
        </row>
        <row r="4426">
          <cell r="A4426" t="str">
            <v>BGD</v>
          </cell>
          <cell r="B4426">
            <v>2016</v>
          </cell>
          <cell r="C4426" t="str">
            <v>malabz</v>
          </cell>
          <cell r="D4426">
            <v>2.1143736839294434</v>
          </cell>
          <cell r="F4426" t="str">
            <v>14 Aug 2024</v>
          </cell>
        </row>
        <row r="4427">
          <cell r="A4427" t="str">
            <v>BGD</v>
          </cell>
          <cell r="B4427">
            <v>2024</v>
          </cell>
          <cell r="C4427" t="str">
            <v>masrvfc</v>
          </cell>
          <cell r="D4427">
            <v>5.6386928558349609</v>
          </cell>
          <cell r="F4427" t="str">
            <v>14 Aug 2024</v>
          </cell>
        </row>
        <row r="4428">
          <cell r="A4428" t="str">
            <v>BGD</v>
          </cell>
          <cell r="B4428">
            <v>2023</v>
          </cell>
          <cell r="C4428" t="str">
            <v>mainvz</v>
          </cell>
          <cell r="D4428">
            <v>2.2109556198120117</v>
          </cell>
          <cell r="F4428" t="str">
            <v>14 Aug 2024</v>
          </cell>
        </row>
        <row r="4429">
          <cell r="A4429" t="str">
            <v>BGD</v>
          </cell>
          <cell r="B4429">
            <v>2026</v>
          </cell>
          <cell r="C4429" t="str">
            <v>mar_taxfc</v>
          </cell>
          <cell r="D4429">
            <v>3.3807861804962158</v>
          </cell>
          <cell r="F4429" t="str">
            <v>14 Aug 2024</v>
          </cell>
        </row>
        <row r="4430">
          <cell r="A4430" t="str">
            <v>BGD</v>
          </cell>
          <cell r="B4430">
            <v>2008</v>
          </cell>
          <cell r="C4430" t="str">
            <v>magap_</v>
          </cell>
          <cell r="D4430">
            <v>1.4544836282730103</v>
          </cell>
          <cell r="F4430" t="str">
            <v>14 Aug 2024</v>
          </cell>
        </row>
        <row r="4431">
          <cell r="A4431" t="str">
            <v>BGD</v>
          </cell>
          <cell r="B4431">
            <v>2026</v>
          </cell>
          <cell r="C4431" t="str">
            <v>madebt_</v>
          </cell>
          <cell r="D4431">
            <v>36.029018402099609</v>
          </cell>
          <cell r="F4431" t="str">
            <v>14 Aug 2024</v>
          </cell>
        </row>
        <row r="4432">
          <cell r="A4432" t="str">
            <v>BGD</v>
          </cell>
          <cell r="B4432">
            <v>2008</v>
          </cell>
          <cell r="C4432" t="str">
            <v>mar_indfc</v>
          </cell>
          <cell r="D4432">
            <v>26.126096725463867</v>
          </cell>
          <cell r="F4432" t="str">
            <v>14 Aug 2024</v>
          </cell>
        </row>
        <row r="4433">
          <cell r="A4433" t="str">
            <v>BGD</v>
          </cell>
          <cell r="B4433">
            <v>2019</v>
          </cell>
          <cell r="C4433" t="str">
            <v>magap_</v>
          </cell>
          <cell r="D4433">
            <v>0.73117643594741821</v>
          </cell>
          <cell r="F4433" t="str">
            <v>14 Aug 2024</v>
          </cell>
        </row>
        <row r="4434">
          <cell r="A4434" t="str">
            <v>BGD</v>
          </cell>
          <cell r="B4434">
            <v>2018</v>
          </cell>
          <cell r="C4434" t="str">
            <v>mar_agrfc</v>
          </cell>
          <cell r="D4434">
            <v>13.13953685760498</v>
          </cell>
          <cell r="F4434" t="str">
            <v>14 Aug 2024</v>
          </cell>
        </row>
        <row r="4435">
          <cell r="A4435" t="str">
            <v>BGD</v>
          </cell>
          <cell r="B4435">
            <v>2014</v>
          </cell>
          <cell r="C4435" t="str">
            <v>maagrfc</v>
          </cell>
          <cell r="D4435">
            <v>4.3718700408935547</v>
          </cell>
          <cell r="F4435" t="str">
            <v>14 Aug 2024</v>
          </cell>
        </row>
        <row r="4436">
          <cell r="A4436" t="str">
            <v>BGD</v>
          </cell>
          <cell r="B4436">
            <v>2016</v>
          </cell>
          <cell r="C4436" t="str">
            <v>mar_con</v>
          </cell>
          <cell r="D4436">
            <v>66.864433288574219</v>
          </cell>
          <cell r="F4436" t="str">
            <v>14 Aug 2024</v>
          </cell>
        </row>
        <row r="4437">
          <cell r="A4437" t="str">
            <v>BGD</v>
          </cell>
          <cell r="B4437">
            <v>2011</v>
          </cell>
          <cell r="C4437" t="str">
            <v>mac_tfpz</v>
          </cell>
          <cell r="D4437">
            <v>0.72734099626541138</v>
          </cell>
          <cell r="F4437" t="str">
            <v>14 Aug 2024</v>
          </cell>
        </row>
        <row r="4438">
          <cell r="A4438" t="str">
            <v>BGD</v>
          </cell>
          <cell r="B4438">
            <v>2017</v>
          </cell>
          <cell r="C4438" t="str">
            <v>mar_impz</v>
          </cell>
          <cell r="D4438">
            <v>17.179981231689453</v>
          </cell>
          <cell r="F4438" t="str">
            <v>14 Aug 2024</v>
          </cell>
        </row>
        <row r="4439">
          <cell r="A4439" t="str">
            <v>BGD</v>
          </cell>
          <cell r="B4439">
            <v>2013</v>
          </cell>
          <cell r="C4439" t="str">
            <v>macab_</v>
          </cell>
          <cell r="D4439">
            <v>1.3289864063262939</v>
          </cell>
          <cell r="F4439" t="str">
            <v>14 Aug 2024</v>
          </cell>
        </row>
        <row r="4440">
          <cell r="A4440" t="str">
            <v>BGD</v>
          </cell>
          <cell r="B4440">
            <v>2018</v>
          </cell>
          <cell r="C4440" t="str">
            <v>matfpz</v>
          </cell>
          <cell r="D4440">
            <v>1.1167453527450562</v>
          </cell>
          <cell r="F4440" t="str">
            <v>14 Aug 2024</v>
          </cell>
        </row>
        <row r="4441">
          <cell r="A4441" t="str">
            <v>BGD</v>
          </cell>
          <cell r="B4441">
            <v>2018</v>
          </cell>
          <cell r="C4441" t="str">
            <v>mar_impz</v>
          </cell>
          <cell r="D4441">
            <v>19.839845657348633</v>
          </cell>
          <cell r="F4441" t="str">
            <v>14 Aug 2024</v>
          </cell>
        </row>
        <row r="4442">
          <cell r="A4442" t="str">
            <v>BGD</v>
          </cell>
          <cell r="B4442">
            <v>2026</v>
          </cell>
          <cell r="C4442" t="str">
            <v>mar_srvfc</v>
          </cell>
          <cell r="D4442">
            <v>50.693977355957031</v>
          </cell>
          <cell r="F4442" t="str">
            <v>14 Aug 2024</v>
          </cell>
        </row>
        <row r="4443">
          <cell r="A4443" t="str">
            <v>BGD</v>
          </cell>
          <cell r="B4443">
            <v>2021</v>
          </cell>
          <cell r="C4443" t="str">
            <v>masrvfc</v>
          </cell>
          <cell r="D4443">
            <v>5.7321672439575195</v>
          </cell>
          <cell r="F4443" t="str">
            <v>14 Aug 2024</v>
          </cell>
        </row>
        <row r="4444">
          <cell r="A4444" t="str">
            <v>BGD</v>
          </cell>
          <cell r="B4444">
            <v>2026</v>
          </cell>
          <cell r="C4444" t="str">
            <v>mar_con</v>
          </cell>
          <cell r="D4444">
            <v>60.901565551757813</v>
          </cell>
          <cell r="F4444" t="str">
            <v>14 Aug 2024</v>
          </cell>
        </row>
        <row r="4445">
          <cell r="A4445" t="str">
            <v>BGD</v>
          </cell>
          <cell r="B4445">
            <v>2021</v>
          </cell>
          <cell r="C4445" t="str">
            <v>macpiz</v>
          </cell>
          <cell r="D4445">
            <v>5.557647705078125</v>
          </cell>
          <cell r="F4445" t="str">
            <v>14 Aug 2024</v>
          </cell>
        </row>
        <row r="4446">
          <cell r="A4446" t="str">
            <v>BGD</v>
          </cell>
          <cell r="B4446">
            <v>2024</v>
          </cell>
          <cell r="C4446" t="str">
            <v>maexpz</v>
          </cell>
          <cell r="D4446">
            <v>0.10000000149011612</v>
          </cell>
          <cell r="F4446" t="str">
            <v>14 Aug 2024</v>
          </cell>
        </row>
        <row r="4447">
          <cell r="A4447" t="str">
            <v>BGD</v>
          </cell>
          <cell r="B4447">
            <v>2020</v>
          </cell>
          <cell r="C4447" t="str">
            <v>malabz</v>
          </cell>
          <cell r="D4447">
            <v>1.7328606843948364</v>
          </cell>
          <cell r="F4447" t="str">
            <v>14 Aug 2024</v>
          </cell>
        </row>
        <row r="4448">
          <cell r="A4448" t="str">
            <v>BGD</v>
          </cell>
          <cell r="B4448">
            <v>2020</v>
          </cell>
          <cell r="C4448" t="str">
            <v>maconz</v>
          </cell>
          <cell r="D4448">
            <v>2.9967999458312988</v>
          </cell>
          <cell r="F4448" t="str">
            <v>14 Aug 2024</v>
          </cell>
        </row>
        <row r="4449">
          <cell r="A4449" t="str">
            <v>BGD</v>
          </cell>
          <cell r="B4449">
            <v>2009</v>
          </cell>
          <cell r="C4449" t="str">
            <v>mar_indfc</v>
          </cell>
          <cell r="D4449">
            <v>26.537071228027344</v>
          </cell>
          <cell r="F4449" t="str">
            <v>14 Aug 2024</v>
          </cell>
        </row>
        <row r="4450">
          <cell r="A4450" t="str">
            <v>BGD</v>
          </cell>
          <cell r="B4450">
            <v>2018</v>
          </cell>
          <cell r="C4450" t="str">
            <v>magovz</v>
          </cell>
          <cell r="D4450">
            <v>5.2774848937988281</v>
          </cell>
          <cell r="F4450" t="str">
            <v>14 Aug 2024</v>
          </cell>
        </row>
        <row r="4451">
          <cell r="A4451" t="str">
            <v>BGD</v>
          </cell>
          <cell r="B4451">
            <v>2006</v>
          </cell>
          <cell r="C4451" t="str">
            <v>maexpz</v>
          </cell>
          <cell r="D4451">
            <v>25.476310729980469</v>
          </cell>
          <cell r="F4451" t="str">
            <v>14 Aug 2024</v>
          </cell>
        </row>
        <row r="4452">
          <cell r="A4452" t="str">
            <v>BGD</v>
          </cell>
          <cell r="B4452">
            <v>2017</v>
          </cell>
          <cell r="C4452" t="str">
            <v>mar_con</v>
          </cell>
          <cell r="D4452">
            <v>66.663009643554688</v>
          </cell>
          <cell r="F4452" t="str">
            <v>14 Aug 2024</v>
          </cell>
        </row>
        <row r="4453">
          <cell r="A4453" t="str">
            <v>BGD</v>
          </cell>
          <cell r="B4453">
            <v>2009</v>
          </cell>
          <cell r="C4453" t="str">
            <v>madebt_</v>
          </cell>
          <cell r="D4453">
            <v>30.249513626098633</v>
          </cell>
          <cell r="F4453" t="str">
            <v>14 Aug 2024</v>
          </cell>
        </row>
        <row r="4454">
          <cell r="A4454" t="str">
            <v>BGD</v>
          </cell>
          <cell r="B4454">
            <v>2022</v>
          </cell>
          <cell r="C4454" t="str">
            <v>malabz</v>
          </cell>
          <cell r="D4454">
            <v>1.4784473180770874</v>
          </cell>
          <cell r="F4454" t="str">
            <v>14 Aug 2024</v>
          </cell>
        </row>
        <row r="4455">
          <cell r="A4455" t="str">
            <v>BGD</v>
          </cell>
          <cell r="B4455">
            <v>2017</v>
          </cell>
          <cell r="C4455" t="str">
            <v>magovz</v>
          </cell>
          <cell r="D4455">
            <v>7.2025270462036133</v>
          </cell>
          <cell r="F4455" t="str">
            <v>14 Aug 2024</v>
          </cell>
        </row>
        <row r="4456">
          <cell r="A4456" t="str">
            <v>BGD</v>
          </cell>
          <cell r="B4456">
            <v>2009</v>
          </cell>
          <cell r="C4456" t="str">
            <v>magovz</v>
          </cell>
          <cell r="D4456">
            <v>6.102818489074707</v>
          </cell>
          <cell r="F4456" t="str">
            <v>14 Aug 2024</v>
          </cell>
        </row>
        <row r="4457">
          <cell r="A4457" t="str">
            <v>BGD</v>
          </cell>
          <cell r="B4457">
            <v>2017</v>
          </cell>
          <cell r="C4457" t="str">
            <v>mareer</v>
          </cell>
          <cell r="D4457">
            <v>108.81985473632813</v>
          </cell>
          <cell r="F4457" t="str">
            <v>14 Aug 2024</v>
          </cell>
        </row>
        <row r="4458">
          <cell r="A4458" t="str">
            <v>BGD</v>
          </cell>
          <cell r="B4458">
            <v>2007</v>
          </cell>
          <cell r="C4458" t="str">
            <v>mac_labz</v>
          </cell>
          <cell r="D4458">
            <v>1.0332400798797607</v>
          </cell>
          <cell r="F4458" t="str">
            <v>14 Aug 2024</v>
          </cell>
        </row>
        <row r="4459">
          <cell r="A4459" t="str">
            <v>BGD</v>
          </cell>
          <cell r="B4459">
            <v>2010</v>
          </cell>
          <cell r="C4459" t="str">
            <v>mar_srvfc</v>
          </cell>
          <cell r="D4459">
            <v>54.833034515380859</v>
          </cell>
          <cell r="F4459" t="str">
            <v>14 Aug 2024</v>
          </cell>
        </row>
        <row r="4460">
          <cell r="A4460" t="str">
            <v>BGD</v>
          </cell>
          <cell r="B4460">
            <v>2014</v>
          </cell>
          <cell r="C4460" t="str">
            <v>madeficit_</v>
          </cell>
          <cell r="D4460">
            <v>-2.5750398635864258</v>
          </cell>
          <cell r="F4460" t="str">
            <v>14 Aug 2024</v>
          </cell>
        </row>
        <row r="4461">
          <cell r="A4461" t="str">
            <v>BGD</v>
          </cell>
          <cell r="B4461">
            <v>2017</v>
          </cell>
          <cell r="C4461" t="str">
            <v>macpiz</v>
          </cell>
          <cell r="D4461">
            <v>5.4402766227722168</v>
          </cell>
          <cell r="F4461" t="str">
            <v>14 Aug 2024</v>
          </cell>
        </row>
        <row r="4462">
          <cell r="A4462" t="str">
            <v>BGD</v>
          </cell>
          <cell r="B4462">
            <v>2013</v>
          </cell>
          <cell r="C4462" t="str">
            <v>mapanusatls</v>
          </cell>
          <cell r="D4462">
            <v>79.92877197265625</v>
          </cell>
          <cell r="F4462" t="str">
            <v>14 Aug 2024</v>
          </cell>
        </row>
        <row r="4463">
          <cell r="A4463" t="str">
            <v>BGD</v>
          </cell>
          <cell r="B4463">
            <v>2026</v>
          </cell>
          <cell r="C4463" t="str">
            <v>macab_</v>
          </cell>
          <cell r="D4463">
            <v>-0.1719035804271698</v>
          </cell>
          <cell r="F4463" t="str">
            <v>14 Aug 2024</v>
          </cell>
        </row>
        <row r="4464">
          <cell r="A4464" t="str">
            <v>BGD</v>
          </cell>
          <cell r="B4464">
            <v>2011</v>
          </cell>
          <cell r="C4464" t="str">
            <v>macab_</v>
          </cell>
          <cell r="D4464">
            <v>0.57496112585067749</v>
          </cell>
          <cell r="F4464" t="str">
            <v>14 Aug 2024</v>
          </cell>
        </row>
        <row r="4465">
          <cell r="A4465" t="str">
            <v>BGD</v>
          </cell>
          <cell r="B4465">
            <v>2007</v>
          </cell>
          <cell r="C4465" t="str">
            <v>mar_con</v>
          </cell>
          <cell r="D4465">
            <v>77.822914123535156</v>
          </cell>
          <cell r="F4465" t="str">
            <v>14 Aug 2024</v>
          </cell>
        </row>
        <row r="4466">
          <cell r="A4466" t="str">
            <v>BGD</v>
          </cell>
          <cell r="B4466">
            <v>2020</v>
          </cell>
          <cell r="C4466" t="str">
            <v>maindfc</v>
          </cell>
          <cell r="D4466">
            <v>3.6110899448394775</v>
          </cell>
          <cell r="F4466" t="str">
            <v>14 Aug 2024</v>
          </cell>
        </row>
        <row r="4467">
          <cell r="A4467" t="str">
            <v>BGD</v>
          </cell>
          <cell r="B4467">
            <v>2024</v>
          </cell>
          <cell r="C4467" t="str">
            <v>magap_</v>
          </cell>
          <cell r="D4467">
            <v>-2.3542940616607666</v>
          </cell>
          <cell r="F4467" t="str">
            <v>14 Aug 2024</v>
          </cell>
        </row>
        <row r="4468">
          <cell r="A4468" t="str">
            <v>BGD</v>
          </cell>
          <cell r="B4468">
            <v>2007</v>
          </cell>
          <cell r="C4468" t="str">
            <v>matfpz</v>
          </cell>
          <cell r="D4468">
            <v>0.5735132098197937</v>
          </cell>
          <cell r="F4468" t="str">
            <v>14 Aug 2024</v>
          </cell>
        </row>
        <row r="4469">
          <cell r="A4469" t="str">
            <v>BGD</v>
          </cell>
          <cell r="B4469">
            <v>2007</v>
          </cell>
          <cell r="C4469" t="str">
            <v>maindfc</v>
          </cell>
          <cell r="D4469">
            <v>9.0278282165527344</v>
          </cell>
          <cell r="F4469" t="str">
            <v>14 Aug 2024</v>
          </cell>
        </row>
        <row r="4470">
          <cell r="A4470" t="str">
            <v>BGD</v>
          </cell>
          <cell r="B4470">
            <v>2011</v>
          </cell>
          <cell r="C4470" t="str">
            <v>mar_con</v>
          </cell>
          <cell r="D4470">
            <v>73.66693115234375</v>
          </cell>
          <cell r="F4470" t="str">
            <v>14 Aug 2024</v>
          </cell>
        </row>
        <row r="4471">
          <cell r="A4471" t="str">
            <v>BGD</v>
          </cell>
          <cell r="B4471">
            <v>2009</v>
          </cell>
          <cell r="C4471" t="str">
            <v>matfpz</v>
          </cell>
          <cell r="D4471">
            <v>0.65709775686264038</v>
          </cell>
          <cell r="F4471" t="str">
            <v>14 Aug 2024</v>
          </cell>
        </row>
        <row r="4472">
          <cell r="A4472" t="str">
            <v>BGD</v>
          </cell>
          <cell r="B4472">
            <v>2006</v>
          </cell>
          <cell r="C4472" t="str">
            <v>mac_labz</v>
          </cell>
          <cell r="D4472">
            <v>1.1755099296569824</v>
          </cell>
          <cell r="F4472" t="str">
            <v>14 Aug 2024</v>
          </cell>
        </row>
        <row r="4473">
          <cell r="A4473" t="str">
            <v>BGD</v>
          </cell>
          <cell r="B4473">
            <v>2015</v>
          </cell>
          <cell r="C4473" t="str">
            <v>malabz</v>
          </cell>
          <cell r="D4473">
            <v>2.1123180389404297</v>
          </cell>
          <cell r="F4473" t="str">
            <v>14 Aug 2024</v>
          </cell>
        </row>
        <row r="4474">
          <cell r="A4474" t="str">
            <v>BGD</v>
          </cell>
          <cell r="B4474">
            <v>2009</v>
          </cell>
          <cell r="C4474" t="str">
            <v>mac_tfpz</v>
          </cell>
          <cell r="D4474">
            <v>0.65709775686264038</v>
          </cell>
          <cell r="F4474" t="str">
            <v>14 Aug 2024</v>
          </cell>
        </row>
        <row r="4475">
          <cell r="A4475" t="str">
            <v>BGD</v>
          </cell>
          <cell r="B4475">
            <v>2005</v>
          </cell>
          <cell r="C4475" t="str">
            <v>mar_con</v>
          </cell>
          <cell r="D4475">
            <v>77.278846740722656</v>
          </cell>
          <cell r="F4475" t="str">
            <v>14 Aug 2024</v>
          </cell>
        </row>
        <row r="4476">
          <cell r="A4476" t="str">
            <v>BGD</v>
          </cell>
          <cell r="B4476">
            <v>2021</v>
          </cell>
          <cell r="C4476" t="str">
            <v>mapanusatls</v>
          </cell>
          <cell r="D4476">
            <v>84.804832458496094</v>
          </cell>
          <cell r="F4476" t="str">
            <v>14 Aug 2024</v>
          </cell>
        </row>
        <row r="4477">
          <cell r="A4477" t="str">
            <v>BGD</v>
          </cell>
          <cell r="B4477">
            <v>2026</v>
          </cell>
          <cell r="C4477" t="str">
            <v>maexpz</v>
          </cell>
          <cell r="D4477">
            <v>6.4000000953674316</v>
          </cell>
          <cell r="F4477" t="str">
            <v>14 Aug 2024</v>
          </cell>
        </row>
        <row r="4478">
          <cell r="A4478" t="str">
            <v>BGD</v>
          </cell>
          <cell r="B4478">
            <v>2007</v>
          </cell>
          <cell r="C4478" t="str">
            <v>maexpz</v>
          </cell>
          <cell r="D4478">
            <v>12.975603103637695</v>
          </cell>
          <cell r="F4478" t="str">
            <v>14 Aug 2024</v>
          </cell>
        </row>
        <row r="4479">
          <cell r="A4479" t="str">
            <v>BGD</v>
          </cell>
          <cell r="B4479">
            <v>2006</v>
          </cell>
          <cell r="C4479" t="str">
            <v>maindfc</v>
          </cell>
          <cell r="D4479">
            <v>9.7979001998901367</v>
          </cell>
          <cell r="F4479" t="str">
            <v>14 Aug 2024</v>
          </cell>
        </row>
        <row r="4480">
          <cell r="A4480" t="str">
            <v>BGD</v>
          </cell>
          <cell r="B4480">
            <v>2018</v>
          </cell>
          <cell r="C4480" t="str">
            <v>magap_</v>
          </cell>
          <cell r="D4480">
            <v>-0.1261395663022995</v>
          </cell>
          <cell r="F4480" t="str">
            <v>14 Aug 2024</v>
          </cell>
        </row>
        <row r="4481">
          <cell r="A4481" t="str">
            <v>BGD</v>
          </cell>
          <cell r="B4481">
            <v>2014</v>
          </cell>
          <cell r="C4481" t="str">
            <v>madebt_</v>
          </cell>
          <cell r="D4481">
            <v>26.456037521362305</v>
          </cell>
          <cell r="F4481" t="str">
            <v>14 Aug 2024</v>
          </cell>
        </row>
        <row r="4482">
          <cell r="A4482" t="str">
            <v>BGD</v>
          </cell>
          <cell r="B4482">
            <v>2008</v>
          </cell>
          <cell r="C4482" t="str">
            <v>maindfc</v>
          </cell>
          <cell r="D4482">
            <v>7.033534049987793</v>
          </cell>
          <cell r="F4482" t="str">
            <v>14 Aug 2024</v>
          </cell>
        </row>
        <row r="4483">
          <cell r="A4483" t="str">
            <v>BGD</v>
          </cell>
          <cell r="B4483">
            <v>2012</v>
          </cell>
          <cell r="C4483" t="str">
            <v>mac_labz</v>
          </cell>
          <cell r="D4483">
            <v>1.497026801109314</v>
          </cell>
          <cell r="F4483" t="str">
            <v>14 Aug 2024</v>
          </cell>
        </row>
        <row r="4484">
          <cell r="A4484" t="str">
            <v>BGD</v>
          </cell>
          <cell r="B4484">
            <v>2006</v>
          </cell>
          <cell r="C4484" t="str">
            <v>mac_tfpz</v>
          </cell>
          <cell r="D4484">
            <v>0.49568238854408264</v>
          </cell>
          <cell r="F4484" t="str">
            <v>14 Aug 2024</v>
          </cell>
        </row>
        <row r="4485">
          <cell r="A4485" t="str">
            <v>BGD</v>
          </cell>
          <cell r="B4485">
            <v>2024</v>
          </cell>
          <cell r="C4485" t="str">
            <v>mar_indfc</v>
          </cell>
          <cell r="D4485">
            <v>37.968002319335938</v>
          </cell>
          <cell r="F4485" t="str">
            <v>14 Aug 2024</v>
          </cell>
        </row>
        <row r="4486">
          <cell r="A4486" t="str">
            <v>BGD</v>
          </cell>
          <cell r="B4486">
            <v>2025</v>
          </cell>
          <cell r="C4486" t="str">
            <v>madebt_</v>
          </cell>
          <cell r="D4486">
            <v>35.209281921386719</v>
          </cell>
          <cell r="F4486" t="str">
            <v>14 Aug 2024</v>
          </cell>
        </row>
        <row r="4487">
          <cell r="A4487" t="str">
            <v>BGD</v>
          </cell>
          <cell r="B4487">
            <v>2012</v>
          </cell>
          <cell r="C4487" t="str">
            <v>mar_agrfc</v>
          </cell>
          <cell r="D4487">
            <v>17.380279541015625</v>
          </cell>
          <cell r="F4487" t="str">
            <v>14 Aug 2024</v>
          </cell>
        </row>
        <row r="4488">
          <cell r="A4488" t="str">
            <v>BGD</v>
          </cell>
          <cell r="B4488">
            <v>2022</v>
          </cell>
          <cell r="C4488" t="str">
            <v>maconz</v>
          </cell>
          <cell r="D4488">
            <v>7.4765167236328125</v>
          </cell>
          <cell r="F4488" t="str">
            <v>14 Aug 2024</v>
          </cell>
        </row>
        <row r="4489">
          <cell r="A4489" t="str">
            <v>BGD</v>
          </cell>
          <cell r="B4489">
            <v>2025</v>
          </cell>
          <cell r="C4489" t="str">
            <v>malabz</v>
          </cell>
          <cell r="D4489">
            <v>1.1483707427978516</v>
          </cell>
          <cell r="F4489" t="str">
            <v>14 Aug 2024</v>
          </cell>
        </row>
        <row r="4490">
          <cell r="A4490" t="str">
            <v>BGD</v>
          </cell>
          <cell r="B4490">
            <v>2024</v>
          </cell>
          <cell r="C4490" t="str">
            <v>mataxfc</v>
          </cell>
          <cell r="D4490">
            <v>3.5859310626983643</v>
          </cell>
          <cell r="F4490" t="str">
            <v>14 Aug 2024</v>
          </cell>
        </row>
        <row r="4491">
          <cell r="A4491" t="str">
            <v>BGD</v>
          </cell>
          <cell r="B4491">
            <v>2022</v>
          </cell>
          <cell r="C4491" t="str">
            <v>masrvfc</v>
          </cell>
          <cell r="D4491">
            <v>6.2566752433776855</v>
          </cell>
          <cell r="F4491" t="str">
            <v>14 Aug 2024</v>
          </cell>
        </row>
        <row r="4492">
          <cell r="A4492" t="str">
            <v>BGD</v>
          </cell>
          <cell r="B4492">
            <v>2020</v>
          </cell>
          <cell r="C4492" t="str">
            <v>masrvfc</v>
          </cell>
          <cell r="D4492">
            <v>3.9328627586364746</v>
          </cell>
          <cell r="F4492" t="str">
            <v>14 Aug 2024</v>
          </cell>
        </row>
        <row r="4493">
          <cell r="A4493" t="str">
            <v>BGD</v>
          </cell>
          <cell r="B4493">
            <v>2006</v>
          </cell>
          <cell r="C4493" t="str">
            <v>mar_expz</v>
          </cell>
          <cell r="D4493">
            <v>13.66098690032959</v>
          </cell>
          <cell r="F4493" t="str">
            <v>14 Aug 2024</v>
          </cell>
        </row>
        <row r="4494">
          <cell r="A4494" t="str">
            <v>BGD</v>
          </cell>
          <cell r="B4494">
            <v>2012</v>
          </cell>
          <cell r="C4494" t="str">
            <v>maexpz</v>
          </cell>
          <cell r="D4494">
            <v>12.532258987426758</v>
          </cell>
          <cell r="F4494" t="str">
            <v>14 Aug 2024</v>
          </cell>
        </row>
        <row r="4495">
          <cell r="A4495" t="str">
            <v>BGD</v>
          </cell>
          <cell r="B4495">
            <v>2021</v>
          </cell>
          <cell r="C4495" t="str">
            <v>maindfc</v>
          </cell>
          <cell r="D4495">
            <v>10.287102699279785</v>
          </cell>
          <cell r="F4495" t="str">
            <v>14 Aug 2024</v>
          </cell>
        </row>
        <row r="4496">
          <cell r="A4496" t="str">
            <v>BGD</v>
          </cell>
          <cell r="B4496">
            <v>2009</v>
          </cell>
          <cell r="C4496" t="str">
            <v>mar_con</v>
          </cell>
          <cell r="D4496">
            <v>74.329421997070313</v>
          </cell>
          <cell r="F4496" t="str">
            <v>14 Aug 2024</v>
          </cell>
        </row>
        <row r="4497">
          <cell r="A4497" t="str">
            <v>BGD</v>
          </cell>
          <cell r="B4497">
            <v>2018</v>
          </cell>
          <cell r="C4497" t="str">
            <v>mar_expz</v>
          </cell>
          <cell r="D4497">
            <v>12.674787521362305</v>
          </cell>
          <cell r="F4497" t="str">
            <v>14 Aug 2024</v>
          </cell>
        </row>
        <row r="4498">
          <cell r="A4498" t="str">
            <v>BGD</v>
          </cell>
          <cell r="B4498">
            <v>2023</v>
          </cell>
          <cell r="C4498" t="str">
            <v>macab_</v>
          </cell>
          <cell r="D4498">
            <v>-0.60925602912902832</v>
          </cell>
          <cell r="F4498" t="str">
            <v>14 Aug 2024</v>
          </cell>
        </row>
        <row r="4499">
          <cell r="A4499" t="str">
            <v>BGD</v>
          </cell>
          <cell r="B4499">
            <v>2015</v>
          </cell>
          <cell r="C4499" t="str">
            <v>mar_expz</v>
          </cell>
          <cell r="D4499">
            <v>14.59095573425293</v>
          </cell>
          <cell r="F4499" t="str">
            <v>14 Aug 2024</v>
          </cell>
        </row>
        <row r="4500">
          <cell r="A4500" t="str">
            <v>BGD</v>
          </cell>
          <cell r="B4500">
            <v>2008</v>
          </cell>
          <cell r="C4500" t="str">
            <v>mafdi_</v>
          </cell>
          <cell r="D4500">
            <v>0.68140482902526855</v>
          </cell>
          <cell r="F4500" t="str">
            <v>14 Aug 2024</v>
          </cell>
        </row>
        <row r="4501">
          <cell r="A4501" t="str">
            <v>BGD</v>
          </cell>
          <cell r="B4501">
            <v>2008</v>
          </cell>
          <cell r="C4501" t="str">
            <v>mapanusatls</v>
          </cell>
          <cell r="D4501">
            <v>68.605720520019531</v>
          </cell>
          <cell r="F4501" t="str">
            <v>14 Aug 2024</v>
          </cell>
        </row>
        <row r="4502">
          <cell r="A4502" t="str">
            <v>BGD</v>
          </cell>
          <cell r="B4502">
            <v>2024</v>
          </cell>
          <cell r="C4502" t="str">
            <v>maindfc</v>
          </cell>
          <cell r="D4502">
            <v>6.5999999046325684</v>
          </cell>
          <cell r="F4502" t="str">
            <v>14 Aug 2024</v>
          </cell>
        </row>
        <row r="4503">
          <cell r="A4503" t="str">
            <v>BGD</v>
          </cell>
          <cell r="B4503">
            <v>2005</v>
          </cell>
          <cell r="C4503" t="str">
            <v>masrvfc</v>
          </cell>
          <cell r="D4503">
            <v>6.1955924034118652</v>
          </cell>
          <cell r="F4503" t="str">
            <v>14 Aug 2024</v>
          </cell>
        </row>
        <row r="4504">
          <cell r="A4504" t="str">
            <v>BGD</v>
          </cell>
          <cell r="B4504">
            <v>2025</v>
          </cell>
          <cell r="C4504" t="str">
            <v>mainvz</v>
          </cell>
          <cell r="D4504">
            <v>8.7716293334960938</v>
          </cell>
          <cell r="F4504" t="str">
            <v>14 Aug 2024</v>
          </cell>
        </row>
        <row r="4505">
          <cell r="A4505" t="str">
            <v>BGD</v>
          </cell>
          <cell r="B4505">
            <v>2012</v>
          </cell>
          <cell r="C4505" t="str">
            <v>mafdi_</v>
          </cell>
          <cell r="D4505">
            <v>-0.74579769372940063</v>
          </cell>
          <cell r="F4505" t="str">
            <v>14 Aug 2024</v>
          </cell>
        </row>
        <row r="4506">
          <cell r="A4506" t="str">
            <v>BGD</v>
          </cell>
          <cell r="B4506">
            <v>2016</v>
          </cell>
          <cell r="C4506" t="str">
            <v>maexpz</v>
          </cell>
          <cell r="D4506">
            <v>2.1967496871948242</v>
          </cell>
          <cell r="F4506" t="str">
            <v>14 Aug 2024</v>
          </cell>
        </row>
        <row r="4507">
          <cell r="A4507" t="str">
            <v>BGD</v>
          </cell>
          <cell r="B4507">
            <v>2015</v>
          </cell>
          <cell r="C4507" t="str">
            <v>macpiz</v>
          </cell>
          <cell r="D4507">
            <v>6.405418872833252</v>
          </cell>
          <cell r="F4507" t="str">
            <v>14 Aug 2024</v>
          </cell>
        </row>
        <row r="4508">
          <cell r="A4508" t="str">
            <v>BGD</v>
          </cell>
          <cell r="B4508">
            <v>2011</v>
          </cell>
          <cell r="C4508" t="str">
            <v>madebt_</v>
          </cell>
          <cell r="D4508">
            <v>28.365285873413086</v>
          </cell>
          <cell r="F4508" t="str">
            <v>14 Aug 2024</v>
          </cell>
        </row>
        <row r="4509">
          <cell r="A4509" t="str">
            <v>BGD</v>
          </cell>
          <cell r="B4509">
            <v>2017</v>
          </cell>
          <cell r="C4509" t="str">
            <v>masrvfc</v>
          </cell>
          <cell r="D4509">
            <v>6.3749880790710449</v>
          </cell>
          <cell r="F4509" t="str">
            <v>14 Aug 2024</v>
          </cell>
        </row>
        <row r="4510">
          <cell r="A4510" t="str">
            <v>BGD</v>
          </cell>
          <cell r="B4510">
            <v>2023</v>
          </cell>
          <cell r="C4510" t="str">
            <v>maimpz</v>
          </cell>
          <cell r="D4510">
            <v>-9.7736530303955078</v>
          </cell>
          <cell r="F4510" t="str">
            <v>14 Aug 2024</v>
          </cell>
        </row>
        <row r="4511">
          <cell r="A4511" t="str">
            <v>BGD</v>
          </cell>
          <cell r="B4511">
            <v>2025</v>
          </cell>
          <cell r="C4511" t="str">
            <v>maexpz</v>
          </cell>
          <cell r="D4511">
            <v>7.1999998092651367</v>
          </cell>
          <cell r="F4511" t="str">
            <v>14 Aug 2024</v>
          </cell>
        </row>
        <row r="4512">
          <cell r="A4512" t="str">
            <v>BGD</v>
          </cell>
          <cell r="B4512">
            <v>2016</v>
          </cell>
          <cell r="C4512" t="str">
            <v>magdpz</v>
          </cell>
          <cell r="D4512">
            <v>7.11346435546875</v>
          </cell>
          <cell r="F4512" t="str">
            <v>14 Aug 2024</v>
          </cell>
        </row>
        <row r="4513">
          <cell r="A4513" t="str">
            <v>BGD</v>
          </cell>
          <cell r="B4513">
            <v>2017</v>
          </cell>
          <cell r="C4513" t="str">
            <v>maexpz</v>
          </cell>
          <cell r="D4513">
            <v>-1.8432807922363281</v>
          </cell>
          <cell r="F4513" t="str">
            <v>14 Aug 2024</v>
          </cell>
        </row>
        <row r="4514">
          <cell r="A4514" t="str">
            <v>BGD</v>
          </cell>
          <cell r="B4514">
            <v>2020</v>
          </cell>
          <cell r="C4514" t="str">
            <v>mataxfc</v>
          </cell>
          <cell r="D4514">
            <v>-3.6451570987701416</v>
          </cell>
          <cell r="F4514" t="str">
            <v>14 Aug 2024</v>
          </cell>
        </row>
        <row r="4515">
          <cell r="A4515" t="str">
            <v>BGD</v>
          </cell>
          <cell r="B4515">
            <v>2008</v>
          </cell>
          <cell r="C4515" t="str">
            <v>macpiz</v>
          </cell>
          <cell r="D4515">
            <v>12.291950225830078</v>
          </cell>
          <cell r="F4515" t="str">
            <v>14 Aug 2024</v>
          </cell>
        </row>
        <row r="4516">
          <cell r="A4516" t="str">
            <v>BGD</v>
          </cell>
          <cell r="B4516">
            <v>2022</v>
          </cell>
          <cell r="C4516" t="str">
            <v>maexpz</v>
          </cell>
          <cell r="D4516">
            <v>29.392555236816406</v>
          </cell>
          <cell r="F4516" t="str">
            <v>14 Aug 2024</v>
          </cell>
        </row>
        <row r="4517">
          <cell r="A4517" t="str">
            <v>BGD</v>
          </cell>
          <cell r="B4517">
            <v>2011</v>
          </cell>
          <cell r="C4517" t="str">
            <v>mapanusatls</v>
          </cell>
          <cell r="D4517">
            <v>71.211158752441406</v>
          </cell>
          <cell r="F4517" t="str">
            <v>14 Aug 2024</v>
          </cell>
        </row>
        <row r="4518">
          <cell r="A4518" t="str">
            <v>BGD</v>
          </cell>
          <cell r="B4518">
            <v>2011</v>
          </cell>
          <cell r="C4518" t="str">
            <v>macpiz</v>
          </cell>
          <cell r="D4518">
            <v>10.908594131469727</v>
          </cell>
          <cell r="F4518" t="str">
            <v>14 Aug 2024</v>
          </cell>
        </row>
        <row r="4519">
          <cell r="A4519" t="str">
            <v>BGD</v>
          </cell>
          <cell r="B4519">
            <v>2024</v>
          </cell>
          <cell r="C4519" t="str">
            <v>mar_agrfc</v>
          </cell>
          <cell r="D4519">
            <v>11.016226768493652</v>
          </cell>
          <cell r="F4519" t="str">
            <v>14 Aug 2024</v>
          </cell>
        </row>
        <row r="4520">
          <cell r="A4520" t="str">
            <v>BGD</v>
          </cell>
          <cell r="B4520">
            <v>2017</v>
          </cell>
          <cell r="C4520" t="str">
            <v>mar_srvfc</v>
          </cell>
          <cell r="D4520">
            <v>53.400722503662109</v>
          </cell>
          <cell r="F4520" t="str">
            <v>14 Aug 2024</v>
          </cell>
        </row>
        <row r="4521">
          <cell r="A4521" t="str">
            <v>BGD</v>
          </cell>
          <cell r="B4521">
            <v>2009</v>
          </cell>
          <cell r="C4521" t="str">
            <v>mac_labz</v>
          </cell>
          <cell r="D4521">
            <v>0.96336913108825684</v>
          </cell>
          <cell r="F4521" t="str">
            <v>14 Aug 2024</v>
          </cell>
        </row>
        <row r="4522">
          <cell r="A4522" t="str">
            <v>BGD</v>
          </cell>
          <cell r="B4522">
            <v>2016</v>
          </cell>
          <cell r="C4522" t="str">
            <v>mar_agrfc</v>
          </cell>
          <cell r="D4522">
            <v>14.063658714294434</v>
          </cell>
          <cell r="F4522" t="str">
            <v>14 Aug 2024</v>
          </cell>
        </row>
        <row r="4523">
          <cell r="A4523" t="str">
            <v>BGD</v>
          </cell>
          <cell r="B4523">
            <v>2013</v>
          </cell>
          <cell r="C4523" t="str">
            <v>mataxfc</v>
          </cell>
          <cell r="D4523">
            <v>3.2700912952423096</v>
          </cell>
          <cell r="F4523" t="str">
            <v>14 Aug 2024</v>
          </cell>
        </row>
        <row r="4524">
          <cell r="A4524" t="str">
            <v>BGD</v>
          </cell>
          <cell r="B4524">
            <v>2021</v>
          </cell>
          <cell r="C4524" t="str">
            <v>mar_indfc</v>
          </cell>
          <cell r="D4524">
            <v>36.011219024658203</v>
          </cell>
          <cell r="F4524" t="str">
            <v>14 Aug 2024</v>
          </cell>
        </row>
        <row r="4525">
          <cell r="A4525" t="str">
            <v>BGD</v>
          </cell>
          <cell r="B4525">
            <v>2009</v>
          </cell>
          <cell r="C4525" t="str">
            <v>magdpz</v>
          </cell>
          <cell r="D4525">
            <v>5.0451250076293945</v>
          </cell>
          <cell r="F4525" t="str">
            <v>14 Aug 2024</v>
          </cell>
        </row>
        <row r="4526">
          <cell r="A4526" t="str">
            <v>BGD</v>
          </cell>
          <cell r="B4526">
            <v>2013</v>
          </cell>
          <cell r="C4526" t="str">
            <v>madebt_</v>
          </cell>
          <cell r="D4526">
            <v>26.762514114379883</v>
          </cell>
          <cell r="F4526" t="str">
            <v>14 Aug 2024</v>
          </cell>
        </row>
        <row r="4527">
          <cell r="A4527" t="str">
            <v>BGD</v>
          </cell>
          <cell r="B4527">
            <v>2007</v>
          </cell>
          <cell r="C4527" t="str">
            <v>mafdi_</v>
          </cell>
          <cell r="D4527">
            <v>0.8315168023109436</v>
          </cell>
          <cell r="F4527" t="str">
            <v>14 Aug 2024</v>
          </cell>
        </row>
        <row r="4528">
          <cell r="A4528" t="str">
            <v>BGD</v>
          </cell>
          <cell r="B4528">
            <v>2015</v>
          </cell>
          <cell r="C4528" t="str">
            <v>mar_indfc</v>
          </cell>
          <cell r="D4528">
            <v>30.421762466430664</v>
          </cell>
          <cell r="F4528" t="str">
            <v>14 Aug 2024</v>
          </cell>
        </row>
        <row r="4529">
          <cell r="A4529" t="str">
            <v>BGD</v>
          </cell>
          <cell r="B4529">
            <v>2005</v>
          </cell>
          <cell r="C4529" t="str">
            <v>madebt_</v>
          </cell>
          <cell r="D4529">
            <v>37.270027160644531</v>
          </cell>
          <cell r="F4529" t="str">
            <v>14 Aug 2024</v>
          </cell>
        </row>
        <row r="4530">
          <cell r="A4530" t="str">
            <v>BGD</v>
          </cell>
          <cell r="B4530">
            <v>2024</v>
          </cell>
          <cell r="C4530" t="str">
            <v>mar_taxfc</v>
          </cell>
          <cell r="D4530">
            <v>3.3755903244018555</v>
          </cell>
          <cell r="F4530" t="str">
            <v>14 Aug 2024</v>
          </cell>
        </row>
        <row r="4531">
          <cell r="A4531" t="str">
            <v>BGD</v>
          </cell>
          <cell r="B4531">
            <v>2014</v>
          </cell>
          <cell r="C4531" t="str">
            <v>matfpz</v>
          </cell>
          <cell r="D4531">
            <v>0.88294470310211182</v>
          </cell>
          <cell r="F4531" t="str">
            <v>14 Aug 2024</v>
          </cell>
        </row>
        <row r="4532">
          <cell r="A4532" t="str">
            <v>BGD</v>
          </cell>
          <cell r="B4532">
            <v>2023</v>
          </cell>
          <cell r="C4532" t="str">
            <v>maexpz</v>
          </cell>
          <cell r="D4532">
            <v>8.0326128005981445</v>
          </cell>
          <cell r="F4532" t="str">
            <v>14 Aug 2024</v>
          </cell>
        </row>
        <row r="4533">
          <cell r="A4533" t="str">
            <v>BGD</v>
          </cell>
          <cell r="B4533">
            <v>2014</v>
          </cell>
          <cell r="C4533" t="str">
            <v>magovz</v>
          </cell>
          <cell r="D4533">
            <v>7.8851509094238281</v>
          </cell>
          <cell r="F4533" t="str">
            <v>14 Aug 2024</v>
          </cell>
        </row>
        <row r="4534">
          <cell r="A4534" t="str">
            <v>BGD</v>
          </cell>
          <cell r="B4534">
            <v>2023</v>
          </cell>
          <cell r="C4534" t="str">
            <v>mar_impz</v>
          </cell>
          <cell r="D4534">
            <v>17.825807571411133</v>
          </cell>
          <cell r="F4534" t="str">
            <v>14 Aug 2024</v>
          </cell>
        </row>
        <row r="4535">
          <cell r="A4535" t="str">
            <v>BGD</v>
          </cell>
          <cell r="B4535">
            <v>2006</v>
          </cell>
          <cell r="C4535" t="str">
            <v>mareer</v>
          </cell>
          <cell r="D4535">
            <v>62.430576324462891</v>
          </cell>
          <cell r="F4535" t="str">
            <v>14 Aug 2024</v>
          </cell>
        </row>
        <row r="4536">
          <cell r="A4536" t="str">
            <v>BGD</v>
          </cell>
          <cell r="B4536">
            <v>2026</v>
          </cell>
          <cell r="C4536" t="str">
            <v>madeficit_</v>
          </cell>
          <cell r="D4536">
            <v>-4.4366898536682129</v>
          </cell>
          <cell r="F4536" t="str">
            <v>14 Aug 2024</v>
          </cell>
        </row>
        <row r="4537">
          <cell r="A4537" t="str">
            <v>BGD</v>
          </cell>
          <cell r="B4537">
            <v>2012</v>
          </cell>
          <cell r="C4537" t="str">
            <v>mar_expz</v>
          </cell>
          <cell r="D4537">
            <v>17.014881134033203</v>
          </cell>
          <cell r="F4537" t="str">
            <v>14 Aug 2024</v>
          </cell>
        </row>
        <row r="4538">
          <cell r="A4538" t="str">
            <v>BGD</v>
          </cell>
          <cell r="B4538">
            <v>2021</v>
          </cell>
          <cell r="C4538" t="str">
            <v>mafdi_</v>
          </cell>
          <cell r="D4538">
            <v>-0.32550859451293945</v>
          </cell>
          <cell r="F4538" t="str">
            <v>14 Aug 2024</v>
          </cell>
        </row>
        <row r="4539">
          <cell r="A4539" t="str">
            <v>BGD</v>
          </cell>
          <cell r="B4539">
            <v>2020</v>
          </cell>
          <cell r="C4539" t="str">
            <v>mac_tfpz</v>
          </cell>
          <cell r="D4539">
            <v>1.1362149715423584</v>
          </cell>
          <cell r="F4539" t="str">
            <v>14 Aug 2024</v>
          </cell>
        </row>
        <row r="4540">
          <cell r="A4540" t="str">
            <v>BGD</v>
          </cell>
          <cell r="B4540">
            <v>2014</v>
          </cell>
          <cell r="C4540" t="str">
            <v>macab_</v>
          </cell>
          <cell r="D4540">
            <v>0.67678296566009521</v>
          </cell>
          <cell r="F4540" t="str">
            <v>14 Aug 2024</v>
          </cell>
        </row>
        <row r="4541">
          <cell r="A4541" t="str">
            <v>BGD</v>
          </cell>
          <cell r="B4541">
            <v>2008</v>
          </cell>
          <cell r="C4541" t="str">
            <v>magdpz</v>
          </cell>
          <cell r="D4541">
            <v>6.0137896537780762</v>
          </cell>
          <cell r="F4541" t="str">
            <v>14 Aug 2024</v>
          </cell>
        </row>
        <row r="4542">
          <cell r="A4542" t="str">
            <v>BGD</v>
          </cell>
          <cell r="B4542">
            <v>2017</v>
          </cell>
          <cell r="C4542" t="str">
            <v>mafdi_</v>
          </cell>
          <cell r="D4542">
            <v>-0.56254309415817261</v>
          </cell>
          <cell r="F4542" t="str">
            <v>14 Aug 2024</v>
          </cell>
        </row>
        <row r="4543">
          <cell r="A4543" t="str">
            <v>BGD</v>
          </cell>
          <cell r="B4543">
            <v>2021</v>
          </cell>
          <cell r="C4543" t="str">
            <v>mareer</v>
          </cell>
          <cell r="D4543">
            <v>115.03850555419922</v>
          </cell>
          <cell r="F4543" t="str">
            <v>14 Aug 2024</v>
          </cell>
        </row>
        <row r="4544">
          <cell r="A4544" t="str">
            <v>BGD</v>
          </cell>
          <cell r="B4544">
            <v>2012</v>
          </cell>
          <cell r="C4544" t="str">
            <v>mac_tfpz</v>
          </cell>
          <cell r="D4544">
            <v>0.7703784704208374</v>
          </cell>
          <cell r="F4544" t="str">
            <v>14 Aug 2024</v>
          </cell>
        </row>
        <row r="4545">
          <cell r="A4545" t="str">
            <v>BGD</v>
          </cell>
          <cell r="B4545">
            <v>2007</v>
          </cell>
          <cell r="C4545" t="str">
            <v>macab_</v>
          </cell>
          <cell r="D4545">
            <v>0.98086792230606079</v>
          </cell>
          <cell r="F4545" t="str">
            <v>14 Aug 2024</v>
          </cell>
        </row>
        <row r="4546">
          <cell r="A4546" t="str">
            <v>BGD</v>
          </cell>
          <cell r="B4546">
            <v>2012</v>
          </cell>
          <cell r="C4546" t="str">
            <v>mareer</v>
          </cell>
          <cell r="D4546">
            <v>74.353050231933594</v>
          </cell>
          <cell r="F4546" t="str">
            <v>14 Aug 2024</v>
          </cell>
        </row>
        <row r="4547">
          <cell r="A4547" t="str">
            <v>BGD</v>
          </cell>
          <cell r="B4547">
            <v>2021</v>
          </cell>
          <cell r="C4547" t="str">
            <v>mar_expz</v>
          </cell>
          <cell r="D4547">
            <v>10.662777900695801</v>
          </cell>
          <cell r="F4547" t="str">
            <v>14 Aug 2024</v>
          </cell>
        </row>
        <row r="4548">
          <cell r="A4548" t="str">
            <v>BGD</v>
          </cell>
          <cell r="B4548">
            <v>2016</v>
          </cell>
          <cell r="C4548" t="str">
            <v>maimpz</v>
          </cell>
          <cell r="D4548">
            <v>-7.0918846130371094</v>
          </cell>
          <cell r="F4548" t="str">
            <v>14 Aug 2024</v>
          </cell>
        </row>
        <row r="4549">
          <cell r="A4549" t="str">
            <v>BGD</v>
          </cell>
          <cell r="B4549">
            <v>2016</v>
          </cell>
          <cell r="C4549" t="str">
            <v>mac_labz</v>
          </cell>
          <cell r="D4549">
            <v>1.4800615310668945</v>
          </cell>
          <cell r="F4549" t="str">
            <v>14 Aug 2024</v>
          </cell>
        </row>
        <row r="4550">
          <cell r="A4550" t="str">
            <v>BGD</v>
          </cell>
          <cell r="B4550">
            <v>2026</v>
          </cell>
          <cell r="C4550" t="str">
            <v>malabz</v>
          </cell>
          <cell r="D4550">
            <v>1.0484598875045776</v>
          </cell>
          <cell r="F4550" t="str">
            <v>14 Aug 2024</v>
          </cell>
        </row>
        <row r="4551">
          <cell r="A4551" t="str">
            <v>BGD</v>
          </cell>
          <cell r="B4551">
            <v>2024</v>
          </cell>
          <cell r="C4551" t="str">
            <v>madeficit_</v>
          </cell>
          <cell r="D4551">
            <v>-4.3738570213317871</v>
          </cell>
          <cell r="F4551" t="str">
            <v>14 Aug 2024</v>
          </cell>
        </row>
        <row r="4552">
          <cell r="A4552" t="str">
            <v>BGD</v>
          </cell>
          <cell r="B4552">
            <v>2019</v>
          </cell>
          <cell r="C4552" t="str">
            <v>matfpz</v>
          </cell>
          <cell r="D4552">
            <v>1.137211799621582</v>
          </cell>
          <cell r="F4552" t="str">
            <v>14 Aug 2024</v>
          </cell>
        </row>
        <row r="4553">
          <cell r="A4553" t="str">
            <v>BGD</v>
          </cell>
          <cell r="B4553">
            <v>2013</v>
          </cell>
          <cell r="C4553" t="str">
            <v>maconz</v>
          </cell>
          <cell r="D4553">
            <v>5.1274137496948242</v>
          </cell>
          <cell r="F4553" t="str">
            <v>14 Aug 2024</v>
          </cell>
        </row>
        <row r="4554">
          <cell r="A4554" t="str">
            <v>BGD</v>
          </cell>
          <cell r="B4554">
            <v>2009</v>
          </cell>
          <cell r="C4554" t="str">
            <v>maimpz</v>
          </cell>
          <cell r="D4554">
            <v>-2.5996549129486084</v>
          </cell>
          <cell r="F4554" t="str">
            <v>14 Aug 2024</v>
          </cell>
        </row>
        <row r="4555">
          <cell r="A4555" t="str">
            <v>BGD</v>
          </cell>
          <cell r="B4555">
            <v>2007</v>
          </cell>
          <cell r="C4555" t="str">
            <v>madeficit_</v>
          </cell>
          <cell r="D4555">
            <v>-2.2067599296569824</v>
          </cell>
          <cell r="F4555" t="str">
            <v>14 Aug 2024</v>
          </cell>
        </row>
        <row r="4556">
          <cell r="A4556" t="str">
            <v>BGD</v>
          </cell>
          <cell r="B4556">
            <v>2021</v>
          </cell>
          <cell r="C4556" t="str">
            <v>mac_tfpz</v>
          </cell>
          <cell r="D4556">
            <v>1.1219285726547241</v>
          </cell>
          <cell r="F4556" t="str">
            <v>14 Aug 2024</v>
          </cell>
        </row>
        <row r="4557">
          <cell r="A4557" t="str">
            <v>BGD</v>
          </cell>
          <cell r="B4557">
            <v>2019</v>
          </cell>
          <cell r="C4557" t="str">
            <v>malabz</v>
          </cell>
          <cell r="D4557">
            <v>1.7522106170654297</v>
          </cell>
          <cell r="F4557" t="str">
            <v>14 Aug 2024</v>
          </cell>
        </row>
        <row r="4558">
          <cell r="A4558" t="str">
            <v>BGD</v>
          </cell>
          <cell r="B4558">
            <v>2013</v>
          </cell>
          <cell r="C4558" t="str">
            <v>magap_</v>
          </cell>
          <cell r="D4558">
            <v>-0.34302547574043274</v>
          </cell>
          <cell r="F4558" t="str">
            <v>14 Aug 2024</v>
          </cell>
        </row>
        <row r="4559">
          <cell r="A4559" t="str">
            <v>BGD</v>
          </cell>
          <cell r="B4559">
            <v>2026</v>
          </cell>
          <cell r="C4559" t="str">
            <v>mataxfc</v>
          </cell>
          <cell r="D4559">
            <v>6.0796170234680176</v>
          </cell>
          <cell r="F4559" t="str">
            <v>14 Aug 2024</v>
          </cell>
        </row>
        <row r="4560">
          <cell r="A4560" t="str">
            <v>BGD</v>
          </cell>
          <cell r="B4560">
            <v>2018</v>
          </cell>
          <cell r="C4560" t="str">
            <v>malabz</v>
          </cell>
          <cell r="D4560">
            <v>1.9107440710067749</v>
          </cell>
          <cell r="F4560" t="str">
            <v>14 Aug 2024</v>
          </cell>
        </row>
        <row r="4561">
          <cell r="A4561" t="str">
            <v>BGD</v>
          </cell>
          <cell r="B4561">
            <v>2008</v>
          </cell>
          <cell r="C4561" t="str">
            <v>madeficit_</v>
          </cell>
          <cell r="D4561">
            <v>-2.6420333385467529</v>
          </cell>
          <cell r="F4561" t="str">
            <v>14 Aug 2024</v>
          </cell>
        </row>
        <row r="4562">
          <cell r="A4562" t="str">
            <v>BGD</v>
          </cell>
          <cell r="B4562">
            <v>2008</v>
          </cell>
          <cell r="C4562" t="str">
            <v>maexpz</v>
          </cell>
          <cell r="D4562">
            <v>7.0806093215942383</v>
          </cell>
          <cell r="F4562" t="str">
            <v>14 Aug 2024</v>
          </cell>
        </row>
        <row r="4563">
          <cell r="A4563" t="str">
            <v>BGD</v>
          </cell>
          <cell r="B4563">
            <v>2023</v>
          </cell>
          <cell r="C4563" t="str">
            <v>mac_labz</v>
          </cell>
          <cell r="D4563">
            <v>0.95085150003433228</v>
          </cell>
          <cell r="F4563" t="str">
            <v>14 Aug 2024</v>
          </cell>
        </row>
        <row r="4564">
          <cell r="A4564" t="str">
            <v>BGD</v>
          </cell>
          <cell r="B4564">
            <v>2006</v>
          </cell>
          <cell r="C4564" t="str">
            <v>macpiz</v>
          </cell>
          <cell r="D4564">
            <v>7.1638383865356445</v>
          </cell>
          <cell r="F4564" t="str">
            <v>14 Aug 2024</v>
          </cell>
        </row>
        <row r="4565">
          <cell r="A4565" t="str">
            <v>BGD</v>
          </cell>
          <cell r="B4565">
            <v>2005</v>
          </cell>
          <cell r="C4565" t="str">
            <v>magovz</v>
          </cell>
          <cell r="D4565">
            <v>9.7868776321411133</v>
          </cell>
          <cell r="F4565" t="str">
            <v>14 Aug 2024</v>
          </cell>
        </row>
        <row r="4566">
          <cell r="A4566" t="str">
            <v>BGD</v>
          </cell>
          <cell r="B4566">
            <v>2020</v>
          </cell>
          <cell r="C4566" t="str">
            <v>mar_agrfc</v>
          </cell>
          <cell r="D4566">
            <v>12.520797729492188</v>
          </cell>
          <cell r="F4566" t="str">
            <v>14 Aug 2024</v>
          </cell>
        </row>
        <row r="4567">
          <cell r="A4567" t="str">
            <v>BGD</v>
          </cell>
          <cell r="B4567">
            <v>2021</v>
          </cell>
          <cell r="C4567" t="str">
            <v>mar_impz</v>
          </cell>
          <cell r="D4567">
            <v>17.061227798461914</v>
          </cell>
          <cell r="F4567" t="str">
            <v>14 Aug 2024</v>
          </cell>
        </row>
        <row r="4568">
          <cell r="A4568" t="str">
            <v>BGD</v>
          </cell>
          <cell r="B4568">
            <v>2012</v>
          </cell>
          <cell r="C4568" t="str">
            <v>mar_con</v>
          </cell>
          <cell r="D4568">
            <v>72.002204895019531</v>
          </cell>
          <cell r="F4568" t="str">
            <v>14 Aug 2024</v>
          </cell>
        </row>
        <row r="4569">
          <cell r="A4569" t="str">
            <v>BGD</v>
          </cell>
          <cell r="B4569">
            <v>2022</v>
          </cell>
          <cell r="C4569" t="str">
            <v>mar_agrfc</v>
          </cell>
          <cell r="D4569">
            <v>11.609527587890625</v>
          </cell>
          <cell r="F4569" t="str">
            <v>14 Aug 2024</v>
          </cell>
        </row>
        <row r="4570">
          <cell r="A4570" t="str">
            <v>BGD</v>
          </cell>
          <cell r="B4570">
            <v>2007</v>
          </cell>
          <cell r="C4570" t="str">
            <v>macpiz</v>
          </cell>
          <cell r="D4570">
            <v>9.3910999298095703</v>
          </cell>
          <cell r="F4570" t="str">
            <v>14 Aug 2024</v>
          </cell>
        </row>
        <row r="4571">
          <cell r="A4571" t="str">
            <v>BGD</v>
          </cell>
          <cell r="B4571">
            <v>2005</v>
          </cell>
          <cell r="C4571" t="str">
            <v>magdpz</v>
          </cell>
          <cell r="D4571">
            <v>6.535944938659668</v>
          </cell>
          <cell r="F4571" t="str">
            <v>14 Aug 2024</v>
          </cell>
        </row>
        <row r="4572">
          <cell r="A4572" t="str">
            <v>BGD</v>
          </cell>
          <cell r="B4572">
            <v>2019</v>
          </cell>
          <cell r="C4572" t="str">
            <v>magovz</v>
          </cell>
          <cell r="D4572">
            <v>13.399248123168945</v>
          </cell>
          <cell r="F4572" t="str">
            <v>14 Aug 2024</v>
          </cell>
        </row>
        <row r="4573">
          <cell r="A4573" t="str">
            <v>BGD</v>
          </cell>
          <cell r="B4573">
            <v>2011</v>
          </cell>
          <cell r="C4573" t="str">
            <v>matfpz</v>
          </cell>
          <cell r="D4573">
            <v>0.72734099626541138</v>
          </cell>
          <cell r="F4573" t="str">
            <v>14 Aug 2024</v>
          </cell>
        </row>
        <row r="4574">
          <cell r="A4574" t="str">
            <v>BGD</v>
          </cell>
          <cell r="B4574">
            <v>2020</v>
          </cell>
          <cell r="C4574" t="str">
            <v>madebt_</v>
          </cell>
          <cell r="D4574">
            <v>31.736625671386719</v>
          </cell>
          <cell r="F4574" t="str">
            <v>14 Aug 2024</v>
          </cell>
        </row>
        <row r="4575">
          <cell r="A4575" t="str">
            <v>BGD</v>
          </cell>
          <cell r="B4575">
            <v>2017</v>
          </cell>
          <cell r="C4575" t="str">
            <v>mapanusatls</v>
          </cell>
          <cell r="D4575">
            <v>79.099998474121094</v>
          </cell>
          <cell r="F4575" t="str">
            <v>14 Aug 2024</v>
          </cell>
        </row>
        <row r="4576">
          <cell r="A4576" t="str">
            <v>BGD</v>
          </cell>
          <cell r="B4576">
            <v>2005</v>
          </cell>
          <cell r="C4576" t="str">
            <v>mar_indfc</v>
          </cell>
          <cell r="D4576">
            <v>24.794412612915039</v>
          </cell>
          <cell r="F4576" t="str">
            <v>14 Aug 2024</v>
          </cell>
        </row>
        <row r="4577">
          <cell r="A4577" t="str">
            <v>BGD</v>
          </cell>
          <cell r="B4577">
            <v>2015</v>
          </cell>
          <cell r="C4577" t="str">
            <v>mar_taxfc</v>
          </cell>
          <cell r="D4577">
            <v>4.500516414642334</v>
          </cell>
          <cell r="F4577" t="str">
            <v>14 Aug 2024</v>
          </cell>
        </row>
        <row r="4578">
          <cell r="A4578" t="str">
            <v>BGD</v>
          </cell>
          <cell r="B4578">
            <v>2015</v>
          </cell>
          <cell r="C4578" t="str">
            <v>mareer</v>
          </cell>
          <cell r="D4578">
            <v>100</v>
          </cell>
          <cell r="F4578" t="str">
            <v>14 Aug 2024</v>
          </cell>
        </row>
        <row r="4579">
          <cell r="A4579" t="str">
            <v>BGD</v>
          </cell>
          <cell r="B4579">
            <v>2023</v>
          </cell>
          <cell r="C4579" t="str">
            <v>mar_agrfc</v>
          </cell>
          <cell r="D4579">
            <v>11.295520782470703</v>
          </cell>
          <cell r="F4579" t="str">
            <v>14 Aug 2024</v>
          </cell>
        </row>
        <row r="4580">
          <cell r="A4580" t="str">
            <v>BGD</v>
          </cell>
          <cell r="B4580">
            <v>2020</v>
          </cell>
          <cell r="C4580" t="str">
            <v>mar_srvfc</v>
          </cell>
          <cell r="D4580">
            <v>52.540191650390625</v>
          </cell>
          <cell r="F4580" t="str">
            <v>14 Aug 2024</v>
          </cell>
        </row>
        <row r="4581">
          <cell r="A4581" t="str">
            <v>BGD</v>
          </cell>
          <cell r="B4581">
            <v>2008</v>
          </cell>
          <cell r="C4581" t="str">
            <v>maagrfc</v>
          </cell>
          <cell r="D4581">
            <v>4.4938678741455078</v>
          </cell>
          <cell r="F4581" t="str">
            <v>14 Aug 2024</v>
          </cell>
        </row>
        <row r="4582">
          <cell r="A4582" t="str">
            <v>BGD</v>
          </cell>
          <cell r="B4582">
            <v>2026</v>
          </cell>
          <cell r="C4582" t="str">
            <v>mareer</v>
          </cell>
          <cell r="D4582">
            <v>103.49080657958984</v>
          </cell>
          <cell r="F4582" t="str">
            <v>14 Aug 2024</v>
          </cell>
        </row>
        <row r="4583">
          <cell r="A4583" t="str">
            <v>BGD</v>
          </cell>
          <cell r="B4583">
            <v>2017</v>
          </cell>
          <cell r="C4583" t="str">
            <v>mar_taxfc</v>
          </cell>
          <cell r="D4583">
            <v>4.4934206008911133</v>
          </cell>
          <cell r="F4583" t="str">
            <v>14 Aug 2024</v>
          </cell>
        </row>
        <row r="4584">
          <cell r="A4584" t="str">
            <v>BGD</v>
          </cell>
          <cell r="B4584">
            <v>2005</v>
          </cell>
          <cell r="C4584" t="str">
            <v>mafdi_</v>
          </cell>
          <cell r="D4584">
            <v>0.96123510599136353</v>
          </cell>
          <cell r="F4584" t="str">
            <v>14 Aug 2024</v>
          </cell>
        </row>
        <row r="4585">
          <cell r="A4585" t="str">
            <v>BGD</v>
          </cell>
          <cell r="B4585">
            <v>2013</v>
          </cell>
          <cell r="C4585" t="str">
            <v>mar_expz</v>
          </cell>
          <cell r="D4585">
            <v>16.4432373046875</v>
          </cell>
          <cell r="F4585" t="str">
            <v>14 Aug 2024</v>
          </cell>
        </row>
        <row r="4586">
          <cell r="A4586" t="str">
            <v>BGD</v>
          </cell>
          <cell r="B4586">
            <v>2008</v>
          </cell>
          <cell r="C4586" t="str">
            <v>madebt_</v>
          </cell>
          <cell r="D4586">
            <v>31.02532958984375</v>
          </cell>
          <cell r="F4586" t="str">
            <v>14 Aug 2024</v>
          </cell>
        </row>
        <row r="4587">
          <cell r="A4587" t="str">
            <v>BGD</v>
          </cell>
          <cell r="B4587">
            <v>2022</v>
          </cell>
          <cell r="C4587" t="str">
            <v>mar_expz</v>
          </cell>
          <cell r="D4587">
            <v>12.882225036621094</v>
          </cell>
          <cell r="F4587" t="str">
            <v>14 Aug 2024</v>
          </cell>
        </row>
        <row r="4588">
          <cell r="A4588" t="str">
            <v>BGD</v>
          </cell>
          <cell r="B4588">
            <v>2012</v>
          </cell>
          <cell r="C4588" t="str">
            <v>madebt_</v>
          </cell>
          <cell r="D4588">
            <v>27.321765899658203</v>
          </cell>
          <cell r="F4588" t="str">
            <v>14 Aug 2024</v>
          </cell>
        </row>
        <row r="4589">
          <cell r="A4589" t="str">
            <v>BGD</v>
          </cell>
          <cell r="B4589">
            <v>2026</v>
          </cell>
          <cell r="C4589" t="str">
            <v>mar_impz</v>
          </cell>
          <cell r="D4589">
            <v>16.407791137695313</v>
          </cell>
          <cell r="F4589" t="str">
            <v>14 Aug 2024</v>
          </cell>
        </row>
        <row r="4590">
          <cell r="A4590" t="str">
            <v>BGD</v>
          </cell>
          <cell r="B4590">
            <v>2025</v>
          </cell>
          <cell r="C4590" t="str">
            <v>macab_</v>
          </cell>
          <cell r="D4590">
            <v>0.74351447820663452</v>
          </cell>
          <cell r="F4590" t="str">
            <v>14 Aug 2024</v>
          </cell>
        </row>
        <row r="4591">
          <cell r="A4591" t="str">
            <v>BGD</v>
          </cell>
          <cell r="B4591">
            <v>2018</v>
          </cell>
          <cell r="C4591" t="str">
            <v>madebt_</v>
          </cell>
          <cell r="D4591">
            <v>27.226703643798828</v>
          </cell>
          <cell r="F4591" t="str">
            <v>14 Aug 2024</v>
          </cell>
        </row>
        <row r="4592">
          <cell r="A4592" t="str">
            <v>BGD</v>
          </cell>
          <cell r="B4592">
            <v>2011</v>
          </cell>
          <cell r="C4592" t="str">
            <v>maindfc</v>
          </cell>
          <cell r="D4592">
            <v>9.019129753112793</v>
          </cell>
          <cell r="F4592" t="str">
            <v>14 Aug 2024</v>
          </cell>
        </row>
        <row r="4593">
          <cell r="A4593" t="str">
            <v>BGD</v>
          </cell>
          <cell r="B4593">
            <v>2017</v>
          </cell>
          <cell r="C4593" t="str">
            <v>mar_expz</v>
          </cell>
          <cell r="D4593">
            <v>12.819744110107422</v>
          </cell>
          <cell r="F4593" t="str">
            <v>14 Aug 2024</v>
          </cell>
        </row>
        <row r="4594">
          <cell r="A4594" t="str">
            <v>BGD</v>
          </cell>
          <cell r="B4594">
            <v>2012</v>
          </cell>
          <cell r="C4594" t="str">
            <v>malabz</v>
          </cell>
          <cell r="D4594">
            <v>2.1386096477508545</v>
          </cell>
          <cell r="F4594" t="str">
            <v>14 Aug 2024</v>
          </cell>
        </row>
        <row r="4595">
          <cell r="A4595" t="str">
            <v>BGD</v>
          </cell>
          <cell r="B4595">
            <v>2021</v>
          </cell>
          <cell r="C4595" t="str">
            <v>matfpz</v>
          </cell>
          <cell r="D4595">
            <v>1.1219285726547241</v>
          </cell>
          <cell r="F4595" t="str">
            <v>14 Aug 2024</v>
          </cell>
        </row>
        <row r="4596">
          <cell r="A4596" t="str">
            <v>BGD</v>
          </cell>
          <cell r="B4596">
            <v>2006</v>
          </cell>
          <cell r="C4596" t="str">
            <v>magdpz</v>
          </cell>
          <cell r="D4596">
            <v>6.6718683242797852</v>
          </cell>
          <cell r="F4596" t="str">
            <v>14 Aug 2024</v>
          </cell>
        </row>
        <row r="4597">
          <cell r="A4597" t="str">
            <v>BGD</v>
          </cell>
          <cell r="B4597">
            <v>2018</v>
          </cell>
          <cell r="C4597" t="str">
            <v>maindfc</v>
          </cell>
          <cell r="D4597">
            <v>10.19581413269043</v>
          </cell>
          <cell r="F4597" t="str">
            <v>14 Aug 2024</v>
          </cell>
        </row>
        <row r="4598">
          <cell r="A4598" t="str">
            <v>BGD</v>
          </cell>
          <cell r="B4598">
            <v>2017</v>
          </cell>
          <cell r="C4598" t="str">
            <v>magap_</v>
          </cell>
          <cell r="D4598">
            <v>-0.66369664669036865</v>
          </cell>
          <cell r="F4598" t="str">
            <v>14 Aug 2024</v>
          </cell>
        </row>
        <row r="4599">
          <cell r="A4599" t="str">
            <v>BGD</v>
          </cell>
          <cell r="B4599">
            <v>2005</v>
          </cell>
          <cell r="C4599" t="str">
            <v>malabz</v>
          </cell>
          <cell r="D4599">
            <v>0</v>
          </cell>
          <cell r="F4599" t="str">
            <v>14 Aug 2024</v>
          </cell>
        </row>
        <row r="4600">
          <cell r="A4600" t="str">
            <v>BGD</v>
          </cell>
          <cell r="B4600">
            <v>2018</v>
          </cell>
          <cell r="C4600" t="str">
            <v>magdpz</v>
          </cell>
          <cell r="D4600">
            <v>7.3194079399108887</v>
          </cell>
          <cell r="F4600" t="str">
            <v>14 Aug 2024</v>
          </cell>
        </row>
        <row r="4601">
          <cell r="A4601" t="str">
            <v>BGD</v>
          </cell>
          <cell r="B4601">
            <v>2014</v>
          </cell>
          <cell r="C4601" t="str">
            <v>magap_</v>
          </cell>
          <cell r="D4601">
            <v>-0.78786742687225342</v>
          </cell>
          <cell r="F4601" t="str">
            <v>14 Aug 2024</v>
          </cell>
        </row>
        <row r="4602">
          <cell r="A4602" t="str">
            <v>BGD</v>
          </cell>
          <cell r="B4602">
            <v>2010</v>
          </cell>
          <cell r="C4602" t="str">
            <v>malabz</v>
          </cell>
          <cell r="D4602">
            <v>1.849947452545166</v>
          </cell>
          <cell r="F4602" t="str">
            <v>14 Aug 2024</v>
          </cell>
        </row>
        <row r="4603">
          <cell r="A4603" t="str">
            <v>BGD</v>
          </cell>
          <cell r="B4603">
            <v>2006</v>
          </cell>
          <cell r="C4603" t="str">
            <v>macab_</v>
          </cell>
          <cell r="D4603">
            <v>0.95794785022735596</v>
          </cell>
          <cell r="F4603" t="str">
            <v>14 Aug 2024</v>
          </cell>
        </row>
        <row r="4604">
          <cell r="A4604" t="str">
            <v>BGD</v>
          </cell>
          <cell r="B4604">
            <v>2022</v>
          </cell>
          <cell r="C4604" t="str">
            <v>mar_con</v>
          </cell>
          <cell r="D4604">
            <v>66.66473388671875</v>
          </cell>
          <cell r="F4604" t="str">
            <v>14 Aug 2024</v>
          </cell>
        </row>
        <row r="4605">
          <cell r="A4605" t="str">
            <v>BGD</v>
          </cell>
          <cell r="B4605">
            <v>2017</v>
          </cell>
          <cell r="C4605" t="str">
            <v>mar_agrfc</v>
          </cell>
          <cell r="D4605">
            <v>13.621784210205078</v>
          </cell>
          <cell r="F4605" t="str">
            <v>14 Aug 2024</v>
          </cell>
        </row>
        <row r="4606">
          <cell r="A4606" t="str">
            <v>BGD</v>
          </cell>
          <cell r="B4606">
            <v>2007</v>
          </cell>
          <cell r="C4606" t="str">
            <v>mapanusatls</v>
          </cell>
          <cell r="D4606">
            <v>69.060211181640625</v>
          </cell>
          <cell r="F4606" t="str">
            <v>14 Aug 2024</v>
          </cell>
        </row>
        <row r="4607">
          <cell r="A4607" t="str">
            <v>BGD</v>
          </cell>
          <cell r="B4607">
            <v>2025</v>
          </cell>
          <cell r="C4607" t="str">
            <v>matfpz</v>
          </cell>
          <cell r="D4607">
            <v>1.0313775539398193</v>
          </cell>
          <cell r="F4607" t="str">
            <v>14 Aug 2024</v>
          </cell>
        </row>
        <row r="4608">
          <cell r="A4608" t="str">
            <v>BGD</v>
          </cell>
          <cell r="B4608">
            <v>2009</v>
          </cell>
          <cell r="C4608" t="str">
            <v>mafdi_</v>
          </cell>
          <cell r="D4608">
            <v>0.78285121917724609</v>
          </cell>
          <cell r="F4608" t="str">
            <v>14 Aug 2024</v>
          </cell>
        </row>
        <row r="4609">
          <cell r="A4609" t="str">
            <v>BGD</v>
          </cell>
          <cell r="B4609">
            <v>2010</v>
          </cell>
          <cell r="C4609" t="str">
            <v>magdpz</v>
          </cell>
          <cell r="D4609">
            <v>5.5718021392822266</v>
          </cell>
          <cell r="F4609" t="str">
            <v>14 Aug 2024</v>
          </cell>
        </row>
        <row r="4610">
          <cell r="A4610" t="str">
            <v>BGD</v>
          </cell>
          <cell r="B4610">
            <v>2023</v>
          </cell>
          <cell r="C4610" t="str">
            <v>matfpz</v>
          </cell>
          <cell r="D4610">
            <v>1.0765409469604492</v>
          </cell>
          <cell r="F4610" t="str">
            <v>14 Aug 2024</v>
          </cell>
        </row>
        <row r="4611">
          <cell r="A4611" t="str">
            <v>BGD</v>
          </cell>
          <cell r="B4611">
            <v>2025</v>
          </cell>
          <cell r="C4611" t="str">
            <v>mapanusatls</v>
          </cell>
          <cell r="D4611">
            <v>120</v>
          </cell>
          <cell r="F4611" t="str">
            <v>14 Aug 2024</v>
          </cell>
        </row>
        <row r="4612">
          <cell r="A4612" t="str">
            <v>BGD</v>
          </cell>
          <cell r="B4612">
            <v>2024</v>
          </cell>
          <cell r="C4612" t="str">
            <v>mac_tfpz</v>
          </cell>
          <cell r="D4612">
            <v>1.0528721809387207</v>
          </cell>
          <cell r="F4612" t="str">
            <v>14 Aug 2024</v>
          </cell>
        </row>
        <row r="4613">
          <cell r="A4613" t="str">
            <v>BGD</v>
          </cell>
          <cell r="B4613">
            <v>2017</v>
          </cell>
          <cell r="C4613" t="str">
            <v>macab_</v>
          </cell>
          <cell r="D4613">
            <v>-0.45296117663383484</v>
          </cell>
          <cell r="F4613" t="str">
            <v>14 Aug 2024</v>
          </cell>
        </row>
        <row r="4614">
          <cell r="A4614" t="str">
            <v>BGD</v>
          </cell>
          <cell r="B4614">
            <v>2026</v>
          </cell>
          <cell r="C4614" t="str">
            <v>mar_expz</v>
          </cell>
          <cell r="D4614">
            <v>12.702962875366211</v>
          </cell>
          <cell r="F4614" t="str">
            <v>14 Aug 2024</v>
          </cell>
        </row>
        <row r="4615">
          <cell r="A4615" t="str">
            <v>BGD</v>
          </cell>
          <cell r="B4615">
            <v>2013</v>
          </cell>
          <cell r="C4615" t="str">
            <v>madeficit_</v>
          </cell>
          <cell r="D4615">
            <v>-2.7157652378082275</v>
          </cell>
          <cell r="F4615" t="str">
            <v>14 Aug 2024</v>
          </cell>
        </row>
        <row r="4616">
          <cell r="A4616" t="str">
            <v>BGD</v>
          </cell>
          <cell r="B4616">
            <v>2019</v>
          </cell>
          <cell r="C4616" t="str">
            <v>magdpz</v>
          </cell>
          <cell r="D4616">
            <v>7.8819065093994141</v>
          </cell>
          <cell r="F4616" t="str">
            <v>14 Aug 2024</v>
          </cell>
        </row>
        <row r="4617">
          <cell r="A4617" t="str">
            <v>BGD</v>
          </cell>
          <cell r="B4617">
            <v>2012</v>
          </cell>
          <cell r="C4617" t="str">
            <v>maagrfc</v>
          </cell>
          <cell r="D4617">
            <v>3.0142714977264404</v>
          </cell>
          <cell r="F4617" t="str">
            <v>14 Aug 2024</v>
          </cell>
        </row>
        <row r="4618">
          <cell r="A4618" t="str">
            <v>BGD</v>
          </cell>
          <cell r="B4618">
            <v>2022</v>
          </cell>
          <cell r="C4618" t="str">
            <v>mataxfc</v>
          </cell>
          <cell r="D4618">
            <v>5.4307384490966797</v>
          </cell>
          <cell r="F4618" t="str">
            <v>14 Aug 2024</v>
          </cell>
        </row>
        <row r="4619">
          <cell r="A4619" t="str">
            <v>BGD</v>
          </cell>
          <cell r="B4619">
            <v>2024</v>
          </cell>
          <cell r="C4619" t="str">
            <v>magovz</v>
          </cell>
          <cell r="D4619">
            <v>10.619258880615234</v>
          </cell>
          <cell r="F4619" t="str">
            <v>14 Aug 2024</v>
          </cell>
        </row>
        <row r="4620">
          <cell r="A4620" t="str">
            <v>BGD</v>
          </cell>
          <cell r="B4620">
            <v>2012</v>
          </cell>
          <cell r="C4620" t="str">
            <v>mar_taxfc</v>
          </cell>
          <cell r="D4620">
            <v>4.6982007026672363</v>
          </cell>
          <cell r="F4620" t="str">
            <v>14 Aug 2024</v>
          </cell>
        </row>
        <row r="4621">
          <cell r="A4621" t="str">
            <v>BGD</v>
          </cell>
          <cell r="B4621">
            <v>2015</v>
          </cell>
          <cell r="C4621" t="str">
            <v>mar_impz</v>
          </cell>
          <cell r="D4621">
            <v>20.075326919555664</v>
          </cell>
          <cell r="F4621" t="str">
            <v>14 Aug 2024</v>
          </cell>
        </row>
        <row r="4622">
          <cell r="A4622" t="str">
            <v>BGD</v>
          </cell>
          <cell r="B4622">
            <v>2010</v>
          </cell>
          <cell r="C4622" t="str">
            <v>macpiz</v>
          </cell>
          <cell r="D4622">
            <v>6.8165240287780762</v>
          </cell>
          <cell r="F4622" t="str">
            <v>14 Aug 2024</v>
          </cell>
        </row>
        <row r="4623">
          <cell r="A4623" t="str">
            <v>BGD</v>
          </cell>
          <cell r="B4623">
            <v>2022</v>
          </cell>
          <cell r="C4623" t="str">
            <v>mareer</v>
          </cell>
          <cell r="D4623">
            <v>120.49717712402344</v>
          </cell>
          <cell r="F4623" t="str">
            <v>14 Aug 2024</v>
          </cell>
        </row>
        <row r="4624">
          <cell r="A4624" t="str">
            <v>BGD</v>
          </cell>
          <cell r="B4624">
            <v>2021</v>
          </cell>
          <cell r="C4624" t="str">
            <v>mac_labz</v>
          </cell>
          <cell r="D4624">
            <v>1.1612356901168823</v>
          </cell>
          <cell r="F4624" t="str">
            <v>14 Aug 2024</v>
          </cell>
        </row>
        <row r="4625">
          <cell r="A4625" t="str">
            <v>BGD</v>
          </cell>
          <cell r="B4625">
            <v>2015</v>
          </cell>
          <cell r="C4625" t="str">
            <v>mar_con</v>
          </cell>
          <cell r="D4625">
            <v>69.533248901367188</v>
          </cell>
          <cell r="F4625" t="str">
            <v>14 Aug 2024</v>
          </cell>
        </row>
        <row r="4626">
          <cell r="A4626" t="str">
            <v>BGD</v>
          </cell>
          <cell r="B4626">
            <v>2022</v>
          </cell>
          <cell r="C4626" t="str">
            <v>magovz</v>
          </cell>
          <cell r="D4626">
            <v>6.2415151596069336</v>
          </cell>
          <cell r="F4626" t="str">
            <v>14 Aug 2024</v>
          </cell>
        </row>
        <row r="4627">
          <cell r="A4627" t="str">
            <v>BGD</v>
          </cell>
          <cell r="B4627">
            <v>2013</v>
          </cell>
          <cell r="C4627" t="str">
            <v>macpiz</v>
          </cell>
          <cell r="D4627">
            <v>6.7770595550537109</v>
          </cell>
          <cell r="F4627" t="str">
            <v>14 Aug 2024</v>
          </cell>
        </row>
        <row r="4628">
          <cell r="A4628" t="str">
            <v>BGD</v>
          </cell>
          <cell r="B4628">
            <v>2021</v>
          </cell>
          <cell r="C4628" t="str">
            <v>mataxfc</v>
          </cell>
          <cell r="D4628">
            <v>5.3336477279663086</v>
          </cell>
          <cell r="F4628" t="str">
            <v>14 Aug 2024</v>
          </cell>
        </row>
        <row r="4629">
          <cell r="A4629" t="str">
            <v>BGD</v>
          </cell>
          <cell r="B4629">
            <v>2010</v>
          </cell>
          <cell r="C4629" t="str">
            <v>magap_</v>
          </cell>
          <cell r="D4629">
            <v>8.0635875463485718E-2</v>
          </cell>
          <cell r="F4629" t="str">
            <v>14 Aug 2024</v>
          </cell>
        </row>
        <row r="4630">
          <cell r="A4630" t="str">
            <v>BGD</v>
          </cell>
          <cell r="B4630">
            <v>2018</v>
          </cell>
          <cell r="C4630" t="str">
            <v>mar_con</v>
          </cell>
          <cell r="D4630">
            <v>67.963607788085938</v>
          </cell>
          <cell r="F4630" t="str">
            <v>14 Aug 2024</v>
          </cell>
        </row>
        <row r="4631">
          <cell r="A4631" t="str">
            <v>BGD</v>
          </cell>
          <cell r="B4631">
            <v>2024</v>
          </cell>
          <cell r="C4631" t="str">
            <v>maconz</v>
          </cell>
          <cell r="D4631">
            <v>1.3999999761581421</v>
          </cell>
          <cell r="F4631" t="str">
            <v>14 Aug 2024</v>
          </cell>
        </row>
        <row r="4632">
          <cell r="A4632" t="str">
            <v>BGD</v>
          </cell>
          <cell r="B4632">
            <v>2018</v>
          </cell>
          <cell r="C4632" t="str">
            <v>macpiz</v>
          </cell>
          <cell r="D4632">
            <v>5.7817902565002441</v>
          </cell>
          <cell r="F4632" t="str">
            <v>14 Aug 2024</v>
          </cell>
        </row>
        <row r="4633">
          <cell r="A4633" t="str">
            <v>BGD</v>
          </cell>
          <cell r="B4633">
            <v>2006</v>
          </cell>
          <cell r="C4633" t="str">
            <v>maimpz</v>
          </cell>
          <cell r="D4633">
            <v>18.190448760986328</v>
          </cell>
          <cell r="F4633" t="str">
            <v>14 Aug 2024</v>
          </cell>
        </row>
        <row r="4634">
          <cell r="A4634" t="str">
            <v>BGD</v>
          </cell>
          <cell r="B4634">
            <v>2015</v>
          </cell>
          <cell r="C4634" t="str">
            <v>maagrfc</v>
          </cell>
          <cell r="D4634">
            <v>3.3283810615539551</v>
          </cell>
          <cell r="F4634" t="str">
            <v>14 Aug 2024</v>
          </cell>
        </row>
        <row r="4635">
          <cell r="A4635" t="str">
            <v>BGD</v>
          </cell>
          <cell r="B4635">
            <v>2019</v>
          </cell>
          <cell r="C4635" t="str">
            <v>maexpz</v>
          </cell>
          <cell r="D4635">
            <v>11.456473350524902</v>
          </cell>
          <cell r="F4635" t="str">
            <v>14 Aug 2024</v>
          </cell>
        </row>
        <row r="4636">
          <cell r="A4636" t="str">
            <v>BGD</v>
          </cell>
          <cell r="B4636">
            <v>2015</v>
          </cell>
          <cell r="C4636" t="str">
            <v>mapanusatls</v>
          </cell>
          <cell r="D4636">
            <v>77.699996948242188</v>
          </cell>
          <cell r="F4636" t="str">
            <v>14 Aug 2024</v>
          </cell>
        </row>
        <row r="4637">
          <cell r="A4637" t="str">
            <v>BGD</v>
          </cell>
          <cell r="B4637">
            <v>2009</v>
          </cell>
          <cell r="C4637" t="str">
            <v>mar_expz</v>
          </cell>
          <cell r="D4637">
            <v>13.865686416625977</v>
          </cell>
          <cell r="F4637" t="str">
            <v>14 Aug 2024</v>
          </cell>
        </row>
        <row r="4638">
          <cell r="A4638" t="str">
            <v>BGD</v>
          </cell>
          <cell r="B4638">
            <v>2025</v>
          </cell>
          <cell r="C4638" t="str">
            <v>magdpz</v>
          </cell>
          <cell r="D4638">
            <v>5.6820216178894043</v>
          </cell>
          <cell r="F4638" t="str">
            <v>14 Aug 2024</v>
          </cell>
        </row>
        <row r="4639">
          <cell r="A4639" t="str">
            <v>BGD</v>
          </cell>
          <cell r="B4639">
            <v>2021</v>
          </cell>
          <cell r="C4639" t="str">
            <v>magovz</v>
          </cell>
          <cell r="D4639">
            <v>6.8772249221801758</v>
          </cell>
          <cell r="F4639" t="str">
            <v>14 Aug 2024</v>
          </cell>
        </row>
        <row r="4640">
          <cell r="A4640" t="str">
            <v>BGD</v>
          </cell>
          <cell r="B4640">
            <v>2023</v>
          </cell>
          <cell r="C4640" t="str">
            <v>mapanusatls</v>
          </cell>
          <cell r="D4640">
            <v>102.66767883300781</v>
          </cell>
          <cell r="F4640" t="str">
            <v>14 Aug 2024</v>
          </cell>
        </row>
        <row r="4641">
          <cell r="A4641" t="str">
            <v>BGD</v>
          </cell>
          <cell r="B4641">
            <v>2005</v>
          </cell>
          <cell r="C4641" t="str">
            <v>mapanusatls</v>
          </cell>
          <cell r="D4641">
            <v>61.470741271972656</v>
          </cell>
          <cell r="F4641" t="str">
            <v>14 Aug 2024</v>
          </cell>
        </row>
        <row r="4642">
          <cell r="A4642" t="str">
            <v>BGD</v>
          </cell>
          <cell r="B4642">
            <v>2016</v>
          </cell>
          <cell r="C4642" t="str">
            <v>matfpz</v>
          </cell>
          <cell r="D4642">
            <v>1.0185451507568359</v>
          </cell>
          <cell r="F4642" t="str">
            <v>14 Aug 2024</v>
          </cell>
        </row>
        <row r="4643">
          <cell r="A4643" t="str">
            <v>BGD</v>
          </cell>
          <cell r="B4643">
            <v>2026</v>
          </cell>
          <cell r="C4643" t="str">
            <v>magdpz</v>
          </cell>
          <cell r="D4643">
            <v>5.9219088554382324</v>
          </cell>
          <cell r="F4643" t="str">
            <v>14 Aug 2024</v>
          </cell>
        </row>
        <row r="4644">
          <cell r="A4644" t="str">
            <v>BGD</v>
          </cell>
          <cell r="B4644">
            <v>2018</v>
          </cell>
          <cell r="C4644" t="str">
            <v>maconz</v>
          </cell>
          <cell r="D4644">
            <v>9.4132204055786133</v>
          </cell>
          <cell r="F4644" t="str">
            <v>14 Aug 2024</v>
          </cell>
        </row>
        <row r="4645">
          <cell r="A4645" t="str">
            <v>BGD</v>
          </cell>
          <cell r="B4645">
            <v>2025</v>
          </cell>
          <cell r="C4645" t="str">
            <v>magap_</v>
          </cell>
          <cell r="D4645">
            <v>-2.4734580516815186</v>
          </cell>
          <cell r="F4645" t="str">
            <v>14 Aug 2024</v>
          </cell>
        </row>
        <row r="4646">
          <cell r="A4646" t="str">
            <v>BGD</v>
          </cell>
          <cell r="B4646">
            <v>2008</v>
          </cell>
          <cell r="C4646" t="str">
            <v>mataxfc</v>
          </cell>
          <cell r="D4646">
            <v>8.9318952560424805</v>
          </cell>
          <cell r="F4646" t="str">
            <v>14 Aug 2024</v>
          </cell>
        </row>
        <row r="4647">
          <cell r="A4647" t="str">
            <v>BGD</v>
          </cell>
          <cell r="B4647">
            <v>2011</v>
          </cell>
          <cell r="C4647" t="str">
            <v>mainvz</v>
          </cell>
          <cell r="D4647">
            <v>9.4856233596801758</v>
          </cell>
          <cell r="F4647" t="str">
            <v>14 Aug 2024</v>
          </cell>
        </row>
        <row r="4648">
          <cell r="A4648" t="str">
            <v>BGD</v>
          </cell>
          <cell r="B4648">
            <v>2006</v>
          </cell>
          <cell r="C4648" t="str">
            <v>mafdi_</v>
          </cell>
          <cell r="D4648">
            <v>0.86390227079391479</v>
          </cell>
          <cell r="F4648" t="str">
            <v>14 Aug 2024</v>
          </cell>
        </row>
        <row r="4649">
          <cell r="A4649" t="str">
            <v>BGD</v>
          </cell>
          <cell r="B4649">
            <v>2023</v>
          </cell>
          <cell r="C4649" t="str">
            <v>mar_expz</v>
          </cell>
          <cell r="D4649">
            <v>13.157163619995117</v>
          </cell>
          <cell r="F4649" t="str">
            <v>14 Aug 2024</v>
          </cell>
        </row>
        <row r="4650">
          <cell r="A4650" t="str">
            <v>BGD</v>
          </cell>
          <cell r="B4650">
            <v>2024</v>
          </cell>
          <cell r="C4650" t="str">
            <v>magdpz</v>
          </cell>
          <cell r="D4650">
            <v>5.6430239677429199</v>
          </cell>
          <cell r="F4650" t="str">
            <v>14 Aug 2024</v>
          </cell>
        </row>
        <row r="4651">
          <cell r="A4651" t="str">
            <v>BGD</v>
          </cell>
          <cell r="B4651">
            <v>2025</v>
          </cell>
          <cell r="C4651" t="str">
            <v>maimpz</v>
          </cell>
          <cell r="D4651">
            <v>12.5</v>
          </cell>
          <cell r="F4651" t="str">
            <v>14 Aug 2024</v>
          </cell>
        </row>
        <row r="4652">
          <cell r="A4652" t="str">
            <v>BGD</v>
          </cell>
          <cell r="B4652">
            <v>2021</v>
          </cell>
          <cell r="C4652" t="str">
            <v>magap_</v>
          </cell>
          <cell r="D4652">
            <v>-1.9954475164413452</v>
          </cell>
          <cell r="F4652" t="str">
            <v>14 Aug 2024</v>
          </cell>
        </row>
        <row r="4653">
          <cell r="A4653" t="str">
            <v>BGD</v>
          </cell>
          <cell r="B4653">
            <v>2025</v>
          </cell>
          <cell r="C4653" t="str">
            <v>maconz</v>
          </cell>
          <cell r="D4653">
            <v>4.940000057220459</v>
          </cell>
          <cell r="F4653" t="str">
            <v>14 Aug 2024</v>
          </cell>
        </row>
        <row r="4654">
          <cell r="A4654" t="str">
            <v>BGD</v>
          </cell>
          <cell r="B4654">
            <v>2009</v>
          </cell>
          <cell r="C4654" t="str">
            <v>madeficit_</v>
          </cell>
          <cell r="D4654">
            <v>-2.5855560302734375</v>
          </cell>
          <cell r="F4654" t="str">
            <v>14 Aug 2024</v>
          </cell>
        </row>
        <row r="4655">
          <cell r="A4655" t="str">
            <v>BGD</v>
          </cell>
          <cell r="B4655">
            <v>2008</v>
          </cell>
          <cell r="C4655" t="str">
            <v>mar_expz</v>
          </cell>
          <cell r="D4655">
            <v>14.561077117919922</v>
          </cell>
          <cell r="F4655" t="str">
            <v>14 Aug 2024</v>
          </cell>
        </row>
        <row r="4656">
          <cell r="A4656" t="str">
            <v>BGD</v>
          </cell>
          <cell r="B4656">
            <v>2017</v>
          </cell>
          <cell r="C4656" t="str">
            <v>madebt_</v>
          </cell>
          <cell r="D4656">
            <v>26.215980529785156</v>
          </cell>
          <cell r="F4656" t="str">
            <v>14 Aug 2024</v>
          </cell>
        </row>
        <row r="4657">
          <cell r="A4657" t="str">
            <v>BGD</v>
          </cell>
          <cell r="B4657">
            <v>2008</v>
          </cell>
          <cell r="C4657" t="str">
            <v>mareer</v>
          </cell>
          <cell r="D4657">
            <v>62.983188629150391</v>
          </cell>
          <cell r="F4657" t="str">
            <v>14 Aug 2024</v>
          </cell>
        </row>
        <row r="4658">
          <cell r="A4658" t="str">
            <v>BGD</v>
          </cell>
          <cell r="B4658">
            <v>2007</v>
          </cell>
          <cell r="C4658" t="str">
            <v>madebt_</v>
          </cell>
          <cell r="D4658">
            <v>32.821517944335938</v>
          </cell>
          <cell r="F4658" t="str">
            <v>14 Aug 2024</v>
          </cell>
        </row>
        <row r="4659">
          <cell r="A4659" t="str">
            <v>BGD</v>
          </cell>
          <cell r="B4659">
            <v>2012</v>
          </cell>
          <cell r="C4659" t="str">
            <v>mar_impz</v>
          </cell>
          <cell r="D4659">
            <v>22.758859634399414</v>
          </cell>
          <cell r="F4659" t="str">
            <v>14 Aug 2024</v>
          </cell>
        </row>
        <row r="4660">
          <cell r="A4660" t="str">
            <v>BGD</v>
          </cell>
          <cell r="B4660">
            <v>2023</v>
          </cell>
          <cell r="C4660" t="str">
            <v>mac_tfpz</v>
          </cell>
          <cell r="D4660">
            <v>1.0765409469604492</v>
          </cell>
          <cell r="F4660" t="str">
            <v>14 Aug 2024</v>
          </cell>
        </row>
        <row r="4661">
          <cell r="A4661" t="str">
            <v>BGD</v>
          </cell>
          <cell r="B4661">
            <v>2019</v>
          </cell>
          <cell r="C4661" t="str">
            <v>mataxfc</v>
          </cell>
          <cell r="D4661">
            <v>4.93743896484375</v>
          </cell>
          <cell r="F4661" t="str">
            <v>14 Aug 2024</v>
          </cell>
        </row>
        <row r="4662">
          <cell r="A4662" t="str">
            <v>BGD</v>
          </cell>
          <cell r="B4662">
            <v>2010</v>
          </cell>
          <cell r="C4662" t="str">
            <v>mataxfc</v>
          </cell>
          <cell r="D4662">
            <v>-2.9254019260406494</v>
          </cell>
          <cell r="F4662" t="str">
            <v>14 Aug 2024</v>
          </cell>
        </row>
        <row r="4663">
          <cell r="A4663" t="str">
            <v>BGD</v>
          </cell>
          <cell r="B4663">
            <v>2013</v>
          </cell>
          <cell r="C4663" t="str">
            <v>magdpz</v>
          </cell>
          <cell r="D4663">
            <v>6.0135960578918457</v>
          </cell>
          <cell r="F4663" t="str">
            <v>14 Aug 2024</v>
          </cell>
        </row>
        <row r="4664">
          <cell r="A4664" t="str">
            <v>BGD</v>
          </cell>
          <cell r="B4664">
            <v>2008</v>
          </cell>
          <cell r="C4664" t="str">
            <v>mar_taxfc</v>
          </cell>
          <cell r="D4664">
            <v>5.7492551803588867</v>
          </cell>
          <cell r="F4664" t="str">
            <v>14 Aug 2024</v>
          </cell>
        </row>
        <row r="4665">
          <cell r="A4665" t="str">
            <v>BGD</v>
          </cell>
          <cell r="B4665">
            <v>2022</v>
          </cell>
          <cell r="C4665" t="str">
            <v>matfpz</v>
          </cell>
          <cell r="D4665">
            <v>1.1005547046661377</v>
          </cell>
          <cell r="F4665" t="str">
            <v>14 Aug 2024</v>
          </cell>
        </row>
        <row r="4666">
          <cell r="A4666" t="str">
            <v>BGD</v>
          </cell>
          <cell r="B4666">
            <v>2012</v>
          </cell>
          <cell r="C4666" t="str">
            <v>magap_</v>
          </cell>
          <cell r="D4666">
            <v>0.31863853335380554</v>
          </cell>
          <cell r="F4666" t="str">
            <v>14 Aug 2024</v>
          </cell>
        </row>
        <row r="4667">
          <cell r="A4667" t="str">
            <v>BGD</v>
          </cell>
          <cell r="B4667">
            <v>2026</v>
          </cell>
          <cell r="C4667" t="str">
            <v>maconz</v>
          </cell>
          <cell r="D4667">
            <v>5.3000001907348633</v>
          </cell>
          <cell r="F4667" t="str">
            <v>14 Aug 2024</v>
          </cell>
        </row>
        <row r="4668">
          <cell r="A4668" t="str">
            <v>BGD</v>
          </cell>
          <cell r="B4668">
            <v>2020</v>
          </cell>
          <cell r="C4668" t="str">
            <v>mainvz</v>
          </cell>
          <cell r="D4668">
            <v>3.9458715915679932</v>
          </cell>
          <cell r="F4668" t="str">
            <v>14 Aug 2024</v>
          </cell>
        </row>
        <row r="4669">
          <cell r="A4669" t="str">
            <v>BGD</v>
          </cell>
          <cell r="B4669">
            <v>2009</v>
          </cell>
          <cell r="C4669" t="str">
            <v>magap_</v>
          </cell>
          <cell r="D4669">
            <v>0.60563474893569946</v>
          </cell>
          <cell r="F4669" t="str">
            <v>14 Aug 2024</v>
          </cell>
        </row>
        <row r="4670">
          <cell r="A4670" t="str">
            <v>BGD</v>
          </cell>
          <cell r="B4670">
            <v>2019</v>
          </cell>
          <cell r="C4670" t="str">
            <v>maindfc</v>
          </cell>
          <cell r="D4670">
            <v>11.633323669433594</v>
          </cell>
          <cell r="F4670" t="str">
            <v>14 Aug 2024</v>
          </cell>
        </row>
        <row r="4671">
          <cell r="A4671" t="str">
            <v>BGD</v>
          </cell>
          <cell r="B4671">
            <v>2019</v>
          </cell>
          <cell r="C4671" t="str">
            <v>maconz</v>
          </cell>
          <cell r="D4671">
            <v>4.8554196357727051</v>
          </cell>
          <cell r="F4671" t="str">
            <v>14 Aug 2024</v>
          </cell>
        </row>
        <row r="4672">
          <cell r="A4672" t="str">
            <v>BGD</v>
          </cell>
          <cell r="B4672">
            <v>2005</v>
          </cell>
          <cell r="C4672" t="str">
            <v>maimpz</v>
          </cell>
          <cell r="D4672">
            <v>38.062786102294922</v>
          </cell>
          <cell r="F4672" t="str">
            <v>14 Aug 2024</v>
          </cell>
        </row>
        <row r="4673">
          <cell r="A4673" t="str">
            <v>BGD</v>
          </cell>
          <cell r="B4673">
            <v>2011</v>
          </cell>
          <cell r="C4673" t="str">
            <v>malabz</v>
          </cell>
          <cell r="D4673">
            <v>2.0163590908050537</v>
          </cell>
          <cell r="F4673" t="str">
            <v>14 Aug 2024</v>
          </cell>
        </row>
        <row r="4674">
          <cell r="A4674" t="str">
            <v>BGD</v>
          </cell>
          <cell r="B4674">
            <v>2016</v>
          </cell>
          <cell r="C4674" t="str">
            <v>mac_tfpz</v>
          </cell>
          <cell r="D4674">
            <v>1.0185451507568359</v>
          </cell>
          <cell r="F4674" t="str">
            <v>14 Aug 2024</v>
          </cell>
        </row>
        <row r="4675">
          <cell r="A4675" t="str">
            <v>BGD</v>
          </cell>
          <cell r="B4675">
            <v>2012</v>
          </cell>
          <cell r="C4675" t="str">
            <v>maconz</v>
          </cell>
          <cell r="D4675">
            <v>4.1142606735229492</v>
          </cell>
          <cell r="F4675" t="str">
            <v>14 Aug 2024</v>
          </cell>
        </row>
        <row r="4676">
          <cell r="A4676" t="str">
            <v>BGD</v>
          </cell>
          <cell r="B4676">
            <v>2005</v>
          </cell>
          <cell r="C4676" t="str">
            <v>mar_taxfc</v>
          </cell>
          <cell r="D4676">
            <v>6.2120752334594727</v>
          </cell>
          <cell r="F4676" t="str">
            <v>14 Aug 2024</v>
          </cell>
        </row>
        <row r="4677">
          <cell r="A4677" t="str">
            <v>BGD</v>
          </cell>
          <cell r="B4677">
            <v>2021</v>
          </cell>
          <cell r="C4677" t="str">
            <v>mar_agrfc</v>
          </cell>
          <cell r="D4677">
            <v>12.072772979736328</v>
          </cell>
          <cell r="F4677" t="str">
            <v>14 Aug 2024</v>
          </cell>
        </row>
        <row r="4678">
          <cell r="A4678" t="str">
            <v>BGD</v>
          </cell>
          <cell r="B4678">
            <v>2016</v>
          </cell>
          <cell r="C4678" t="str">
            <v>mainvz</v>
          </cell>
          <cell r="D4678">
            <v>8.9683551788330078</v>
          </cell>
          <cell r="F4678" t="str">
            <v>14 Aug 2024</v>
          </cell>
        </row>
        <row r="4679">
          <cell r="A4679" t="str">
            <v>BGD</v>
          </cell>
          <cell r="B4679">
            <v>2015</v>
          </cell>
          <cell r="C4679" t="str">
            <v>madebt_</v>
          </cell>
          <cell r="D4679">
            <v>26.540859222412109</v>
          </cell>
          <cell r="F4679" t="str">
            <v>14 Aug 2024</v>
          </cell>
        </row>
        <row r="4680">
          <cell r="A4680" t="str">
            <v>BGD</v>
          </cell>
          <cell r="B4680">
            <v>2007</v>
          </cell>
          <cell r="C4680" t="str">
            <v>malabz</v>
          </cell>
          <cell r="D4680">
            <v>1.4760572910308838</v>
          </cell>
          <cell r="F4680" t="str">
            <v>14 Aug 2024</v>
          </cell>
        </row>
        <row r="4681">
          <cell r="A4681" t="str">
            <v>BGD</v>
          </cell>
          <cell r="B4681">
            <v>2005</v>
          </cell>
          <cell r="C4681" t="str">
            <v>maconz</v>
          </cell>
          <cell r="D4681">
            <v>6.7317981719970703</v>
          </cell>
          <cell r="F4681" t="str">
            <v>14 Aug 2024</v>
          </cell>
        </row>
        <row r="4682">
          <cell r="A4682" t="str">
            <v>BGD</v>
          </cell>
          <cell r="B4682">
            <v>2021</v>
          </cell>
          <cell r="C4682" t="str">
            <v>maconz</v>
          </cell>
          <cell r="D4682">
            <v>8.0154647827148438</v>
          </cell>
          <cell r="F4682" t="str">
            <v>14 Aug 2024</v>
          </cell>
        </row>
        <row r="4683">
          <cell r="A4683" t="str">
            <v>BGD</v>
          </cell>
          <cell r="B4683">
            <v>2006</v>
          </cell>
          <cell r="C4683" t="str">
            <v>maagrfc</v>
          </cell>
          <cell r="D4683">
            <v>5.5527176856994629</v>
          </cell>
          <cell r="F4683" t="str">
            <v>14 Aug 2024</v>
          </cell>
        </row>
        <row r="4684">
          <cell r="A4684" t="str">
            <v>BGD</v>
          </cell>
          <cell r="B4684">
            <v>2007</v>
          </cell>
          <cell r="C4684" t="str">
            <v>maconz</v>
          </cell>
          <cell r="D4684">
            <v>7.4338951110839844</v>
          </cell>
          <cell r="F4684" t="str">
            <v>14 Aug 2024</v>
          </cell>
        </row>
        <row r="4685">
          <cell r="A4685" t="str">
            <v>BGD</v>
          </cell>
          <cell r="B4685">
            <v>2009</v>
          </cell>
          <cell r="C4685" t="str">
            <v>mar_taxfc</v>
          </cell>
          <cell r="D4685">
            <v>5.5359640121459961</v>
          </cell>
          <cell r="F4685" t="str">
            <v>14 Aug 2024</v>
          </cell>
        </row>
        <row r="4686">
          <cell r="A4686" t="str">
            <v>BGD</v>
          </cell>
          <cell r="B4686">
            <v>2024</v>
          </cell>
          <cell r="C4686" t="str">
            <v>mapanusatls</v>
          </cell>
          <cell r="D4686">
            <v>110.83000183105469</v>
          </cell>
          <cell r="F4686" t="str">
            <v>14 Aug 2024</v>
          </cell>
        </row>
        <row r="4687">
          <cell r="A4687" t="str">
            <v>BGD</v>
          </cell>
          <cell r="B4687">
            <v>2005</v>
          </cell>
          <cell r="C4687" t="str">
            <v>mareer</v>
          </cell>
          <cell r="D4687">
            <v>0</v>
          </cell>
          <cell r="F4687" t="str">
            <v>14 Aug 2024</v>
          </cell>
        </row>
        <row r="4688">
          <cell r="A4688" t="str">
            <v>BGD</v>
          </cell>
          <cell r="B4688">
            <v>2009</v>
          </cell>
          <cell r="C4688" t="str">
            <v>mar_impz</v>
          </cell>
          <cell r="D4688">
            <v>18.959598541259766</v>
          </cell>
          <cell r="F4688" t="str">
            <v>14 Aug 2024</v>
          </cell>
        </row>
        <row r="4689">
          <cell r="A4689" t="str">
            <v>BGD</v>
          </cell>
          <cell r="B4689">
            <v>2020</v>
          </cell>
          <cell r="C4689" t="str">
            <v>mar_taxfc</v>
          </cell>
          <cell r="D4689">
            <v>4.0317273139953613</v>
          </cell>
          <cell r="F4689" t="str">
            <v>14 Aug 2024</v>
          </cell>
        </row>
        <row r="4690">
          <cell r="A4690" t="str">
            <v>BGD</v>
          </cell>
          <cell r="B4690">
            <v>2011</v>
          </cell>
          <cell r="C4690" t="str">
            <v>maexpz</v>
          </cell>
          <cell r="D4690">
            <v>29.33912467956543</v>
          </cell>
          <cell r="F4690" t="str">
            <v>14 Aug 2024</v>
          </cell>
        </row>
        <row r="4691">
          <cell r="A4691" t="str">
            <v>BGD</v>
          </cell>
          <cell r="B4691">
            <v>2012</v>
          </cell>
          <cell r="C4691" t="str">
            <v>mataxfc</v>
          </cell>
          <cell r="D4691">
            <v>2.5080251693725586</v>
          </cell>
          <cell r="F4691" t="str">
            <v>14 Aug 2024</v>
          </cell>
        </row>
        <row r="4692">
          <cell r="A4692" t="str">
            <v>BGD</v>
          </cell>
          <cell r="B4692">
            <v>2018</v>
          </cell>
          <cell r="C4692" t="str">
            <v>mar_taxfc</v>
          </cell>
          <cell r="D4692">
            <v>4.4686694145202637</v>
          </cell>
          <cell r="F4692" t="str">
            <v>14 Aug 2024</v>
          </cell>
        </row>
        <row r="4693">
          <cell r="A4693" t="str">
            <v>BGD</v>
          </cell>
          <cell r="B4693">
            <v>2019</v>
          </cell>
          <cell r="C4693" t="str">
            <v>mac_tfpz</v>
          </cell>
          <cell r="D4693">
            <v>1.137211799621582</v>
          </cell>
          <cell r="F4693" t="str">
            <v>14 Aug 2024</v>
          </cell>
        </row>
        <row r="4694">
          <cell r="A4694" t="str">
            <v>BGD</v>
          </cell>
          <cell r="B4694">
            <v>2008</v>
          </cell>
          <cell r="C4694" t="str">
            <v>magovz</v>
          </cell>
          <cell r="D4694">
            <v>3.1865482330322266</v>
          </cell>
          <cell r="F4694" t="str">
            <v>14 Aug 2024</v>
          </cell>
        </row>
        <row r="4695">
          <cell r="A4695" t="str">
            <v>BGD</v>
          </cell>
          <cell r="B4695">
            <v>2011</v>
          </cell>
          <cell r="C4695" t="str">
            <v>mar_expz</v>
          </cell>
          <cell r="D4695">
            <v>16.106044769287109</v>
          </cell>
          <cell r="F4695" t="str">
            <v>14 Aug 2024</v>
          </cell>
        </row>
        <row r="4696">
          <cell r="A4696" t="str">
            <v>BGD</v>
          </cell>
          <cell r="B4696">
            <v>2025</v>
          </cell>
          <cell r="C4696" t="str">
            <v>magovz</v>
          </cell>
          <cell r="D4696">
            <v>9.9054965972900391</v>
          </cell>
          <cell r="F4696" t="str">
            <v>14 Aug 2024</v>
          </cell>
        </row>
        <row r="4697">
          <cell r="A4697" t="str">
            <v>BGD</v>
          </cell>
          <cell r="B4697">
            <v>2008</v>
          </cell>
          <cell r="C4697" t="str">
            <v>mar_agrfc</v>
          </cell>
          <cell r="D4697">
            <v>18.681070327758789</v>
          </cell>
          <cell r="F4697" t="str">
            <v>14 Aug 2024</v>
          </cell>
        </row>
        <row r="4698">
          <cell r="A4698" t="str">
            <v>BGD</v>
          </cell>
          <cell r="B4698">
            <v>2005</v>
          </cell>
          <cell r="C4698" t="str">
            <v>mainvz</v>
          </cell>
          <cell r="D4698">
            <v>9.7446985244750977</v>
          </cell>
          <cell r="F4698" t="str">
            <v>14 Aug 2024</v>
          </cell>
        </row>
        <row r="4699">
          <cell r="A4699" t="str">
            <v>BGD</v>
          </cell>
          <cell r="B4699">
            <v>2022</v>
          </cell>
          <cell r="C4699" t="str">
            <v>magdpz</v>
          </cell>
          <cell r="D4699">
            <v>7.099825382232666</v>
          </cell>
          <cell r="F4699" t="str">
            <v>14 Aug 2024</v>
          </cell>
        </row>
        <row r="4700">
          <cell r="A4700" t="str">
            <v>BGD</v>
          </cell>
          <cell r="B4700">
            <v>2025</v>
          </cell>
          <cell r="C4700" t="str">
            <v>mac_tfpz</v>
          </cell>
          <cell r="D4700">
            <v>1.0313775539398193</v>
          </cell>
          <cell r="F4700" t="str">
            <v>14 Aug 2024</v>
          </cell>
        </row>
        <row r="4701">
          <cell r="A4701" t="str">
            <v>BGD</v>
          </cell>
          <cell r="B4701">
            <v>2007</v>
          </cell>
          <cell r="C4701" t="str">
            <v>magap_</v>
          </cell>
          <cell r="D4701">
            <v>1.1685390472412109</v>
          </cell>
          <cell r="F4701" t="str">
            <v>14 Aug 2024</v>
          </cell>
        </row>
        <row r="4702">
          <cell r="A4702" t="str">
            <v>BGD</v>
          </cell>
          <cell r="B4702">
            <v>2012</v>
          </cell>
          <cell r="C4702" t="str">
            <v>mar_srvfc</v>
          </cell>
          <cell r="D4702">
            <v>54.540939331054688</v>
          </cell>
          <cell r="F4702" t="str">
            <v>14 Aug 2024</v>
          </cell>
        </row>
        <row r="4703">
          <cell r="A4703" t="str">
            <v>BGD</v>
          </cell>
          <cell r="B4703">
            <v>2010</v>
          </cell>
          <cell r="C4703" t="str">
            <v>matfpz</v>
          </cell>
          <cell r="D4703">
            <v>0.68978667259216309</v>
          </cell>
          <cell r="F4703" t="str">
            <v>14 Aug 2024</v>
          </cell>
        </row>
        <row r="4704">
          <cell r="A4704" t="str">
            <v>BGD</v>
          </cell>
          <cell r="B4704">
            <v>2008</v>
          </cell>
          <cell r="C4704" t="str">
            <v>macab_</v>
          </cell>
          <cell r="D4704">
            <v>0.61954367160797119</v>
          </cell>
          <cell r="F4704" t="str">
            <v>14 Aug 2024</v>
          </cell>
        </row>
        <row r="4705">
          <cell r="A4705" t="str">
            <v>BGD</v>
          </cell>
          <cell r="B4705">
            <v>2009</v>
          </cell>
          <cell r="C4705" t="str">
            <v>mapanusatls</v>
          </cell>
          <cell r="D4705">
            <v>68.804168701171875</v>
          </cell>
          <cell r="F4705" t="str">
            <v>14 Aug 2024</v>
          </cell>
        </row>
        <row r="4706">
          <cell r="A4706" t="str">
            <v>BGD</v>
          </cell>
          <cell r="B4706">
            <v>2015</v>
          </cell>
          <cell r="C4706" t="str">
            <v>magap_</v>
          </cell>
          <cell r="D4706">
            <v>-0.90873157978057861</v>
          </cell>
          <cell r="F4706" t="str">
            <v>14 Aug 2024</v>
          </cell>
        </row>
        <row r="4707">
          <cell r="A4707" t="str">
            <v>BGD</v>
          </cell>
          <cell r="B4707">
            <v>2014</v>
          </cell>
          <cell r="C4707" t="str">
            <v>mainvz</v>
          </cell>
          <cell r="D4707">
            <v>9.8322534561157227</v>
          </cell>
          <cell r="F4707" t="str">
            <v>14 Aug 2024</v>
          </cell>
        </row>
        <row r="4708">
          <cell r="A4708" t="str">
            <v>BGD</v>
          </cell>
          <cell r="B4708">
            <v>2019</v>
          </cell>
          <cell r="C4708" t="str">
            <v>masrvfc</v>
          </cell>
          <cell r="D4708">
            <v>6.8798141479492188</v>
          </cell>
          <cell r="F4708" t="str">
            <v>14 Aug 2024</v>
          </cell>
        </row>
        <row r="4709">
          <cell r="A4709" t="str">
            <v>BGD</v>
          </cell>
          <cell r="B4709">
            <v>2008</v>
          </cell>
          <cell r="C4709" t="str">
            <v>mar_con</v>
          </cell>
          <cell r="D4709">
            <v>76.330146789550781</v>
          </cell>
          <cell r="F4709" t="str">
            <v>14 Aug 2024</v>
          </cell>
        </row>
        <row r="4710">
          <cell r="A4710" t="str">
            <v>BGD</v>
          </cell>
          <cell r="B4710">
            <v>2019</v>
          </cell>
          <cell r="C4710" t="str">
            <v>mar_srvfc</v>
          </cell>
          <cell r="D4710">
            <v>52.450771331787109</v>
          </cell>
          <cell r="F4710" t="str">
            <v>14 Aug 2024</v>
          </cell>
        </row>
        <row r="4711">
          <cell r="A4711" t="str">
            <v>BGD</v>
          </cell>
          <cell r="B4711">
            <v>2025</v>
          </cell>
          <cell r="C4711" t="str">
            <v>mar_srvfc</v>
          </cell>
          <cell r="D4711">
            <v>50.739559173583984</v>
          </cell>
          <cell r="F4711" t="str">
            <v>14 Aug 2024</v>
          </cell>
        </row>
        <row r="4712">
          <cell r="A4712" t="str">
            <v>BGD</v>
          </cell>
          <cell r="B4712">
            <v>2019</v>
          </cell>
          <cell r="C4712" t="str">
            <v>mar_indfc</v>
          </cell>
          <cell r="D4712">
            <v>34.987869262695313</v>
          </cell>
          <cell r="F4712" t="str">
            <v>14 Aug 2024</v>
          </cell>
        </row>
        <row r="4713">
          <cell r="A4713" t="str">
            <v>BGD</v>
          </cell>
          <cell r="B4713">
            <v>2006</v>
          </cell>
          <cell r="C4713" t="str">
            <v>malabz</v>
          </cell>
          <cell r="D4713">
            <v>1.6792999505996704</v>
          </cell>
          <cell r="F4713" t="str">
            <v>14 Aug 2024</v>
          </cell>
        </row>
        <row r="4714">
          <cell r="A4714" t="str">
            <v>BGD</v>
          </cell>
          <cell r="B4714">
            <v>2025</v>
          </cell>
          <cell r="C4714" t="str">
            <v>maagrfc</v>
          </cell>
          <cell r="D4714">
            <v>3.0999999046325684</v>
          </cell>
          <cell r="F4714" t="str">
            <v>14 Aug 2024</v>
          </cell>
        </row>
        <row r="4715">
          <cell r="A4715" t="str">
            <v>BGD</v>
          </cell>
          <cell r="B4715">
            <v>2014</v>
          </cell>
          <cell r="C4715" t="str">
            <v>mar_taxfc</v>
          </cell>
          <cell r="D4715">
            <v>4.4838175773620605</v>
          </cell>
          <cell r="F4715" t="str">
            <v>14 Aug 2024</v>
          </cell>
        </row>
        <row r="4716">
          <cell r="A4716" t="str">
            <v>BGD</v>
          </cell>
          <cell r="B4716">
            <v>2007</v>
          </cell>
          <cell r="C4716" t="str">
            <v>maagrfc</v>
          </cell>
          <cell r="D4716">
            <v>6.6924962997436523</v>
          </cell>
          <cell r="F4716" t="str">
            <v>14 Aug 2024</v>
          </cell>
        </row>
        <row r="4717">
          <cell r="A4717" t="str">
            <v>BGD</v>
          </cell>
          <cell r="B4717">
            <v>2017</v>
          </cell>
          <cell r="C4717" t="str">
            <v>mac_labz</v>
          </cell>
          <cell r="D4717">
            <v>1.4681637287139893</v>
          </cell>
          <cell r="F4717" t="str">
            <v>14 Aug 2024</v>
          </cell>
        </row>
        <row r="4718">
          <cell r="A4718" t="str">
            <v>BGD</v>
          </cell>
          <cell r="B4718">
            <v>2010</v>
          </cell>
          <cell r="C4718" t="str">
            <v>maconz</v>
          </cell>
          <cell r="D4718">
            <v>4.6040301322937012</v>
          </cell>
          <cell r="F4718" t="str">
            <v>14 Aug 2024</v>
          </cell>
        </row>
        <row r="4719">
          <cell r="A4719" t="str">
            <v>BGD</v>
          </cell>
          <cell r="B4719">
            <v>2014</v>
          </cell>
          <cell r="C4719" t="str">
            <v>magdpz</v>
          </cell>
          <cell r="D4719">
            <v>6.0610928535461426</v>
          </cell>
          <cell r="F4719" t="str">
            <v>14 Aug 2024</v>
          </cell>
        </row>
        <row r="4720">
          <cell r="A4720" t="str">
            <v>BGD</v>
          </cell>
          <cell r="B4720">
            <v>2014</v>
          </cell>
          <cell r="C4720" t="str">
            <v>maconz</v>
          </cell>
          <cell r="D4720">
            <v>4.0055875778198242</v>
          </cell>
          <cell r="F4720" t="str">
            <v>14 Aug 2024</v>
          </cell>
        </row>
        <row r="4721">
          <cell r="A4721" t="str">
            <v>BGD</v>
          </cell>
          <cell r="B4721">
            <v>2020</v>
          </cell>
          <cell r="C4721" t="str">
            <v>mar_impz</v>
          </cell>
          <cell r="D4721">
            <v>15.828656196594238</v>
          </cell>
          <cell r="F4721" t="str">
            <v>14 Aug 2024</v>
          </cell>
        </row>
        <row r="4722">
          <cell r="A4722" t="str">
            <v>BGD</v>
          </cell>
          <cell r="B4722">
            <v>2011</v>
          </cell>
          <cell r="C4722" t="str">
            <v>mac_labz</v>
          </cell>
          <cell r="D4722">
            <v>1.4114513397216797</v>
          </cell>
          <cell r="F4722" t="str">
            <v>14 Aug 2024</v>
          </cell>
        </row>
        <row r="4723">
          <cell r="A4723" t="str">
            <v>BGD</v>
          </cell>
          <cell r="B4723">
            <v>2005</v>
          </cell>
          <cell r="C4723" t="str">
            <v>maagrfc</v>
          </cell>
          <cell r="D4723">
            <v>4.3824548721313477</v>
          </cell>
          <cell r="F4723" t="str">
            <v>14 Aug 2024</v>
          </cell>
        </row>
        <row r="4724">
          <cell r="A4724" t="str">
            <v>BGD</v>
          </cell>
          <cell r="B4724">
            <v>2020</v>
          </cell>
          <cell r="C4724" t="str">
            <v>madeficit_</v>
          </cell>
          <cell r="D4724">
            <v>-4.785789966583252</v>
          </cell>
          <cell r="F4724" t="str">
            <v>14 Aug 2024</v>
          </cell>
        </row>
        <row r="4725">
          <cell r="A4725" t="str">
            <v>BGD</v>
          </cell>
          <cell r="B4725">
            <v>2024</v>
          </cell>
          <cell r="C4725" t="str">
            <v>mac_labz</v>
          </cell>
          <cell r="D4725">
            <v>0.87851589918136597</v>
          </cell>
          <cell r="F4725" t="str">
            <v>14 Aug 2024</v>
          </cell>
        </row>
        <row r="4726">
          <cell r="A4726" t="str">
            <v>BGD</v>
          </cell>
          <cell r="B4726">
            <v>2008</v>
          </cell>
          <cell r="C4726" t="str">
            <v>malabz</v>
          </cell>
          <cell r="D4726">
            <v>1.2860391139984131</v>
          </cell>
          <cell r="F4726" t="str">
            <v>14 Aug 2024</v>
          </cell>
        </row>
        <row r="4727">
          <cell r="A4727" t="str">
            <v>BGD</v>
          </cell>
          <cell r="B4727">
            <v>2018</v>
          </cell>
          <cell r="C4727" t="str">
            <v>mafdi_</v>
          </cell>
          <cell r="D4727">
            <v>-0.55308866500854492</v>
          </cell>
          <cell r="F4727" t="str">
            <v>14 Aug 2024</v>
          </cell>
        </row>
        <row r="4728">
          <cell r="A4728" t="str">
            <v>BGD</v>
          </cell>
          <cell r="B4728">
            <v>2026</v>
          </cell>
          <cell r="C4728" t="str">
            <v>maimpz</v>
          </cell>
          <cell r="D4728">
            <v>10.199999809265137</v>
          </cell>
          <cell r="F4728" t="str">
            <v>14 Aug 2024</v>
          </cell>
        </row>
        <row r="4729">
          <cell r="A4729" t="str">
            <v>BGD</v>
          </cell>
          <cell r="B4729">
            <v>2013</v>
          </cell>
          <cell r="C4729" t="str">
            <v>magovz</v>
          </cell>
          <cell r="D4729">
            <v>5.7910876274108887</v>
          </cell>
          <cell r="F4729" t="str">
            <v>14 Aug 2024</v>
          </cell>
        </row>
        <row r="4730">
          <cell r="A4730" t="str">
            <v>BGD</v>
          </cell>
          <cell r="B4730">
            <v>2018</v>
          </cell>
          <cell r="C4730" t="str">
            <v>maexpz</v>
          </cell>
          <cell r="D4730">
            <v>6.1059198379516602</v>
          </cell>
          <cell r="F4730" t="str">
            <v>14 Aug 2024</v>
          </cell>
        </row>
        <row r="4731">
          <cell r="A4731" t="str">
            <v>BGD</v>
          </cell>
          <cell r="B4731">
            <v>2009</v>
          </cell>
          <cell r="C4731" t="str">
            <v>maconz</v>
          </cell>
          <cell r="D4731">
            <v>2.2917385101318359</v>
          </cell>
          <cell r="F4731" t="str">
            <v>14 Aug 2024</v>
          </cell>
        </row>
        <row r="4732">
          <cell r="A4732" t="str">
            <v>BGD</v>
          </cell>
          <cell r="B4732">
            <v>2025</v>
          </cell>
          <cell r="C4732" t="str">
            <v>mac_labz</v>
          </cell>
          <cell r="D4732">
            <v>0.80385953187942505</v>
          </cell>
          <cell r="F4732" t="str">
            <v>14 Aug 2024</v>
          </cell>
        </row>
        <row r="4733">
          <cell r="A4733" t="str">
            <v>BGD</v>
          </cell>
          <cell r="B4733">
            <v>2016</v>
          </cell>
          <cell r="C4733" t="str">
            <v>mataxfc</v>
          </cell>
          <cell r="D4733">
            <v>5.9089016914367676</v>
          </cell>
          <cell r="F4733" t="str">
            <v>14 Aug 2024</v>
          </cell>
        </row>
        <row r="4734">
          <cell r="A4734" t="str">
            <v>BGD</v>
          </cell>
          <cell r="B4734">
            <v>2020</v>
          </cell>
          <cell r="C4734" t="str">
            <v>maagrfc</v>
          </cell>
          <cell r="D4734">
            <v>3.4209480285644531</v>
          </cell>
          <cell r="F4734" t="str">
            <v>14 Aug 2024</v>
          </cell>
        </row>
        <row r="4735">
          <cell r="A4735" t="str">
            <v>BGD</v>
          </cell>
          <cell r="B4735">
            <v>2016</v>
          </cell>
          <cell r="C4735" t="str">
            <v>maindfc</v>
          </cell>
          <cell r="D4735">
            <v>14.316122055053711</v>
          </cell>
          <cell r="F4735" t="str">
            <v>14 Aug 2024</v>
          </cell>
        </row>
        <row r="4736">
          <cell r="A4736" t="str">
            <v>BGD</v>
          </cell>
          <cell r="B4736">
            <v>2023</v>
          </cell>
          <cell r="C4736" t="str">
            <v>masrvfc</v>
          </cell>
          <cell r="D4736">
            <v>5.3712425231933594</v>
          </cell>
          <cell r="F4736" t="str">
            <v>14 Aug 2024</v>
          </cell>
        </row>
        <row r="4737">
          <cell r="A4737" t="str">
            <v>BGD</v>
          </cell>
          <cell r="B4737">
            <v>2016</v>
          </cell>
          <cell r="C4737" t="str">
            <v>mar_impz</v>
          </cell>
          <cell r="D4737">
            <v>17.412944793701172</v>
          </cell>
          <cell r="F4737" t="str">
            <v>14 Aug 2024</v>
          </cell>
        </row>
        <row r="4738">
          <cell r="A4738" t="str">
            <v>BGD</v>
          </cell>
          <cell r="B4738">
            <v>2006</v>
          </cell>
          <cell r="C4738" t="str">
            <v>mar_indfc</v>
          </cell>
          <cell r="D4738">
            <v>25.397197723388672</v>
          </cell>
          <cell r="F4738" t="str">
            <v>14 Aug 2024</v>
          </cell>
        </row>
        <row r="4739">
          <cell r="A4739" t="str">
            <v>BGD</v>
          </cell>
          <cell r="B4739">
            <v>2010</v>
          </cell>
          <cell r="C4739" t="str">
            <v>mar_indfc</v>
          </cell>
          <cell r="D4739">
            <v>26.784818649291992</v>
          </cell>
          <cell r="F4739" t="str">
            <v>14 Aug 2024</v>
          </cell>
        </row>
        <row r="4740">
          <cell r="A4740" t="str">
            <v>BGD</v>
          </cell>
          <cell r="B4740">
            <v>2022</v>
          </cell>
          <cell r="C4740" t="str">
            <v>mac_tfpz</v>
          </cell>
          <cell r="D4740">
            <v>1.1005547046661377</v>
          </cell>
          <cell r="F4740" t="str">
            <v>14 Aug 2024</v>
          </cell>
        </row>
        <row r="4741">
          <cell r="A4741" t="str">
            <v>BGD</v>
          </cell>
          <cell r="B4741">
            <v>2011</v>
          </cell>
          <cell r="C4741" t="str">
            <v>mar_indfc</v>
          </cell>
          <cell r="D4741">
            <v>27.381437301635742</v>
          </cell>
          <cell r="F4741" t="str">
            <v>14 Aug 2024</v>
          </cell>
        </row>
        <row r="4742">
          <cell r="A4742" t="str">
            <v>BGD</v>
          </cell>
          <cell r="B4742">
            <v>2015</v>
          </cell>
          <cell r="C4742" t="str">
            <v>mac_tfpz</v>
          </cell>
          <cell r="D4742">
            <v>0.9514276385307312</v>
          </cell>
          <cell r="F4742" t="str">
            <v>14 Aug 2024</v>
          </cell>
        </row>
        <row r="4743">
          <cell r="A4743" t="str">
            <v>BGD</v>
          </cell>
          <cell r="B4743">
            <v>2022</v>
          </cell>
          <cell r="C4743" t="str">
            <v>madebt_</v>
          </cell>
          <cell r="D4743">
            <v>33.713382720947266</v>
          </cell>
          <cell r="F4743" t="str">
            <v>14 Aug 2024</v>
          </cell>
        </row>
        <row r="4744">
          <cell r="A4744" t="str">
            <v>BGD</v>
          </cell>
          <cell r="B4744">
            <v>2008</v>
          </cell>
          <cell r="C4744" t="str">
            <v>mac_labz</v>
          </cell>
          <cell r="D4744">
            <v>0.90022736787796021</v>
          </cell>
          <cell r="F4744" t="str">
            <v>14 Aug 2024</v>
          </cell>
        </row>
        <row r="4745">
          <cell r="A4745" t="str">
            <v>BGD</v>
          </cell>
          <cell r="B4745">
            <v>2008</v>
          </cell>
          <cell r="C4745" t="str">
            <v>maconz</v>
          </cell>
          <cell r="D4745">
            <v>3.9802849292755127</v>
          </cell>
          <cell r="F4745" t="str">
            <v>14 Aug 2024</v>
          </cell>
        </row>
        <row r="4746">
          <cell r="A4746" t="str">
            <v>BGD</v>
          </cell>
          <cell r="B4746">
            <v>2007</v>
          </cell>
          <cell r="C4746" t="str">
            <v>mataxfc</v>
          </cell>
          <cell r="D4746">
            <v>5.0982990264892578</v>
          </cell>
          <cell r="F4746" t="str">
            <v>14 Aug 2024</v>
          </cell>
        </row>
        <row r="4747">
          <cell r="A4747" t="str">
            <v>BGD</v>
          </cell>
          <cell r="B4747">
            <v>2015</v>
          </cell>
          <cell r="C4747" t="str">
            <v>mataxfc</v>
          </cell>
          <cell r="D4747">
            <v>6.9323883056640625</v>
          </cell>
          <cell r="F4747" t="str">
            <v>14 Aug 2024</v>
          </cell>
        </row>
        <row r="4748">
          <cell r="A4748" t="str">
            <v>BGD</v>
          </cell>
          <cell r="B4748">
            <v>2026</v>
          </cell>
          <cell r="C4748" t="str">
            <v>maagrfc</v>
          </cell>
          <cell r="D4748">
            <v>3.2000000476837158</v>
          </cell>
          <cell r="F4748" t="str">
            <v>14 Aug 2024</v>
          </cell>
        </row>
        <row r="4749">
          <cell r="A4749" t="str">
            <v>BGD</v>
          </cell>
          <cell r="B4749">
            <v>2015</v>
          </cell>
          <cell r="C4749" t="str">
            <v>matfpz</v>
          </cell>
          <cell r="D4749">
            <v>0.9514276385307312</v>
          </cell>
          <cell r="F4749" t="str">
            <v>14 Aug 2024</v>
          </cell>
        </row>
        <row r="4750">
          <cell r="A4750" t="str">
            <v>BGD</v>
          </cell>
          <cell r="B4750">
            <v>2024</v>
          </cell>
          <cell r="C4750" t="str">
            <v>macpiz</v>
          </cell>
          <cell r="D4750">
            <v>9.6309146881103516</v>
          </cell>
          <cell r="F4750" t="str">
            <v>14 Aug 2024</v>
          </cell>
        </row>
        <row r="4751">
          <cell r="A4751" t="str">
            <v>BGD</v>
          </cell>
          <cell r="B4751">
            <v>2006</v>
          </cell>
          <cell r="C4751" t="str">
            <v>mapanusatls</v>
          </cell>
          <cell r="D4751">
            <v>67.181838989257813</v>
          </cell>
          <cell r="F4751" t="str">
            <v>14 Aug 2024</v>
          </cell>
        </row>
        <row r="4752">
          <cell r="A4752" t="str">
            <v>BGD</v>
          </cell>
          <cell r="B4752">
            <v>2005</v>
          </cell>
          <cell r="C4752" t="str">
            <v>mac_tfpz</v>
          </cell>
          <cell r="D4752">
            <v>0.38971781730651855</v>
          </cell>
          <cell r="F4752" t="str">
            <v>14 Aug 2024</v>
          </cell>
        </row>
        <row r="4753">
          <cell r="A4753" t="str">
            <v>BGD</v>
          </cell>
          <cell r="B4753">
            <v>2005</v>
          </cell>
          <cell r="C4753" t="str">
            <v>macab_</v>
          </cell>
          <cell r="D4753">
            <v>-0.66922509670257568</v>
          </cell>
          <cell r="F4753" t="str">
            <v>14 Aug 2024</v>
          </cell>
        </row>
        <row r="4754">
          <cell r="A4754" t="str">
            <v>BGD</v>
          </cell>
          <cell r="B4754">
            <v>2024</v>
          </cell>
          <cell r="C4754" t="str">
            <v>macab_</v>
          </cell>
          <cell r="D4754">
            <v>0.85809946060180664</v>
          </cell>
          <cell r="F4754" t="str">
            <v>14 Aug 2024</v>
          </cell>
        </row>
        <row r="4755">
          <cell r="A4755" t="str">
            <v>BGD</v>
          </cell>
          <cell r="B4755">
            <v>2013</v>
          </cell>
          <cell r="C4755" t="str">
            <v>maexpz</v>
          </cell>
          <cell r="D4755">
            <v>2.4518842697143555</v>
          </cell>
          <cell r="F4755" t="str">
            <v>14 Aug 2024</v>
          </cell>
        </row>
        <row r="4756">
          <cell r="A4756" t="str">
            <v>BGD</v>
          </cell>
          <cell r="B4756">
            <v>2012</v>
          </cell>
          <cell r="C4756" t="str">
            <v>madeficit_</v>
          </cell>
          <cell r="D4756">
            <v>-2.7030715942382813</v>
          </cell>
          <cell r="F4756" t="str">
            <v>14 Aug 2024</v>
          </cell>
        </row>
        <row r="4757">
          <cell r="A4757" t="str">
            <v>BGD</v>
          </cell>
          <cell r="B4757">
            <v>2024</v>
          </cell>
          <cell r="C4757" t="str">
            <v>mafdi_</v>
          </cell>
          <cell r="D4757">
            <v>-0.28304147720336914</v>
          </cell>
          <cell r="F4757" t="str">
            <v>14 Aug 2024</v>
          </cell>
        </row>
        <row r="4758">
          <cell r="A4758" t="str">
            <v>BGD</v>
          </cell>
          <cell r="B4758">
            <v>2024</v>
          </cell>
          <cell r="C4758" t="str">
            <v>malabz</v>
          </cell>
          <cell r="D4758">
            <v>1.2550227642059326</v>
          </cell>
          <cell r="F4758" t="str">
            <v>14 Aug 2024</v>
          </cell>
        </row>
        <row r="4759">
          <cell r="A4759" t="str">
            <v>BGD</v>
          </cell>
          <cell r="B4759">
            <v>2022</v>
          </cell>
          <cell r="C4759" t="str">
            <v>mar_indfc</v>
          </cell>
          <cell r="D4759">
            <v>36.915016174316406</v>
          </cell>
          <cell r="F4759" t="str">
            <v>14 Aug 2024</v>
          </cell>
        </row>
        <row r="4760">
          <cell r="A4760" t="str">
            <v>BGD</v>
          </cell>
          <cell r="B4760">
            <v>2016</v>
          </cell>
          <cell r="C4760" t="str">
            <v>magap_</v>
          </cell>
          <cell r="D4760">
            <v>-0.49285528063774109</v>
          </cell>
          <cell r="F4760" t="str">
            <v>14 Aug 2024</v>
          </cell>
        </row>
        <row r="4761">
          <cell r="A4761" t="str">
            <v>BGD</v>
          </cell>
          <cell r="B4761">
            <v>2025</v>
          </cell>
          <cell r="C4761" t="str">
            <v>mar_indfc</v>
          </cell>
          <cell r="D4761">
            <v>38.513362884521484</v>
          </cell>
          <cell r="F4761" t="str">
            <v>14 Aug 2024</v>
          </cell>
        </row>
        <row r="4762">
          <cell r="A4762" t="str">
            <v>BGD</v>
          </cell>
          <cell r="B4762">
            <v>2025</v>
          </cell>
          <cell r="C4762" t="str">
            <v>mataxfc</v>
          </cell>
          <cell r="D4762">
            <v>5.6820216178894043</v>
          </cell>
          <cell r="F4762" t="str">
            <v>14 Aug 2024</v>
          </cell>
        </row>
        <row r="4763">
          <cell r="A4763" t="str">
            <v>BGD</v>
          </cell>
          <cell r="B4763">
            <v>2018</v>
          </cell>
          <cell r="C4763" t="str">
            <v>masrvfc</v>
          </cell>
          <cell r="D4763">
            <v>6.5536212921142578</v>
          </cell>
          <cell r="F4763" t="str">
            <v>14 Aug 2024</v>
          </cell>
        </row>
        <row r="4764">
          <cell r="A4764" t="str">
            <v>BGD</v>
          </cell>
          <cell r="B4764">
            <v>2012</v>
          </cell>
          <cell r="C4764" t="str">
            <v>maimpz</v>
          </cell>
          <cell r="D4764">
            <v>10.518559455871582</v>
          </cell>
          <cell r="F4764" t="str">
            <v>14 Aug 2024</v>
          </cell>
        </row>
        <row r="4765">
          <cell r="A4765" t="str">
            <v>BGD</v>
          </cell>
          <cell r="B4765">
            <v>2013</v>
          </cell>
          <cell r="C4765" t="str">
            <v>masrvfc</v>
          </cell>
          <cell r="D4765">
            <v>5.5141563415527344</v>
          </cell>
          <cell r="F4765" t="str">
            <v>14 Aug 2024</v>
          </cell>
        </row>
        <row r="4766">
          <cell r="A4766" t="str">
            <v>BGD</v>
          </cell>
          <cell r="B4766">
            <v>2026</v>
          </cell>
          <cell r="C4766" t="str">
            <v>mar_agrfc</v>
          </cell>
          <cell r="D4766">
            <v>10.471433639526367</v>
          </cell>
          <cell r="F4766" t="str">
            <v>14 Aug 2024</v>
          </cell>
        </row>
        <row r="4767">
          <cell r="A4767" t="str">
            <v>BGD</v>
          </cell>
          <cell r="B4767">
            <v>2005</v>
          </cell>
          <cell r="C4767" t="str">
            <v>mar_agrfc</v>
          </cell>
          <cell r="D4767">
            <v>19.303594589233398</v>
          </cell>
          <cell r="F4767" t="str">
            <v>14 Aug 2024</v>
          </cell>
        </row>
        <row r="4768">
          <cell r="A4768" t="str">
            <v>BGD</v>
          </cell>
          <cell r="B4768">
            <v>2006</v>
          </cell>
          <cell r="C4768" t="str">
            <v>masrvfc</v>
          </cell>
          <cell r="D4768">
            <v>6.6021132469177246</v>
          </cell>
          <cell r="F4768" t="str">
            <v>14 Aug 2024</v>
          </cell>
        </row>
        <row r="4769">
          <cell r="A4769" t="str">
            <v>BGD</v>
          </cell>
          <cell r="B4769">
            <v>2014</v>
          </cell>
          <cell r="C4769" t="str">
            <v>mar_srvfc</v>
          </cell>
          <cell r="D4769">
            <v>53.94976806640625</v>
          </cell>
          <cell r="F4769" t="str">
            <v>14 Aug 2024</v>
          </cell>
        </row>
        <row r="4770">
          <cell r="A4770" t="str">
            <v>BGD</v>
          </cell>
          <cell r="B4770">
            <v>2021</v>
          </cell>
          <cell r="C4770" t="str">
            <v>maagrfc</v>
          </cell>
          <cell r="D4770">
            <v>3.1745405197143555</v>
          </cell>
          <cell r="F4770" t="str">
            <v>14 Aug 2024</v>
          </cell>
        </row>
        <row r="4771">
          <cell r="A4771" t="str">
            <v>BGD</v>
          </cell>
          <cell r="B4771">
            <v>2013</v>
          </cell>
          <cell r="C4771" t="str">
            <v>mar_srvfc</v>
          </cell>
          <cell r="D4771">
            <v>54.218070983886719</v>
          </cell>
          <cell r="F4771" t="str">
            <v>14 Aug 2024</v>
          </cell>
        </row>
        <row r="4772">
          <cell r="A4772" t="str">
            <v>BGD</v>
          </cell>
          <cell r="B4772">
            <v>2020</v>
          </cell>
          <cell r="C4772" t="str">
            <v>maexpz</v>
          </cell>
          <cell r="D4772">
            <v>-17.502391815185547</v>
          </cell>
          <cell r="F4772" t="str">
            <v>14 Aug 2024</v>
          </cell>
        </row>
        <row r="4773">
          <cell r="A4773" t="str">
            <v>BGD</v>
          </cell>
          <cell r="B4773">
            <v>2006</v>
          </cell>
          <cell r="C4773" t="str">
            <v>mar_agrfc</v>
          </cell>
          <cell r="D4773">
            <v>19.008399963378906</v>
          </cell>
          <cell r="F4773" t="str">
            <v>14 Aug 2024</v>
          </cell>
        </row>
        <row r="4774">
          <cell r="A4774" t="str">
            <v>BGD</v>
          </cell>
          <cell r="B4774">
            <v>2021</v>
          </cell>
          <cell r="C4774" t="str">
            <v>mar_con</v>
          </cell>
          <cell r="D4774">
            <v>66.431083679199219</v>
          </cell>
          <cell r="F4774" t="str">
            <v>14 Aug 2024</v>
          </cell>
        </row>
        <row r="4775">
          <cell r="A4775" t="str">
            <v>BGD</v>
          </cell>
          <cell r="B4775">
            <v>2011</v>
          </cell>
          <cell r="C4775" t="str">
            <v>mar_srvfc</v>
          </cell>
          <cell r="D4775">
            <v>54.613445281982422</v>
          </cell>
          <cell r="F4775" t="str">
            <v>14 Aug 2024</v>
          </cell>
        </row>
        <row r="4776">
          <cell r="A4776" t="str">
            <v>BGD</v>
          </cell>
          <cell r="B4776">
            <v>2016</v>
          </cell>
          <cell r="C4776" t="str">
            <v>mar_expz</v>
          </cell>
          <cell r="D4776">
            <v>13.92120361328125</v>
          </cell>
          <cell r="F4776" t="str">
            <v>14 Aug 2024</v>
          </cell>
        </row>
        <row r="4777">
          <cell r="A4777" t="str">
            <v>BGD</v>
          </cell>
          <cell r="B4777">
            <v>2011</v>
          </cell>
          <cell r="C4777" t="str">
            <v>mar_impz</v>
          </cell>
          <cell r="D4777">
            <v>21.935739517211914</v>
          </cell>
          <cell r="F4777" t="str">
            <v>14 Aug 2024</v>
          </cell>
        </row>
        <row r="4778">
          <cell r="A4778" t="str">
            <v>BGD</v>
          </cell>
          <cell r="B4778">
            <v>2010</v>
          </cell>
          <cell r="C4778" t="str">
            <v>madeficit_</v>
          </cell>
          <cell r="D4778">
            <v>-2.3276538848876953</v>
          </cell>
          <cell r="F4778" t="str">
            <v>14 Aug 2024</v>
          </cell>
        </row>
        <row r="4779">
          <cell r="A4779" t="str">
            <v>BGD</v>
          </cell>
          <cell r="B4779">
            <v>2018</v>
          </cell>
          <cell r="C4779" t="str">
            <v>maimpz</v>
          </cell>
          <cell r="D4779">
            <v>23.934978485107422</v>
          </cell>
          <cell r="F4779" t="str">
            <v>14 Aug 2024</v>
          </cell>
        </row>
        <row r="4780">
          <cell r="A4780" t="str">
            <v>BGD</v>
          </cell>
          <cell r="B4780">
            <v>2020</v>
          </cell>
          <cell r="C4780" t="str">
            <v>macpiz</v>
          </cell>
          <cell r="D4780">
            <v>5.6476202011108398</v>
          </cell>
          <cell r="F4780" t="str">
            <v>14 Aug 2024</v>
          </cell>
        </row>
        <row r="4781">
          <cell r="A4781" t="str">
            <v>BGD</v>
          </cell>
          <cell r="B4781">
            <v>2006</v>
          </cell>
          <cell r="C4781" t="str">
            <v>mar_taxfc</v>
          </cell>
          <cell r="D4781">
            <v>5.6967787742614746</v>
          </cell>
          <cell r="F4781" t="str">
            <v>14 Aug 2024</v>
          </cell>
        </row>
        <row r="4782">
          <cell r="A4782" t="str">
            <v>BGD</v>
          </cell>
          <cell r="B4782">
            <v>2012</v>
          </cell>
          <cell r="C4782" t="str">
            <v>mapanusatls</v>
          </cell>
          <cell r="D4782">
            <v>79.153709411621094</v>
          </cell>
          <cell r="F4782" t="str">
            <v>14 Aug 2024</v>
          </cell>
        </row>
        <row r="4783">
          <cell r="A4783" t="str">
            <v>BGD</v>
          </cell>
          <cell r="B4783">
            <v>2016</v>
          </cell>
          <cell r="C4783" t="str">
            <v>maagrfc</v>
          </cell>
          <cell r="D4783">
            <v>-5.8045578002929688</v>
          </cell>
          <cell r="F4783" t="str">
            <v>14 Aug 2024</v>
          </cell>
        </row>
        <row r="4784">
          <cell r="A4784" t="str">
            <v>BGD</v>
          </cell>
          <cell r="B4784">
            <v>2013</v>
          </cell>
          <cell r="C4784" t="str">
            <v>maimpz</v>
          </cell>
          <cell r="D4784">
            <v>1.2181515693664551</v>
          </cell>
          <cell r="F4784" t="str">
            <v>14 Aug 2024</v>
          </cell>
        </row>
        <row r="4785">
          <cell r="A4785" t="str">
            <v>BGD</v>
          </cell>
          <cell r="B4785">
            <v>2008</v>
          </cell>
          <cell r="C4785" t="str">
            <v>mar_srvfc</v>
          </cell>
          <cell r="D4785">
            <v>55.192832946777344</v>
          </cell>
          <cell r="F4785" t="str">
            <v>14 Aug 2024</v>
          </cell>
        </row>
        <row r="4786">
          <cell r="A4786" t="str">
            <v>BGD</v>
          </cell>
          <cell r="B4786">
            <v>2025</v>
          </cell>
          <cell r="C4786" t="str">
            <v>mar_expz</v>
          </cell>
          <cell r="D4786">
            <v>12.645883560180664</v>
          </cell>
          <cell r="F4786" t="str">
            <v>14 Aug 2024</v>
          </cell>
        </row>
        <row r="4787">
          <cell r="A4787" t="str">
            <v>BGD</v>
          </cell>
          <cell r="B4787">
            <v>2016</v>
          </cell>
          <cell r="C4787" t="str">
            <v>mar_indfc</v>
          </cell>
          <cell r="D4787">
            <v>32.450996398925781</v>
          </cell>
          <cell r="F4787" t="str">
            <v>14 Aug 2024</v>
          </cell>
        </row>
        <row r="4788">
          <cell r="A4788" t="str">
            <v>BGD</v>
          </cell>
          <cell r="B4788">
            <v>2026</v>
          </cell>
          <cell r="C4788" t="str">
            <v>mainvz</v>
          </cell>
          <cell r="D4788">
            <v>8.5986976623535156</v>
          </cell>
          <cell r="F4788" t="str">
            <v>14 Aug 2024</v>
          </cell>
        </row>
        <row r="4789">
          <cell r="A4789" t="str">
            <v>BGD</v>
          </cell>
          <cell r="B4789">
            <v>2024</v>
          </cell>
          <cell r="C4789" t="str">
            <v>madebt_</v>
          </cell>
          <cell r="D4789">
            <v>34.876678466796875</v>
          </cell>
          <cell r="F4789" t="str">
            <v>14 Aug 2024</v>
          </cell>
        </row>
        <row r="4790">
          <cell r="A4790" t="str">
            <v>BGD</v>
          </cell>
          <cell r="B4790">
            <v>2006</v>
          </cell>
          <cell r="C4790" t="str">
            <v>magap_</v>
          </cell>
          <cell r="D4790">
            <v>-2.7222109958529472E-2</v>
          </cell>
          <cell r="F4790" t="str">
            <v>14 Aug 2024</v>
          </cell>
        </row>
        <row r="4791">
          <cell r="A4791" t="str">
            <v>BGD</v>
          </cell>
          <cell r="B4791">
            <v>2025</v>
          </cell>
          <cell r="C4791" t="str">
            <v>masrvfc</v>
          </cell>
          <cell r="D4791">
            <v>5.1098361015319824</v>
          </cell>
          <cell r="F4791" t="str">
            <v>14 Aug 2024</v>
          </cell>
        </row>
        <row r="4792">
          <cell r="A4792" t="str">
            <v>BGD</v>
          </cell>
          <cell r="B4792">
            <v>2023</v>
          </cell>
          <cell r="C4792" t="str">
            <v>mareer</v>
          </cell>
          <cell r="D4792">
            <v>106.77440643310547</v>
          </cell>
          <cell r="F4792" t="str">
            <v>14 Aug 2024</v>
          </cell>
        </row>
        <row r="4793">
          <cell r="A4793" t="str">
            <v>BGD</v>
          </cell>
          <cell r="B4793">
            <v>2010</v>
          </cell>
          <cell r="C4793" t="str">
            <v>mafdi_</v>
          </cell>
          <cell r="D4793">
            <v>0.59236657619476318</v>
          </cell>
          <cell r="F4793" t="str">
            <v>14 Aug 2024</v>
          </cell>
        </row>
        <row r="4794">
          <cell r="A4794" t="str">
            <v>BGD</v>
          </cell>
          <cell r="B4794">
            <v>2026</v>
          </cell>
          <cell r="C4794" t="str">
            <v>mapanusatls</v>
          </cell>
          <cell r="D4794">
            <v>122</v>
          </cell>
          <cell r="F4794" t="str">
            <v>14 Aug 2024</v>
          </cell>
        </row>
        <row r="4795">
          <cell r="A4795" t="str">
            <v>BGD</v>
          </cell>
          <cell r="B4795">
            <v>2007</v>
          </cell>
          <cell r="C4795" t="str">
            <v>mainvz</v>
          </cell>
          <cell r="D4795">
            <v>7.2616033554077148</v>
          </cell>
          <cell r="F4795" t="str">
            <v>14 Aug 2024</v>
          </cell>
        </row>
        <row r="4796">
          <cell r="A4796" t="str">
            <v>BGD</v>
          </cell>
          <cell r="B4796">
            <v>2019</v>
          </cell>
          <cell r="C4796" t="str">
            <v>mar_impz</v>
          </cell>
          <cell r="D4796">
            <v>18.483297348022461</v>
          </cell>
          <cell r="F4796" t="str">
            <v>14 Aug 2024</v>
          </cell>
        </row>
        <row r="4797">
          <cell r="A4797" t="str">
            <v>BGD</v>
          </cell>
          <cell r="B4797">
            <v>2023</v>
          </cell>
          <cell r="C4797" t="str">
            <v>mataxfc</v>
          </cell>
          <cell r="D4797">
            <v>-6.2612500190734863</v>
          </cell>
          <cell r="F4797" t="str">
            <v>14 Aug 2024</v>
          </cell>
        </row>
        <row r="4798">
          <cell r="A4798" t="str">
            <v>BGD</v>
          </cell>
          <cell r="B4798">
            <v>2017</v>
          </cell>
          <cell r="C4798" t="str">
            <v>maconz</v>
          </cell>
          <cell r="D4798">
            <v>6.2691402435302734</v>
          </cell>
          <cell r="F4798" t="str">
            <v>14 Aug 2024</v>
          </cell>
        </row>
        <row r="4799">
          <cell r="A4799" t="str">
            <v>BGD</v>
          </cell>
          <cell r="B4799">
            <v>2019</v>
          </cell>
          <cell r="C4799" t="str">
            <v>mareer</v>
          </cell>
          <cell r="D4799">
            <v>111.99681854248047</v>
          </cell>
          <cell r="F4799" t="str">
            <v>14 Aug 2024</v>
          </cell>
        </row>
        <row r="4800">
          <cell r="A4800" t="str">
            <v>BGD</v>
          </cell>
          <cell r="B4800">
            <v>2024</v>
          </cell>
          <cell r="C4800" t="str">
            <v>mar_srvfc</v>
          </cell>
          <cell r="D4800">
            <v>51.015769958496094</v>
          </cell>
          <cell r="F4800" t="str">
            <v>14 Aug 2024</v>
          </cell>
        </row>
        <row r="4801">
          <cell r="A4801" t="str">
            <v>BGD</v>
          </cell>
          <cell r="B4801">
            <v>2021</v>
          </cell>
          <cell r="C4801" t="str">
            <v>mainvz</v>
          </cell>
          <cell r="D4801">
            <v>8.0907793045043945</v>
          </cell>
          <cell r="F4801" t="str">
            <v>14 Aug 2024</v>
          </cell>
        </row>
        <row r="4802">
          <cell r="A4802" t="str">
            <v>BGD</v>
          </cell>
          <cell r="B4802">
            <v>2011</v>
          </cell>
          <cell r="C4802" t="str">
            <v>maagrfc</v>
          </cell>
          <cell r="D4802">
            <v>4.4563689231872559</v>
          </cell>
          <cell r="F4802" t="str">
            <v>14 Aug 2024</v>
          </cell>
        </row>
        <row r="4803">
          <cell r="A4803" t="str">
            <v>BGD</v>
          </cell>
          <cell r="B4803">
            <v>2015</v>
          </cell>
          <cell r="C4803" t="str">
            <v>maexpz</v>
          </cell>
          <cell r="D4803">
            <v>-2.8299901485443115</v>
          </cell>
          <cell r="F4803" t="str">
            <v>14 Aug 2024</v>
          </cell>
        </row>
        <row r="4804">
          <cell r="A4804" t="str">
            <v>BGD</v>
          </cell>
          <cell r="B4804">
            <v>2010</v>
          </cell>
          <cell r="C4804" t="str">
            <v>madebt_</v>
          </cell>
          <cell r="D4804">
            <v>29.095569610595703</v>
          </cell>
          <cell r="F4804" t="str">
            <v>14 Aug 2024</v>
          </cell>
        </row>
        <row r="4805">
          <cell r="A4805" t="str">
            <v>BGD</v>
          </cell>
          <cell r="B4805">
            <v>2020</v>
          </cell>
          <cell r="C4805" t="str">
            <v>mar_indfc</v>
          </cell>
          <cell r="D4805">
            <v>34.939010620117188</v>
          </cell>
          <cell r="F4805" t="str">
            <v>14 Aug 2024</v>
          </cell>
        </row>
        <row r="4806">
          <cell r="A4806" t="str">
            <v>BGD</v>
          </cell>
          <cell r="B4806">
            <v>2026</v>
          </cell>
          <cell r="C4806" t="str">
            <v>magovz</v>
          </cell>
          <cell r="D4806">
            <v>7.4459738731384277</v>
          </cell>
          <cell r="F4806" t="str">
            <v>14 Aug 2024</v>
          </cell>
        </row>
        <row r="4807">
          <cell r="A4807" t="str">
            <v>BGD</v>
          </cell>
          <cell r="B4807">
            <v>2007</v>
          </cell>
          <cell r="C4807" t="str">
            <v>masrvfc</v>
          </cell>
          <cell r="D4807">
            <v>6.4851140975952148</v>
          </cell>
          <cell r="F4807" t="str">
            <v>14 Aug 2024</v>
          </cell>
        </row>
        <row r="4808">
          <cell r="A4808" t="str">
            <v>BGD</v>
          </cell>
          <cell r="B4808">
            <v>2026</v>
          </cell>
          <cell r="C4808" t="str">
            <v>magap_</v>
          </cell>
          <cell r="D4808">
            <v>-2.3968601226806641</v>
          </cell>
          <cell r="F4808" t="str">
            <v>14 Aug 2024</v>
          </cell>
        </row>
        <row r="4809">
          <cell r="A4809" t="str">
            <v>BGD</v>
          </cell>
          <cell r="B4809">
            <v>2022</v>
          </cell>
          <cell r="C4809" t="str">
            <v>maimpz</v>
          </cell>
          <cell r="D4809">
            <v>31.183086395263672</v>
          </cell>
          <cell r="F4809" t="str">
            <v>14 Aug 2024</v>
          </cell>
        </row>
        <row r="4810">
          <cell r="A4810" t="str">
            <v>BGD</v>
          </cell>
          <cell r="B4810">
            <v>2016</v>
          </cell>
          <cell r="C4810" t="str">
            <v>maconz</v>
          </cell>
          <cell r="D4810">
            <v>3.0022552013397217</v>
          </cell>
          <cell r="F4810" t="str">
            <v>14 Aug 2024</v>
          </cell>
        </row>
        <row r="4811">
          <cell r="A4811" t="str">
            <v>BGD</v>
          </cell>
          <cell r="B4811">
            <v>2019</v>
          </cell>
          <cell r="C4811" t="str">
            <v>madebt_</v>
          </cell>
          <cell r="D4811">
            <v>28.525506973266602</v>
          </cell>
          <cell r="F4811" t="str">
            <v>14 Aug 2024</v>
          </cell>
        </row>
        <row r="4812">
          <cell r="A4812" t="str">
            <v>BGD</v>
          </cell>
          <cell r="B4812">
            <v>2010</v>
          </cell>
          <cell r="C4812" t="str">
            <v>mar_agrfc</v>
          </cell>
          <cell r="D4812">
            <v>18.382146835327148</v>
          </cell>
          <cell r="F4812" t="str">
            <v>14 Aug 2024</v>
          </cell>
        </row>
        <row r="4813">
          <cell r="A4813" t="str">
            <v>BGD</v>
          </cell>
          <cell r="B4813">
            <v>2020</v>
          </cell>
          <cell r="C4813" t="str">
            <v>magap_</v>
          </cell>
          <cell r="D4813">
            <v>-2.4474585056304932</v>
          </cell>
          <cell r="F4813" t="str">
            <v>14 Aug 2024</v>
          </cell>
        </row>
        <row r="4814">
          <cell r="A4814" t="str">
            <v>BGD</v>
          </cell>
          <cell r="B4814">
            <v>2015</v>
          </cell>
          <cell r="C4814" t="str">
            <v>masrvfc</v>
          </cell>
          <cell r="D4814">
            <v>5.8010616302490234</v>
          </cell>
          <cell r="F4814" t="str">
            <v>14 Aug 2024</v>
          </cell>
        </row>
        <row r="4815">
          <cell r="A4815" t="str">
            <v>BGD</v>
          </cell>
          <cell r="B4815">
            <v>2011</v>
          </cell>
          <cell r="C4815" t="str">
            <v>magdpz</v>
          </cell>
          <cell r="D4815">
            <v>6.4643840789794922</v>
          </cell>
          <cell r="F4815" t="str">
            <v>14 Aug 2024</v>
          </cell>
        </row>
        <row r="4816">
          <cell r="A4816" t="str">
            <v>BGD</v>
          </cell>
          <cell r="B4816">
            <v>2011</v>
          </cell>
          <cell r="C4816" t="str">
            <v>maimpz</v>
          </cell>
          <cell r="D4816">
            <v>29.152965545654297</v>
          </cell>
          <cell r="F4816" t="str">
            <v>14 Aug 2024</v>
          </cell>
        </row>
        <row r="4817">
          <cell r="A4817" t="str">
            <v>BGD</v>
          </cell>
          <cell r="B4817">
            <v>2022</v>
          </cell>
          <cell r="C4817" t="str">
            <v>mafdi_</v>
          </cell>
          <cell r="D4817">
            <v>-0.39706024527549744</v>
          </cell>
          <cell r="F4817" t="str">
            <v>14 Aug 2024</v>
          </cell>
        </row>
        <row r="4818">
          <cell r="A4818" t="str">
            <v>BGD</v>
          </cell>
          <cell r="B4818">
            <v>2011</v>
          </cell>
          <cell r="C4818" t="str">
            <v>masrvfc</v>
          </cell>
          <cell r="D4818">
            <v>6.2166256904602051</v>
          </cell>
          <cell r="F4818" t="str">
            <v>14 Aug 2024</v>
          </cell>
        </row>
        <row r="4819">
          <cell r="A4819" t="str">
            <v>BGD</v>
          </cell>
          <cell r="B4819">
            <v>2026</v>
          </cell>
          <cell r="C4819" t="str">
            <v>mafdi_</v>
          </cell>
          <cell r="D4819">
            <v>-0.42381936311721802</v>
          </cell>
          <cell r="F4819" t="str">
            <v>14 Aug 2024</v>
          </cell>
        </row>
        <row r="4820">
          <cell r="A4820" t="str">
            <v>BGD</v>
          </cell>
          <cell r="B4820">
            <v>2026</v>
          </cell>
          <cell r="C4820" t="str">
            <v>mac_labz</v>
          </cell>
          <cell r="D4820">
            <v>0.73392188549041748</v>
          </cell>
          <cell r="F4820" t="str">
            <v>14 Aug 2024</v>
          </cell>
        </row>
        <row r="4821">
          <cell r="A4821" t="str">
            <v>BGD</v>
          </cell>
          <cell r="B4821">
            <v>2010</v>
          </cell>
          <cell r="C4821" t="str">
            <v>mar_impz</v>
          </cell>
          <cell r="D4821">
            <v>18.082241058349609</v>
          </cell>
          <cell r="F4821" t="str">
            <v>14 Aug 2024</v>
          </cell>
        </row>
        <row r="4822">
          <cell r="A4822" t="str">
            <v>BGD</v>
          </cell>
          <cell r="B4822">
            <v>2012</v>
          </cell>
          <cell r="C4822" t="str">
            <v>macab_</v>
          </cell>
          <cell r="D4822">
            <v>-0.27990895509719849</v>
          </cell>
          <cell r="F4822" t="str">
            <v>14 Aug 2024</v>
          </cell>
        </row>
        <row r="4823">
          <cell r="A4823" t="str">
            <v>BGD</v>
          </cell>
          <cell r="B4823">
            <v>2026</v>
          </cell>
          <cell r="C4823" t="str">
            <v>macpiz</v>
          </cell>
          <cell r="D4823">
            <v>6.5</v>
          </cell>
          <cell r="F4823" t="str">
            <v>14 Aug 2024</v>
          </cell>
        </row>
        <row r="4824">
          <cell r="A4824" t="str">
            <v>BGD</v>
          </cell>
          <cell r="B4824">
            <v>2022</v>
          </cell>
          <cell r="C4824" t="str">
            <v>mac_labz</v>
          </cell>
          <cell r="D4824">
            <v>1.0349130630493164</v>
          </cell>
          <cell r="F4824" t="str">
            <v>14 Aug 2024</v>
          </cell>
        </row>
        <row r="4825">
          <cell r="A4825" t="str">
            <v>BGD</v>
          </cell>
          <cell r="B4825">
            <v>2023</v>
          </cell>
          <cell r="C4825" t="str">
            <v>magap_</v>
          </cell>
          <cell r="D4825">
            <v>-2.0056140422821045</v>
          </cell>
          <cell r="F4825" t="str">
            <v>14 Aug 2024</v>
          </cell>
        </row>
        <row r="4826">
          <cell r="A4826" t="str">
            <v>BGD</v>
          </cell>
          <cell r="B4826">
            <v>2023</v>
          </cell>
          <cell r="C4826" t="str">
            <v>macpiz</v>
          </cell>
          <cell r="D4826">
            <v>9.0328683853149414</v>
          </cell>
          <cell r="F4826" t="str">
            <v>14 Aug 2024</v>
          </cell>
        </row>
        <row r="4827">
          <cell r="A4827" t="str">
            <v>BGD</v>
          </cell>
          <cell r="B4827">
            <v>2010</v>
          </cell>
          <cell r="C4827" t="str">
            <v>mar_expz</v>
          </cell>
          <cell r="D4827">
            <v>13.257551193237305</v>
          </cell>
          <cell r="F4827" t="str">
            <v>14 Aug 2024</v>
          </cell>
        </row>
        <row r="4828">
          <cell r="A4828" t="str">
            <v>BGD</v>
          </cell>
          <cell r="B4828">
            <v>2011</v>
          </cell>
          <cell r="C4828" t="str">
            <v>mareer</v>
          </cell>
          <cell r="D4828">
            <v>73.932563781738281</v>
          </cell>
          <cell r="F4828" t="str">
            <v>14 Aug 2024</v>
          </cell>
        </row>
        <row r="4829">
          <cell r="A4829" t="str">
            <v>BGD</v>
          </cell>
          <cell r="B4829">
            <v>2014</v>
          </cell>
          <cell r="C4829" t="str">
            <v>masrvfc</v>
          </cell>
          <cell r="D4829">
            <v>5.6243577003479004</v>
          </cell>
          <cell r="F4829" t="str">
            <v>14 Aug 2024</v>
          </cell>
        </row>
        <row r="4830">
          <cell r="A4830" t="str">
            <v>BGD</v>
          </cell>
          <cell r="B4830">
            <v>2016</v>
          </cell>
          <cell r="C4830" t="str">
            <v>madeficit_</v>
          </cell>
          <cell r="D4830">
            <v>-3.0635104179382324</v>
          </cell>
          <cell r="F4830" t="str">
            <v>14 Aug 2024</v>
          </cell>
        </row>
        <row r="4831">
          <cell r="A4831" t="str">
            <v>BGD</v>
          </cell>
          <cell r="B4831">
            <v>2008</v>
          </cell>
          <cell r="C4831" t="str">
            <v>mac_tfpz</v>
          </cell>
          <cell r="D4831">
            <v>0.62327045202255249</v>
          </cell>
          <cell r="F4831" t="str">
            <v>14 Aug 2024</v>
          </cell>
        </row>
        <row r="4832">
          <cell r="A4832" t="str">
            <v>BGD</v>
          </cell>
          <cell r="B4832">
            <v>2014</v>
          </cell>
          <cell r="C4832" t="str">
            <v>maimpz</v>
          </cell>
          <cell r="D4832">
            <v>1.1683238744735718</v>
          </cell>
          <cell r="F4832" t="str">
            <v>14 Aug 2024</v>
          </cell>
        </row>
        <row r="4833">
          <cell r="A4833" t="str">
            <v>BGD</v>
          </cell>
          <cell r="B4833">
            <v>2021</v>
          </cell>
          <cell r="C4833" t="str">
            <v>madeficit_</v>
          </cell>
          <cell r="D4833">
            <v>-3.6583638191223145</v>
          </cell>
          <cell r="F4833" t="str">
            <v>14 Aug 2024</v>
          </cell>
        </row>
        <row r="4834">
          <cell r="A4834" t="str">
            <v>BGD</v>
          </cell>
          <cell r="B4834">
            <v>2011</v>
          </cell>
          <cell r="C4834" t="str">
            <v>magap_</v>
          </cell>
          <cell r="D4834">
            <v>0.26468962430953979</v>
          </cell>
          <cell r="F4834" t="str">
            <v>14 Aug 2024</v>
          </cell>
        </row>
        <row r="4835">
          <cell r="A4835" t="str">
            <v>BGD</v>
          </cell>
          <cell r="B4835">
            <v>2021</v>
          </cell>
          <cell r="C4835" t="str">
            <v>maimpz</v>
          </cell>
          <cell r="D4835">
            <v>15.265941619873047</v>
          </cell>
          <cell r="F4835" t="str">
            <v>14 Aug 2024</v>
          </cell>
        </row>
        <row r="4836">
          <cell r="A4836" t="str">
            <v>BGD</v>
          </cell>
          <cell r="B4836">
            <v>2026</v>
          </cell>
          <cell r="C4836" t="str">
            <v>mar_indfc</v>
          </cell>
          <cell r="D4836">
            <v>38.834587097167969</v>
          </cell>
          <cell r="F4836" t="str">
            <v>14 Aug 2024</v>
          </cell>
        </row>
        <row r="4837">
          <cell r="A4837" t="str">
            <v>BGD</v>
          </cell>
          <cell r="B4837">
            <v>2012</v>
          </cell>
          <cell r="C4837" t="str">
            <v>magovz</v>
          </cell>
          <cell r="D4837">
            <v>3.0822505950927734</v>
          </cell>
          <cell r="F4837" t="str">
            <v>14 Aug 2024</v>
          </cell>
        </row>
        <row r="4838">
          <cell r="A4838" t="str">
            <v>BGD</v>
          </cell>
          <cell r="B4838">
            <v>2012</v>
          </cell>
          <cell r="C4838" t="str">
            <v>maindfc</v>
          </cell>
          <cell r="D4838">
            <v>9.4355983734130859</v>
          </cell>
          <cell r="F4838" t="str">
            <v>14 Aug 2024</v>
          </cell>
        </row>
        <row r="4839">
          <cell r="A4839" t="str">
            <v>BGD</v>
          </cell>
          <cell r="B4839">
            <v>2014</v>
          </cell>
          <cell r="C4839" t="str">
            <v>mar_expz</v>
          </cell>
          <cell r="D4839">
            <v>15.999843597412109</v>
          </cell>
          <cell r="F4839" t="str">
            <v>14 Aug 2024</v>
          </cell>
        </row>
        <row r="4840">
          <cell r="A4840" t="str">
            <v>BGD</v>
          </cell>
          <cell r="B4840">
            <v>2022</v>
          </cell>
          <cell r="C4840" t="str">
            <v>macpiz</v>
          </cell>
          <cell r="D4840">
            <v>6.1400027275085449</v>
          </cell>
          <cell r="F4840" t="str">
            <v>14 Aug 2024</v>
          </cell>
        </row>
        <row r="4841">
          <cell r="A4841" t="str">
            <v>BGD</v>
          </cell>
          <cell r="B4841">
            <v>2026</v>
          </cell>
          <cell r="C4841" t="str">
            <v>masrvfc</v>
          </cell>
          <cell r="D4841">
            <v>5.8214340209960938</v>
          </cell>
          <cell r="F4841" t="str">
            <v>14 Aug 2024</v>
          </cell>
        </row>
        <row r="4842">
          <cell r="A4842" t="str">
            <v>BGD</v>
          </cell>
          <cell r="B4842">
            <v>2010</v>
          </cell>
          <cell r="C4842" t="str">
            <v>magovz</v>
          </cell>
          <cell r="D4842">
            <v>6.8258891105651855</v>
          </cell>
          <cell r="F4842" t="str">
            <v>14 Aug 2024</v>
          </cell>
        </row>
        <row r="4843">
          <cell r="A4843" t="str">
            <v>BGD</v>
          </cell>
          <cell r="B4843">
            <v>2018</v>
          </cell>
          <cell r="C4843" t="str">
            <v>mareer</v>
          </cell>
          <cell r="D4843">
            <v>106.5699462890625</v>
          </cell>
          <cell r="F4843" t="str">
            <v>14 Aug 2024</v>
          </cell>
        </row>
        <row r="4844">
          <cell r="A4844" t="str">
            <v>BGD</v>
          </cell>
          <cell r="B4844">
            <v>2007</v>
          </cell>
          <cell r="C4844" t="str">
            <v>mar_agrfc</v>
          </cell>
          <cell r="D4844">
            <v>18.923650741577148</v>
          </cell>
          <cell r="F4844" t="str">
            <v>14 Aug 2024</v>
          </cell>
        </row>
        <row r="4845">
          <cell r="A4845" t="str">
            <v>BGD</v>
          </cell>
          <cell r="B4845">
            <v>2005</v>
          </cell>
          <cell r="C4845" t="str">
            <v>mar_srvfc</v>
          </cell>
          <cell r="D4845">
            <v>55.901992797851563</v>
          </cell>
          <cell r="F4845" t="str">
            <v>14 Aug 2024</v>
          </cell>
        </row>
        <row r="4846">
          <cell r="A4846" t="str">
            <v>BGD</v>
          </cell>
          <cell r="B4846">
            <v>2013</v>
          </cell>
          <cell r="C4846" t="str">
            <v>mac_tfpz</v>
          </cell>
          <cell r="D4846">
            <v>0.82130277156829834</v>
          </cell>
          <cell r="F4846" t="str">
            <v>14 Aug 2024</v>
          </cell>
        </row>
        <row r="4847">
          <cell r="A4847" t="str">
            <v>BGD</v>
          </cell>
          <cell r="B4847">
            <v>2026</v>
          </cell>
          <cell r="C4847" t="str">
            <v>matfpz</v>
          </cell>
          <cell r="D4847">
            <v>1.0130168199539185</v>
          </cell>
          <cell r="F4847" t="str">
            <v>14 Aug 2024</v>
          </cell>
        </row>
        <row r="4848">
          <cell r="A4848" t="str">
            <v>BGD</v>
          </cell>
          <cell r="B4848">
            <v>2016</v>
          </cell>
          <cell r="C4848" t="str">
            <v>macpiz</v>
          </cell>
          <cell r="D4848">
            <v>5.9162483215332031</v>
          </cell>
          <cell r="F4848" t="str">
            <v>14 Aug 2024</v>
          </cell>
        </row>
        <row r="4849">
          <cell r="A4849" t="str">
            <v>BGD</v>
          </cell>
          <cell r="B4849">
            <v>2011</v>
          </cell>
          <cell r="C4849" t="str">
            <v>mar_taxfc</v>
          </cell>
          <cell r="D4849">
            <v>4.8911423683166504</v>
          </cell>
          <cell r="F4849" t="str">
            <v>14 Aug 2024</v>
          </cell>
        </row>
        <row r="4850">
          <cell r="A4850" t="str">
            <v>BGD</v>
          </cell>
          <cell r="B4850">
            <v>2013</v>
          </cell>
          <cell r="C4850" t="str">
            <v>mafdi_</v>
          </cell>
          <cell r="D4850">
            <v>-0.96056556701660156</v>
          </cell>
          <cell r="F4850" t="str">
            <v>14 Aug 2024</v>
          </cell>
        </row>
        <row r="4851">
          <cell r="A4851" t="str">
            <v>BGD</v>
          </cell>
          <cell r="B4851">
            <v>2024</v>
          </cell>
          <cell r="C4851" t="str">
            <v>matfpz</v>
          </cell>
          <cell r="D4851">
            <v>1.0528721809387207</v>
          </cell>
          <cell r="F4851" t="str">
            <v>14 Aug 2024</v>
          </cell>
        </row>
        <row r="4852">
          <cell r="A4852" t="str">
            <v>BGD</v>
          </cell>
          <cell r="B4852">
            <v>2017</v>
          </cell>
          <cell r="C4852" t="str">
            <v>mainvz</v>
          </cell>
          <cell r="D4852">
            <v>8.3595733642578125</v>
          </cell>
          <cell r="F4852" t="str">
            <v>14 Aug 2024</v>
          </cell>
        </row>
        <row r="4853">
          <cell r="A4853" t="str">
            <v>BGD</v>
          </cell>
          <cell r="B4853">
            <v>2024</v>
          </cell>
          <cell r="C4853" t="str">
            <v>mar_impz</v>
          </cell>
          <cell r="D4853">
            <v>14.815042495727539</v>
          </cell>
          <cell r="F4853" t="str">
            <v>14 Aug 2024</v>
          </cell>
        </row>
        <row r="4854">
          <cell r="A4854" t="str">
            <v>BGD</v>
          </cell>
          <cell r="B4854">
            <v>2007</v>
          </cell>
          <cell r="C4854" t="str">
            <v>mac_tfpz</v>
          </cell>
          <cell r="D4854">
            <v>0.5735132098197937</v>
          </cell>
          <cell r="F4854" t="str">
            <v>14 Aug 2024</v>
          </cell>
        </row>
        <row r="4855">
          <cell r="A4855" t="str">
            <v>BGD</v>
          </cell>
          <cell r="B4855">
            <v>2024</v>
          </cell>
          <cell r="C4855" t="str">
            <v>mar_expz</v>
          </cell>
          <cell r="D4855">
            <v>12.466814994812012</v>
          </cell>
          <cell r="F4855" t="str">
            <v>14 Aug 2024</v>
          </cell>
        </row>
        <row r="4856">
          <cell r="A4856" t="str">
            <v>BGD</v>
          </cell>
          <cell r="B4856">
            <v>2017</v>
          </cell>
          <cell r="C4856" t="str">
            <v>maimpz</v>
          </cell>
          <cell r="D4856">
            <v>5.1641998291015625</v>
          </cell>
          <cell r="F4856" t="str">
            <v>14 Aug 2024</v>
          </cell>
        </row>
        <row r="4857">
          <cell r="A4857" t="str">
            <v>BGD</v>
          </cell>
          <cell r="B4857">
            <v>2015</v>
          </cell>
          <cell r="C4857" t="str">
            <v>maindfc</v>
          </cell>
          <cell r="D4857">
            <v>9.6669044494628906</v>
          </cell>
          <cell r="F4857" t="str">
            <v>14 Aug 2024</v>
          </cell>
        </row>
        <row r="4858">
          <cell r="A4858" t="str">
            <v>BGD</v>
          </cell>
          <cell r="B4858">
            <v>2013</v>
          </cell>
          <cell r="C4858" t="str">
            <v>mar_agrfc</v>
          </cell>
          <cell r="D4858">
            <v>16.778091430664063</v>
          </cell>
          <cell r="F4858" t="str">
            <v>14 Aug 2024</v>
          </cell>
        </row>
        <row r="4859">
          <cell r="A4859" t="str">
            <v>BGD</v>
          </cell>
          <cell r="B4859">
            <v>2016</v>
          </cell>
          <cell r="C4859" t="str">
            <v>masrvfc</v>
          </cell>
          <cell r="D4859">
            <v>6.9827718734741211</v>
          </cell>
          <cell r="F4859" t="str">
            <v>14 Aug 2024</v>
          </cell>
        </row>
        <row r="4860">
          <cell r="A4860" t="str">
            <v>BGD</v>
          </cell>
          <cell r="B4860">
            <v>2022</v>
          </cell>
          <cell r="C4860" t="str">
            <v>magap_</v>
          </cell>
          <cell r="D4860">
            <v>-1.3077224493026733</v>
          </cell>
          <cell r="F4860" t="str">
            <v>14 Aug 2024</v>
          </cell>
        </row>
        <row r="4861">
          <cell r="A4861" t="str">
            <v>BGD</v>
          </cell>
          <cell r="B4861">
            <v>2013</v>
          </cell>
          <cell r="C4861" t="str">
            <v>mar_indfc</v>
          </cell>
          <cell r="D4861">
            <v>29.003837585449219</v>
          </cell>
          <cell r="F4861" t="str">
            <v>14 Aug 2024</v>
          </cell>
        </row>
        <row r="4862">
          <cell r="A4862" t="str">
            <v>BGD</v>
          </cell>
          <cell r="B4862">
            <v>2014</v>
          </cell>
          <cell r="C4862" t="str">
            <v>maexpz</v>
          </cell>
          <cell r="D4862">
            <v>3.2011492252349854</v>
          </cell>
          <cell r="F4862" t="str">
            <v>14 Aug 2024</v>
          </cell>
        </row>
        <row r="4863">
          <cell r="A4863" t="str">
            <v>BGD</v>
          </cell>
          <cell r="B4863">
            <v>2015</v>
          </cell>
          <cell r="C4863" t="str">
            <v>mafdi_</v>
          </cell>
          <cell r="D4863">
            <v>-0.78307616710662842</v>
          </cell>
          <cell r="F4863" t="str">
            <v>14 Aug 2024</v>
          </cell>
        </row>
        <row r="4864">
          <cell r="A4864" t="str">
            <v>BGD</v>
          </cell>
          <cell r="B4864">
            <v>2020</v>
          </cell>
          <cell r="C4864" t="str">
            <v>mar_expz</v>
          </cell>
          <cell r="D4864">
            <v>10.442789077758789</v>
          </cell>
          <cell r="F4864" t="str">
            <v>14 Aug 2024</v>
          </cell>
        </row>
        <row r="4865">
          <cell r="A4865" t="str">
            <v>BGD</v>
          </cell>
          <cell r="B4865">
            <v>2014</v>
          </cell>
          <cell r="C4865" t="str">
            <v>mapanusatls</v>
          </cell>
          <cell r="D4865">
            <v>77.699996948242188</v>
          </cell>
          <cell r="F4865" t="str">
            <v>14 Aug 2024</v>
          </cell>
        </row>
        <row r="4866">
          <cell r="A4866" t="str">
            <v>BGD</v>
          </cell>
          <cell r="B4866">
            <v>2014</v>
          </cell>
          <cell r="C4866" t="str">
            <v>mac_tfpz</v>
          </cell>
          <cell r="D4866">
            <v>0.88294470310211182</v>
          </cell>
          <cell r="F4866" t="str">
            <v>14 Aug 2024</v>
          </cell>
        </row>
        <row r="4867">
          <cell r="A4867" t="str">
            <v>BGD</v>
          </cell>
          <cell r="B4867">
            <v>2014</v>
          </cell>
          <cell r="C4867" t="str">
            <v>mar_con</v>
          </cell>
          <cell r="D4867">
            <v>70.016563415527344</v>
          </cell>
          <cell r="F4867" t="str">
            <v>14 Aug 2024</v>
          </cell>
        </row>
        <row r="4868">
          <cell r="A4868" t="str">
            <v>BGD</v>
          </cell>
          <cell r="B4868">
            <v>2014</v>
          </cell>
          <cell r="C4868" t="str">
            <v>mar_impz</v>
          </cell>
          <cell r="D4868">
            <v>20.726968765258789</v>
          </cell>
          <cell r="F4868" t="str">
            <v>14 Aug 2024</v>
          </cell>
        </row>
        <row r="4869">
          <cell r="A4869" t="str">
            <v>BGD</v>
          </cell>
          <cell r="B4869">
            <v>2014</v>
          </cell>
          <cell r="C4869" t="str">
            <v>mar_indfc</v>
          </cell>
          <cell r="D4869">
            <v>29.553138732910156</v>
          </cell>
          <cell r="F4869" t="str">
            <v>14 Aug 2024</v>
          </cell>
        </row>
        <row r="4870">
          <cell r="A4870" t="str">
            <v>BGD</v>
          </cell>
          <cell r="B4870">
            <v>2007</v>
          </cell>
          <cell r="C4870" t="str">
            <v>magdpz</v>
          </cell>
          <cell r="D4870">
            <v>7.0586361885070801</v>
          </cell>
          <cell r="F4870" t="str">
            <v>14 Aug 2024</v>
          </cell>
        </row>
        <row r="4871">
          <cell r="A4871" t="str">
            <v>BGD</v>
          </cell>
          <cell r="B4871">
            <v>2014</v>
          </cell>
          <cell r="C4871" t="str">
            <v>mareer</v>
          </cell>
          <cell r="D4871">
            <v>84.6055908203125</v>
          </cell>
          <cell r="F4871" t="str">
            <v>14 Aug 2024</v>
          </cell>
        </row>
        <row r="4872">
          <cell r="A4872" t="str">
            <v>BGD</v>
          </cell>
          <cell r="B4872">
            <v>2013</v>
          </cell>
          <cell r="C4872" t="str">
            <v>mar_taxfc</v>
          </cell>
          <cell r="D4872">
            <v>4.5710592269897461</v>
          </cell>
          <cell r="F4872" t="str">
            <v>14 Aug 2024</v>
          </cell>
        </row>
        <row r="4873">
          <cell r="A4873" t="str">
            <v>BGD</v>
          </cell>
          <cell r="B4873">
            <v>2022</v>
          </cell>
          <cell r="C4873" t="str">
            <v>mapanusatls</v>
          </cell>
          <cell r="D4873">
            <v>86.316947937011719</v>
          </cell>
          <cell r="F4873" t="str">
            <v>14 Aug 2024</v>
          </cell>
        </row>
        <row r="4874">
          <cell r="A4874" t="str">
            <v>BGD</v>
          </cell>
          <cell r="B4874">
            <v>2014</v>
          </cell>
          <cell r="C4874" t="str">
            <v>mafdi_</v>
          </cell>
          <cell r="D4874">
            <v>-0.691264808177948</v>
          </cell>
          <cell r="F4874" t="str">
            <v>14 Aug 2024</v>
          </cell>
        </row>
        <row r="4875">
          <cell r="A4875" t="str">
            <v>BGD</v>
          </cell>
          <cell r="B4875">
            <v>2015</v>
          </cell>
          <cell r="C4875" t="str">
            <v>mac_labz</v>
          </cell>
          <cell r="D4875">
            <v>1.4786226749420166</v>
          </cell>
          <cell r="F4875" t="str">
            <v>14 Aug 2024</v>
          </cell>
        </row>
        <row r="4876">
          <cell r="A4876" t="str">
            <v>BGD</v>
          </cell>
          <cell r="B4876">
            <v>2015</v>
          </cell>
          <cell r="C4876" t="str">
            <v>macab_</v>
          </cell>
          <cell r="D4876">
            <v>1.214837908744812</v>
          </cell>
          <cell r="F4876" t="str">
            <v>14 Aug 2024</v>
          </cell>
        </row>
        <row r="4877">
          <cell r="A4877" t="str">
            <v>BGD</v>
          </cell>
          <cell r="B4877">
            <v>2012</v>
          </cell>
          <cell r="C4877" t="str">
            <v>mar_indfc</v>
          </cell>
          <cell r="D4877">
            <v>28.078781127929688</v>
          </cell>
          <cell r="F4877" t="str">
            <v>14 Aug 2024</v>
          </cell>
        </row>
        <row r="4878">
          <cell r="A4878" t="str">
            <v>BGD</v>
          </cell>
          <cell r="B4878">
            <v>2021</v>
          </cell>
          <cell r="C4878" t="str">
            <v>malabz</v>
          </cell>
          <cell r="D4878">
            <v>1.6589081287384033</v>
          </cell>
          <cell r="F4878" t="str">
            <v>14 Aug 2024</v>
          </cell>
        </row>
        <row r="4879">
          <cell r="A4879" t="str">
            <v>BGD</v>
          </cell>
          <cell r="B4879">
            <v>2012</v>
          </cell>
          <cell r="C4879" t="str">
            <v>macpiz</v>
          </cell>
          <cell r="D4879">
            <v>8.6895132064819336</v>
          </cell>
          <cell r="F4879" t="str">
            <v>14 Aug 2024</v>
          </cell>
        </row>
        <row r="4880">
          <cell r="A4880" t="str">
            <v>BGD</v>
          </cell>
          <cell r="B4880">
            <v>2007</v>
          </cell>
          <cell r="C4880" t="str">
            <v>magovz</v>
          </cell>
          <cell r="D4880">
            <v>3.0576040744781494</v>
          </cell>
          <cell r="F4880" t="str">
            <v>14 Aug 2024</v>
          </cell>
        </row>
        <row r="4881">
          <cell r="A4881" t="str">
            <v>BGD</v>
          </cell>
          <cell r="B4881">
            <v>2015</v>
          </cell>
          <cell r="C4881" t="str">
            <v>magdpz</v>
          </cell>
          <cell r="D4881">
            <v>6.5526461601257324</v>
          </cell>
          <cell r="F4881" t="str">
            <v>14 Aug 2024</v>
          </cell>
        </row>
        <row r="4882">
          <cell r="A4882" t="str">
            <v>BGD</v>
          </cell>
          <cell r="B4882">
            <v>2013</v>
          </cell>
          <cell r="C4882" t="str">
            <v>matfpz</v>
          </cell>
          <cell r="D4882">
            <v>0.82130277156829834</v>
          </cell>
          <cell r="F4882" t="str">
            <v>14 Aug 2024</v>
          </cell>
        </row>
        <row r="4883">
          <cell r="A4883" t="str">
            <v>BGD</v>
          </cell>
          <cell r="B4883">
            <v>2015</v>
          </cell>
          <cell r="C4883" t="str">
            <v>mainvz</v>
          </cell>
          <cell r="D4883">
            <v>7.0701942443847656</v>
          </cell>
          <cell r="F4883" t="str">
            <v>14 Aug 2024</v>
          </cell>
        </row>
        <row r="4884">
          <cell r="A4884" t="str">
            <v>BGD</v>
          </cell>
          <cell r="B4884">
            <v>2020</v>
          </cell>
          <cell r="C4884" t="str">
            <v>mareer</v>
          </cell>
          <cell r="D4884">
            <v>114.99617767333984</v>
          </cell>
          <cell r="F4884" t="str">
            <v>14 Aug 2024</v>
          </cell>
        </row>
        <row r="4885">
          <cell r="A4885" t="str">
            <v>BGD</v>
          </cell>
          <cell r="B4885">
            <v>2015</v>
          </cell>
          <cell r="C4885" t="str">
            <v>madeficit_</v>
          </cell>
          <cell r="D4885">
            <v>-3.088775634765625</v>
          </cell>
          <cell r="F4885" t="str">
            <v>14 Aug 2024</v>
          </cell>
        </row>
        <row r="4886">
          <cell r="A4886" t="str">
            <v>BGD</v>
          </cell>
          <cell r="B4886">
            <v>2016</v>
          </cell>
          <cell r="C4886" t="str">
            <v>macab_</v>
          </cell>
          <cell r="D4886">
            <v>1.6076267957687378</v>
          </cell>
          <cell r="F4886" t="str">
            <v>14 Aug 2024</v>
          </cell>
        </row>
        <row r="4887">
          <cell r="A4887" t="str">
            <v>BGD</v>
          </cell>
          <cell r="B4887">
            <v>2023</v>
          </cell>
          <cell r="C4887" t="str">
            <v>mar_con</v>
          </cell>
          <cell r="D4887">
            <v>64.275993347167969</v>
          </cell>
          <cell r="F4887" t="str">
            <v>14 Aug 2024</v>
          </cell>
        </row>
        <row r="4888">
          <cell r="A4888" t="str">
            <v>BGD</v>
          </cell>
          <cell r="B4888">
            <v>2019</v>
          </cell>
          <cell r="C4888" t="str">
            <v>macpiz</v>
          </cell>
          <cell r="D4888">
            <v>5.4752998352050781</v>
          </cell>
          <cell r="F4888" t="str">
            <v>14 Aug 2024</v>
          </cell>
        </row>
        <row r="4889">
          <cell r="A4889" t="str">
            <v>BGD</v>
          </cell>
          <cell r="B4889">
            <v>2021</v>
          </cell>
          <cell r="C4889" t="str">
            <v>maexpz</v>
          </cell>
          <cell r="D4889">
            <v>9.1914558410644531</v>
          </cell>
          <cell r="F4889" t="str">
            <v>14 Aug 2024</v>
          </cell>
        </row>
        <row r="4890">
          <cell r="A4890" t="str">
            <v>BGD</v>
          </cell>
          <cell r="B4890">
            <v>2007</v>
          </cell>
          <cell r="C4890" t="str">
            <v>maimpz</v>
          </cell>
          <cell r="D4890">
            <v>15.986035346984863</v>
          </cell>
          <cell r="F4890" t="str">
            <v>14 Aug 2024</v>
          </cell>
        </row>
        <row r="4891">
          <cell r="A4891" t="str">
            <v>BGD</v>
          </cell>
          <cell r="B4891">
            <v>2024</v>
          </cell>
          <cell r="C4891" t="str">
            <v>mar_con</v>
          </cell>
          <cell r="D4891">
            <v>61.694427490234375</v>
          </cell>
          <cell r="F4891" t="str">
            <v>14 Aug 2024</v>
          </cell>
        </row>
        <row r="4892">
          <cell r="A4892" t="str">
            <v>BGD</v>
          </cell>
          <cell r="B4892">
            <v>2016</v>
          </cell>
          <cell r="C4892" t="str">
            <v>mar_srvfc</v>
          </cell>
          <cell r="D4892">
            <v>53.485343933105469</v>
          </cell>
          <cell r="F4892" t="str">
            <v>14 Aug 2024</v>
          </cell>
        </row>
        <row r="4893">
          <cell r="A4893" t="str">
            <v>BGD</v>
          </cell>
          <cell r="B4893">
            <v>2016</v>
          </cell>
          <cell r="C4893" t="str">
            <v>mar_taxfc</v>
          </cell>
          <cell r="D4893">
            <v>4.4476542472839355</v>
          </cell>
          <cell r="F4893" t="str">
            <v>14 Aug 2024</v>
          </cell>
        </row>
        <row r="4894">
          <cell r="A4894" t="str">
            <v>BGD</v>
          </cell>
          <cell r="B4894">
            <v>2023</v>
          </cell>
          <cell r="C4894" t="str">
            <v>mafdi_</v>
          </cell>
          <cell r="D4894">
            <v>-0.37698724865913391</v>
          </cell>
          <cell r="F4894" t="str">
            <v>14 Aug 2024</v>
          </cell>
        </row>
        <row r="4895">
          <cell r="A4895" t="str">
            <v>BGD</v>
          </cell>
          <cell r="B4895">
            <v>2016</v>
          </cell>
          <cell r="C4895" t="str">
            <v>mapanusatls</v>
          </cell>
          <cell r="D4895">
            <v>78.300003051757813</v>
          </cell>
          <cell r="F4895" t="str">
            <v>14 Aug 2024</v>
          </cell>
        </row>
        <row r="4896">
          <cell r="A4896" t="str">
            <v>BGD</v>
          </cell>
          <cell r="B4896">
            <v>2017</v>
          </cell>
          <cell r="C4896" t="str">
            <v>magdpz</v>
          </cell>
          <cell r="D4896">
            <v>6.5902447700500488</v>
          </cell>
          <cell r="F4896" t="str">
            <v>14 Aug 2024</v>
          </cell>
        </row>
        <row r="4897">
          <cell r="A4897" t="str">
            <v>BGD</v>
          </cell>
          <cell r="B4897">
            <v>2017</v>
          </cell>
          <cell r="C4897" t="str">
            <v>mac_tfpz</v>
          </cell>
          <cell r="D4897">
            <v>1.0751830339431763</v>
          </cell>
          <cell r="F4897" t="str">
            <v>14 Aug 2024</v>
          </cell>
        </row>
        <row r="4898">
          <cell r="A4898" t="str">
            <v>BGD</v>
          </cell>
          <cell r="B4898">
            <v>2017</v>
          </cell>
          <cell r="C4898" t="str">
            <v>maagrfc</v>
          </cell>
          <cell r="D4898">
            <v>3.196007251739502</v>
          </cell>
          <cell r="F4898" t="str">
            <v>14 Aug 2024</v>
          </cell>
        </row>
        <row r="4899">
          <cell r="A4899" t="str">
            <v>BGD</v>
          </cell>
          <cell r="B4899">
            <v>2008</v>
          </cell>
          <cell r="C4899" t="str">
            <v>mainvz</v>
          </cell>
          <cell r="D4899">
            <v>9.9550352096557617</v>
          </cell>
          <cell r="F4899" t="str">
            <v>14 Aug 2024</v>
          </cell>
        </row>
        <row r="4900">
          <cell r="A4900" t="str">
            <v>BGD</v>
          </cell>
          <cell r="B4900">
            <v>2017</v>
          </cell>
          <cell r="C4900" t="str">
            <v>malabz</v>
          </cell>
          <cell r="D4900">
            <v>2.097376823425293</v>
          </cell>
          <cell r="F4900" t="str">
            <v>14 Aug 2024</v>
          </cell>
        </row>
        <row r="4901">
          <cell r="A4901" t="str">
            <v>BGD</v>
          </cell>
          <cell r="B4901">
            <v>2009</v>
          </cell>
          <cell r="C4901" t="str">
            <v>maindfc</v>
          </cell>
          <cell r="D4901">
            <v>6.9131731986999512</v>
          </cell>
          <cell r="F4901" t="str">
            <v>14 Aug 2024</v>
          </cell>
        </row>
        <row r="4902">
          <cell r="A4902" t="str">
            <v>BGD</v>
          </cell>
          <cell r="B4902">
            <v>2023</v>
          </cell>
          <cell r="C4902" t="str">
            <v>magovz</v>
          </cell>
          <cell r="D4902">
            <v>8.5354595184326172</v>
          </cell>
          <cell r="F4902" t="str">
            <v>14 Aug 2024</v>
          </cell>
        </row>
        <row r="4903">
          <cell r="A4903" t="str">
            <v>BGD</v>
          </cell>
          <cell r="B4903">
            <v>2022</v>
          </cell>
          <cell r="C4903" t="str">
            <v>madeficit_</v>
          </cell>
          <cell r="D4903">
            <v>-4.5628633499145508</v>
          </cell>
          <cell r="F4903" t="str">
            <v>14 Aug 2024</v>
          </cell>
        </row>
        <row r="4904">
          <cell r="A4904" t="str">
            <v>BGD</v>
          </cell>
          <cell r="B4904">
            <v>2024</v>
          </cell>
          <cell r="C4904" t="str">
            <v>maagrfc</v>
          </cell>
          <cell r="D4904">
            <v>3.0999999046325684</v>
          </cell>
          <cell r="F4904" t="str">
            <v>14 Aug 2024</v>
          </cell>
        </row>
        <row r="4905">
          <cell r="A4905" t="str">
            <v>BGD</v>
          </cell>
          <cell r="B4905">
            <v>2006</v>
          </cell>
          <cell r="C4905" t="str">
            <v>matfpz</v>
          </cell>
          <cell r="D4905">
            <v>0.49568238854408264</v>
          </cell>
          <cell r="F4905" t="str">
            <v>14 Aug 2024</v>
          </cell>
        </row>
        <row r="4906">
          <cell r="A4906" t="str">
            <v>BGD</v>
          </cell>
          <cell r="B4906">
            <v>2016</v>
          </cell>
          <cell r="C4906" t="str">
            <v>mareer</v>
          </cell>
          <cell r="D4906">
            <v>106.30876922607422</v>
          </cell>
          <cell r="F4906" t="str">
            <v>14 Aug 2024</v>
          </cell>
        </row>
        <row r="4907">
          <cell r="A4907" t="str">
            <v>BGD</v>
          </cell>
          <cell r="B4907">
            <v>2020</v>
          </cell>
          <cell r="C4907" t="str">
            <v>magovz</v>
          </cell>
          <cell r="D4907">
            <v>1.9514486789703369</v>
          </cell>
          <cell r="F4907" t="str">
            <v>14 Aug 2024</v>
          </cell>
        </row>
        <row r="4908">
          <cell r="A4908" t="str">
            <v>BGD</v>
          </cell>
          <cell r="B4908">
            <v>2017</v>
          </cell>
          <cell r="C4908" t="str">
            <v>mar_indfc</v>
          </cell>
          <cell r="D4908">
            <v>32.977493286132813</v>
          </cell>
          <cell r="F4908" t="str">
            <v>14 Aug 2024</v>
          </cell>
        </row>
        <row r="4909">
          <cell r="A4909" t="str">
            <v>BGD</v>
          </cell>
          <cell r="B4909">
            <v>2017</v>
          </cell>
          <cell r="C4909" t="str">
            <v>maindfc</v>
          </cell>
          <cell r="D4909">
            <v>8.2721652984619141</v>
          </cell>
          <cell r="F4909" t="str">
            <v>14 Aug 2024</v>
          </cell>
        </row>
        <row r="4910">
          <cell r="A4910" t="str">
            <v>BGD</v>
          </cell>
          <cell r="B4910">
            <v>2017</v>
          </cell>
          <cell r="C4910" t="str">
            <v>matfpz</v>
          </cell>
          <cell r="D4910">
            <v>1.0751830339431763</v>
          </cell>
          <cell r="F4910" t="str">
            <v>14 Aug 2024</v>
          </cell>
        </row>
        <row r="4911">
          <cell r="A4911" t="str">
            <v>BGD</v>
          </cell>
          <cell r="B4911">
            <v>2018</v>
          </cell>
          <cell r="C4911" t="str">
            <v>mac_labz</v>
          </cell>
          <cell r="D4911">
            <v>1.3375208377838135</v>
          </cell>
          <cell r="F4911" t="str">
            <v>14 Aug 2024</v>
          </cell>
        </row>
        <row r="4912">
          <cell r="A4912" t="str">
            <v>BGD</v>
          </cell>
          <cell r="B4912">
            <v>2009</v>
          </cell>
          <cell r="C4912" t="str">
            <v>mataxfc</v>
          </cell>
          <cell r="D4912">
            <v>1.3524820804595947</v>
          </cell>
          <cell r="F4912" t="str">
            <v>14 Aug 2024</v>
          </cell>
        </row>
        <row r="4913">
          <cell r="A4913" t="str">
            <v>BGD</v>
          </cell>
          <cell r="B4913">
            <v>2013</v>
          </cell>
          <cell r="C4913" t="str">
            <v>malabz</v>
          </cell>
          <cell r="D4913">
            <v>2.2336890697479248</v>
          </cell>
          <cell r="F4913" t="str">
            <v>14 Aug 2024</v>
          </cell>
        </row>
        <row r="4914">
          <cell r="A4914" t="str">
            <v>BGD</v>
          </cell>
          <cell r="B4914">
            <v>2013</v>
          </cell>
          <cell r="C4914" t="str">
            <v>mar_con</v>
          </cell>
          <cell r="D4914">
            <v>71.40032958984375</v>
          </cell>
          <cell r="F4914" t="str">
            <v>14 Aug 2024</v>
          </cell>
        </row>
        <row r="4915">
          <cell r="A4915" t="str">
            <v>BGD</v>
          </cell>
          <cell r="B4915">
            <v>2018</v>
          </cell>
          <cell r="C4915" t="str">
            <v>macab_</v>
          </cell>
          <cell r="D4915">
            <v>-2.9760398864746094</v>
          </cell>
          <cell r="F4915" t="str">
            <v>14 Aug 2024</v>
          </cell>
        </row>
        <row r="4916">
          <cell r="A4916" t="str">
            <v>BGD</v>
          </cell>
          <cell r="B4916">
            <v>2025</v>
          </cell>
          <cell r="C4916" t="str">
            <v>mar_agrfc</v>
          </cell>
          <cell r="D4916">
            <v>10.747078895568848</v>
          </cell>
          <cell r="F4916" t="str">
            <v>14 Aug 2024</v>
          </cell>
        </row>
        <row r="4917">
          <cell r="A4917" t="str">
            <v>BGD</v>
          </cell>
          <cell r="B4917">
            <v>2005</v>
          </cell>
          <cell r="C4917" t="str">
            <v>maindfc</v>
          </cell>
          <cell r="D4917">
            <v>7.9323711395263672</v>
          </cell>
          <cell r="F4917" t="str">
            <v>14 Aug 2024</v>
          </cell>
        </row>
        <row r="4918">
          <cell r="A4918" t="str">
            <v>BGD</v>
          </cell>
          <cell r="B4918">
            <v>2019</v>
          </cell>
          <cell r="C4918" t="str">
            <v>mar_taxfc</v>
          </cell>
          <cell r="D4918">
            <v>4.3414092063903809</v>
          </cell>
          <cell r="F4918" t="str">
            <v>14 Aug 2024</v>
          </cell>
        </row>
        <row r="4919">
          <cell r="A4919" t="str">
            <v>BGD</v>
          </cell>
          <cell r="B4919">
            <v>2013</v>
          </cell>
          <cell r="C4919" t="str">
            <v>mareer</v>
          </cell>
          <cell r="D4919">
            <v>76.98406982421875</v>
          </cell>
          <cell r="F4919" t="str">
            <v>14 Aug 2024</v>
          </cell>
        </row>
        <row r="4920">
          <cell r="A4920" t="str">
            <v>BGD</v>
          </cell>
          <cell r="B4920">
            <v>2018</v>
          </cell>
          <cell r="C4920" t="str">
            <v>madeficit_</v>
          </cell>
          <cell r="D4920">
            <v>-3.9570744037628174</v>
          </cell>
          <cell r="F4920" t="str">
            <v>14 Aug 2024</v>
          </cell>
        </row>
        <row r="4921">
          <cell r="A4921" t="str">
            <v>BGD</v>
          </cell>
          <cell r="B4921">
            <v>2009</v>
          </cell>
          <cell r="C4921" t="str">
            <v>masrvfc</v>
          </cell>
          <cell r="D4921">
            <v>5.0799703598022461</v>
          </cell>
          <cell r="F4921" t="str">
            <v>14 Aug 2024</v>
          </cell>
        </row>
        <row r="4922">
          <cell r="A4922" t="str">
            <v>BGD</v>
          </cell>
          <cell r="B4922">
            <v>2018</v>
          </cell>
          <cell r="C4922" t="str">
            <v>mainvz</v>
          </cell>
          <cell r="D4922">
            <v>12.132901191711426</v>
          </cell>
          <cell r="F4922" t="str">
            <v>14 Aug 2024</v>
          </cell>
        </row>
        <row r="4923">
          <cell r="A4923" t="str">
            <v>BGD</v>
          </cell>
          <cell r="B4923">
            <v>2017</v>
          </cell>
          <cell r="C4923" t="str">
            <v>madeficit_</v>
          </cell>
          <cell r="D4923">
            <v>-2.9077050685882568</v>
          </cell>
          <cell r="F4923" t="str">
            <v>14 Aug 2024</v>
          </cell>
        </row>
        <row r="4924">
          <cell r="A4924" t="str">
            <v>BGD</v>
          </cell>
          <cell r="B4924">
            <v>2018</v>
          </cell>
          <cell r="C4924" t="str">
            <v>mapanusatls</v>
          </cell>
          <cell r="D4924">
            <v>82.099998474121094</v>
          </cell>
          <cell r="F4924" t="str">
            <v>14 Aug 2024</v>
          </cell>
        </row>
        <row r="4925">
          <cell r="A4925" t="str">
            <v>BGD</v>
          </cell>
          <cell r="B4925">
            <v>2009</v>
          </cell>
          <cell r="C4925" t="str">
            <v>mareer</v>
          </cell>
          <cell r="D4925">
            <v>71.347892761230469</v>
          </cell>
          <cell r="F4925" t="str">
            <v>14 Aug 2024</v>
          </cell>
        </row>
        <row r="4926">
          <cell r="A4926" t="str">
            <v>BGD</v>
          </cell>
          <cell r="B4926">
            <v>2009</v>
          </cell>
          <cell r="C4926" t="str">
            <v>macab_</v>
          </cell>
          <cell r="D4926">
            <v>1.9683780670166016</v>
          </cell>
          <cell r="F4926" t="str">
            <v>14 Aug 2024</v>
          </cell>
        </row>
        <row r="4927">
          <cell r="A4927" t="str">
            <v>BGD</v>
          </cell>
          <cell r="B4927">
            <v>2018</v>
          </cell>
          <cell r="C4927" t="str">
            <v>mar_indfc</v>
          </cell>
          <cell r="D4927">
            <v>33.853347778320313</v>
          </cell>
          <cell r="F4927" t="str">
            <v>14 Aug 2024</v>
          </cell>
        </row>
        <row r="4928">
          <cell r="A4928" t="str">
            <v>BGD</v>
          </cell>
          <cell r="B4928">
            <v>2009</v>
          </cell>
          <cell r="C4928" t="str">
            <v>mainvz</v>
          </cell>
          <cell r="D4928">
            <v>7.4339084625244141</v>
          </cell>
          <cell r="F4928" t="str">
            <v>14 Aug 2024</v>
          </cell>
        </row>
        <row r="4929">
          <cell r="A4929" t="str">
            <v>BGD</v>
          </cell>
          <cell r="B4929">
            <v>2017</v>
          </cell>
          <cell r="C4929" t="str">
            <v>mataxfc</v>
          </cell>
          <cell r="D4929">
            <v>7.6398935317993164</v>
          </cell>
          <cell r="F4929" t="str">
            <v>14 Aug 2024</v>
          </cell>
        </row>
        <row r="4930">
          <cell r="A4930" t="str">
            <v>BGD</v>
          </cell>
          <cell r="B4930">
            <v>2009</v>
          </cell>
          <cell r="C4930" t="str">
            <v>maagrfc</v>
          </cell>
          <cell r="D4930">
            <v>3.4660885334014893</v>
          </cell>
          <cell r="F4930" t="str">
            <v>14 Aug 2024</v>
          </cell>
        </row>
        <row r="4931">
          <cell r="A4931" t="str">
            <v>BGD</v>
          </cell>
          <cell r="B4931">
            <v>2018</v>
          </cell>
          <cell r="C4931" t="str">
            <v>mataxfc</v>
          </cell>
          <cell r="D4931">
            <v>6.7535429000854492</v>
          </cell>
          <cell r="F4931" t="str">
            <v>14 Aug 2024</v>
          </cell>
        </row>
        <row r="4932">
          <cell r="A4932" t="str">
            <v>BGD</v>
          </cell>
          <cell r="B4932">
            <v>2023</v>
          </cell>
          <cell r="C4932" t="str">
            <v>magdpz</v>
          </cell>
          <cell r="D4932">
            <v>5.775115966796875</v>
          </cell>
          <cell r="F4932" t="str">
            <v>14 Aug 2024</v>
          </cell>
        </row>
        <row r="4933">
          <cell r="A4933" t="str">
            <v>BGD</v>
          </cell>
          <cell r="B4933">
            <v>2005</v>
          </cell>
          <cell r="C4933" t="str">
            <v>mar_expz</v>
          </cell>
          <cell r="D4933">
            <v>11.613689422607422</v>
          </cell>
          <cell r="F4933" t="str">
            <v>14 Aug 2024</v>
          </cell>
        </row>
        <row r="4934">
          <cell r="A4934" t="str">
            <v>BGD</v>
          </cell>
          <cell r="B4934">
            <v>2006</v>
          </cell>
          <cell r="C4934" t="str">
            <v>mainvz</v>
          </cell>
          <cell r="D4934">
            <v>9.8905401229858398</v>
          </cell>
          <cell r="F4934" t="str">
            <v>14 Aug 2024</v>
          </cell>
        </row>
        <row r="4935">
          <cell r="A4935" t="str">
            <v>BGD</v>
          </cell>
          <cell r="B4935">
            <v>2020</v>
          </cell>
          <cell r="C4935" t="str">
            <v>mar_con</v>
          </cell>
          <cell r="D4935">
            <v>65.768844604492188</v>
          </cell>
          <cell r="F4935" t="str">
            <v>14 Aug 2024</v>
          </cell>
        </row>
        <row r="4936">
          <cell r="A4936" t="str">
            <v>BGD</v>
          </cell>
          <cell r="B4936">
            <v>2019</v>
          </cell>
          <cell r="C4936" t="str">
            <v>macab_</v>
          </cell>
          <cell r="D4936">
            <v>-1.2783459424972534</v>
          </cell>
          <cell r="F4936" t="str">
            <v>14 Aug 2024</v>
          </cell>
        </row>
        <row r="4937">
          <cell r="A4937" t="str">
            <v>BGD</v>
          </cell>
          <cell r="B4937">
            <v>2025</v>
          </cell>
          <cell r="C4937" t="str">
            <v>mar_taxfc</v>
          </cell>
          <cell r="D4937">
            <v>3.3755903244018555</v>
          </cell>
          <cell r="F4937" t="str">
            <v>14 Aug 2024</v>
          </cell>
        </row>
        <row r="4938">
          <cell r="A4938" t="str">
            <v>BGD</v>
          </cell>
          <cell r="B4938">
            <v>2012</v>
          </cell>
          <cell r="C4938" t="str">
            <v>masrvfc</v>
          </cell>
          <cell r="D4938">
            <v>6.5760564804077148</v>
          </cell>
          <cell r="F4938" t="str">
            <v>14 Aug 2024</v>
          </cell>
        </row>
        <row r="4939">
          <cell r="A4939" t="str">
            <v>BGD</v>
          </cell>
          <cell r="B4939">
            <v>2008</v>
          </cell>
          <cell r="C4939" t="str">
            <v>maimpz</v>
          </cell>
          <cell r="D4939">
            <v>-1.9012324810028076</v>
          </cell>
          <cell r="F4939" t="str">
            <v>14 Aug 2024</v>
          </cell>
        </row>
        <row r="4940">
          <cell r="A4940" t="str">
            <v>BGD</v>
          </cell>
          <cell r="B4940">
            <v>2019</v>
          </cell>
          <cell r="C4940" t="str">
            <v>mafdi_</v>
          </cell>
          <cell r="D4940">
            <v>-0.74821674823760986</v>
          </cell>
          <cell r="F4940" t="str">
            <v>14 Aug 2024</v>
          </cell>
        </row>
        <row r="4941">
          <cell r="A4941" t="str">
            <v>BGD</v>
          </cell>
          <cell r="B4941">
            <v>2014</v>
          </cell>
          <cell r="C4941" t="str">
            <v>maindfc</v>
          </cell>
          <cell r="D4941">
            <v>8.1600141525268555</v>
          </cell>
          <cell r="F4941" t="str">
            <v>14 Aug 2024</v>
          </cell>
        </row>
        <row r="4942">
          <cell r="A4942" t="str">
            <v>BGD</v>
          </cell>
          <cell r="B4942">
            <v>2011</v>
          </cell>
          <cell r="C4942" t="str">
            <v>maconz</v>
          </cell>
          <cell r="D4942">
            <v>6.4916787147521973</v>
          </cell>
          <cell r="F4942" t="str">
            <v>14 Aug 2024</v>
          </cell>
        </row>
        <row r="4943">
          <cell r="A4943" t="str">
            <v>BGD</v>
          </cell>
          <cell r="B4943">
            <v>2011</v>
          </cell>
          <cell r="C4943" t="str">
            <v>mafdi_</v>
          </cell>
          <cell r="D4943">
            <v>0.50304853916168213</v>
          </cell>
          <cell r="F4943" t="str">
            <v>14 Aug 2024</v>
          </cell>
        </row>
        <row r="4944">
          <cell r="A4944" t="str">
            <v>BGD</v>
          </cell>
          <cell r="B4944">
            <v>2014</v>
          </cell>
          <cell r="C4944" t="str">
            <v>mar_agrfc</v>
          </cell>
          <cell r="D4944">
            <v>16.497093200683594</v>
          </cell>
          <cell r="F4944" t="str">
            <v>14 Aug 2024</v>
          </cell>
        </row>
        <row r="4945">
          <cell r="A4945" t="str">
            <v>BGD</v>
          </cell>
          <cell r="B4945">
            <v>2013</v>
          </cell>
          <cell r="C4945" t="str">
            <v>mainvz</v>
          </cell>
          <cell r="D4945">
            <v>5.1984968185424805</v>
          </cell>
          <cell r="F4945" t="str">
            <v>14 Aug 2024</v>
          </cell>
        </row>
        <row r="4946">
          <cell r="A4946" t="str">
            <v>BGD</v>
          </cell>
          <cell r="B4946">
            <v>2026</v>
          </cell>
          <cell r="C4946" t="str">
            <v>maindfc</v>
          </cell>
          <cell r="D4946">
            <v>6.8000001907348633</v>
          </cell>
          <cell r="F4946" t="str">
            <v>14 Aug 2024</v>
          </cell>
        </row>
        <row r="4947">
          <cell r="A4947" t="str">
            <v>BGD</v>
          </cell>
          <cell r="B4947">
            <v>2016</v>
          </cell>
          <cell r="C4947" t="str">
            <v>mafdi_</v>
          </cell>
          <cell r="D4947">
            <v>-0.48470214009284973</v>
          </cell>
          <cell r="F4947" t="str">
            <v>14 Aug 2024</v>
          </cell>
        </row>
        <row r="4948">
          <cell r="A4948" t="str">
            <v>BGD</v>
          </cell>
          <cell r="B4948">
            <v>2005</v>
          </cell>
          <cell r="C4948" t="str">
            <v>matfpz</v>
          </cell>
          <cell r="D4948">
            <v>0.38971781730651855</v>
          </cell>
          <cell r="F4948" t="str">
            <v>14 Aug 2024</v>
          </cell>
        </row>
        <row r="4949">
          <cell r="A4949" t="str">
            <v>BGD</v>
          </cell>
          <cell r="B4949">
            <v>2023</v>
          </cell>
          <cell r="C4949" t="str">
            <v>mar_taxfc</v>
          </cell>
          <cell r="D4949">
            <v>3.4449348449707031</v>
          </cell>
          <cell r="F4949" t="str">
            <v>14 Aug 2024</v>
          </cell>
        </row>
        <row r="4950">
          <cell r="A4950" t="str">
            <v>BGD</v>
          </cell>
          <cell r="B4950">
            <v>2016</v>
          </cell>
          <cell r="C4950" t="str">
            <v>madebt_</v>
          </cell>
          <cell r="D4950">
            <v>26.279766082763672</v>
          </cell>
          <cell r="F4950" t="str">
            <v>14 Aug 2024</v>
          </cell>
        </row>
        <row r="4951">
          <cell r="A4951" t="str">
            <v>BGD</v>
          </cell>
          <cell r="B4951">
            <v>2008</v>
          </cell>
          <cell r="C4951" t="str">
            <v>masrvfc</v>
          </cell>
          <cell r="D4951">
            <v>5.7623825073242188</v>
          </cell>
          <cell r="F4951" t="str">
            <v>14 Aug 2024</v>
          </cell>
        </row>
        <row r="4952">
          <cell r="A4952" t="str">
            <v>BGD</v>
          </cell>
          <cell r="B4952">
            <v>2023</v>
          </cell>
          <cell r="C4952" t="str">
            <v>mar_srvfc</v>
          </cell>
          <cell r="D4952">
            <v>51.052085876464844</v>
          </cell>
          <cell r="F4952" t="str">
            <v>14 Aug 2024</v>
          </cell>
        </row>
        <row r="4953">
          <cell r="A4953" t="str">
            <v>BGD</v>
          </cell>
          <cell r="B4953">
            <v>2020</v>
          </cell>
          <cell r="C4953" t="str">
            <v>macab_</v>
          </cell>
          <cell r="D4953">
            <v>-1.4532884359359741</v>
          </cell>
          <cell r="F4953" t="str">
            <v>14 Aug 2024</v>
          </cell>
        </row>
        <row r="4954">
          <cell r="A4954" t="str">
            <v>BGD</v>
          </cell>
          <cell r="B4954">
            <v>2013</v>
          </cell>
          <cell r="C4954" t="str">
            <v>maindfc</v>
          </cell>
          <cell r="D4954">
            <v>9.6393585205078125</v>
          </cell>
          <cell r="F4954" t="str">
            <v>14 Aug 2024</v>
          </cell>
        </row>
        <row r="4955">
          <cell r="A4955" t="str">
            <v>BGD</v>
          </cell>
          <cell r="B4955">
            <v>2005</v>
          </cell>
          <cell r="C4955" t="str">
            <v>mac_labz</v>
          </cell>
          <cell r="D4955">
            <v>0</v>
          </cell>
          <cell r="F4955" t="str">
            <v>14 Aug 2024</v>
          </cell>
        </row>
        <row r="4956">
          <cell r="A4956" t="str">
            <v>BGD</v>
          </cell>
          <cell r="B4956">
            <v>2007</v>
          </cell>
          <cell r="C4956" t="str">
            <v>mar_expz</v>
          </cell>
          <cell r="D4956">
            <v>14.416007995605469</v>
          </cell>
          <cell r="F4956" t="str">
            <v>14 Aug 2024</v>
          </cell>
        </row>
        <row r="4957">
          <cell r="A4957" t="str">
            <v>BGD</v>
          </cell>
          <cell r="B4957">
            <v>2005</v>
          </cell>
          <cell r="C4957" t="str">
            <v>macpiz</v>
          </cell>
          <cell r="D4957">
            <v>6.4849114418029785</v>
          </cell>
          <cell r="F4957" t="str">
            <v>14 Aug 2024</v>
          </cell>
        </row>
        <row r="4958">
          <cell r="A4958" t="str">
            <v>BGD</v>
          </cell>
          <cell r="B4958">
            <v>2019</v>
          </cell>
          <cell r="C4958" t="str">
            <v>maagrfc</v>
          </cell>
          <cell r="D4958">
            <v>3.2605776786804199</v>
          </cell>
          <cell r="F4958" t="str">
            <v>14 Aug 2024</v>
          </cell>
        </row>
        <row r="4959">
          <cell r="A4959" t="str">
            <v>BGD</v>
          </cell>
          <cell r="B4959">
            <v>2014</v>
          </cell>
          <cell r="C4959" t="str">
            <v>malabz</v>
          </cell>
          <cell r="D4959">
            <v>2.2154991626739502</v>
          </cell>
          <cell r="F4959" t="str">
            <v>14 Aug 2024</v>
          </cell>
        </row>
        <row r="4960">
          <cell r="A4960" t="str">
            <v>BGD</v>
          </cell>
          <cell r="B4960">
            <v>2009</v>
          </cell>
          <cell r="C4960" t="str">
            <v>mar_srvfc</v>
          </cell>
          <cell r="D4960">
            <v>55.099784851074219</v>
          </cell>
          <cell r="F4960" t="str">
            <v>14 Aug 2024</v>
          </cell>
        </row>
        <row r="4961">
          <cell r="A4961" t="str">
            <v>BGD</v>
          </cell>
          <cell r="B4961">
            <v>2020</v>
          </cell>
          <cell r="C4961" t="str">
            <v>mapanusatls</v>
          </cell>
          <cell r="D4961">
            <v>84.776565551757813</v>
          </cell>
          <cell r="F4961" t="str">
            <v>14 Aug 2024</v>
          </cell>
        </row>
        <row r="4962">
          <cell r="A4962" t="str">
            <v>BGD</v>
          </cell>
          <cell r="B4962">
            <v>2025</v>
          </cell>
          <cell r="C4962" t="str">
            <v>mareer</v>
          </cell>
          <cell r="D4962">
            <v>101.94125366210938</v>
          </cell>
          <cell r="F4962" t="str">
            <v>14 Aug 2024</v>
          </cell>
        </row>
        <row r="4963">
          <cell r="A4963" t="str">
            <v>BGD</v>
          </cell>
          <cell r="B4963">
            <v>2021</v>
          </cell>
          <cell r="C4963" t="str">
            <v>madebt_</v>
          </cell>
          <cell r="D4963">
            <v>32.41473388671875</v>
          </cell>
          <cell r="F4963" t="str">
            <v>14 Aug 2024</v>
          </cell>
        </row>
        <row r="4964">
          <cell r="A4964" t="str">
            <v>BGD</v>
          </cell>
          <cell r="B4964">
            <v>2005</v>
          </cell>
          <cell r="C4964" t="str">
            <v>maexpz</v>
          </cell>
          <cell r="D4964">
            <v>43.001266479492188</v>
          </cell>
          <cell r="F4964" t="str">
            <v>14 Aug 2024</v>
          </cell>
        </row>
        <row r="4965">
          <cell r="A4965" t="str">
            <v>BGD</v>
          </cell>
          <cell r="B4965">
            <v>2020</v>
          </cell>
          <cell r="C4965" t="str">
            <v>mac_labz</v>
          </cell>
          <cell r="D4965">
            <v>1.2130024433135986</v>
          </cell>
          <cell r="F4965" t="str">
            <v>14 Aug 2024</v>
          </cell>
        </row>
        <row r="4966">
          <cell r="A4966" t="str">
            <v>BGD</v>
          </cell>
          <cell r="B4966">
            <v>2015</v>
          </cell>
          <cell r="C4966" t="str">
            <v>maimpz</v>
          </cell>
          <cell r="D4966">
            <v>3.2027051448822021</v>
          </cell>
          <cell r="F4966" t="str">
            <v>14 Aug 2024</v>
          </cell>
        </row>
        <row r="4967">
          <cell r="A4967" t="str">
            <v>BGD</v>
          </cell>
          <cell r="B4967">
            <v>2007</v>
          </cell>
          <cell r="C4967" t="str">
            <v>mar_impz</v>
          </cell>
          <cell r="D4967">
            <v>22.097509384155273</v>
          </cell>
          <cell r="F4967" t="str">
            <v>14 Aug 2024</v>
          </cell>
        </row>
        <row r="4968">
          <cell r="A4968" t="str">
            <v>BGD</v>
          </cell>
          <cell r="B4968">
            <v>2021</v>
          </cell>
          <cell r="C4968" t="str">
            <v>magdpz</v>
          </cell>
          <cell r="D4968">
            <v>6.9386711120605469</v>
          </cell>
          <cell r="F4968" t="str">
            <v>14 Aug 2024</v>
          </cell>
        </row>
        <row r="4969">
          <cell r="A4969" t="str">
            <v>BGD</v>
          </cell>
          <cell r="B4969">
            <v>2014</v>
          </cell>
          <cell r="C4969" t="str">
            <v>mataxfc</v>
          </cell>
          <cell r="D4969">
            <v>4.1237149238586426</v>
          </cell>
          <cell r="F4969" t="str">
            <v>14 Aug 2024</v>
          </cell>
        </row>
        <row r="4970">
          <cell r="A4970" t="str">
            <v>BGD</v>
          </cell>
          <cell r="B4970">
            <v>2006</v>
          </cell>
          <cell r="C4970" t="str">
            <v>madebt_</v>
          </cell>
          <cell r="D4970">
            <v>35.090404510498047</v>
          </cell>
          <cell r="F4970" t="str">
            <v>14 Aug 2024</v>
          </cell>
        </row>
        <row r="4971">
          <cell r="A4971" t="str">
            <v>BGD</v>
          </cell>
          <cell r="B4971">
            <v>2010</v>
          </cell>
          <cell r="C4971" t="str">
            <v>mar_taxfc</v>
          </cell>
          <cell r="D4971">
            <v>5.0678071975708008</v>
          </cell>
          <cell r="F4971" t="str">
            <v>14 Aug 2024</v>
          </cell>
        </row>
        <row r="4972">
          <cell r="A4972" t="str">
            <v>BGD</v>
          </cell>
          <cell r="B4972">
            <v>2010</v>
          </cell>
          <cell r="C4972" t="str">
            <v>mac_labz</v>
          </cell>
          <cell r="D4972">
            <v>1.2949632406234741</v>
          </cell>
          <cell r="F4972" t="str">
            <v>14 Aug 2024</v>
          </cell>
        </row>
        <row r="4973">
          <cell r="A4973" t="str">
            <v>BGD</v>
          </cell>
          <cell r="B4973">
            <v>2019</v>
          </cell>
          <cell r="C4973" t="str">
            <v>mar_agrfc</v>
          </cell>
          <cell r="D4973">
            <v>12.561358451843262</v>
          </cell>
          <cell r="F4973" t="str">
            <v>14 Aug 2024</v>
          </cell>
        </row>
        <row r="4974">
          <cell r="A4974" t="str">
            <v>BGD</v>
          </cell>
          <cell r="B4974">
            <v>2011</v>
          </cell>
          <cell r="C4974" t="str">
            <v>magovz</v>
          </cell>
          <cell r="D4974">
            <v>6.7362689971923828</v>
          </cell>
          <cell r="F4974" t="str">
            <v>14 Aug 2024</v>
          </cell>
        </row>
        <row r="4975">
          <cell r="A4975" t="str">
            <v>BGD</v>
          </cell>
          <cell r="B4975">
            <v>2005</v>
          </cell>
          <cell r="C4975" t="str">
            <v>mataxfc</v>
          </cell>
          <cell r="D4975">
            <v>11.126607894897461</v>
          </cell>
          <cell r="F4975" t="str">
            <v>14 Aug 2024</v>
          </cell>
        </row>
        <row r="4976">
          <cell r="A4976" t="str">
            <v>BGD</v>
          </cell>
          <cell r="B4976">
            <v>2023</v>
          </cell>
          <cell r="C4976" t="str">
            <v>maindfc</v>
          </cell>
          <cell r="D4976">
            <v>8.3673315048217773</v>
          </cell>
          <cell r="F4976" t="str">
            <v>14 Aug 2024</v>
          </cell>
        </row>
        <row r="4977">
          <cell r="A4977" t="str">
            <v>BGD</v>
          </cell>
          <cell r="B4977">
            <v>2006</v>
          </cell>
          <cell r="C4977" t="str">
            <v>maconz</v>
          </cell>
          <cell r="D4977">
            <v>7.0476489067077637</v>
          </cell>
          <cell r="F4977" t="str">
            <v>14 Aug 2024</v>
          </cell>
        </row>
        <row r="4978">
          <cell r="A4978" t="str">
            <v>BGD</v>
          </cell>
          <cell r="B4978">
            <v>2006</v>
          </cell>
          <cell r="C4978" t="str">
            <v>magovz</v>
          </cell>
          <cell r="D4978">
            <v>8.1465940475463867</v>
          </cell>
          <cell r="F4978" t="str">
            <v>14 Aug 2024</v>
          </cell>
        </row>
        <row r="4979">
          <cell r="A4979" t="str">
            <v>BGD</v>
          </cell>
          <cell r="B4979">
            <v>2019</v>
          </cell>
          <cell r="C4979" t="str">
            <v>mac_labz</v>
          </cell>
          <cell r="D4979">
            <v>1.2265474796295166</v>
          </cell>
          <cell r="F4979" t="str">
            <v>14 Aug 2024</v>
          </cell>
        </row>
        <row r="4980">
          <cell r="A4980" t="str">
            <v>BGD</v>
          </cell>
          <cell r="B4980">
            <v>2006</v>
          </cell>
          <cell r="C4980" t="str">
            <v>madeficit_</v>
          </cell>
          <cell r="D4980">
            <v>-2.0905225276947021</v>
          </cell>
          <cell r="F4980" t="str">
            <v>14 Aug 2024</v>
          </cell>
        </row>
        <row r="4981">
          <cell r="A4981" t="str">
            <v>BGD</v>
          </cell>
          <cell r="B4981">
            <v>2022</v>
          </cell>
          <cell r="C4981" t="str">
            <v>macab_</v>
          </cell>
          <cell r="D4981">
            <v>-3.9545199871063232</v>
          </cell>
          <cell r="F4981" t="str">
            <v>14 Aug 2024</v>
          </cell>
        </row>
        <row r="4982">
          <cell r="A4982" t="str">
            <v>BGD</v>
          </cell>
          <cell r="B4982">
            <v>2022</v>
          </cell>
          <cell r="C4982" t="str">
            <v>mar_taxfc</v>
          </cell>
          <cell r="D4982">
            <v>3.9045474529266357</v>
          </cell>
          <cell r="F4982" t="str">
            <v>14 Aug 2024</v>
          </cell>
        </row>
        <row r="4983">
          <cell r="A4983" t="str">
            <v>BGD</v>
          </cell>
          <cell r="B4983">
            <v>2021</v>
          </cell>
          <cell r="C4983" t="str">
            <v>mar_srvfc</v>
          </cell>
          <cell r="D4983">
            <v>51.916007995605469</v>
          </cell>
          <cell r="F4983" t="str">
            <v>14 Aug 2024</v>
          </cell>
        </row>
        <row r="4984">
          <cell r="A4984" t="str">
            <v>BGD</v>
          </cell>
          <cell r="B4984">
            <v>2005</v>
          </cell>
          <cell r="C4984" t="str">
            <v>magap_</v>
          </cell>
          <cell r="D4984">
            <v>-0.9821661114692688</v>
          </cell>
          <cell r="F4984" t="str">
            <v>14 Aug 2024</v>
          </cell>
        </row>
        <row r="4985">
          <cell r="A4985" t="str">
            <v>BGD</v>
          </cell>
          <cell r="B4985">
            <v>2006</v>
          </cell>
          <cell r="C4985" t="str">
            <v>mar_con</v>
          </cell>
          <cell r="D4985">
            <v>77.551078796386719</v>
          </cell>
          <cell r="F4985" t="str">
            <v>14 Aug 2024</v>
          </cell>
        </row>
        <row r="4986">
          <cell r="A4986" t="str">
            <v>BGD</v>
          </cell>
          <cell r="B4986">
            <v>2019</v>
          </cell>
          <cell r="C4986" t="str">
            <v>maimpz</v>
          </cell>
          <cell r="D4986">
            <v>0.50548511743545532</v>
          </cell>
          <cell r="F4986" t="str">
            <v>14 Aug 2024</v>
          </cell>
        </row>
        <row r="4987">
          <cell r="A4987" t="str">
            <v>BGD</v>
          </cell>
          <cell r="B4987">
            <v>2018</v>
          </cell>
          <cell r="C4987" t="str">
            <v>mac_tfpz</v>
          </cell>
          <cell r="D4987">
            <v>1.1167453527450562</v>
          </cell>
          <cell r="F4987" t="str">
            <v>14 Aug 2024</v>
          </cell>
        </row>
        <row r="4988">
          <cell r="A4988" t="str">
            <v>BGD</v>
          </cell>
          <cell r="B4988">
            <v>2025</v>
          </cell>
          <cell r="C4988" t="str">
            <v>mar_impz</v>
          </cell>
          <cell r="D4988">
            <v>15.770821571350098</v>
          </cell>
          <cell r="F4988" t="str">
            <v>14 Aug 2024</v>
          </cell>
        </row>
        <row r="4989">
          <cell r="A4989" t="str">
            <v>BGD</v>
          </cell>
          <cell r="B4989">
            <v>2013</v>
          </cell>
          <cell r="C4989" t="str">
            <v>mar_impz</v>
          </cell>
          <cell r="D4989">
            <v>21.729379653930664</v>
          </cell>
          <cell r="F4989" t="str">
            <v>14 Aug 2024</v>
          </cell>
        </row>
        <row r="4990">
          <cell r="A4990" t="str">
            <v>BGD</v>
          </cell>
          <cell r="B4990">
            <v>2006</v>
          </cell>
          <cell r="C4990" t="str">
            <v>mar_impz</v>
          </cell>
          <cell r="D4990">
            <v>20.396673202514648</v>
          </cell>
          <cell r="F4990" t="str">
            <v>14 Aug 2024</v>
          </cell>
        </row>
        <row r="4991">
          <cell r="A4991" t="str">
            <v>BGD</v>
          </cell>
          <cell r="B4991">
            <v>2010</v>
          </cell>
          <cell r="C4991" t="str">
            <v>maimpz</v>
          </cell>
          <cell r="D4991">
            <v>0.68645495176315308</v>
          </cell>
          <cell r="F4991" t="str">
            <v>14 Aug 2024</v>
          </cell>
        </row>
        <row r="4992">
          <cell r="A4992" t="str">
            <v>BGD</v>
          </cell>
          <cell r="B4992">
            <v>2013</v>
          </cell>
          <cell r="C4992" t="str">
            <v>mac_labz</v>
          </cell>
          <cell r="D4992">
            <v>1.5635823011398315</v>
          </cell>
          <cell r="F4992" t="str">
            <v>14 Aug 2024</v>
          </cell>
        </row>
        <row r="4993">
          <cell r="A4993" t="str">
            <v>BGD</v>
          </cell>
          <cell r="B4993">
            <v>2024</v>
          </cell>
          <cell r="C4993" t="str">
            <v>maimpz</v>
          </cell>
          <cell r="D4993">
            <v>-12.199999809265137</v>
          </cell>
          <cell r="F4993" t="str">
            <v>14 Aug 2024</v>
          </cell>
        </row>
        <row r="4994">
          <cell r="A4994" t="str">
            <v>BGD</v>
          </cell>
          <cell r="B4994">
            <v>2022</v>
          </cell>
          <cell r="C4994" t="str">
            <v>mainvz</v>
          </cell>
          <cell r="D4994">
            <v>11.653372764587402</v>
          </cell>
          <cell r="F4994" t="str">
            <v>14 Aug 2024</v>
          </cell>
        </row>
        <row r="4995">
          <cell r="A4995" t="str">
            <v>BGD</v>
          </cell>
          <cell r="B4995">
            <v>2006</v>
          </cell>
          <cell r="C4995" t="str">
            <v>mar_srvfc</v>
          </cell>
          <cell r="D4995">
            <v>55.594402313232422</v>
          </cell>
          <cell r="F4995" t="str">
            <v>14 Aug 2024</v>
          </cell>
        </row>
        <row r="4996">
          <cell r="A4996" t="str">
            <v>BGD</v>
          </cell>
          <cell r="B4996">
            <v>2006</v>
          </cell>
          <cell r="C4996" t="str">
            <v>mataxfc</v>
          </cell>
          <cell r="D4996">
            <v>-1.699738621711731</v>
          </cell>
          <cell r="F4996" t="str">
            <v>14 Aug 2024</v>
          </cell>
        </row>
        <row r="4997">
          <cell r="A4997" t="str">
            <v>BGD</v>
          </cell>
          <cell r="B4997">
            <v>2025</v>
          </cell>
          <cell r="C4997" t="str">
            <v>mar_con</v>
          </cell>
          <cell r="D4997">
            <v>61.261253356933594</v>
          </cell>
          <cell r="F4997" t="str">
            <v>14 Aug 2024</v>
          </cell>
        </row>
        <row r="4998">
          <cell r="A4998" t="str">
            <v>BGD</v>
          </cell>
          <cell r="B4998">
            <v>2010</v>
          </cell>
          <cell r="C4998" t="str">
            <v>mainvz</v>
          </cell>
          <cell r="D4998">
            <v>8.4887666702270508</v>
          </cell>
          <cell r="F4998" t="str">
            <v>14 Aug 2024</v>
          </cell>
        </row>
        <row r="4999">
          <cell r="A4999" t="str">
            <v>BGD</v>
          </cell>
          <cell r="B4999">
            <v>2015</v>
          </cell>
          <cell r="C4999" t="str">
            <v>mar_srvfc</v>
          </cell>
          <cell r="D4999">
            <v>53.577785491943359</v>
          </cell>
          <cell r="F4999" t="str">
            <v>14 Aug 2024</v>
          </cell>
        </row>
        <row r="5000">
          <cell r="A5000" t="str">
            <v>BGD</v>
          </cell>
          <cell r="B5000">
            <v>2019</v>
          </cell>
          <cell r="C5000" t="str">
            <v>mapanusatls</v>
          </cell>
          <cell r="D5000">
            <v>84.029998779296875</v>
          </cell>
          <cell r="F5000" t="str">
            <v>14 Aug 2024</v>
          </cell>
        </row>
        <row r="5001">
          <cell r="A5001" t="str">
            <v>BGD</v>
          </cell>
          <cell r="B5001">
            <v>2007</v>
          </cell>
          <cell r="C5001" t="str">
            <v>mar_srvfc</v>
          </cell>
          <cell r="D5001">
            <v>55.238956451416016</v>
          </cell>
          <cell r="F5001" t="str">
            <v>14 Aug 2024</v>
          </cell>
        </row>
        <row r="5002">
          <cell r="A5002" t="str">
            <v>BGD</v>
          </cell>
          <cell r="B5002">
            <v>2007</v>
          </cell>
          <cell r="C5002" t="str">
            <v>mar_indfc</v>
          </cell>
          <cell r="D5002">
            <v>25.837390899658203</v>
          </cell>
          <cell r="F5002" t="str">
            <v>14 Aug 2024</v>
          </cell>
        </row>
        <row r="5003">
          <cell r="A5003" t="str">
            <v>BGD</v>
          </cell>
          <cell r="B5003">
            <v>2019</v>
          </cell>
          <cell r="C5003" t="str">
            <v>madeficit_</v>
          </cell>
          <cell r="D5003">
            <v>-4.6802077293395996</v>
          </cell>
          <cell r="F5003" t="str">
            <v>14 Aug 2024</v>
          </cell>
        </row>
        <row r="5004">
          <cell r="A5004" t="str">
            <v>BGD</v>
          </cell>
          <cell r="B5004">
            <v>2010</v>
          </cell>
          <cell r="C5004" t="str">
            <v>maexpz</v>
          </cell>
          <cell r="D5004">
            <v>0.9415321946144104</v>
          </cell>
          <cell r="F5004" t="str">
            <v>14 Aug 2024</v>
          </cell>
        </row>
        <row r="5005">
          <cell r="A5005" t="str">
            <v>BGD</v>
          </cell>
          <cell r="B5005">
            <v>2025</v>
          </cell>
          <cell r="C5005" t="str">
            <v>maindfc</v>
          </cell>
          <cell r="D5005">
            <v>7.1999998092651367</v>
          </cell>
          <cell r="F5005" t="str">
            <v>14 Aug 2024</v>
          </cell>
        </row>
        <row r="5006">
          <cell r="A5006" t="str">
            <v>BGD</v>
          </cell>
          <cell r="B5006">
            <v>2005</v>
          </cell>
          <cell r="C5006" t="str">
            <v>mar_impz</v>
          </cell>
          <cell r="D5006">
            <v>18.408859252929688</v>
          </cell>
          <cell r="F5006" t="str">
            <v>14 Aug 2024</v>
          </cell>
        </row>
        <row r="5007">
          <cell r="A5007" t="str">
            <v>BGD</v>
          </cell>
          <cell r="B5007">
            <v>2023</v>
          </cell>
          <cell r="C5007" t="str">
            <v>malabz</v>
          </cell>
          <cell r="D5007">
            <v>1.3583593368530273</v>
          </cell>
          <cell r="F5007" t="str">
            <v>14 Aug 2024</v>
          </cell>
        </row>
        <row r="5008">
          <cell r="A5008" t="str">
            <v>BGD</v>
          </cell>
          <cell r="B5008">
            <v>2018</v>
          </cell>
          <cell r="C5008" t="str">
            <v>mar_srvfc</v>
          </cell>
          <cell r="D5008">
            <v>53.007118225097656</v>
          </cell>
          <cell r="F5008" t="str">
            <v>14 Aug 2024</v>
          </cell>
        </row>
        <row r="5009">
          <cell r="A5009" t="str">
            <v>BGD</v>
          </cell>
          <cell r="B5009">
            <v>2008</v>
          </cell>
          <cell r="C5009" t="str">
            <v>mar_impz</v>
          </cell>
          <cell r="D5009">
            <v>20.447702407836914</v>
          </cell>
          <cell r="F5009" t="str">
            <v>14 Aug 2024</v>
          </cell>
        </row>
        <row r="5010">
          <cell r="A5010" t="str">
            <v>BGD</v>
          </cell>
          <cell r="B5010">
            <v>2009</v>
          </cell>
          <cell r="C5010" t="str">
            <v>macpiz</v>
          </cell>
          <cell r="D5010">
            <v>7.6011052131652832</v>
          </cell>
          <cell r="F5010" t="str">
            <v>14 Aug 2024</v>
          </cell>
        </row>
        <row r="5011">
          <cell r="A5011" t="str">
            <v>BGD</v>
          </cell>
          <cell r="B5011">
            <v>2005</v>
          </cell>
          <cell r="C5011" t="str">
            <v>madeficit_</v>
          </cell>
          <cell r="D5011">
            <v>-2.3147082328796387</v>
          </cell>
          <cell r="F5011" t="str">
            <v>14 Aug 2024</v>
          </cell>
        </row>
        <row r="5012">
          <cell r="A5012" t="str">
            <v>BGD</v>
          </cell>
          <cell r="B5012">
            <v>2008</v>
          </cell>
          <cell r="C5012" t="str">
            <v>matfpz</v>
          </cell>
          <cell r="D5012">
            <v>0.62327045202255249</v>
          </cell>
          <cell r="F5012" t="str">
            <v>14 Aug 2024</v>
          </cell>
        </row>
        <row r="5013">
          <cell r="A5013" t="str">
            <v>BGD</v>
          </cell>
          <cell r="B5013">
            <v>2012</v>
          </cell>
          <cell r="C5013" t="str">
            <v>matfpz</v>
          </cell>
          <cell r="D5013">
            <v>0.7703784704208374</v>
          </cell>
          <cell r="F5013" t="str">
            <v>14 Aug 2024</v>
          </cell>
        </row>
        <row r="5014">
          <cell r="A5014" t="str">
            <v>BGD</v>
          </cell>
          <cell r="B5014">
            <v>2020</v>
          </cell>
          <cell r="C5014" t="str">
            <v>matfpz</v>
          </cell>
          <cell r="D5014">
            <v>1.1362149715423584</v>
          </cell>
          <cell r="F5014" t="str">
            <v>14 Aug 2024</v>
          </cell>
        </row>
        <row r="5015">
          <cell r="A5015" t="str">
            <v>BGD</v>
          </cell>
          <cell r="B5015">
            <v>2015</v>
          </cell>
          <cell r="C5015" t="str">
            <v>mar_agrfc</v>
          </cell>
          <cell r="D5015">
            <v>16.000452041625977</v>
          </cell>
          <cell r="F5015" t="str">
            <v>14 Aug 2024</v>
          </cell>
        </row>
        <row r="5016">
          <cell r="A5016" t="str">
            <v>BGD</v>
          </cell>
          <cell r="B5016">
            <v>2026</v>
          </cell>
          <cell r="C5016" t="str">
            <v>mac_tfpz</v>
          </cell>
          <cell r="D5016">
            <v>1.0130168199539185</v>
          </cell>
          <cell r="F5016" t="str">
            <v>14 Aug 2024</v>
          </cell>
        </row>
        <row r="5017">
          <cell r="A5017" t="str">
            <v>BGD</v>
          </cell>
          <cell r="B5017">
            <v>2023</v>
          </cell>
          <cell r="C5017" t="str">
            <v>madebt_</v>
          </cell>
          <cell r="D5017">
            <v>34.953357696533203</v>
          </cell>
          <cell r="F5017" t="str">
            <v>14 Aug 2024</v>
          </cell>
        </row>
        <row r="5018">
          <cell r="A5018" t="str">
            <v>BGD</v>
          </cell>
          <cell r="B5018">
            <v>2025</v>
          </cell>
          <cell r="C5018" t="str">
            <v>madeficit_</v>
          </cell>
          <cell r="D5018">
            <v>-4.4088025093078613</v>
          </cell>
          <cell r="F5018" t="str">
            <v>14 Aug 2024</v>
          </cell>
        </row>
        <row r="5019">
          <cell r="A5019" t="str">
            <v>BGD</v>
          </cell>
          <cell r="B5019">
            <v>2009</v>
          </cell>
          <cell r="C5019" t="str">
            <v>maexpz</v>
          </cell>
          <cell r="D5019">
            <v>2.8504479676485062E-2</v>
          </cell>
          <cell r="F5019" t="str">
            <v>14 Aug 2024</v>
          </cell>
        </row>
        <row r="5020">
          <cell r="A5020" t="str">
            <v>BGD</v>
          </cell>
          <cell r="B5020">
            <v>2019</v>
          </cell>
          <cell r="C5020" t="str">
            <v>mainvz</v>
          </cell>
          <cell r="D5020">
            <v>6.8802800178527832</v>
          </cell>
          <cell r="F5020" t="str">
            <v>14 Aug 2024</v>
          </cell>
        </row>
        <row r="5021">
          <cell r="A5021" t="str">
            <v>BGD</v>
          </cell>
          <cell r="B5021">
            <v>2009</v>
          </cell>
          <cell r="C5021" t="str">
            <v>malabz</v>
          </cell>
          <cell r="D5021">
            <v>1.3762415647506714</v>
          </cell>
          <cell r="F5021" t="str">
            <v>14 Aug 2024</v>
          </cell>
        </row>
        <row r="5022">
          <cell r="A5022" t="str">
            <v>BGD</v>
          </cell>
          <cell r="B5022">
            <v>2010</v>
          </cell>
          <cell r="C5022" t="str">
            <v>maagrfc</v>
          </cell>
          <cell r="D5022">
            <v>6.151947021484375</v>
          </cell>
          <cell r="F5022" t="str">
            <v>14 Aug 2024</v>
          </cell>
        </row>
        <row r="5023">
          <cell r="A5023" t="str">
            <v>BGD</v>
          </cell>
          <cell r="B5023">
            <v>2010</v>
          </cell>
          <cell r="C5023" t="str">
            <v>mac_tfpz</v>
          </cell>
          <cell r="D5023">
            <v>0.68978667259216309</v>
          </cell>
          <cell r="F5023" t="str">
            <v>14 Aug 2024</v>
          </cell>
        </row>
        <row r="5024">
          <cell r="A5024" t="str">
            <v>BGD</v>
          </cell>
          <cell r="B5024">
            <v>2010</v>
          </cell>
          <cell r="C5024" t="str">
            <v>macab_</v>
          </cell>
          <cell r="D5024">
            <v>2.6973021030426025</v>
          </cell>
          <cell r="F5024" t="str">
            <v>14 Aug 2024</v>
          </cell>
        </row>
        <row r="5025">
          <cell r="A5025" t="str">
            <v>BGD</v>
          </cell>
          <cell r="B5025">
            <v>2007</v>
          </cell>
          <cell r="C5025" t="str">
            <v>mar_taxfc</v>
          </cell>
          <cell r="D5025">
            <v>5.5866379737854004</v>
          </cell>
          <cell r="F5025" t="str">
            <v>14 Aug 2024</v>
          </cell>
        </row>
        <row r="5026">
          <cell r="A5026" t="str">
            <v>BGD</v>
          </cell>
          <cell r="B5026">
            <v>2015</v>
          </cell>
          <cell r="C5026" t="str">
            <v>maconz</v>
          </cell>
          <cell r="D5026">
            <v>5.8171296119689941</v>
          </cell>
          <cell r="F5026" t="str">
            <v>14 Aug 2024</v>
          </cell>
        </row>
        <row r="5027">
          <cell r="A5027" t="str">
            <v>BGD</v>
          </cell>
          <cell r="B5027">
            <v>2023</v>
          </cell>
          <cell r="C5027" t="str">
            <v>maconz</v>
          </cell>
          <cell r="D5027">
            <v>1.9849662780761719</v>
          </cell>
          <cell r="F5027" t="str">
            <v>14 Aug 2024</v>
          </cell>
        </row>
        <row r="5028">
          <cell r="A5028" t="str">
            <v>BGD</v>
          </cell>
          <cell r="B5028">
            <v>2025</v>
          </cell>
          <cell r="C5028" t="str">
            <v>mafdi_</v>
          </cell>
          <cell r="D5028">
            <v>-0.38686466217041016</v>
          </cell>
          <cell r="F5028" t="str">
            <v>14 Aug 2024</v>
          </cell>
        </row>
        <row r="5029">
          <cell r="A5029" t="str">
            <v>BGD</v>
          </cell>
          <cell r="B5029">
            <v>2021</v>
          </cell>
          <cell r="C5029" t="str">
            <v>mar_taxfc</v>
          </cell>
          <cell r="D5029">
            <v>3.9688141345977783</v>
          </cell>
          <cell r="F5029" t="str">
            <v>14 Aug 2024</v>
          </cell>
        </row>
        <row r="5030">
          <cell r="A5030" t="str">
            <v>BGD</v>
          </cell>
          <cell r="B5030">
            <v>2020</v>
          </cell>
          <cell r="C5030" t="str">
            <v>maimpz</v>
          </cell>
          <cell r="D5030">
            <v>-11.409562110900879</v>
          </cell>
          <cell r="F5030" t="str">
            <v>14 Aug 2024</v>
          </cell>
        </row>
        <row r="5031">
          <cell r="A5031" t="str">
            <v>BGD</v>
          </cell>
          <cell r="B5031">
            <v>2018</v>
          </cell>
          <cell r="C5031" t="str">
            <v>maagrfc</v>
          </cell>
          <cell r="D5031">
            <v>3.5445399284362793</v>
          </cell>
          <cell r="F5031" t="str">
            <v>14 Aug 2024</v>
          </cell>
        </row>
        <row r="5032">
          <cell r="A5032" t="str">
            <v>BGD</v>
          </cell>
          <cell r="B5032">
            <v>2010</v>
          </cell>
          <cell r="C5032" t="str">
            <v>mar_con</v>
          </cell>
          <cell r="D5032">
            <v>73.648048400878906</v>
          </cell>
          <cell r="F5032" t="str">
            <v>14 Aug 2024</v>
          </cell>
        </row>
        <row r="5033">
          <cell r="A5033" t="str">
            <v>BGD</v>
          </cell>
          <cell r="B5033">
            <v>2010</v>
          </cell>
          <cell r="C5033" t="str">
            <v>mareer</v>
          </cell>
          <cell r="D5033">
            <v>74.866584777832031</v>
          </cell>
          <cell r="F5033" t="str">
            <v>14 Aug 2024</v>
          </cell>
        </row>
        <row r="5034">
          <cell r="A5034" t="str">
            <v>BGD</v>
          </cell>
          <cell r="B5034">
            <v>2023</v>
          </cell>
          <cell r="C5034" t="str">
            <v>maagrfc</v>
          </cell>
          <cell r="D5034">
            <v>3.3714392185211182</v>
          </cell>
          <cell r="F5034" t="str">
            <v>14 Aug 2024</v>
          </cell>
        </row>
        <row r="5035">
          <cell r="A5035" t="str">
            <v>BGD</v>
          </cell>
          <cell r="B5035">
            <v>2010</v>
          </cell>
          <cell r="C5035" t="str">
            <v>masrvfc</v>
          </cell>
          <cell r="D5035">
            <v>5.5288295745849609</v>
          </cell>
          <cell r="F5035" t="str">
            <v>14 Aug 2024</v>
          </cell>
        </row>
        <row r="5036">
          <cell r="A5036" t="str">
            <v>BGD</v>
          </cell>
          <cell r="B5036">
            <v>2022</v>
          </cell>
          <cell r="C5036" t="str">
            <v>mar_srvfc</v>
          </cell>
          <cell r="D5036">
            <v>51.475456237792969</v>
          </cell>
          <cell r="F5036" t="str">
            <v>14 Aug 2024</v>
          </cell>
        </row>
        <row r="5037">
          <cell r="A5037" t="str">
            <v>BGD</v>
          </cell>
          <cell r="B5037">
            <v>2011</v>
          </cell>
          <cell r="C5037" t="str">
            <v>mar_agrfc</v>
          </cell>
          <cell r="D5037">
            <v>18.005117416381836</v>
          </cell>
          <cell r="F5037" t="str">
            <v>14 Aug 2024</v>
          </cell>
        </row>
        <row r="5038">
          <cell r="A5038" t="str">
            <v>BTN</v>
          </cell>
          <cell r="B5038">
            <v>2024</v>
          </cell>
          <cell r="C5038" t="str">
            <v>matfpz</v>
          </cell>
          <cell r="D5038">
            <v>2.0391292572021484</v>
          </cell>
          <cell r="F5038" t="str">
            <v>14 Aug 2024</v>
          </cell>
        </row>
        <row r="5039">
          <cell r="A5039" t="str">
            <v>BTN</v>
          </cell>
          <cell r="B5039">
            <v>2022</v>
          </cell>
          <cell r="C5039" t="str">
            <v>madebt_</v>
          </cell>
          <cell r="D5039">
            <v>118.79157257080078</v>
          </cell>
          <cell r="F5039" t="str">
            <v>14 Aug 2024</v>
          </cell>
        </row>
        <row r="5040">
          <cell r="A5040" t="str">
            <v>BTN</v>
          </cell>
          <cell r="B5040">
            <v>2006</v>
          </cell>
          <cell r="C5040" t="str">
            <v>mar_con</v>
          </cell>
          <cell r="D5040">
            <v>37.147659301757813</v>
          </cell>
          <cell r="F5040" t="str">
            <v>14 Aug 2024</v>
          </cell>
        </row>
        <row r="5041">
          <cell r="A5041" t="str">
            <v>BTN</v>
          </cell>
          <cell r="B5041">
            <v>2011</v>
          </cell>
          <cell r="C5041" t="str">
            <v>maexpz</v>
          </cell>
          <cell r="D5041">
            <v>5.2854695320129395</v>
          </cell>
          <cell r="F5041" t="str">
            <v>14 Aug 2024</v>
          </cell>
        </row>
        <row r="5042">
          <cell r="A5042" t="str">
            <v>BTN</v>
          </cell>
          <cell r="B5042">
            <v>2020</v>
          </cell>
          <cell r="C5042" t="str">
            <v>matfpz</v>
          </cell>
          <cell r="D5042">
            <v>-7.5605301856994629</v>
          </cell>
          <cell r="F5042" t="str">
            <v>14 Aug 2024</v>
          </cell>
        </row>
        <row r="5043">
          <cell r="A5043" t="str">
            <v>BTN</v>
          </cell>
          <cell r="B5043">
            <v>2026</v>
          </cell>
          <cell r="C5043" t="str">
            <v>matfpz</v>
          </cell>
          <cell r="D5043">
            <v>2.5303959846496582</v>
          </cell>
          <cell r="F5043" t="str">
            <v>14 Aug 2024</v>
          </cell>
        </row>
        <row r="5044">
          <cell r="A5044" t="str">
            <v>BTN</v>
          </cell>
          <cell r="B5044">
            <v>2009</v>
          </cell>
          <cell r="C5044" t="str">
            <v>magdpz</v>
          </cell>
          <cell r="D5044">
            <v>6.1330828666687012</v>
          </cell>
          <cell r="F5044" t="str">
            <v>14 Aug 2024</v>
          </cell>
        </row>
        <row r="5045">
          <cell r="A5045" t="str">
            <v>BTN</v>
          </cell>
          <cell r="B5045">
            <v>2017</v>
          </cell>
          <cell r="C5045" t="str">
            <v>malabz</v>
          </cell>
          <cell r="D5045">
            <v>1.6957764625549316</v>
          </cell>
          <cell r="F5045" t="str">
            <v>14 Aug 2024</v>
          </cell>
        </row>
        <row r="5046">
          <cell r="A5046" t="str">
            <v>BTN</v>
          </cell>
          <cell r="B5046">
            <v>2017</v>
          </cell>
          <cell r="C5046" t="str">
            <v>macpiz</v>
          </cell>
          <cell r="D5046">
            <v>4.3141975402832031</v>
          </cell>
          <cell r="F5046" t="str">
            <v>14 Aug 2024</v>
          </cell>
        </row>
        <row r="5047">
          <cell r="A5047" t="str">
            <v>BTN</v>
          </cell>
          <cell r="B5047">
            <v>2014</v>
          </cell>
          <cell r="C5047" t="str">
            <v>mapanusatls</v>
          </cell>
          <cell r="D5047">
            <v>61.471157073974609</v>
          </cell>
          <cell r="F5047" t="str">
            <v>14 Aug 2024</v>
          </cell>
        </row>
        <row r="5048">
          <cell r="A5048" t="str">
            <v>BTN</v>
          </cell>
          <cell r="B5048">
            <v>2023</v>
          </cell>
          <cell r="C5048" t="str">
            <v>magdpz</v>
          </cell>
          <cell r="D5048">
            <v>4.5805368423461914</v>
          </cell>
          <cell r="F5048" t="str">
            <v>14 Aug 2024</v>
          </cell>
        </row>
        <row r="5049">
          <cell r="A5049" t="str">
            <v>BTN</v>
          </cell>
          <cell r="B5049">
            <v>2017</v>
          </cell>
          <cell r="C5049" t="str">
            <v>mac_labz</v>
          </cell>
          <cell r="D5049">
            <v>1.1870435476303101</v>
          </cell>
          <cell r="F5049" t="str">
            <v>14 Aug 2024</v>
          </cell>
        </row>
        <row r="5050">
          <cell r="A5050" t="str">
            <v>BTN</v>
          </cell>
          <cell r="B5050">
            <v>2016</v>
          </cell>
          <cell r="C5050" t="str">
            <v>mac_tfpz</v>
          </cell>
          <cell r="D5050">
            <v>0.74089479446411133</v>
          </cell>
          <cell r="F5050" t="str">
            <v>14 Aug 2024</v>
          </cell>
        </row>
        <row r="5051">
          <cell r="A5051" t="str">
            <v>BTN</v>
          </cell>
          <cell r="B5051">
            <v>2007</v>
          </cell>
          <cell r="C5051" t="str">
            <v>mar_agrfc</v>
          </cell>
          <cell r="D5051">
            <v>20.476272583007813</v>
          </cell>
          <cell r="F5051" t="str">
            <v>14 Aug 2024</v>
          </cell>
        </row>
        <row r="5052">
          <cell r="A5052" t="str">
            <v>BTN</v>
          </cell>
          <cell r="B5052">
            <v>2017</v>
          </cell>
          <cell r="C5052" t="str">
            <v>mafdi_</v>
          </cell>
          <cell r="D5052"/>
          <cell r="F5052" t="str">
            <v>14 Aug 2024</v>
          </cell>
        </row>
        <row r="5053">
          <cell r="A5053" t="str">
            <v>BTN</v>
          </cell>
          <cell r="B5053">
            <v>2019</v>
          </cell>
          <cell r="C5053" t="str">
            <v>mac_labz</v>
          </cell>
          <cell r="D5053">
            <v>1.2404031753540039</v>
          </cell>
          <cell r="F5053" t="str">
            <v>14 Aug 2024</v>
          </cell>
        </row>
        <row r="5054">
          <cell r="A5054" t="str">
            <v>BTN</v>
          </cell>
          <cell r="B5054">
            <v>2017</v>
          </cell>
          <cell r="C5054" t="str">
            <v>mar_impz</v>
          </cell>
          <cell r="D5054">
            <v>49.411067962646484</v>
          </cell>
          <cell r="F5054" t="str">
            <v>14 Aug 2024</v>
          </cell>
        </row>
        <row r="5055">
          <cell r="A5055" t="str">
            <v>BTN</v>
          </cell>
          <cell r="B5055">
            <v>2019</v>
          </cell>
          <cell r="C5055" t="str">
            <v>mar_srvfc</v>
          </cell>
          <cell r="D5055">
            <v>50.009944915771484</v>
          </cell>
          <cell r="F5055" t="str">
            <v>14 Aug 2024</v>
          </cell>
        </row>
        <row r="5056">
          <cell r="A5056" t="str">
            <v>BTN</v>
          </cell>
          <cell r="B5056">
            <v>2015</v>
          </cell>
          <cell r="C5056" t="str">
            <v>masrvfc</v>
          </cell>
          <cell r="D5056">
            <v>8.2189769744873047</v>
          </cell>
          <cell r="F5056" t="str">
            <v>14 Aug 2024</v>
          </cell>
        </row>
        <row r="5057">
          <cell r="A5057" t="str">
            <v>BTN</v>
          </cell>
          <cell r="B5057">
            <v>2010</v>
          </cell>
          <cell r="C5057" t="str">
            <v>matfpz</v>
          </cell>
          <cell r="D5057">
            <v>1.9669626951217651</v>
          </cell>
          <cell r="F5057" t="str">
            <v>14 Aug 2024</v>
          </cell>
        </row>
        <row r="5058">
          <cell r="A5058" t="str">
            <v>BTN</v>
          </cell>
          <cell r="B5058">
            <v>2007</v>
          </cell>
          <cell r="C5058" t="str">
            <v>macpiz</v>
          </cell>
          <cell r="D5058">
            <v>5.2457451820373535</v>
          </cell>
          <cell r="F5058" t="str">
            <v>14 Aug 2024</v>
          </cell>
        </row>
        <row r="5059">
          <cell r="A5059" t="str">
            <v>BTN</v>
          </cell>
          <cell r="B5059">
            <v>2022</v>
          </cell>
          <cell r="C5059" t="str">
            <v>maexpz</v>
          </cell>
          <cell r="D5059">
            <v>-3.554379940032959</v>
          </cell>
          <cell r="F5059" t="str">
            <v>14 Aug 2024</v>
          </cell>
        </row>
        <row r="5060">
          <cell r="A5060" t="str">
            <v>BTN</v>
          </cell>
          <cell r="B5060">
            <v>2024</v>
          </cell>
          <cell r="C5060" t="str">
            <v>magdpz</v>
          </cell>
          <cell r="D5060">
            <v>4.8606619834899902</v>
          </cell>
          <cell r="F5060" t="str">
            <v>14 Aug 2024</v>
          </cell>
        </row>
        <row r="5061">
          <cell r="A5061" t="str">
            <v>BTN</v>
          </cell>
          <cell r="B5061">
            <v>2012</v>
          </cell>
          <cell r="C5061" t="str">
            <v>maconz</v>
          </cell>
          <cell r="D5061">
            <v>1.5200357437133789</v>
          </cell>
          <cell r="F5061" t="str">
            <v>14 Aug 2024</v>
          </cell>
        </row>
        <row r="5062">
          <cell r="A5062" t="str">
            <v>BTN</v>
          </cell>
          <cell r="B5062">
            <v>2015</v>
          </cell>
          <cell r="C5062" t="str">
            <v>maindfc</v>
          </cell>
          <cell r="D5062">
            <v>6.3207302093505859</v>
          </cell>
          <cell r="F5062" t="str">
            <v>14 Aug 2024</v>
          </cell>
        </row>
        <row r="5063">
          <cell r="A5063" t="str">
            <v>BTN</v>
          </cell>
          <cell r="B5063">
            <v>2023</v>
          </cell>
          <cell r="C5063" t="str">
            <v>maindfc</v>
          </cell>
          <cell r="D5063">
            <v>5.5985798835754395</v>
          </cell>
          <cell r="F5063" t="str">
            <v>14 Aug 2024</v>
          </cell>
        </row>
        <row r="5064">
          <cell r="A5064" t="str">
            <v>BTN</v>
          </cell>
          <cell r="B5064">
            <v>2006</v>
          </cell>
          <cell r="C5064" t="str">
            <v>mapanusatls</v>
          </cell>
          <cell r="D5064">
            <v>46.055999755859375</v>
          </cell>
          <cell r="F5064" t="str">
            <v>14 Aug 2024</v>
          </cell>
        </row>
        <row r="5065">
          <cell r="A5065" t="str">
            <v>BTN</v>
          </cell>
          <cell r="B5065">
            <v>2014</v>
          </cell>
          <cell r="C5065" t="str">
            <v>mar_expz</v>
          </cell>
          <cell r="D5065">
            <v>36.809066772460938</v>
          </cell>
          <cell r="F5065" t="str">
            <v>14 Aug 2024</v>
          </cell>
        </row>
        <row r="5066">
          <cell r="A5066" t="str">
            <v>BTN</v>
          </cell>
          <cell r="B5066">
            <v>2007</v>
          </cell>
          <cell r="C5066" t="str">
            <v>mac_tfpz</v>
          </cell>
          <cell r="D5066">
            <v>2.239349365234375</v>
          </cell>
          <cell r="F5066" t="str">
            <v>14 Aug 2024</v>
          </cell>
        </row>
        <row r="5067">
          <cell r="A5067" t="str">
            <v>BTN</v>
          </cell>
          <cell r="B5067">
            <v>2016</v>
          </cell>
          <cell r="C5067" t="str">
            <v>magovz</v>
          </cell>
          <cell r="D5067">
            <v>7.3368854522705078</v>
          </cell>
          <cell r="F5067" t="str">
            <v>14 Aug 2024</v>
          </cell>
        </row>
        <row r="5068">
          <cell r="A5068" t="str">
            <v>BTN</v>
          </cell>
          <cell r="B5068">
            <v>2026</v>
          </cell>
          <cell r="C5068" t="str">
            <v>mataxfc</v>
          </cell>
          <cell r="D5068">
            <v>6.02459716796875</v>
          </cell>
          <cell r="F5068" t="str">
            <v>14 Aug 2024</v>
          </cell>
        </row>
        <row r="5069">
          <cell r="A5069" t="str">
            <v>BTN</v>
          </cell>
          <cell r="B5069">
            <v>2008</v>
          </cell>
          <cell r="C5069" t="str">
            <v>magdpz</v>
          </cell>
          <cell r="D5069">
            <v>9.8861904144287109</v>
          </cell>
          <cell r="F5069" t="str">
            <v>14 Aug 2024</v>
          </cell>
        </row>
        <row r="5070">
          <cell r="A5070" t="str">
            <v>BTN</v>
          </cell>
          <cell r="B5070">
            <v>2005</v>
          </cell>
          <cell r="C5070" t="str">
            <v>mar_srvfc</v>
          </cell>
          <cell r="D5070">
            <v>41.464801788330078</v>
          </cell>
          <cell r="F5070" t="str">
            <v>14 Aug 2024</v>
          </cell>
        </row>
        <row r="5071">
          <cell r="A5071" t="str">
            <v>BTN</v>
          </cell>
          <cell r="B5071">
            <v>2011</v>
          </cell>
          <cell r="C5071" t="str">
            <v>mar_impz</v>
          </cell>
          <cell r="D5071">
            <v>68.700897216796875</v>
          </cell>
          <cell r="F5071" t="str">
            <v>14 Aug 2024</v>
          </cell>
        </row>
        <row r="5072">
          <cell r="A5072" t="str">
            <v>BTN</v>
          </cell>
          <cell r="B5072">
            <v>2007</v>
          </cell>
          <cell r="C5072" t="str">
            <v>masrvfc</v>
          </cell>
          <cell r="D5072">
            <v>6.7051949501037598</v>
          </cell>
          <cell r="F5072" t="str">
            <v>14 Aug 2024</v>
          </cell>
        </row>
        <row r="5073">
          <cell r="A5073" t="str">
            <v>BTN</v>
          </cell>
          <cell r="B5073">
            <v>2016</v>
          </cell>
          <cell r="C5073" t="str">
            <v>mar_agrfc</v>
          </cell>
          <cell r="D5073">
            <v>14.074955940246582</v>
          </cell>
          <cell r="F5073" t="str">
            <v>14 Aug 2024</v>
          </cell>
        </row>
        <row r="5074">
          <cell r="A5074" t="str">
            <v>BTN</v>
          </cell>
          <cell r="B5074">
            <v>2007</v>
          </cell>
          <cell r="C5074" t="str">
            <v>mar_indfc</v>
          </cell>
          <cell r="D5074">
            <v>38.565055847167969</v>
          </cell>
          <cell r="F5074" t="str">
            <v>14 Aug 2024</v>
          </cell>
        </row>
        <row r="5075">
          <cell r="A5075" t="str">
            <v>BTN</v>
          </cell>
          <cell r="B5075">
            <v>2017</v>
          </cell>
          <cell r="C5075" t="str">
            <v>mainvz</v>
          </cell>
          <cell r="D5075">
            <v>4.4386215209960938</v>
          </cell>
          <cell r="F5075" t="str">
            <v>14 Aug 2024</v>
          </cell>
        </row>
        <row r="5076">
          <cell r="A5076" t="str">
            <v>BTN</v>
          </cell>
          <cell r="B5076">
            <v>2011</v>
          </cell>
          <cell r="C5076" t="str">
            <v>magdpz</v>
          </cell>
          <cell r="D5076">
            <v>10.017487525939941</v>
          </cell>
          <cell r="F5076" t="str">
            <v>14 Aug 2024</v>
          </cell>
        </row>
        <row r="5077">
          <cell r="A5077" t="str">
            <v>BTN</v>
          </cell>
          <cell r="B5077">
            <v>2020</v>
          </cell>
          <cell r="C5077" t="str">
            <v>maexpz</v>
          </cell>
          <cell r="D5077">
            <v>0.58497899770736694</v>
          </cell>
          <cell r="F5077" t="str">
            <v>14 Aug 2024</v>
          </cell>
        </row>
        <row r="5078">
          <cell r="A5078" t="str">
            <v>BTN</v>
          </cell>
          <cell r="B5078">
            <v>2021</v>
          </cell>
          <cell r="C5078" t="str">
            <v>matfpz</v>
          </cell>
          <cell r="D5078">
            <v>-4.0833697319030762</v>
          </cell>
          <cell r="F5078" t="str">
            <v>14 Aug 2024</v>
          </cell>
        </row>
        <row r="5079">
          <cell r="A5079" t="str">
            <v>BTN</v>
          </cell>
          <cell r="B5079">
            <v>2024</v>
          </cell>
          <cell r="C5079" t="str">
            <v>mar_taxfc</v>
          </cell>
          <cell r="D5079">
            <v>2.381758451461792</v>
          </cell>
          <cell r="F5079" t="str">
            <v>14 Aug 2024</v>
          </cell>
        </row>
        <row r="5080">
          <cell r="A5080" t="str">
            <v>BTN</v>
          </cell>
          <cell r="B5080">
            <v>2016</v>
          </cell>
          <cell r="C5080" t="str">
            <v>matfpz</v>
          </cell>
          <cell r="D5080">
            <v>0.74089479446411133</v>
          </cell>
          <cell r="F5080" t="str">
            <v>14 Aug 2024</v>
          </cell>
        </row>
        <row r="5081">
          <cell r="A5081" t="str">
            <v>BTN</v>
          </cell>
          <cell r="B5081">
            <v>2019</v>
          </cell>
          <cell r="C5081" t="str">
            <v>maindfc</v>
          </cell>
          <cell r="D5081">
            <v>-2.693493127822876</v>
          </cell>
          <cell r="F5081" t="str">
            <v>14 Aug 2024</v>
          </cell>
        </row>
        <row r="5082">
          <cell r="A5082" t="str">
            <v>BTN</v>
          </cell>
          <cell r="B5082">
            <v>2015</v>
          </cell>
          <cell r="C5082" t="str">
            <v>mareer</v>
          </cell>
          <cell r="D5082">
            <v>100</v>
          </cell>
          <cell r="F5082" t="str">
            <v>14 Aug 2024</v>
          </cell>
        </row>
        <row r="5083">
          <cell r="A5083" t="str">
            <v>BTN</v>
          </cell>
          <cell r="B5083">
            <v>2016</v>
          </cell>
          <cell r="C5083" t="str">
            <v>magdpz</v>
          </cell>
          <cell r="D5083">
            <v>7.5141496658325195</v>
          </cell>
          <cell r="F5083" t="str">
            <v>14 Aug 2024</v>
          </cell>
        </row>
        <row r="5084">
          <cell r="A5084" t="str">
            <v>BTN</v>
          </cell>
          <cell r="B5084">
            <v>2020</v>
          </cell>
          <cell r="C5084" t="str">
            <v>malabz</v>
          </cell>
          <cell r="D5084">
            <v>1.6604455709457397</v>
          </cell>
          <cell r="F5084" t="str">
            <v>14 Aug 2024</v>
          </cell>
        </row>
        <row r="5085">
          <cell r="A5085" t="str">
            <v>BTN</v>
          </cell>
          <cell r="B5085">
            <v>2012</v>
          </cell>
          <cell r="C5085" t="str">
            <v>maagrfc</v>
          </cell>
          <cell r="D5085">
            <v>2.3924520015716553</v>
          </cell>
          <cell r="F5085" t="str">
            <v>14 Aug 2024</v>
          </cell>
        </row>
        <row r="5086">
          <cell r="A5086" t="str">
            <v>BTN</v>
          </cell>
          <cell r="B5086">
            <v>2015</v>
          </cell>
          <cell r="C5086" t="str">
            <v>mac_tfpz</v>
          </cell>
          <cell r="D5086">
            <v>0.8355252742767334</v>
          </cell>
          <cell r="F5086" t="str">
            <v>14 Aug 2024</v>
          </cell>
        </row>
        <row r="5087">
          <cell r="A5087" t="str">
            <v>BTN</v>
          </cell>
          <cell r="B5087">
            <v>2013</v>
          </cell>
          <cell r="C5087" t="str">
            <v>mapanusatls</v>
          </cell>
          <cell r="D5087">
            <v>54.85772705078125</v>
          </cell>
          <cell r="F5087" t="str">
            <v>14 Aug 2024</v>
          </cell>
        </row>
        <row r="5088">
          <cell r="A5088" t="str">
            <v>BTN</v>
          </cell>
          <cell r="B5088">
            <v>2023</v>
          </cell>
          <cell r="C5088" t="str">
            <v>mar_impz</v>
          </cell>
          <cell r="D5088">
            <v>50.476879119873047</v>
          </cell>
          <cell r="F5088" t="str">
            <v>14 Aug 2024</v>
          </cell>
        </row>
        <row r="5089">
          <cell r="A5089" t="str">
            <v>BTN</v>
          </cell>
          <cell r="B5089">
            <v>2022</v>
          </cell>
          <cell r="C5089" t="str">
            <v>maconz</v>
          </cell>
          <cell r="D5089">
            <v>1.5234674215316772</v>
          </cell>
          <cell r="F5089" t="str">
            <v>14 Aug 2024</v>
          </cell>
        </row>
        <row r="5090">
          <cell r="A5090" t="str">
            <v>BTN</v>
          </cell>
          <cell r="B5090">
            <v>2010</v>
          </cell>
          <cell r="C5090" t="str">
            <v>magdpz</v>
          </cell>
          <cell r="D5090">
            <v>9.8782691955566406</v>
          </cell>
          <cell r="F5090" t="str">
            <v>14 Aug 2024</v>
          </cell>
        </row>
        <row r="5091">
          <cell r="A5091" t="str">
            <v>BTN</v>
          </cell>
          <cell r="B5091">
            <v>2023</v>
          </cell>
          <cell r="C5091" t="str">
            <v>maagrfc</v>
          </cell>
          <cell r="D5091">
            <v>0.346670001745224</v>
          </cell>
          <cell r="F5091" t="str">
            <v>14 Aug 2024</v>
          </cell>
        </row>
        <row r="5092">
          <cell r="A5092" t="str">
            <v>BTN</v>
          </cell>
          <cell r="B5092">
            <v>2006</v>
          </cell>
          <cell r="C5092" t="str">
            <v>maconz</v>
          </cell>
          <cell r="D5092">
            <v>-11.536075592041016</v>
          </cell>
          <cell r="F5092" t="str">
            <v>14 Aug 2024</v>
          </cell>
        </row>
        <row r="5093">
          <cell r="A5093" t="str">
            <v>BTN</v>
          </cell>
          <cell r="B5093">
            <v>2008</v>
          </cell>
          <cell r="C5093" t="str">
            <v>maindfc</v>
          </cell>
          <cell r="D5093">
            <v>19.395538330078125</v>
          </cell>
          <cell r="F5093" t="str">
            <v>14 Aug 2024</v>
          </cell>
        </row>
        <row r="5094">
          <cell r="A5094" t="str">
            <v>BTN</v>
          </cell>
          <cell r="B5094">
            <v>2014</v>
          </cell>
          <cell r="C5094" t="str">
            <v>mar_indfc</v>
          </cell>
          <cell r="D5094">
            <v>42.326206207275391</v>
          </cell>
          <cell r="F5094" t="str">
            <v>14 Aug 2024</v>
          </cell>
        </row>
        <row r="5095">
          <cell r="A5095" t="str">
            <v>BTN</v>
          </cell>
          <cell r="B5095">
            <v>2020</v>
          </cell>
          <cell r="C5095" t="str">
            <v>macab_</v>
          </cell>
          <cell r="D5095">
            <v>-14.789276123046875</v>
          </cell>
          <cell r="F5095" t="str">
            <v>14 Aug 2024</v>
          </cell>
        </row>
        <row r="5096">
          <cell r="A5096" t="str">
            <v>BTN</v>
          </cell>
          <cell r="B5096">
            <v>2020</v>
          </cell>
          <cell r="C5096" t="str">
            <v>madebt_</v>
          </cell>
          <cell r="D5096">
            <v>114.93871307373047</v>
          </cell>
          <cell r="F5096" t="str">
            <v>14 Aug 2024</v>
          </cell>
        </row>
        <row r="5097">
          <cell r="A5097" t="str">
            <v>BTN</v>
          </cell>
          <cell r="B5097">
            <v>2020</v>
          </cell>
          <cell r="C5097" t="str">
            <v>maagrfc</v>
          </cell>
          <cell r="D5097">
            <v>2.8710248470306396</v>
          </cell>
          <cell r="F5097" t="str">
            <v>14 Aug 2024</v>
          </cell>
        </row>
        <row r="5098">
          <cell r="A5098" t="str">
            <v>BTN</v>
          </cell>
          <cell r="B5098">
            <v>2017</v>
          </cell>
          <cell r="C5098" t="str">
            <v>madebt_</v>
          </cell>
          <cell r="D5098">
            <v>104.82834625244141</v>
          </cell>
          <cell r="F5098" t="str">
            <v>14 Aug 2024</v>
          </cell>
        </row>
        <row r="5099">
          <cell r="A5099" t="str">
            <v>BTN</v>
          </cell>
          <cell r="B5099">
            <v>2017</v>
          </cell>
          <cell r="C5099" t="str">
            <v>maexpz</v>
          </cell>
          <cell r="D5099">
            <v>0.42716604471206665</v>
          </cell>
          <cell r="F5099" t="str">
            <v>14 Aug 2024</v>
          </cell>
        </row>
        <row r="5100">
          <cell r="A5100" t="str">
            <v>BTN</v>
          </cell>
          <cell r="B5100">
            <v>2006</v>
          </cell>
          <cell r="C5100" t="str">
            <v>mareer</v>
          </cell>
          <cell r="D5100">
            <v>115.21905517578125</v>
          </cell>
          <cell r="F5100" t="str">
            <v>14 Aug 2024</v>
          </cell>
        </row>
        <row r="5101">
          <cell r="A5101" t="str">
            <v>BTN</v>
          </cell>
          <cell r="B5101">
            <v>2019</v>
          </cell>
          <cell r="C5101" t="str">
            <v>mar_indfc</v>
          </cell>
          <cell r="D5101">
            <v>36.747348785400391</v>
          </cell>
          <cell r="F5101" t="str">
            <v>14 Aug 2024</v>
          </cell>
        </row>
        <row r="5102">
          <cell r="A5102" t="str">
            <v>BTN</v>
          </cell>
          <cell r="B5102">
            <v>2016</v>
          </cell>
          <cell r="C5102" t="str">
            <v>mareer</v>
          </cell>
          <cell r="D5102">
            <v>101.63526916503906</v>
          </cell>
          <cell r="F5102" t="str">
            <v>14 Aug 2024</v>
          </cell>
        </row>
        <row r="5103">
          <cell r="A5103" t="str">
            <v>BTN</v>
          </cell>
          <cell r="B5103">
            <v>2011</v>
          </cell>
          <cell r="C5103" t="str">
            <v>malabz</v>
          </cell>
          <cell r="D5103">
            <v>1.889453649520874</v>
          </cell>
          <cell r="F5103" t="str">
            <v>14 Aug 2024</v>
          </cell>
        </row>
        <row r="5104">
          <cell r="A5104" t="str">
            <v>BTN</v>
          </cell>
          <cell r="B5104">
            <v>2024</v>
          </cell>
          <cell r="C5104" t="str">
            <v>mapanusatls</v>
          </cell>
          <cell r="D5104">
            <v>82.578330993652344</v>
          </cell>
          <cell r="F5104" t="str">
            <v>14 Aug 2024</v>
          </cell>
        </row>
        <row r="5105">
          <cell r="A5105" t="str">
            <v>BTN</v>
          </cell>
          <cell r="B5105">
            <v>2022</v>
          </cell>
          <cell r="C5105" t="str">
            <v>mafdi_</v>
          </cell>
          <cell r="D5105"/>
          <cell r="F5105" t="str">
            <v>14 Aug 2024</v>
          </cell>
        </row>
        <row r="5106">
          <cell r="A5106" t="str">
            <v>BTN</v>
          </cell>
          <cell r="B5106">
            <v>2019</v>
          </cell>
          <cell r="C5106" t="str">
            <v>macpiz</v>
          </cell>
          <cell r="D5106">
            <v>2.8212394714355469</v>
          </cell>
          <cell r="F5106" t="str">
            <v>14 Aug 2024</v>
          </cell>
        </row>
        <row r="5107">
          <cell r="A5107" t="str">
            <v>BTN</v>
          </cell>
          <cell r="B5107">
            <v>2024</v>
          </cell>
          <cell r="C5107" t="str">
            <v>mainvz</v>
          </cell>
          <cell r="D5107">
            <v>-0.46868786215782166</v>
          </cell>
          <cell r="F5107" t="str">
            <v>14 Aug 2024</v>
          </cell>
        </row>
        <row r="5108">
          <cell r="A5108" t="str">
            <v>BTN</v>
          </cell>
          <cell r="B5108">
            <v>2005</v>
          </cell>
          <cell r="C5108" t="str">
            <v>mac_tfpz</v>
          </cell>
          <cell r="D5108">
            <v>1.9756748676300049</v>
          </cell>
          <cell r="F5108" t="str">
            <v>14 Aug 2024</v>
          </cell>
        </row>
        <row r="5109">
          <cell r="A5109" t="str">
            <v>BTN</v>
          </cell>
          <cell r="B5109">
            <v>2018</v>
          </cell>
          <cell r="C5109" t="str">
            <v>mapanusatls</v>
          </cell>
          <cell r="D5109">
            <v>65.156707763671875</v>
          </cell>
          <cell r="F5109" t="str">
            <v>14 Aug 2024</v>
          </cell>
        </row>
        <row r="5110">
          <cell r="A5110" t="str">
            <v>BTN</v>
          </cell>
          <cell r="B5110">
            <v>2019</v>
          </cell>
          <cell r="C5110" t="str">
            <v>malabz</v>
          </cell>
          <cell r="D5110">
            <v>1.7720046043395996</v>
          </cell>
          <cell r="F5110" t="str">
            <v>14 Aug 2024</v>
          </cell>
        </row>
        <row r="5111">
          <cell r="A5111" t="str">
            <v>BTN</v>
          </cell>
          <cell r="B5111">
            <v>2009</v>
          </cell>
          <cell r="C5111" t="str">
            <v>mar_taxfc</v>
          </cell>
          <cell r="D5111">
            <v>4.1350193023681641</v>
          </cell>
          <cell r="F5111" t="str">
            <v>14 Aug 2024</v>
          </cell>
        </row>
        <row r="5112">
          <cell r="A5112" t="str">
            <v>BTN</v>
          </cell>
          <cell r="B5112">
            <v>2022</v>
          </cell>
          <cell r="C5112" t="str">
            <v>mar_agrfc</v>
          </cell>
          <cell r="D5112">
            <v>13.798357009887695</v>
          </cell>
          <cell r="F5112" t="str">
            <v>14 Aug 2024</v>
          </cell>
        </row>
        <row r="5113">
          <cell r="A5113" t="str">
            <v>BTN</v>
          </cell>
          <cell r="B5113">
            <v>2006</v>
          </cell>
          <cell r="C5113" t="str">
            <v>mac_tfpz</v>
          </cell>
          <cell r="D5113">
            <v>2.127138614654541</v>
          </cell>
          <cell r="F5113" t="str">
            <v>14 Aug 2024</v>
          </cell>
        </row>
        <row r="5114">
          <cell r="A5114" t="str">
            <v>BTN</v>
          </cell>
          <cell r="B5114">
            <v>2007</v>
          </cell>
          <cell r="C5114" t="str">
            <v>maexpz</v>
          </cell>
          <cell r="D5114">
            <v>30.029535293579102</v>
          </cell>
          <cell r="F5114" t="str">
            <v>14 Aug 2024</v>
          </cell>
        </row>
        <row r="5115">
          <cell r="A5115" t="str">
            <v>BTN</v>
          </cell>
          <cell r="B5115">
            <v>2009</v>
          </cell>
          <cell r="C5115" t="str">
            <v>malabz</v>
          </cell>
          <cell r="D5115">
            <v>2.1190719604492188</v>
          </cell>
          <cell r="F5115" t="str">
            <v>14 Aug 2024</v>
          </cell>
        </row>
        <row r="5116">
          <cell r="A5116" t="str">
            <v>BTN</v>
          </cell>
          <cell r="B5116">
            <v>2015</v>
          </cell>
          <cell r="C5116" t="str">
            <v>mafdi_</v>
          </cell>
          <cell r="D5116"/>
          <cell r="F5116" t="str">
            <v>14 Aug 2024</v>
          </cell>
        </row>
        <row r="5117">
          <cell r="A5117" t="str">
            <v>BTN</v>
          </cell>
          <cell r="B5117">
            <v>2018</v>
          </cell>
          <cell r="C5117" t="str">
            <v>mainvz</v>
          </cell>
          <cell r="D5117">
            <v>-0.72160458564758301</v>
          </cell>
          <cell r="F5117" t="str">
            <v>14 Aug 2024</v>
          </cell>
        </row>
        <row r="5118">
          <cell r="A5118" t="str">
            <v>BTN</v>
          </cell>
          <cell r="B5118">
            <v>2023</v>
          </cell>
          <cell r="C5118" t="str">
            <v>macab_</v>
          </cell>
          <cell r="D5118">
            <v>-34.340248107910156</v>
          </cell>
          <cell r="F5118" t="str">
            <v>14 Aug 2024</v>
          </cell>
        </row>
        <row r="5119">
          <cell r="A5119" t="str">
            <v>BTN</v>
          </cell>
          <cell r="B5119">
            <v>2012</v>
          </cell>
          <cell r="C5119" t="str">
            <v>mar_impz</v>
          </cell>
          <cell r="D5119">
            <v>63.927391052246094</v>
          </cell>
          <cell r="F5119" t="str">
            <v>14 Aug 2024</v>
          </cell>
        </row>
        <row r="5120">
          <cell r="A5120" t="str">
            <v>BTN</v>
          </cell>
          <cell r="B5120">
            <v>2014</v>
          </cell>
          <cell r="C5120" t="str">
            <v>mafdi_</v>
          </cell>
          <cell r="D5120"/>
          <cell r="F5120" t="str">
            <v>14 Aug 2024</v>
          </cell>
        </row>
        <row r="5121">
          <cell r="A5121" t="str">
            <v>BTN</v>
          </cell>
          <cell r="B5121">
            <v>2007</v>
          </cell>
          <cell r="C5121" t="str">
            <v>magovz</v>
          </cell>
          <cell r="D5121">
            <v>8.9497766494750977</v>
          </cell>
          <cell r="F5121" t="str">
            <v>14 Aug 2024</v>
          </cell>
        </row>
        <row r="5122">
          <cell r="A5122" t="str">
            <v>BTN</v>
          </cell>
          <cell r="B5122">
            <v>2013</v>
          </cell>
          <cell r="C5122" t="str">
            <v>maindfc</v>
          </cell>
          <cell r="D5122">
            <v>5.627537727355957</v>
          </cell>
          <cell r="F5122" t="str">
            <v>14 Aug 2024</v>
          </cell>
        </row>
        <row r="5123">
          <cell r="A5123" t="str">
            <v>BTN</v>
          </cell>
          <cell r="B5123">
            <v>2022</v>
          </cell>
          <cell r="C5123" t="str">
            <v>maindfc</v>
          </cell>
          <cell r="D5123">
            <v>4.7859921455383301</v>
          </cell>
          <cell r="F5123" t="str">
            <v>14 Aug 2024</v>
          </cell>
        </row>
        <row r="5124">
          <cell r="A5124" t="str">
            <v>BTN</v>
          </cell>
          <cell r="B5124">
            <v>2025</v>
          </cell>
          <cell r="C5124" t="str">
            <v>maindfc</v>
          </cell>
          <cell r="D5124">
            <v>9.1000003814697266</v>
          </cell>
          <cell r="F5124" t="str">
            <v>14 Aug 2024</v>
          </cell>
        </row>
        <row r="5125">
          <cell r="A5125" t="str">
            <v>BTN</v>
          </cell>
          <cell r="B5125">
            <v>2008</v>
          </cell>
          <cell r="C5125" t="str">
            <v>magovz</v>
          </cell>
          <cell r="D5125">
            <v>2.8848557472229004</v>
          </cell>
          <cell r="F5125" t="str">
            <v>14 Aug 2024</v>
          </cell>
        </row>
        <row r="5126">
          <cell r="A5126" t="str">
            <v>BTN</v>
          </cell>
          <cell r="B5126">
            <v>2023</v>
          </cell>
          <cell r="C5126" t="str">
            <v>mar_taxfc</v>
          </cell>
          <cell r="D5126">
            <v>2.381758451461792</v>
          </cell>
          <cell r="F5126" t="str">
            <v>14 Aug 2024</v>
          </cell>
        </row>
        <row r="5127">
          <cell r="A5127" t="str">
            <v>BTN</v>
          </cell>
          <cell r="B5127">
            <v>2015</v>
          </cell>
          <cell r="C5127" t="str">
            <v>macpiz</v>
          </cell>
          <cell r="D5127">
            <v>6.6705608367919922</v>
          </cell>
          <cell r="F5127" t="str">
            <v>14 Aug 2024</v>
          </cell>
        </row>
        <row r="5128">
          <cell r="A5128" t="str">
            <v>BTN</v>
          </cell>
          <cell r="B5128">
            <v>2013</v>
          </cell>
          <cell r="C5128" t="str">
            <v>masrvfc</v>
          </cell>
          <cell r="D5128">
            <v>0.33209198713302612</v>
          </cell>
          <cell r="F5128" t="str">
            <v>14 Aug 2024</v>
          </cell>
        </row>
        <row r="5129">
          <cell r="A5129" t="str">
            <v>BTN</v>
          </cell>
          <cell r="B5129">
            <v>2016</v>
          </cell>
          <cell r="C5129" t="str">
            <v>mar_taxfc</v>
          </cell>
          <cell r="D5129">
            <v>6.596381664276123</v>
          </cell>
          <cell r="F5129" t="str">
            <v>14 Aug 2024</v>
          </cell>
        </row>
        <row r="5130">
          <cell r="A5130" t="str">
            <v>BTN</v>
          </cell>
          <cell r="B5130">
            <v>2021</v>
          </cell>
          <cell r="C5130" t="str">
            <v>masrvfc</v>
          </cell>
          <cell r="D5130">
            <v>-1.1854206323623657</v>
          </cell>
          <cell r="F5130" t="str">
            <v>14 Aug 2024</v>
          </cell>
        </row>
        <row r="5131">
          <cell r="A5131" t="str">
            <v>BTN</v>
          </cell>
          <cell r="B5131">
            <v>2025</v>
          </cell>
          <cell r="C5131" t="str">
            <v>mac_tfpz</v>
          </cell>
          <cell r="D5131">
            <v>2.3235359191894531</v>
          </cell>
          <cell r="F5131" t="str">
            <v>14 Aug 2024</v>
          </cell>
        </row>
        <row r="5132">
          <cell r="A5132" t="str">
            <v>BTN</v>
          </cell>
          <cell r="B5132">
            <v>2009</v>
          </cell>
          <cell r="C5132" t="str">
            <v>mac_tfpz</v>
          </cell>
          <cell r="D5132">
            <v>2.1578679084777832</v>
          </cell>
          <cell r="F5132" t="str">
            <v>14 Aug 2024</v>
          </cell>
        </row>
        <row r="5133">
          <cell r="A5133" t="str">
            <v>BTN</v>
          </cell>
          <cell r="B5133">
            <v>2016</v>
          </cell>
          <cell r="C5133" t="str">
            <v>mar_expz</v>
          </cell>
          <cell r="D5133">
            <v>29.576692581176758</v>
          </cell>
          <cell r="F5133" t="str">
            <v>14 Aug 2024</v>
          </cell>
        </row>
        <row r="5134">
          <cell r="A5134" t="str">
            <v>BTN</v>
          </cell>
          <cell r="B5134">
            <v>2017</v>
          </cell>
          <cell r="C5134" t="str">
            <v>masrvfc</v>
          </cell>
          <cell r="D5134">
            <v>8.8920602798461914</v>
          </cell>
          <cell r="F5134" t="str">
            <v>14 Aug 2024</v>
          </cell>
        </row>
        <row r="5135">
          <cell r="A5135" t="str">
            <v>BTN</v>
          </cell>
          <cell r="B5135">
            <v>2009</v>
          </cell>
          <cell r="C5135" t="str">
            <v>mainvz</v>
          </cell>
          <cell r="D5135">
            <v>23.004465103149414</v>
          </cell>
          <cell r="F5135" t="str">
            <v>14 Aug 2024</v>
          </cell>
        </row>
        <row r="5136">
          <cell r="A5136" t="str">
            <v>BTN</v>
          </cell>
          <cell r="B5136">
            <v>2019</v>
          </cell>
          <cell r="C5136" t="str">
            <v>mar_impz</v>
          </cell>
          <cell r="D5136">
            <v>45.322650909423828</v>
          </cell>
          <cell r="F5136" t="str">
            <v>14 Aug 2024</v>
          </cell>
        </row>
        <row r="5137">
          <cell r="A5137" t="str">
            <v>BTN</v>
          </cell>
          <cell r="B5137">
            <v>2005</v>
          </cell>
          <cell r="C5137" t="str">
            <v>maimpz</v>
          </cell>
          <cell r="D5137">
            <v>19.784341812133789</v>
          </cell>
          <cell r="F5137" t="str">
            <v>14 Aug 2024</v>
          </cell>
        </row>
        <row r="5138">
          <cell r="A5138" t="str">
            <v>BTN</v>
          </cell>
          <cell r="B5138">
            <v>2014</v>
          </cell>
          <cell r="C5138" t="str">
            <v>magovz</v>
          </cell>
          <cell r="D5138">
            <v>-4.2023525238037109</v>
          </cell>
          <cell r="F5138" t="str">
            <v>14 Aug 2024</v>
          </cell>
        </row>
        <row r="5139">
          <cell r="A5139" t="str">
            <v>BTN</v>
          </cell>
          <cell r="B5139">
            <v>2026</v>
          </cell>
          <cell r="C5139" t="str">
            <v>madebt_</v>
          </cell>
          <cell r="D5139">
            <v>108.44237518310547</v>
          </cell>
          <cell r="F5139" t="str">
            <v>14 Aug 2024</v>
          </cell>
        </row>
        <row r="5140">
          <cell r="A5140" t="str">
            <v>BTN</v>
          </cell>
          <cell r="B5140">
            <v>2018</v>
          </cell>
          <cell r="C5140" t="str">
            <v>mafdi_</v>
          </cell>
          <cell r="D5140"/>
          <cell r="F5140" t="str">
            <v>14 Aug 2024</v>
          </cell>
        </row>
        <row r="5141">
          <cell r="A5141" t="str">
            <v>BTN</v>
          </cell>
          <cell r="B5141">
            <v>2011</v>
          </cell>
          <cell r="C5141" t="str">
            <v>mapanusatls</v>
          </cell>
          <cell r="D5141">
            <v>45.332958221435547</v>
          </cell>
          <cell r="F5141" t="str">
            <v>14 Aug 2024</v>
          </cell>
        </row>
        <row r="5142">
          <cell r="A5142" t="str">
            <v>BTN</v>
          </cell>
          <cell r="B5142">
            <v>2016</v>
          </cell>
          <cell r="C5142" t="str">
            <v>mar_srvfc</v>
          </cell>
          <cell r="D5142">
            <v>43.845733642578125</v>
          </cell>
          <cell r="F5142" t="str">
            <v>14 Aug 2024</v>
          </cell>
        </row>
        <row r="5143">
          <cell r="A5143" t="str">
            <v>BTN</v>
          </cell>
          <cell r="B5143">
            <v>2015</v>
          </cell>
          <cell r="C5143" t="str">
            <v>maconz</v>
          </cell>
          <cell r="D5143">
            <v>20.056962966918945</v>
          </cell>
          <cell r="F5143" t="str">
            <v>14 Aug 2024</v>
          </cell>
        </row>
        <row r="5144">
          <cell r="A5144" t="str">
            <v>BTN</v>
          </cell>
          <cell r="B5144">
            <v>2020</v>
          </cell>
          <cell r="C5144" t="str">
            <v>mar_srvfc</v>
          </cell>
          <cell r="D5144">
            <v>52.029300689697266</v>
          </cell>
          <cell r="F5144" t="str">
            <v>14 Aug 2024</v>
          </cell>
        </row>
        <row r="5145">
          <cell r="A5145" t="str">
            <v>BTN</v>
          </cell>
          <cell r="B5145">
            <v>2010</v>
          </cell>
          <cell r="C5145" t="str">
            <v>mac_labz</v>
          </cell>
          <cell r="D5145">
            <v>1.3999658823013306</v>
          </cell>
          <cell r="F5145" t="str">
            <v>14 Aug 2024</v>
          </cell>
        </row>
        <row r="5146">
          <cell r="A5146" t="str">
            <v>BTN</v>
          </cell>
          <cell r="B5146">
            <v>2024</v>
          </cell>
          <cell r="C5146" t="str">
            <v>masrvfc</v>
          </cell>
          <cell r="D5146">
            <v>5.5705609321594238</v>
          </cell>
          <cell r="F5146" t="str">
            <v>14 Aug 2024</v>
          </cell>
        </row>
        <row r="5147">
          <cell r="A5147" t="str">
            <v>BTN</v>
          </cell>
          <cell r="B5147">
            <v>2010</v>
          </cell>
          <cell r="C5147" t="str">
            <v>macab_</v>
          </cell>
          <cell r="D5147">
            <v>-21.08837890625</v>
          </cell>
          <cell r="F5147" t="str">
            <v>14 Aug 2024</v>
          </cell>
        </row>
        <row r="5148">
          <cell r="A5148" t="str">
            <v>BTN</v>
          </cell>
          <cell r="B5148">
            <v>2010</v>
          </cell>
          <cell r="C5148" t="str">
            <v>madebt_</v>
          </cell>
          <cell r="D5148">
            <v>56.454093933105469</v>
          </cell>
          <cell r="F5148" t="str">
            <v>14 Aug 2024</v>
          </cell>
        </row>
        <row r="5149">
          <cell r="A5149" t="str">
            <v>BTN</v>
          </cell>
          <cell r="B5149">
            <v>2023</v>
          </cell>
          <cell r="C5149" t="str">
            <v>malabz</v>
          </cell>
          <cell r="D5149">
            <v>1.3158153295516968</v>
          </cell>
          <cell r="F5149" t="str">
            <v>14 Aug 2024</v>
          </cell>
        </row>
        <row r="5150">
          <cell r="A5150" t="str">
            <v>BTN</v>
          </cell>
          <cell r="B5150">
            <v>2018</v>
          </cell>
          <cell r="C5150" t="str">
            <v>maagrfc</v>
          </cell>
          <cell r="D5150">
            <v>3.0016753673553467</v>
          </cell>
          <cell r="F5150" t="str">
            <v>14 Aug 2024</v>
          </cell>
        </row>
        <row r="5151">
          <cell r="A5151" t="str">
            <v>BTN</v>
          </cell>
          <cell r="B5151">
            <v>2007</v>
          </cell>
          <cell r="C5151" t="str">
            <v>maagrfc</v>
          </cell>
          <cell r="D5151">
            <v>1.7168949842453003</v>
          </cell>
          <cell r="F5151" t="str">
            <v>14 Aug 2024</v>
          </cell>
        </row>
        <row r="5152">
          <cell r="A5152" t="str">
            <v>BTN</v>
          </cell>
          <cell r="B5152">
            <v>2006</v>
          </cell>
          <cell r="C5152" t="str">
            <v>matfpz</v>
          </cell>
          <cell r="D5152">
            <v>2.127138614654541</v>
          </cell>
          <cell r="F5152" t="str">
            <v>14 Aug 2024</v>
          </cell>
        </row>
        <row r="5153">
          <cell r="A5153" t="str">
            <v>BTN</v>
          </cell>
          <cell r="B5153">
            <v>2010</v>
          </cell>
          <cell r="C5153" t="str">
            <v>macpiz</v>
          </cell>
          <cell r="D5153">
            <v>4.8260436058044434</v>
          </cell>
          <cell r="F5153" t="str">
            <v>14 Aug 2024</v>
          </cell>
        </row>
        <row r="5154">
          <cell r="A5154" t="str">
            <v>BTN</v>
          </cell>
          <cell r="B5154">
            <v>2008</v>
          </cell>
          <cell r="C5154" t="str">
            <v>mar_impz</v>
          </cell>
          <cell r="D5154">
            <v>57.367385864257813</v>
          </cell>
          <cell r="F5154" t="str">
            <v>14 Aug 2024</v>
          </cell>
        </row>
        <row r="5155">
          <cell r="A5155" t="str">
            <v>BTN</v>
          </cell>
          <cell r="B5155">
            <v>2016</v>
          </cell>
          <cell r="C5155" t="str">
            <v>maconz</v>
          </cell>
          <cell r="D5155">
            <v>3.813894510269165</v>
          </cell>
          <cell r="F5155" t="str">
            <v>14 Aug 2024</v>
          </cell>
        </row>
        <row r="5156">
          <cell r="A5156" t="str">
            <v>BTN</v>
          </cell>
          <cell r="B5156">
            <v>2026</v>
          </cell>
          <cell r="C5156" t="str">
            <v>mapanusatls</v>
          </cell>
          <cell r="D5156">
            <v>80.679618835449219</v>
          </cell>
          <cell r="F5156" t="str">
            <v>14 Aug 2024</v>
          </cell>
        </row>
        <row r="5157">
          <cell r="A5157" t="str">
            <v>BTN</v>
          </cell>
          <cell r="B5157">
            <v>2016</v>
          </cell>
          <cell r="C5157" t="str">
            <v>mar_con</v>
          </cell>
          <cell r="D5157">
            <v>51.098789215087891</v>
          </cell>
          <cell r="F5157" t="str">
            <v>14 Aug 2024</v>
          </cell>
        </row>
        <row r="5158">
          <cell r="A5158" t="str">
            <v>BTN</v>
          </cell>
          <cell r="B5158">
            <v>2022</v>
          </cell>
          <cell r="C5158" t="str">
            <v>mac_labz</v>
          </cell>
          <cell r="D5158">
            <v>0.98457890748977661</v>
          </cell>
          <cell r="F5158" t="str">
            <v>14 Aug 2024</v>
          </cell>
        </row>
        <row r="5159">
          <cell r="A5159" t="str">
            <v>BTN</v>
          </cell>
          <cell r="B5159">
            <v>2009</v>
          </cell>
          <cell r="C5159" t="str">
            <v>mar_con</v>
          </cell>
          <cell r="D5159">
            <v>40.137828826904297</v>
          </cell>
          <cell r="F5159" t="str">
            <v>14 Aug 2024</v>
          </cell>
        </row>
        <row r="5160">
          <cell r="A5160" t="str">
            <v>BTN</v>
          </cell>
          <cell r="B5160">
            <v>2008</v>
          </cell>
          <cell r="C5160" t="str">
            <v>mapanusatls</v>
          </cell>
          <cell r="D5160">
            <v>40.369998931884766</v>
          </cell>
          <cell r="F5160" t="str">
            <v>14 Aug 2024</v>
          </cell>
        </row>
        <row r="5161">
          <cell r="A5161" t="str">
            <v>BTN</v>
          </cell>
          <cell r="B5161">
            <v>2020</v>
          </cell>
          <cell r="C5161" t="str">
            <v>magdpz</v>
          </cell>
          <cell r="D5161">
            <v>-2.4550213813781738</v>
          </cell>
          <cell r="F5161" t="str">
            <v>14 Aug 2024</v>
          </cell>
        </row>
        <row r="5162">
          <cell r="A5162" t="str">
            <v>BTN</v>
          </cell>
          <cell r="B5162">
            <v>2006</v>
          </cell>
          <cell r="C5162" t="str">
            <v>masrvfc</v>
          </cell>
          <cell r="D5162">
            <v>10.022482872009277</v>
          </cell>
          <cell r="F5162" t="str">
            <v>14 Aug 2024</v>
          </cell>
        </row>
        <row r="5163">
          <cell r="A5163" t="str">
            <v>BTN</v>
          </cell>
          <cell r="B5163">
            <v>2025</v>
          </cell>
          <cell r="C5163" t="str">
            <v>magap_</v>
          </cell>
          <cell r="D5163">
            <v>-0.81169557571411133</v>
          </cell>
          <cell r="F5163" t="str">
            <v>14 Aug 2024</v>
          </cell>
        </row>
        <row r="5164">
          <cell r="A5164" t="str">
            <v>BTN</v>
          </cell>
          <cell r="B5164">
            <v>2007</v>
          </cell>
          <cell r="C5164" t="str">
            <v>maindfc</v>
          </cell>
          <cell r="D5164">
            <v>23.755210876464844</v>
          </cell>
          <cell r="F5164" t="str">
            <v>14 Aug 2024</v>
          </cell>
        </row>
        <row r="5165">
          <cell r="A5165" t="str">
            <v>BTN</v>
          </cell>
          <cell r="B5165">
            <v>2024</v>
          </cell>
          <cell r="C5165" t="str">
            <v>mafdi_</v>
          </cell>
          <cell r="D5165"/>
          <cell r="F5165" t="str">
            <v>14 Aug 2024</v>
          </cell>
        </row>
        <row r="5166">
          <cell r="A5166" t="str">
            <v>BTN</v>
          </cell>
          <cell r="B5166">
            <v>2024</v>
          </cell>
          <cell r="C5166" t="str">
            <v>magap_</v>
          </cell>
          <cell r="D5166">
            <v>-1.1915042400360107</v>
          </cell>
          <cell r="F5166" t="str">
            <v>14 Aug 2024</v>
          </cell>
        </row>
        <row r="5167">
          <cell r="A5167" t="str">
            <v>BTN</v>
          </cell>
          <cell r="B5167">
            <v>2023</v>
          </cell>
          <cell r="C5167" t="str">
            <v>madebt_</v>
          </cell>
          <cell r="D5167">
            <v>116.45173645019531</v>
          </cell>
          <cell r="F5167" t="str">
            <v>14 Aug 2024</v>
          </cell>
        </row>
        <row r="5168">
          <cell r="A5168" t="str">
            <v>BTN</v>
          </cell>
          <cell r="B5168">
            <v>2015</v>
          </cell>
          <cell r="C5168" t="str">
            <v>magdpz</v>
          </cell>
          <cell r="D5168">
            <v>6.1545071601867676</v>
          </cell>
          <cell r="F5168" t="str">
            <v>14 Aug 2024</v>
          </cell>
        </row>
        <row r="5169">
          <cell r="A5169" t="str">
            <v>BTN</v>
          </cell>
          <cell r="B5169">
            <v>2006</v>
          </cell>
          <cell r="C5169" t="str">
            <v>madebt_</v>
          </cell>
          <cell r="D5169">
            <v>80.124351501464844</v>
          </cell>
          <cell r="F5169" t="str">
            <v>14 Aug 2024</v>
          </cell>
        </row>
        <row r="5170">
          <cell r="A5170" t="str">
            <v>BTN</v>
          </cell>
          <cell r="B5170">
            <v>2022</v>
          </cell>
          <cell r="C5170" t="str">
            <v>maagrfc</v>
          </cell>
          <cell r="D5170">
            <v>0.1317252516746521</v>
          </cell>
          <cell r="F5170" t="str">
            <v>14 Aug 2024</v>
          </cell>
        </row>
        <row r="5171">
          <cell r="A5171" t="str">
            <v>BTN</v>
          </cell>
          <cell r="B5171">
            <v>2017</v>
          </cell>
          <cell r="C5171" t="str">
            <v>magovz</v>
          </cell>
          <cell r="D5171">
            <v>4.2977156639099121</v>
          </cell>
          <cell r="F5171" t="str">
            <v>14 Aug 2024</v>
          </cell>
        </row>
        <row r="5172">
          <cell r="A5172" t="str">
            <v>BTN</v>
          </cell>
          <cell r="B5172">
            <v>2024</v>
          </cell>
          <cell r="C5172" t="str">
            <v>mar_con</v>
          </cell>
          <cell r="D5172">
            <v>47.313560485839844</v>
          </cell>
          <cell r="F5172" t="str">
            <v>14 Aug 2024</v>
          </cell>
        </row>
        <row r="5173">
          <cell r="A5173" t="str">
            <v>BTN</v>
          </cell>
          <cell r="B5173">
            <v>2021</v>
          </cell>
          <cell r="C5173" t="str">
            <v>malabz</v>
          </cell>
          <cell r="D5173">
            <v>1.5296802520751953</v>
          </cell>
          <cell r="F5173" t="str">
            <v>14 Aug 2024</v>
          </cell>
        </row>
        <row r="5174">
          <cell r="A5174" t="str">
            <v>BTN</v>
          </cell>
          <cell r="B5174">
            <v>2026</v>
          </cell>
          <cell r="C5174" t="str">
            <v>maagrfc</v>
          </cell>
          <cell r="D5174">
            <v>1.7000000476837158</v>
          </cell>
          <cell r="F5174" t="str">
            <v>14 Aug 2024</v>
          </cell>
        </row>
        <row r="5175">
          <cell r="A5175" t="str">
            <v>BTN</v>
          </cell>
          <cell r="B5175">
            <v>2024</v>
          </cell>
          <cell r="C5175" t="str">
            <v>mar_expz</v>
          </cell>
          <cell r="D5175">
            <v>27.102472305297852</v>
          </cell>
          <cell r="F5175" t="str">
            <v>14 Aug 2024</v>
          </cell>
        </row>
        <row r="5176">
          <cell r="A5176" t="str">
            <v>BTN</v>
          </cell>
          <cell r="B5176">
            <v>2013</v>
          </cell>
          <cell r="C5176" t="str">
            <v>maimpz</v>
          </cell>
          <cell r="D5176">
            <v>-4.553555965423584</v>
          </cell>
          <cell r="F5176" t="str">
            <v>14 Aug 2024</v>
          </cell>
        </row>
        <row r="5177">
          <cell r="A5177" t="str">
            <v>BTN</v>
          </cell>
          <cell r="B5177">
            <v>2017</v>
          </cell>
          <cell r="C5177" t="str">
            <v>maconz</v>
          </cell>
          <cell r="D5177">
            <v>-1.076410174369812</v>
          </cell>
          <cell r="F5177" t="str">
            <v>14 Aug 2024</v>
          </cell>
        </row>
        <row r="5178">
          <cell r="A5178" t="str">
            <v>BTN</v>
          </cell>
          <cell r="B5178">
            <v>2019</v>
          </cell>
          <cell r="C5178" t="str">
            <v>mar_con</v>
          </cell>
          <cell r="D5178">
            <v>47.717689514160156</v>
          </cell>
          <cell r="F5178" t="str">
            <v>14 Aug 2024</v>
          </cell>
        </row>
        <row r="5179">
          <cell r="A5179" t="str">
            <v>BTN</v>
          </cell>
          <cell r="B5179">
            <v>2026</v>
          </cell>
          <cell r="C5179" t="str">
            <v>mac_labz</v>
          </cell>
          <cell r="D5179">
            <v>0.84228509664535522</v>
          </cell>
          <cell r="F5179" t="str">
            <v>14 Aug 2024</v>
          </cell>
        </row>
        <row r="5180">
          <cell r="A5180" t="str">
            <v>BTN</v>
          </cell>
          <cell r="B5180">
            <v>2020</v>
          </cell>
          <cell r="C5180" t="str">
            <v>macpiz</v>
          </cell>
          <cell r="D5180">
            <v>3.0391385555267334</v>
          </cell>
          <cell r="F5180" t="str">
            <v>14 Aug 2024</v>
          </cell>
        </row>
        <row r="5181">
          <cell r="A5181" t="str">
            <v>BTN</v>
          </cell>
          <cell r="B5181">
            <v>2008</v>
          </cell>
          <cell r="C5181" t="str">
            <v>maagrfc</v>
          </cell>
          <cell r="D5181">
            <v>0.74818938970565796</v>
          </cell>
          <cell r="F5181" t="str">
            <v>14 Aug 2024</v>
          </cell>
        </row>
        <row r="5182">
          <cell r="A5182" t="str">
            <v>BTN</v>
          </cell>
          <cell r="B5182">
            <v>2012</v>
          </cell>
          <cell r="C5182" t="str">
            <v>mar_indfc</v>
          </cell>
          <cell r="D5182">
            <v>41.06842041015625</v>
          </cell>
          <cell r="F5182" t="str">
            <v>14 Aug 2024</v>
          </cell>
        </row>
        <row r="5183">
          <cell r="A5183" t="str">
            <v>BTN</v>
          </cell>
          <cell r="B5183">
            <v>2011</v>
          </cell>
          <cell r="C5183" t="str">
            <v>magovz</v>
          </cell>
          <cell r="D5183">
            <v>5.4945902824401855</v>
          </cell>
          <cell r="F5183" t="str">
            <v>14 Aug 2024</v>
          </cell>
        </row>
        <row r="5184">
          <cell r="A5184" t="str">
            <v>BTN</v>
          </cell>
          <cell r="B5184">
            <v>2020</v>
          </cell>
          <cell r="C5184" t="str">
            <v>mapanusatls</v>
          </cell>
          <cell r="D5184">
            <v>72.470634460449219</v>
          </cell>
          <cell r="F5184" t="str">
            <v>14 Aug 2024</v>
          </cell>
        </row>
        <row r="5185">
          <cell r="A5185" t="str">
            <v>BTN</v>
          </cell>
          <cell r="B5185">
            <v>2026</v>
          </cell>
          <cell r="C5185" t="str">
            <v>mar_srvfc</v>
          </cell>
          <cell r="D5185">
            <v>52.708900451660156</v>
          </cell>
          <cell r="F5185" t="str">
            <v>14 Aug 2024</v>
          </cell>
        </row>
        <row r="5186">
          <cell r="A5186" t="str">
            <v>BTN</v>
          </cell>
          <cell r="B5186">
            <v>2024</v>
          </cell>
          <cell r="C5186" t="str">
            <v>mar_indfc</v>
          </cell>
          <cell r="D5186">
            <v>33.240169525146484</v>
          </cell>
          <cell r="F5186" t="str">
            <v>14 Aug 2024</v>
          </cell>
        </row>
        <row r="5187">
          <cell r="A5187" t="str">
            <v>BTN</v>
          </cell>
          <cell r="B5187">
            <v>2024</v>
          </cell>
          <cell r="C5187" t="str">
            <v>madeficit_</v>
          </cell>
          <cell r="D5187">
            <v>-4.0505399703979492</v>
          </cell>
          <cell r="F5187" t="str">
            <v>14 Aug 2024</v>
          </cell>
        </row>
        <row r="5188">
          <cell r="A5188" t="str">
            <v>BTN</v>
          </cell>
          <cell r="B5188">
            <v>2019</v>
          </cell>
          <cell r="C5188" t="str">
            <v>mar_taxfc</v>
          </cell>
          <cell r="D5188">
            <v>5.1045708656311035</v>
          </cell>
          <cell r="F5188" t="str">
            <v>14 Aug 2024</v>
          </cell>
        </row>
        <row r="5189">
          <cell r="A5189" t="str">
            <v>BTN</v>
          </cell>
          <cell r="B5189">
            <v>2014</v>
          </cell>
          <cell r="C5189" t="str">
            <v>magdpz</v>
          </cell>
          <cell r="D5189">
            <v>3.705214262008667</v>
          </cell>
          <cell r="F5189" t="str">
            <v>14 Aug 2024</v>
          </cell>
        </row>
        <row r="5190">
          <cell r="A5190" t="str">
            <v>BTN</v>
          </cell>
          <cell r="B5190">
            <v>2008</v>
          </cell>
          <cell r="C5190" t="str">
            <v>mar_taxfc</v>
          </cell>
          <cell r="D5190">
            <v>4.2742466926574707</v>
          </cell>
          <cell r="F5190" t="str">
            <v>14 Aug 2024</v>
          </cell>
        </row>
        <row r="5191">
          <cell r="A5191" t="str">
            <v>BTN</v>
          </cell>
          <cell r="B5191">
            <v>2009</v>
          </cell>
          <cell r="C5191" t="str">
            <v>magovz</v>
          </cell>
          <cell r="D5191">
            <v>11.128389358520508</v>
          </cell>
          <cell r="F5191" t="str">
            <v>14 Aug 2024</v>
          </cell>
        </row>
        <row r="5192">
          <cell r="A5192" t="str">
            <v>BTN</v>
          </cell>
          <cell r="B5192">
            <v>2026</v>
          </cell>
          <cell r="C5192" t="str">
            <v>maindfc</v>
          </cell>
          <cell r="D5192">
            <v>9.6000003814697266</v>
          </cell>
          <cell r="F5192" t="str">
            <v>14 Aug 2024</v>
          </cell>
        </row>
        <row r="5193">
          <cell r="A5193" t="str">
            <v>BTN</v>
          </cell>
          <cell r="B5193">
            <v>2005</v>
          </cell>
          <cell r="C5193" t="str">
            <v>mar_con</v>
          </cell>
          <cell r="D5193">
            <v>44.623157501220703</v>
          </cell>
          <cell r="F5193" t="str">
            <v>14 Aug 2024</v>
          </cell>
        </row>
        <row r="5194">
          <cell r="A5194" t="str">
            <v>BTN</v>
          </cell>
          <cell r="B5194">
            <v>2012</v>
          </cell>
          <cell r="C5194" t="str">
            <v>mac_labz</v>
          </cell>
          <cell r="D5194">
            <v>1.2364262342453003</v>
          </cell>
          <cell r="F5194" t="str">
            <v>14 Aug 2024</v>
          </cell>
        </row>
        <row r="5195">
          <cell r="A5195" t="str">
            <v>BTN</v>
          </cell>
          <cell r="B5195">
            <v>2010</v>
          </cell>
          <cell r="C5195" t="str">
            <v>mafdi_</v>
          </cell>
          <cell r="D5195"/>
          <cell r="F5195" t="str">
            <v>14 Aug 2024</v>
          </cell>
        </row>
        <row r="5196">
          <cell r="A5196" t="str">
            <v>BTN</v>
          </cell>
          <cell r="B5196">
            <v>2014</v>
          </cell>
          <cell r="C5196" t="str">
            <v>madebt_</v>
          </cell>
          <cell r="D5196">
            <v>91.195358276367188</v>
          </cell>
          <cell r="F5196" t="str">
            <v>14 Aug 2024</v>
          </cell>
        </row>
        <row r="5197">
          <cell r="A5197" t="str">
            <v>BTN</v>
          </cell>
          <cell r="B5197">
            <v>2019</v>
          </cell>
          <cell r="C5197" t="str">
            <v>mac_tfpz</v>
          </cell>
          <cell r="D5197">
            <v>0.51935416460037231</v>
          </cell>
          <cell r="F5197" t="str">
            <v>14 Aug 2024</v>
          </cell>
        </row>
        <row r="5198">
          <cell r="A5198" t="str">
            <v>BTN</v>
          </cell>
          <cell r="B5198">
            <v>2021</v>
          </cell>
          <cell r="C5198" t="str">
            <v>mar_impz</v>
          </cell>
          <cell r="D5198">
            <v>44.870719909667969</v>
          </cell>
          <cell r="F5198" t="str">
            <v>14 Aug 2024</v>
          </cell>
        </row>
        <row r="5199">
          <cell r="A5199" t="str">
            <v>BTN</v>
          </cell>
          <cell r="B5199">
            <v>2012</v>
          </cell>
          <cell r="C5199" t="str">
            <v>matfpz</v>
          </cell>
          <cell r="D5199">
            <v>1.4078752994537354</v>
          </cell>
          <cell r="F5199" t="str">
            <v>14 Aug 2024</v>
          </cell>
        </row>
        <row r="5200">
          <cell r="A5200" t="str">
            <v>BTN</v>
          </cell>
          <cell r="B5200">
            <v>2009</v>
          </cell>
          <cell r="C5200" t="str">
            <v>mar_impz</v>
          </cell>
          <cell r="D5200">
            <v>58.715290069580078</v>
          </cell>
          <cell r="F5200" t="str">
            <v>14 Aug 2024</v>
          </cell>
        </row>
        <row r="5201">
          <cell r="A5201" t="str">
            <v>BTN</v>
          </cell>
          <cell r="B5201">
            <v>2006</v>
          </cell>
          <cell r="C5201" t="str">
            <v>macab_</v>
          </cell>
          <cell r="D5201">
            <v>-4.2848939895629883</v>
          </cell>
          <cell r="F5201" t="str">
            <v>14 Aug 2024</v>
          </cell>
        </row>
        <row r="5202">
          <cell r="A5202" t="str">
            <v>BTN</v>
          </cell>
          <cell r="B5202">
            <v>2021</v>
          </cell>
          <cell r="C5202" t="str">
            <v>madebt_</v>
          </cell>
          <cell r="D5202">
            <v>123.27619171142578</v>
          </cell>
          <cell r="F5202" t="str">
            <v>14 Aug 2024</v>
          </cell>
        </row>
        <row r="5203">
          <cell r="A5203" t="str">
            <v>BTN</v>
          </cell>
          <cell r="B5203">
            <v>2025</v>
          </cell>
          <cell r="C5203" t="str">
            <v>macpiz</v>
          </cell>
          <cell r="D5203">
            <v>4.0999965667724609</v>
          </cell>
          <cell r="F5203" t="str">
            <v>14 Aug 2024</v>
          </cell>
        </row>
        <row r="5204">
          <cell r="A5204" t="str">
            <v>BTN</v>
          </cell>
          <cell r="B5204">
            <v>2021</v>
          </cell>
          <cell r="C5204" t="str">
            <v>magovz</v>
          </cell>
          <cell r="D5204">
            <v>5.4349493980407715</v>
          </cell>
          <cell r="F5204" t="str">
            <v>14 Aug 2024</v>
          </cell>
        </row>
        <row r="5205">
          <cell r="A5205" t="str">
            <v>BTN</v>
          </cell>
          <cell r="B5205">
            <v>2009</v>
          </cell>
          <cell r="C5205" t="str">
            <v>mar_expz</v>
          </cell>
          <cell r="D5205">
            <v>46.996982574462891</v>
          </cell>
          <cell r="F5205" t="str">
            <v>14 Aug 2024</v>
          </cell>
        </row>
        <row r="5206">
          <cell r="A5206" t="str">
            <v>BTN</v>
          </cell>
          <cell r="B5206">
            <v>2021</v>
          </cell>
          <cell r="C5206" t="str">
            <v>mar_con</v>
          </cell>
          <cell r="D5206">
            <v>51.045097351074219</v>
          </cell>
          <cell r="F5206" t="str">
            <v>14 Aug 2024</v>
          </cell>
        </row>
        <row r="5207">
          <cell r="A5207" t="str">
            <v>BTN</v>
          </cell>
          <cell r="B5207">
            <v>2020</v>
          </cell>
          <cell r="C5207" t="str">
            <v>mareer</v>
          </cell>
          <cell r="D5207">
            <v>109.52278137207031</v>
          </cell>
          <cell r="F5207" t="str">
            <v>14 Aug 2024</v>
          </cell>
        </row>
        <row r="5208">
          <cell r="A5208" t="str">
            <v>BTN</v>
          </cell>
          <cell r="B5208">
            <v>2019</v>
          </cell>
          <cell r="C5208" t="str">
            <v>matfpz</v>
          </cell>
          <cell r="D5208">
            <v>0.51935416460037231</v>
          </cell>
          <cell r="F5208" t="str">
            <v>14 Aug 2024</v>
          </cell>
        </row>
        <row r="5209">
          <cell r="A5209" t="str">
            <v>BTN</v>
          </cell>
          <cell r="B5209">
            <v>2012</v>
          </cell>
          <cell r="C5209" t="str">
            <v>mapanusatls</v>
          </cell>
          <cell r="D5209">
            <v>50.270038604736328</v>
          </cell>
          <cell r="F5209" t="str">
            <v>14 Aug 2024</v>
          </cell>
        </row>
        <row r="5210">
          <cell r="A5210" t="str">
            <v>BTN</v>
          </cell>
          <cell r="B5210">
            <v>2014</v>
          </cell>
          <cell r="C5210" t="str">
            <v>mareer</v>
          </cell>
          <cell r="D5210">
            <v>91.156379699707031</v>
          </cell>
          <cell r="F5210" t="str">
            <v>14 Aug 2024</v>
          </cell>
        </row>
        <row r="5211">
          <cell r="A5211" t="str">
            <v>BTN</v>
          </cell>
          <cell r="B5211">
            <v>2024</v>
          </cell>
          <cell r="C5211" t="str">
            <v>mac_tfpz</v>
          </cell>
          <cell r="D5211">
            <v>2.0391292572021484</v>
          </cell>
          <cell r="F5211" t="str">
            <v>14 Aug 2024</v>
          </cell>
        </row>
        <row r="5212">
          <cell r="A5212" t="str">
            <v>BTN</v>
          </cell>
          <cell r="B5212">
            <v>2018</v>
          </cell>
          <cell r="C5212" t="str">
            <v>mar_taxfc</v>
          </cell>
          <cell r="D5212">
            <v>5.4089770317077637</v>
          </cell>
          <cell r="F5212" t="str">
            <v>14 Aug 2024</v>
          </cell>
        </row>
        <row r="5213">
          <cell r="A5213" t="str">
            <v>BTN</v>
          </cell>
          <cell r="B5213">
            <v>2022</v>
          </cell>
          <cell r="C5213" t="str">
            <v>magovz</v>
          </cell>
          <cell r="D5213">
            <v>1.8893604278564453</v>
          </cell>
          <cell r="F5213" t="str">
            <v>14 Aug 2024</v>
          </cell>
        </row>
        <row r="5214">
          <cell r="A5214" t="str">
            <v>BTN</v>
          </cell>
          <cell r="B5214">
            <v>2026</v>
          </cell>
          <cell r="C5214" t="str">
            <v>masrvfc</v>
          </cell>
          <cell r="D5214">
            <v>4.7270097732543945</v>
          </cell>
          <cell r="F5214" t="str">
            <v>14 Aug 2024</v>
          </cell>
        </row>
        <row r="5215">
          <cell r="A5215" t="str">
            <v>BTN</v>
          </cell>
          <cell r="B5215">
            <v>2015</v>
          </cell>
          <cell r="C5215" t="str">
            <v>mapanusatls</v>
          </cell>
          <cell r="D5215">
            <v>62.042110443115234</v>
          </cell>
          <cell r="F5215" t="str">
            <v>14 Aug 2024</v>
          </cell>
        </row>
        <row r="5216">
          <cell r="A5216" t="str">
            <v>BTN</v>
          </cell>
          <cell r="B5216">
            <v>2014</v>
          </cell>
          <cell r="C5216" t="str">
            <v>madeficit_</v>
          </cell>
          <cell r="D5216">
            <v>2.4945082664489746</v>
          </cell>
          <cell r="F5216" t="str">
            <v>14 Aug 2024</v>
          </cell>
        </row>
        <row r="5217">
          <cell r="A5217" t="str">
            <v>BTN</v>
          </cell>
          <cell r="B5217">
            <v>2013</v>
          </cell>
          <cell r="C5217" t="str">
            <v>mar_srvfc</v>
          </cell>
          <cell r="D5217">
            <v>42.613021850585938</v>
          </cell>
          <cell r="F5217" t="str">
            <v>14 Aug 2024</v>
          </cell>
        </row>
        <row r="5218">
          <cell r="A5218" t="str">
            <v>BTN</v>
          </cell>
          <cell r="B5218">
            <v>2018</v>
          </cell>
          <cell r="C5218" t="str">
            <v>madebt_</v>
          </cell>
          <cell r="D5218">
            <v>107.29480743408203</v>
          </cell>
          <cell r="F5218" t="str">
            <v>14 Aug 2024</v>
          </cell>
        </row>
        <row r="5219">
          <cell r="A5219" t="str">
            <v>BTN</v>
          </cell>
          <cell r="B5219">
            <v>2014</v>
          </cell>
          <cell r="C5219" t="str">
            <v>mar_srvfc</v>
          </cell>
          <cell r="D5219">
            <v>42.744739532470703</v>
          </cell>
          <cell r="F5219" t="str">
            <v>14 Aug 2024</v>
          </cell>
        </row>
        <row r="5220">
          <cell r="A5220" t="str">
            <v>BTN</v>
          </cell>
          <cell r="B5220">
            <v>2022</v>
          </cell>
          <cell r="C5220" t="str">
            <v>mainvz</v>
          </cell>
          <cell r="D5220">
            <v>25.364963531494141</v>
          </cell>
          <cell r="F5220" t="str">
            <v>14 Aug 2024</v>
          </cell>
        </row>
        <row r="5221">
          <cell r="A5221" t="str">
            <v>BTN</v>
          </cell>
          <cell r="B5221">
            <v>2006</v>
          </cell>
          <cell r="C5221" t="str">
            <v>mar_expz</v>
          </cell>
          <cell r="D5221">
            <v>48.954044342041016</v>
          </cell>
          <cell r="F5221" t="str">
            <v>14 Aug 2024</v>
          </cell>
        </row>
        <row r="5222">
          <cell r="A5222" t="str">
            <v>BTN</v>
          </cell>
          <cell r="B5222">
            <v>2011</v>
          </cell>
          <cell r="C5222" t="str">
            <v>macab_</v>
          </cell>
          <cell r="D5222">
            <v>-28.063156127929688</v>
          </cell>
          <cell r="F5222" t="str">
            <v>14 Aug 2024</v>
          </cell>
        </row>
        <row r="5223">
          <cell r="A5223" t="str">
            <v>BTN</v>
          </cell>
          <cell r="B5223">
            <v>2009</v>
          </cell>
          <cell r="C5223" t="str">
            <v>mar_agrfc</v>
          </cell>
          <cell r="D5223">
            <v>17.975337982177734</v>
          </cell>
          <cell r="F5223" t="str">
            <v>14 Aug 2024</v>
          </cell>
        </row>
        <row r="5224">
          <cell r="A5224" t="str">
            <v>BTN</v>
          </cell>
          <cell r="B5224">
            <v>2010</v>
          </cell>
          <cell r="C5224" t="str">
            <v>mar_indfc</v>
          </cell>
          <cell r="D5224">
            <v>40.913368225097656</v>
          </cell>
          <cell r="F5224" t="str">
            <v>14 Aug 2024</v>
          </cell>
        </row>
        <row r="5225">
          <cell r="A5225" t="str">
            <v>BTN</v>
          </cell>
          <cell r="B5225">
            <v>2007</v>
          </cell>
          <cell r="C5225" t="str">
            <v>macab_</v>
          </cell>
          <cell r="D5225">
            <v>7.8567914962768555</v>
          </cell>
          <cell r="F5225" t="str">
            <v>14 Aug 2024</v>
          </cell>
        </row>
        <row r="5226">
          <cell r="A5226" t="str">
            <v>BTN</v>
          </cell>
          <cell r="B5226">
            <v>2023</v>
          </cell>
          <cell r="C5226" t="str">
            <v>mar_expz</v>
          </cell>
          <cell r="D5226">
            <v>26.39531135559082</v>
          </cell>
          <cell r="F5226" t="str">
            <v>14 Aug 2024</v>
          </cell>
        </row>
        <row r="5227">
          <cell r="A5227" t="str">
            <v>BTN</v>
          </cell>
          <cell r="B5227">
            <v>2020</v>
          </cell>
          <cell r="C5227" t="str">
            <v>mataxfc</v>
          </cell>
          <cell r="D5227">
            <v>-31.161211013793945</v>
          </cell>
          <cell r="F5227" t="str">
            <v>14 Aug 2024</v>
          </cell>
        </row>
        <row r="5228">
          <cell r="A5228" t="str">
            <v>BTN</v>
          </cell>
          <cell r="B5228">
            <v>2007</v>
          </cell>
          <cell r="C5228" t="str">
            <v>mar_expz</v>
          </cell>
          <cell r="D5228">
            <v>57.337791442871094</v>
          </cell>
          <cell r="F5228" t="str">
            <v>14 Aug 2024</v>
          </cell>
        </row>
        <row r="5229">
          <cell r="A5229" t="str">
            <v>BTN</v>
          </cell>
          <cell r="B5229">
            <v>2012</v>
          </cell>
          <cell r="C5229" t="str">
            <v>mataxfc</v>
          </cell>
          <cell r="D5229">
            <v>29.521707534790039</v>
          </cell>
          <cell r="F5229" t="str">
            <v>14 Aug 2024</v>
          </cell>
        </row>
        <row r="5230">
          <cell r="A5230" t="str">
            <v>BTN</v>
          </cell>
          <cell r="B5230">
            <v>2021</v>
          </cell>
          <cell r="C5230" t="str">
            <v>mainvz</v>
          </cell>
          <cell r="D5230">
            <v>-3.4388260841369629</v>
          </cell>
          <cell r="F5230" t="str">
            <v>14 Aug 2024</v>
          </cell>
        </row>
        <row r="5231">
          <cell r="A5231" t="str">
            <v>BTN</v>
          </cell>
          <cell r="B5231">
            <v>2021</v>
          </cell>
          <cell r="C5231" t="str">
            <v>maexpz</v>
          </cell>
          <cell r="D5231">
            <v>-10.448375701904297</v>
          </cell>
          <cell r="F5231" t="str">
            <v>14 Aug 2024</v>
          </cell>
        </row>
        <row r="5232">
          <cell r="A5232" t="str">
            <v>BTN</v>
          </cell>
          <cell r="B5232">
            <v>2005</v>
          </cell>
          <cell r="C5232" t="str">
            <v>mainvz</v>
          </cell>
          <cell r="D5232">
            <v>-5.673624575138092E-2</v>
          </cell>
          <cell r="F5232" t="str">
            <v>14 Aug 2024</v>
          </cell>
        </row>
        <row r="5233">
          <cell r="A5233" t="str">
            <v>BTN</v>
          </cell>
          <cell r="B5233">
            <v>2011</v>
          </cell>
          <cell r="C5233" t="str">
            <v>mar_expz</v>
          </cell>
          <cell r="D5233">
            <v>41.958221435546875</v>
          </cell>
          <cell r="F5233" t="str">
            <v>14 Aug 2024</v>
          </cell>
        </row>
        <row r="5234">
          <cell r="A5234" t="str">
            <v>BTN</v>
          </cell>
          <cell r="B5234">
            <v>2014</v>
          </cell>
          <cell r="C5234" t="str">
            <v>mar_impz</v>
          </cell>
          <cell r="D5234">
            <v>56.421779632568359</v>
          </cell>
          <cell r="F5234" t="str">
            <v>14 Aug 2024</v>
          </cell>
        </row>
        <row r="5235">
          <cell r="A5235" t="str">
            <v>BTN</v>
          </cell>
          <cell r="B5235">
            <v>2011</v>
          </cell>
          <cell r="C5235" t="str">
            <v>maimpz</v>
          </cell>
          <cell r="D5235">
            <v>15.916367530822754</v>
          </cell>
          <cell r="F5235" t="str">
            <v>14 Aug 2024</v>
          </cell>
        </row>
        <row r="5236">
          <cell r="A5236" t="str">
            <v>BTN</v>
          </cell>
          <cell r="B5236">
            <v>2025</v>
          </cell>
          <cell r="C5236" t="str">
            <v>maimpz</v>
          </cell>
          <cell r="D5236">
            <v>-3.9000000953674316</v>
          </cell>
          <cell r="F5236" t="str">
            <v>14 Aug 2024</v>
          </cell>
        </row>
        <row r="5237">
          <cell r="A5237" t="str">
            <v>BTN</v>
          </cell>
          <cell r="B5237">
            <v>2016</v>
          </cell>
          <cell r="C5237" t="str">
            <v>maagrfc</v>
          </cell>
          <cell r="D5237">
            <v>4.8755764961242676</v>
          </cell>
          <cell r="F5237" t="str">
            <v>14 Aug 2024</v>
          </cell>
        </row>
        <row r="5238">
          <cell r="A5238" t="str">
            <v>BTN</v>
          </cell>
          <cell r="B5238">
            <v>2014</v>
          </cell>
          <cell r="C5238" t="str">
            <v>mac_labz</v>
          </cell>
          <cell r="D5238">
            <v>1.1034703254699707</v>
          </cell>
          <cell r="F5238" t="str">
            <v>14 Aug 2024</v>
          </cell>
        </row>
        <row r="5239">
          <cell r="A5239" t="str">
            <v>BTN</v>
          </cell>
          <cell r="B5239">
            <v>2025</v>
          </cell>
          <cell r="C5239" t="str">
            <v>mar_con</v>
          </cell>
          <cell r="D5239">
            <v>45.705669403076172</v>
          </cell>
          <cell r="F5239" t="str">
            <v>14 Aug 2024</v>
          </cell>
        </row>
        <row r="5240">
          <cell r="A5240" t="str">
            <v>BTN</v>
          </cell>
          <cell r="B5240">
            <v>2010</v>
          </cell>
          <cell r="C5240" t="str">
            <v>maagrfc</v>
          </cell>
          <cell r="D5240">
            <v>2.074833869934082</v>
          </cell>
          <cell r="F5240" t="str">
            <v>14 Aug 2024</v>
          </cell>
        </row>
        <row r="5241">
          <cell r="A5241" t="str">
            <v>BTN</v>
          </cell>
          <cell r="B5241">
            <v>2021</v>
          </cell>
          <cell r="C5241" t="str">
            <v>mar_agrfc</v>
          </cell>
          <cell r="D5241">
            <v>14.458268165588379</v>
          </cell>
          <cell r="F5241" t="str">
            <v>14 Aug 2024</v>
          </cell>
        </row>
        <row r="5242">
          <cell r="A5242" t="str">
            <v>BTN</v>
          </cell>
          <cell r="B5242">
            <v>2015</v>
          </cell>
          <cell r="C5242" t="str">
            <v>mac_labz</v>
          </cell>
          <cell r="D5242">
            <v>1.078671932220459</v>
          </cell>
          <cell r="F5242" t="str">
            <v>14 Aug 2024</v>
          </cell>
        </row>
        <row r="5243">
          <cell r="A5243" t="str">
            <v>BTN</v>
          </cell>
          <cell r="B5243">
            <v>2024</v>
          </cell>
          <cell r="C5243" t="str">
            <v>mataxfc</v>
          </cell>
          <cell r="D5243">
            <v>4.8606619834899902</v>
          </cell>
          <cell r="F5243" t="str">
            <v>14 Aug 2024</v>
          </cell>
        </row>
        <row r="5244">
          <cell r="A5244" t="str">
            <v>BTN</v>
          </cell>
          <cell r="B5244">
            <v>2006</v>
          </cell>
          <cell r="C5244" t="str">
            <v>mainvz</v>
          </cell>
          <cell r="D5244">
            <v>-5.0334696769714355</v>
          </cell>
          <cell r="F5244" t="str">
            <v>14 Aug 2024</v>
          </cell>
        </row>
        <row r="5245">
          <cell r="A5245" t="str">
            <v>BTN</v>
          </cell>
          <cell r="B5245">
            <v>2019</v>
          </cell>
          <cell r="C5245" t="str">
            <v>maagrfc</v>
          </cell>
          <cell r="D5245">
            <v>2.2906970977783203</v>
          </cell>
          <cell r="F5245" t="str">
            <v>14 Aug 2024</v>
          </cell>
        </row>
        <row r="5246">
          <cell r="A5246" t="str">
            <v>BTN</v>
          </cell>
          <cell r="B5246">
            <v>2005</v>
          </cell>
          <cell r="C5246" t="str">
            <v>mareer</v>
          </cell>
          <cell r="D5246">
            <v>0</v>
          </cell>
          <cell r="F5246" t="str">
            <v>14 Aug 2024</v>
          </cell>
        </row>
        <row r="5247">
          <cell r="A5247" t="str">
            <v>BTN</v>
          </cell>
          <cell r="B5247">
            <v>2017</v>
          </cell>
          <cell r="C5247" t="str">
            <v>maimpz</v>
          </cell>
          <cell r="D5247">
            <v>-5.3398618698120117</v>
          </cell>
          <cell r="F5247" t="str">
            <v>14 Aug 2024</v>
          </cell>
        </row>
        <row r="5248">
          <cell r="A5248" t="str">
            <v>BTN</v>
          </cell>
          <cell r="B5248">
            <v>2007</v>
          </cell>
          <cell r="C5248" t="str">
            <v>madebt_</v>
          </cell>
          <cell r="D5248">
            <v>67.25238037109375</v>
          </cell>
          <cell r="F5248" t="str">
            <v>14 Aug 2024</v>
          </cell>
        </row>
        <row r="5249">
          <cell r="A5249" t="str">
            <v>BTN</v>
          </cell>
          <cell r="B5249">
            <v>2007</v>
          </cell>
          <cell r="C5249" t="str">
            <v>mapanusatls</v>
          </cell>
          <cell r="D5249">
            <v>44.189998626708984</v>
          </cell>
          <cell r="F5249" t="str">
            <v>14 Aug 2024</v>
          </cell>
        </row>
        <row r="5250">
          <cell r="A5250" t="str">
            <v>BTN</v>
          </cell>
          <cell r="B5250">
            <v>2010</v>
          </cell>
          <cell r="C5250" t="str">
            <v>maconz</v>
          </cell>
          <cell r="D5250">
            <v>2.2056796550750732</v>
          </cell>
          <cell r="F5250" t="str">
            <v>14 Aug 2024</v>
          </cell>
        </row>
        <row r="5251">
          <cell r="A5251" t="str">
            <v>BTN</v>
          </cell>
          <cell r="B5251">
            <v>2020</v>
          </cell>
          <cell r="C5251" t="str">
            <v>mac_labz</v>
          </cell>
          <cell r="D5251">
            <v>1.1623119115829468</v>
          </cell>
          <cell r="F5251" t="str">
            <v>14 Aug 2024</v>
          </cell>
        </row>
        <row r="5252">
          <cell r="A5252" t="str">
            <v>BTN</v>
          </cell>
          <cell r="B5252">
            <v>2021</v>
          </cell>
          <cell r="C5252" t="str">
            <v>mar_taxfc</v>
          </cell>
          <cell r="D5252">
            <v>2.4739270210266113</v>
          </cell>
          <cell r="F5252" t="str">
            <v>14 Aug 2024</v>
          </cell>
        </row>
        <row r="5253">
          <cell r="A5253" t="str">
            <v>BTN</v>
          </cell>
          <cell r="B5253">
            <v>2008</v>
          </cell>
          <cell r="C5253" t="str">
            <v>madeficit_</v>
          </cell>
          <cell r="D5253">
            <v>-2.5663487911224365</v>
          </cell>
          <cell r="F5253" t="str">
            <v>14 Aug 2024</v>
          </cell>
        </row>
        <row r="5254">
          <cell r="A5254" t="str">
            <v>BTN</v>
          </cell>
          <cell r="B5254">
            <v>2005</v>
          </cell>
          <cell r="C5254" t="str">
            <v>maindfc</v>
          </cell>
          <cell r="D5254">
            <v>2.8937807083129883</v>
          </cell>
          <cell r="F5254" t="str">
            <v>14 Aug 2024</v>
          </cell>
        </row>
        <row r="5255">
          <cell r="A5255" t="str">
            <v>BTN</v>
          </cell>
          <cell r="B5255">
            <v>2008</v>
          </cell>
          <cell r="C5255" t="str">
            <v>macpiz</v>
          </cell>
          <cell r="D5255">
            <v>6.2998466491699219</v>
          </cell>
          <cell r="F5255" t="str">
            <v>14 Aug 2024</v>
          </cell>
        </row>
        <row r="5256">
          <cell r="A5256" t="str">
            <v>BTN</v>
          </cell>
          <cell r="B5256">
            <v>2026</v>
          </cell>
          <cell r="C5256" t="str">
            <v>mafdi_</v>
          </cell>
          <cell r="D5256"/>
          <cell r="F5256" t="str">
            <v>14 Aug 2024</v>
          </cell>
        </row>
        <row r="5257">
          <cell r="A5257" t="str">
            <v>BTN</v>
          </cell>
          <cell r="B5257">
            <v>2026</v>
          </cell>
          <cell r="C5257" t="str">
            <v>maexpz</v>
          </cell>
          <cell r="D5257">
            <v>9.7399997711181641</v>
          </cell>
          <cell r="F5257" t="str">
            <v>14 Aug 2024</v>
          </cell>
        </row>
        <row r="5258">
          <cell r="A5258" t="str">
            <v>BTN</v>
          </cell>
          <cell r="B5258">
            <v>2015</v>
          </cell>
          <cell r="C5258" t="str">
            <v>magap_</v>
          </cell>
          <cell r="D5258">
            <v>-2.1570003032684326</v>
          </cell>
          <cell r="F5258" t="str">
            <v>14 Aug 2024</v>
          </cell>
        </row>
        <row r="5259">
          <cell r="A5259" t="str">
            <v>BTN</v>
          </cell>
          <cell r="B5259">
            <v>2010</v>
          </cell>
          <cell r="C5259" t="str">
            <v>mareer</v>
          </cell>
          <cell r="D5259">
            <v>116.86048889160156</v>
          </cell>
          <cell r="F5259" t="str">
            <v>14 Aug 2024</v>
          </cell>
        </row>
        <row r="5260">
          <cell r="A5260" t="str">
            <v>BTN</v>
          </cell>
          <cell r="B5260">
            <v>2008</v>
          </cell>
          <cell r="C5260" t="str">
            <v>madebt_</v>
          </cell>
          <cell r="D5260">
            <v>60.565139770507813</v>
          </cell>
          <cell r="F5260" t="str">
            <v>14 Aug 2024</v>
          </cell>
        </row>
        <row r="5261">
          <cell r="A5261" t="str">
            <v>BTN</v>
          </cell>
          <cell r="B5261">
            <v>2019</v>
          </cell>
          <cell r="C5261" t="str">
            <v>mainvz</v>
          </cell>
          <cell r="D5261">
            <v>-4.3309969902038574</v>
          </cell>
          <cell r="F5261" t="str">
            <v>14 Aug 2024</v>
          </cell>
        </row>
        <row r="5262">
          <cell r="A5262" t="str">
            <v>BTN</v>
          </cell>
          <cell r="B5262">
            <v>2013</v>
          </cell>
          <cell r="C5262" t="str">
            <v>maconz</v>
          </cell>
          <cell r="D5262">
            <v>14.432726860046387</v>
          </cell>
          <cell r="F5262" t="str">
            <v>14 Aug 2024</v>
          </cell>
        </row>
        <row r="5263">
          <cell r="A5263" t="str">
            <v>BTN</v>
          </cell>
          <cell r="B5263">
            <v>2024</v>
          </cell>
          <cell r="C5263" t="str">
            <v>mareer</v>
          </cell>
          <cell r="D5263">
            <v>112.19580841064453</v>
          </cell>
          <cell r="F5263" t="str">
            <v>14 Aug 2024</v>
          </cell>
        </row>
        <row r="5264">
          <cell r="A5264" t="str">
            <v>BTN</v>
          </cell>
          <cell r="B5264">
            <v>2013</v>
          </cell>
          <cell r="C5264" t="str">
            <v>mar_expz</v>
          </cell>
          <cell r="D5264">
            <v>38.478794097900391</v>
          </cell>
          <cell r="F5264" t="str">
            <v>14 Aug 2024</v>
          </cell>
        </row>
        <row r="5265">
          <cell r="A5265" t="str">
            <v>BTN</v>
          </cell>
          <cell r="B5265">
            <v>2010</v>
          </cell>
          <cell r="C5265" t="str">
            <v>maexpz</v>
          </cell>
          <cell r="D5265">
            <v>2.5066895484924316</v>
          </cell>
          <cell r="F5265" t="str">
            <v>14 Aug 2024</v>
          </cell>
        </row>
        <row r="5266">
          <cell r="A5266" t="str">
            <v>BTN</v>
          </cell>
          <cell r="B5266">
            <v>2021</v>
          </cell>
          <cell r="C5266" t="str">
            <v>mar_expz</v>
          </cell>
          <cell r="D5266">
            <v>28.919618606567383</v>
          </cell>
          <cell r="F5266" t="str">
            <v>14 Aug 2024</v>
          </cell>
        </row>
        <row r="5267">
          <cell r="A5267" t="str">
            <v>BTN</v>
          </cell>
          <cell r="B5267">
            <v>2017</v>
          </cell>
          <cell r="C5267" t="str">
            <v>matfpz</v>
          </cell>
          <cell r="D5267">
            <v>0.65364187955856323</v>
          </cell>
          <cell r="F5267" t="str">
            <v>14 Aug 2024</v>
          </cell>
        </row>
        <row r="5268">
          <cell r="A5268" t="str">
            <v>BTN</v>
          </cell>
          <cell r="B5268">
            <v>2022</v>
          </cell>
          <cell r="C5268" t="str">
            <v>mataxfc</v>
          </cell>
          <cell r="D5268">
            <v>1.011643648147583</v>
          </cell>
          <cell r="F5268" t="str">
            <v>14 Aug 2024</v>
          </cell>
        </row>
        <row r="5269">
          <cell r="A5269" t="str">
            <v>BTN</v>
          </cell>
          <cell r="B5269">
            <v>2022</v>
          </cell>
          <cell r="C5269" t="str">
            <v>matfpz</v>
          </cell>
          <cell r="D5269">
            <v>3.3005595207214355</v>
          </cell>
          <cell r="F5269" t="str">
            <v>14 Aug 2024</v>
          </cell>
        </row>
        <row r="5270">
          <cell r="A5270" t="str">
            <v>BTN</v>
          </cell>
          <cell r="B5270">
            <v>2026</v>
          </cell>
          <cell r="C5270" t="str">
            <v>mar_impz</v>
          </cell>
          <cell r="D5270">
            <v>39.214725494384766</v>
          </cell>
          <cell r="F5270" t="str">
            <v>14 Aug 2024</v>
          </cell>
        </row>
        <row r="5271">
          <cell r="A5271" t="str">
            <v>BTN</v>
          </cell>
          <cell r="B5271">
            <v>2008</v>
          </cell>
          <cell r="C5271" t="str">
            <v>mareer</v>
          </cell>
          <cell r="D5271">
            <v>128.60675048828125</v>
          </cell>
          <cell r="F5271" t="str">
            <v>14 Aug 2024</v>
          </cell>
        </row>
        <row r="5272">
          <cell r="A5272" t="str">
            <v>BTN</v>
          </cell>
          <cell r="B5272">
            <v>2013</v>
          </cell>
          <cell r="C5272" t="str">
            <v>madeficit_</v>
          </cell>
          <cell r="D5272">
            <v>-4.6204400062561035</v>
          </cell>
          <cell r="F5272" t="str">
            <v>14 Aug 2024</v>
          </cell>
        </row>
        <row r="5273">
          <cell r="A5273" t="str">
            <v>BTN</v>
          </cell>
          <cell r="B5273">
            <v>2026</v>
          </cell>
          <cell r="C5273" t="str">
            <v>macab_</v>
          </cell>
          <cell r="D5273">
            <v>-9.6391086578369141</v>
          </cell>
          <cell r="F5273" t="str">
            <v>14 Aug 2024</v>
          </cell>
        </row>
        <row r="5274">
          <cell r="A5274" t="str">
            <v>BTN</v>
          </cell>
          <cell r="B5274">
            <v>2008</v>
          </cell>
          <cell r="C5274" t="str">
            <v>mac_labz</v>
          </cell>
          <cell r="D5274">
            <v>1.5642892122268677</v>
          </cell>
          <cell r="F5274" t="str">
            <v>14 Aug 2024</v>
          </cell>
        </row>
        <row r="5275">
          <cell r="A5275" t="str">
            <v>BTN</v>
          </cell>
          <cell r="B5275">
            <v>2005</v>
          </cell>
          <cell r="C5275" t="str">
            <v>mataxfc</v>
          </cell>
          <cell r="D5275">
            <v>13.986679077148438</v>
          </cell>
          <cell r="F5275" t="str">
            <v>14 Aug 2024</v>
          </cell>
        </row>
        <row r="5276">
          <cell r="A5276" t="str">
            <v>BTN</v>
          </cell>
          <cell r="B5276">
            <v>2019</v>
          </cell>
          <cell r="C5276" t="str">
            <v>mapanusatls</v>
          </cell>
          <cell r="D5276">
            <v>70.531684875488281</v>
          </cell>
          <cell r="F5276" t="str">
            <v>14 Aug 2024</v>
          </cell>
        </row>
        <row r="5277">
          <cell r="A5277" t="str">
            <v>BTN</v>
          </cell>
          <cell r="B5277">
            <v>2023</v>
          </cell>
          <cell r="C5277" t="str">
            <v>mapanusatls</v>
          </cell>
          <cell r="D5277">
            <v>81.480461120605469</v>
          </cell>
          <cell r="F5277" t="str">
            <v>14 Aug 2024</v>
          </cell>
        </row>
        <row r="5278">
          <cell r="A5278" t="str">
            <v>BTN</v>
          </cell>
          <cell r="B5278">
            <v>2026</v>
          </cell>
          <cell r="C5278" t="str">
            <v>maconz</v>
          </cell>
          <cell r="D5278">
            <v>2.25</v>
          </cell>
          <cell r="F5278" t="str">
            <v>14 Aug 2024</v>
          </cell>
        </row>
        <row r="5279">
          <cell r="A5279" t="str">
            <v>BTN</v>
          </cell>
          <cell r="B5279">
            <v>2016</v>
          </cell>
          <cell r="C5279" t="str">
            <v>maindfc</v>
          </cell>
          <cell r="D5279">
            <v>7.9498858451843262</v>
          </cell>
          <cell r="F5279" t="str">
            <v>14 Aug 2024</v>
          </cell>
        </row>
        <row r="5280">
          <cell r="A5280" t="str">
            <v>BTN</v>
          </cell>
          <cell r="B5280">
            <v>2024</v>
          </cell>
          <cell r="C5280" t="str">
            <v>maimpz</v>
          </cell>
          <cell r="D5280">
            <v>-4</v>
          </cell>
          <cell r="F5280" t="str">
            <v>14 Aug 2024</v>
          </cell>
        </row>
        <row r="5281">
          <cell r="A5281" t="str">
            <v>BTN</v>
          </cell>
          <cell r="B5281">
            <v>2023</v>
          </cell>
          <cell r="C5281" t="str">
            <v>maimpz</v>
          </cell>
          <cell r="D5281">
            <v>8.9171199798583984</v>
          </cell>
          <cell r="F5281" t="str">
            <v>14 Aug 2024</v>
          </cell>
        </row>
        <row r="5282">
          <cell r="A5282" t="str">
            <v>BTN</v>
          </cell>
          <cell r="B5282">
            <v>2017</v>
          </cell>
          <cell r="C5282" t="str">
            <v>macab_</v>
          </cell>
          <cell r="D5282">
            <v>-21.306621551513672</v>
          </cell>
          <cell r="F5282" t="str">
            <v>14 Aug 2024</v>
          </cell>
        </row>
        <row r="5283">
          <cell r="A5283" t="str">
            <v>BTN</v>
          </cell>
          <cell r="B5283">
            <v>2014</v>
          </cell>
          <cell r="C5283" t="str">
            <v>magap_</v>
          </cell>
          <cell r="D5283">
            <v>-3.0729689598083496</v>
          </cell>
          <cell r="F5283" t="str">
            <v>14 Aug 2024</v>
          </cell>
        </row>
        <row r="5284">
          <cell r="A5284" t="str">
            <v>BTN</v>
          </cell>
          <cell r="B5284">
            <v>2020</v>
          </cell>
          <cell r="C5284" t="str">
            <v>magovz</v>
          </cell>
          <cell r="D5284">
            <v>6.9688353538513184</v>
          </cell>
          <cell r="F5284" t="str">
            <v>14 Aug 2024</v>
          </cell>
        </row>
        <row r="5285">
          <cell r="A5285" t="str">
            <v>BTN</v>
          </cell>
          <cell r="B5285">
            <v>2010</v>
          </cell>
          <cell r="C5285" t="str">
            <v>mar_con</v>
          </cell>
          <cell r="D5285">
            <v>37.335079193115234</v>
          </cell>
          <cell r="F5285" t="str">
            <v>14 Aug 2024</v>
          </cell>
        </row>
        <row r="5286">
          <cell r="A5286" t="str">
            <v>BTN</v>
          </cell>
          <cell r="B5286">
            <v>2024</v>
          </cell>
          <cell r="C5286" t="str">
            <v>maindfc</v>
          </cell>
          <cell r="D5286">
            <v>4.9602599143981934</v>
          </cell>
          <cell r="F5286" t="str">
            <v>14 Aug 2024</v>
          </cell>
        </row>
        <row r="5287">
          <cell r="A5287" t="str">
            <v>BTN</v>
          </cell>
          <cell r="B5287">
            <v>2018</v>
          </cell>
          <cell r="C5287" t="str">
            <v>maindfc</v>
          </cell>
          <cell r="D5287">
            <v>-0.64479392766952515</v>
          </cell>
          <cell r="F5287" t="str">
            <v>14 Aug 2024</v>
          </cell>
        </row>
        <row r="5288">
          <cell r="A5288" t="str">
            <v>BTN</v>
          </cell>
          <cell r="B5288">
            <v>2005</v>
          </cell>
          <cell r="C5288" t="str">
            <v>macpiz</v>
          </cell>
          <cell r="D5288">
            <v>4.8226070404052734</v>
          </cell>
          <cell r="F5288" t="str">
            <v>14 Aug 2024</v>
          </cell>
        </row>
        <row r="5289">
          <cell r="A5289" t="str">
            <v>BTN</v>
          </cell>
          <cell r="B5289">
            <v>2023</v>
          </cell>
          <cell r="C5289" t="str">
            <v>mar_con</v>
          </cell>
          <cell r="D5289">
            <v>48.6405029296875</v>
          </cell>
          <cell r="F5289" t="str">
            <v>14 Aug 2024</v>
          </cell>
        </row>
        <row r="5290">
          <cell r="A5290" t="str">
            <v>BTN</v>
          </cell>
          <cell r="B5290">
            <v>2006</v>
          </cell>
          <cell r="C5290" t="str">
            <v>mac_labz</v>
          </cell>
          <cell r="D5290">
            <v>1.8795373439788818</v>
          </cell>
          <cell r="F5290" t="str">
            <v>14 Aug 2024</v>
          </cell>
        </row>
        <row r="5291">
          <cell r="A5291" t="str">
            <v>BTN</v>
          </cell>
          <cell r="B5291">
            <v>2006</v>
          </cell>
          <cell r="C5291" t="str">
            <v>maimpz</v>
          </cell>
          <cell r="D5291">
            <v>4.9749946594238281</v>
          </cell>
          <cell r="F5291" t="str">
            <v>14 Aug 2024</v>
          </cell>
        </row>
        <row r="5292">
          <cell r="A5292" t="str">
            <v>BTN</v>
          </cell>
          <cell r="B5292">
            <v>2023</v>
          </cell>
          <cell r="C5292" t="str">
            <v>maconz</v>
          </cell>
          <cell r="D5292">
            <v>2.8959400653839111</v>
          </cell>
          <cell r="F5292" t="str">
            <v>14 Aug 2024</v>
          </cell>
        </row>
        <row r="5293">
          <cell r="A5293" t="str">
            <v>BTN</v>
          </cell>
          <cell r="B5293">
            <v>2010</v>
          </cell>
          <cell r="C5293" t="str">
            <v>magovz</v>
          </cell>
          <cell r="D5293">
            <v>13.569179534912109</v>
          </cell>
          <cell r="F5293" t="str">
            <v>14 Aug 2024</v>
          </cell>
        </row>
        <row r="5294">
          <cell r="A5294" t="str">
            <v>BTN</v>
          </cell>
          <cell r="B5294">
            <v>2018</v>
          </cell>
          <cell r="C5294" t="str">
            <v>maconz</v>
          </cell>
          <cell r="D5294">
            <v>5.2790064811706543</v>
          </cell>
          <cell r="F5294" t="str">
            <v>14 Aug 2024</v>
          </cell>
        </row>
        <row r="5295">
          <cell r="A5295" t="str">
            <v>BTN</v>
          </cell>
          <cell r="B5295">
            <v>2018</v>
          </cell>
          <cell r="C5295" t="str">
            <v>magap_</v>
          </cell>
          <cell r="D5295">
            <v>-0.38639658689498901</v>
          </cell>
          <cell r="F5295" t="str">
            <v>14 Aug 2024</v>
          </cell>
        </row>
        <row r="5296">
          <cell r="A5296" t="str">
            <v>BTN</v>
          </cell>
          <cell r="B5296">
            <v>2008</v>
          </cell>
          <cell r="C5296" t="str">
            <v>mar_indfc</v>
          </cell>
          <cell r="D5296">
            <v>41.828384399414063</v>
          </cell>
          <cell r="F5296" t="str">
            <v>14 Aug 2024</v>
          </cell>
        </row>
        <row r="5297">
          <cell r="A5297" t="str">
            <v>BTN</v>
          </cell>
          <cell r="B5297">
            <v>2020</v>
          </cell>
          <cell r="C5297" t="str">
            <v>maindfc</v>
          </cell>
          <cell r="D5297">
            <v>-7.8218517303466797</v>
          </cell>
          <cell r="F5297" t="str">
            <v>14 Aug 2024</v>
          </cell>
        </row>
        <row r="5298">
          <cell r="A5298" t="str">
            <v>BTN</v>
          </cell>
          <cell r="B5298">
            <v>2022</v>
          </cell>
          <cell r="C5298" t="str">
            <v>madeficit_</v>
          </cell>
          <cell r="D5298">
            <v>-6.9514541625976563</v>
          </cell>
          <cell r="F5298" t="str">
            <v>14 Aug 2024</v>
          </cell>
        </row>
        <row r="5299">
          <cell r="A5299" t="str">
            <v>BTN</v>
          </cell>
          <cell r="B5299">
            <v>2011</v>
          </cell>
          <cell r="C5299" t="str">
            <v>maindfc</v>
          </cell>
          <cell r="D5299">
            <v>8.5083417892456055</v>
          </cell>
          <cell r="F5299" t="str">
            <v>14 Aug 2024</v>
          </cell>
        </row>
        <row r="5300">
          <cell r="A5300" t="str">
            <v>BTN</v>
          </cell>
          <cell r="B5300">
            <v>2005</v>
          </cell>
          <cell r="C5300" t="str">
            <v>magovz</v>
          </cell>
          <cell r="D5300">
            <v>4.9330687522888184</v>
          </cell>
          <cell r="F5300" t="str">
            <v>14 Aug 2024</v>
          </cell>
        </row>
        <row r="5301">
          <cell r="A5301" t="str">
            <v>BTN</v>
          </cell>
          <cell r="B5301">
            <v>2010</v>
          </cell>
          <cell r="C5301" t="str">
            <v>mainvz</v>
          </cell>
          <cell r="D5301">
            <v>37.153884887695313</v>
          </cell>
          <cell r="F5301" t="str">
            <v>14 Aug 2024</v>
          </cell>
        </row>
        <row r="5302">
          <cell r="A5302" t="str">
            <v>BTN</v>
          </cell>
          <cell r="B5302">
            <v>2026</v>
          </cell>
          <cell r="C5302" t="str">
            <v>mainvz</v>
          </cell>
          <cell r="D5302">
            <v>3.1913454532623291</v>
          </cell>
          <cell r="F5302" t="str">
            <v>14 Aug 2024</v>
          </cell>
        </row>
        <row r="5303">
          <cell r="A5303" t="str">
            <v>BTN</v>
          </cell>
          <cell r="B5303">
            <v>2022</v>
          </cell>
          <cell r="C5303" t="str">
            <v>mar_indfc</v>
          </cell>
          <cell r="D5303">
            <v>32.888473510742188</v>
          </cell>
          <cell r="F5303" t="str">
            <v>14 Aug 2024</v>
          </cell>
        </row>
        <row r="5304">
          <cell r="A5304" t="str">
            <v>BTN</v>
          </cell>
          <cell r="B5304">
            <v>2009</v>
          </cell>
          <cell r="C5304" t="str">
            <v>maagrfc</v>
          </cell>
          <cell r="D5304">
            <v>1.9367871284484863</v>
          </cell>
          <cell r="F5304" t="str">
            <v>14 Aug 2024</v>
          </cell>
        </row>
        <row r="5305">
          <cell r="A5305" t="str">
            <v>BTN</v>
          </cell>
          <cell r="B5305">
            <v>2025</v>
          </cell>
          <cell r="C5305" t="str">
            <v>mar_taxfc</v>
          </cell>
          <cell r="D5305">
            <v>2.381758451461792</v>
          </cell>
          <cell r="F5305" t="str">
            <v>14 Aug 2024</v>
          </cell>
        </row>
        <row r="5306">
          <cell r="A5306" t="str">
            <v>BTN</v>
          </cell>
          <cell r="B5306">
            <v>2008</v>
          </cell>
          <cell r="C5306" t="str">
            <v>mainvz</v>
          </cell>
          <cell r="D5306">
            <v>3.8986666202545166</v>
          </cell>
          <cell r="F5306" t="str">
            <v>14 Aug 2024</v>
          </cell>
        </row>
        <row r="5307">
          <cell r="A5307" t="str">
            <v>BTN</v>
          </cell>
          <cell r="B5307">
            <v>2017</v>
          </cell>
          <cell r="C5307" t="str">
            <v>magap_</v>
          </cell>
          <cell r="D5307">
            <v>1.0247646570205688</v>
          </cell>
          <cell r="F5307" t="str">
            <v>14 Aug 2024</v>
          </cell>
        </row>
        <row r="5308">
          <cell r="A5308" t="str">
            <v>BTN</v>
          </cell>
          <cell r="B5308">
            <v>2026</v>
          </cell>
          <cell r="C5308" t="str">
            <v>mar_con</v>
          </cell>
          <cell r="D5308">
            <v>44.078495025634766</v>
          </cell>
          <cell r="F5308" t="str">
            <v>14 Aug 2024</v>
          </cell>
        </row>
        <row r="5309">
          <cell r="A5309" t="str">
            <v>BTN</v>
          </cell>
          <cell r="B5309">
            <v>2015</v>
          </cell>
          <cell r="C5309" t="str">
            <v>mainvz</v>
          </cell>
          <cell r="D5309">
            <v>3.3776893615722656</v>
          </cell>
          <cell r="F5309" t="str">
            <v>14 Aug 2024</v>
          </cell>
        </row>
        <row r="5310">
          <cell r="A5310" t="str">
            <v>BTN</v>
          </cell>
          <cell r="B5310">
            <v>2014</v>
          </cell>
          <cell r="C5310" t="str">
            <v>mar_agrfc</v>
          </cell>
          <cell r="D5310">
            <v>14.92905330657959</v>
          </cell>
          <cell r="F5310" t="str">
            <v>14 Aug 2024</v>
          </cell>
        </row>
        <row r="5311">
          <cell r="A5311" t="str">
            <v>BTN</v>
          </cell>
          <cell r="B5311">
            <v>2026</v>
          </cell>
          <cell r="C5311" t="str">
            <v>magdpz</v>
          </cell>
          <cell r="D5311">
            <v>6.02459716796875</v>
          </cell>
          <cell r="F5311" t="str">
            <v>14 Aug 2024</v>
          </cell>
        </row>
        <row r="5312">
          <cell r="A5312" t="str">
            <v>BTN</v>
          </cell>
          <cell r="B5312">
            <v>2020</v>
          </cell>
          <cell r="C5312" t="str">
            <v>mac_tfpz</v>
          </cell>
          <cell r="D5312">
            <v>-7.5605301856994629</v>
          </cell>
          <cell r="F5312" t="str">
            <v>14 Aug 2024</v>
          </cell>
        </row>
        <row r="5313">
          <cell r="A5313" t="str">
            <v>BTN</v>
          </cell>
          <cell r="B5313">
            <v>2018</v>
          </cell>
          <cell r="C5313" t="str">
            <v>magdpz</v>
          </cell>
          <cell r="D5313">
            <v>3.5046846866607666</v>
          </cell>
          <cell r="F5313" t="str">
            <v>14 Aug 2024</v>
          </cell>
        </row>
        <row r="5314">
          <cell r="A5314" t="str">
            <v>BTN</v>
          </cell>
          <cell r="B5314">
            <v>2025</v>
          </cell>
          <cell r="C5314" t="str">
            <v>mapanusatls</v>
          </cell>
          <cell r="D5314">
            <v>80.0625</v>
          </cell>
          <cell r="F5314" t="str">
            <v>14 Aug 2024</v>
          </cell>
        </row>
        <row r="5315">
          <cell r="A5315" t="str">
            <v>BTN</v>
          </cell>
          <cell r="B5315">
            <v>2024</v>
          </cell>
          <cell r="C5315" t="str">
            <v>maexpz</v>
          </cell>
          <cell r="D5315">
            <v>7.6700000762939453</v>
          </cell>
          <cell r="F5315" t="str">
            <v>14 Aug 2024</v>
          </cell>
        </row>
        <row r="5316">
          <cell r="A5316" t="str">
            <v>BTN</v>
          </cell>
          <cell r="B5316">
            <v>2013</v>
          </cell>
          <cell r="C5316" t="str">
            <v>macpiz</v>
          </cell>
          <cell r="D5316">
            <v>8.1090116500854492</v>
          </cell>
          <cell r="F5316" t="str">
            <v>14 Aug 2024</v>
          </cell>
        </row>
        <row r="5317">
          <cell r="A5317" t="str">
            <v>BTN</v>
          </cell>
          <cell r="B5317">
            <v>2019</v>
          </cell>
          <cell r="C5317" t="str">
            <v>mar_agrfc</v>
          </cell>
          <cell r="D5317">
            <v>13.242709159851074</v>
          </cell>
          <cell r="F5317" t="str">
            <v>14 Aug 2024</v>
          </cell>
        </row>
        <row r="5318">
          <cell r="A5318" t="str">
            <v>BTN</v>
          </cell>
          <cell r="B5318">
            <v>2019</v>
          </cell>
          <cell r="C5318" t="str">
            <v>macab_</v>
          </cell>
          <cell r="D5318">
            <v>-19.187501907348633</v>
          </cell>
          <cell r="F5318" t="str">
            <v>14 Aug 2024</v>
          </cell>
        </row>
        <row r="5319">
          <cell r="A5319" t="str">
            <v>BTN</v>
          </cell>
          <cell r="B5319">
            <v>2020</v>
          </cell>
          <cell r="C5319" t="str">
            <v>mafdi_</v>
          </cell>
          <cell r="D5319"/>
          <cell r="F5319" t="str">
            <v>14 Aug 2024</v>
          </cell>
        </row>
        <row r="5320">
          <cell r="A5320" t="str">
            <v>BTN</v>
          </cell>
          <cell r="B5320">
            <v>2011</v>
          </cell>
          <cell r="C5320" t="str">
            <v>mataxfc</v>
          </cell>
          <cell r="D5320">
            <v>34.421363830566406</v>
          </cell>
          <cell r="F5320" t="str">
            <v>14 Aug 2024</v>
          </cell>
        </row>
        <row r="5321">
          <cell r="A5321" t="str">
            <v>BTN</v>
          </cell>
          <cell r="B5321">
            <v>2011</v>
          </cell>
          <cell r="C5321" t="str">
            <v>mac_tfpz</v>
          </cell>
          <cell r="D5321">
            <v>1.7013117074966431</v>
          </cell>
          <cell r="F5321" t="str">
            <v>14 Aug 2024</v>
          </cell>
        </row>
        <row r="5322">
          <cell r="A5322" t="str">
            <v>BTN</v>
          </cell>
          <cell r="B5322">
            <v>2023</v>
          </cell>
          <cell r="C5322" t="str">
            <v>madeficit_</v>
          </cell>
          <cell r="D5322">
            <v>-4.7162714004516602</v>
          </cell>
          <cell r="F5322" t="str">
            <v>14 Aug 2024</v>
          </cell>
        </row>
        <row r="5323">
          <cell r="A5323" t="str">
            <v>BTN</v>
          </cell>
          <cell r="B5323">
            <v>2017</v>
          </cell>
          <cell r="C5323" t="str">
            <v>mareer</v>
          </cell>
          <cell r="D5323">
            <v>103.0704345703125</v>
          </cell>
          <cell r="F5323" t="str">
            <v>14 Aug 2024</v>
          </cell>
        </row>
        <row r="5324">
          <cell r="A5324" t="str">
            <v>BTN</v>
          </cell>
          <cell r="B5324">
            <v>2006</v>
          </cell>
          <cell r="C5324" t="str">
            <v>magdpz</v>
          </cell>
          <cell r="D5324">
            <v>6.2661776542663574</v>
          </cell>
          <cell r="F5324" t="str">
            <v>14 Aug 2024</v>
          </cell>
        </row>
        <row r="5325">
          <cell r="A5325" t="str">
            <v>BTN</v>
          </cell>
          <cell r="B5325">
            <v>2022</v>
          </cell>
          <cell r="C5325" t="str">
            <v>mac_tfpz</v>
          </cell>
          <cell r="D5325">
            <v>3.3005595207214355</v>
          </cell>
          <cell r="F5325" t="str">
            <v>14 Aug 2024</v>
          </cell>
        </row>
        <row r="5326">
          <cell r="A5326" t="str">
            <v>BTN</v>
          </cell>
          <cell r="B5326">
            <v>2016</v>
          </cell>
          <cell r="C5326" t="str">
            <v>mar_indfc</v>
          </cell>
          <cell r="D5326">
            <v>42.079307556152344</v>
          </cell>
          <cell r="F5326" t="str">
            <v>14 Aug 2024</v>
          </cell>
        </row>
        <row r="5327">
          <cell r="A5327" t="str">
            <v>BTN</v>
          </cell>
          <cell r="B5327">
            <v>2023</v>
          </cell>
          <cell r="C5327" t="str">
            <v>mafdi_</v>
          </cell>
          <cell r="D5327"/>
          <cell r="F5327" t="str">
            <v>14 Aug 2024</v>
          </cell>
        </row>
        <row r="5328">
          <cell r="A5328" t="str">
            <v>BTN</v>
          </cell>
          <cell r="B5328">
            <v>2016</v>
          </cell>
          <cell r="C5328" t="str">
            <v>madeficit_</v>
          </cell>
          <cell r="D5328">
            <v>-2.3437485694885254</v>
          </cell>
          <cell r="F5328" t="str">
            <v>14 Aug 2024</v>
          </cell>
        </row>
        <row r="5329">
          <cell r="A5329" t="str">
            <v>BTN</v>
          </cell>
          <cell r="B5329">
            <v>2012</v>
          </cell>
          <cell r="C5329" t="str">
            <v>mafdi_</v>
          </cell>
          <cell r="D5329"/>
          <cell r="F5329" t="str">
            <v>14 Aug 2024</v>
          </cell>
        </row>
        <row r="5330">
          <cell r="A5330" t="str">
            <v>BTN</v>
          </cell>
          <cell r="B5330">
            <v>2020</v>
          </cell>
          <cell r="C5330" t="str">
            <v>maconz</v>
          </cell>
          <cell r="D5330">
            <v>0.58756530284881592</v>
          </cell>
          <cell r="F5330" t="str">
            <v>14 Aug 2024</v>
          </cell>
        </row>
        <row r="5331">
          <cell r="A5331" t="str">
            <v>BTN</v>
          </cell>
          <cell r="B5331">
            <v>2012</v>
          </cell>
          <cell r="C5331" t="str">
            <v>masrvfc</v>
          </cell>
          <cell r="D5331">
            <v>5.6330604553222656</v>
          </cell>
          <cell r="F5331" t="str">
            <v>14 Aug 2024</v>
          </cell>
        </row>
        <row r="5332">
          <cell r="A5332" t="str">
            <v>BTN</v>
          </cell>
          <cell r="B5332">
            <v>2014</v>
          </cell>
          <cell r="C5332" t="str">
            <v>maagrfc</v>
          </cell>
          <cell r="D5332">
            <v>2.0997798442840576</v>
          </cell>
          <cell r="F5332" t="str">
            <v>14 Aug 2024</v>
          </cell>
        </row>
        <row r="5333">
          <cell r="A5333" t="str">
            <v>BTN</v>
          </cell>
          <cell r="B5333">
            <v>2007</v>
          </cell>
          <cell r="C5333" t="str">
            <v>magdpz</v>
          </cell>
          <cell r="D5333">
            <v>11.017037391662598</v>
          </cell>
          <cell r="F5333" t="str">
            <v>14 Aug 2024</v>
          </cell>
        </row>
        <row r="5334">
          <cell r="A5334" t="str">
            <v>BTN</v>
          </cell>
          <cell r="B5334">
            <v>2005</v>
          </cell>
          <cell r="C5334" t="str">
            <v>maexpz</v>
          </cell>
          <cell r="D5334">
            <v>31.44111442565918</v>
          </cell>
          <cell r="F5334" t="str">
            <v>14 Aug 2024</v>
          </cell>
        </row>
        <row r="5335">
          <cell r="A5335" t="str">
            <v>BTN</v>
          </cell>
          <cell r="B5335">
            <v>2010</v>
          </cell>
          <cell r="C5335" t="str">
            <v>maindfc</v>
          </cell>
          <cell r="D5335">
            <v>8.3850460052490234</v>
          </cell>
          <cell r="F5335" t="str">
            <v>14 Aug 2024</v>
          </cell>
        </row>
        <row r="5336">
          <cell r="A5336" t="str">
            <v>BTN</v>
          </cell>
          <cell r="B5336">
            <v>2012</v>
          </cell>
          <cell r="C5336" t="str">
            <v>malabz</v>
          </cell>
          <cell r="D5336">
            <v>1.7663232088088989</v>
          </cell>
          <cell r="F5336" t="str">
            <v>14 Aug 2024</v>
          </cell>
        </row>
        <row r="5337">
          <cell r="A5337" t="str">
            <v>BTN</v>
          </cell>
          <cell r="B5337">
            <v>2019</v>
          </cell>
          <cell r="C5337" t="str">
            <v>madeficit_</v>
          </cell>
          <cell r="D5337">
            <v>-1.4856666326522827</v>
          </cell>
          <cell r="F5337" t="str">
            <v>14 Aug 2024</v>
          </cell>
        </row>
        <row r="5338">
          <cell r="A5338" t="str">
            <v>BTN</v>
          </cell>
          <cell r="B5338">
            <v>2006</v>
          </cell>
          <cell r="C5338" t="str">
            <v>maindfc</v>
          </cell>
          <cell r="D5338">
            <v>5.6247920989990234</v>
          </cell>
          <cell r="F5338" t="str">
            <v>14 Aug 2024</v>
          </cell>
        </row>
        <row r="5339">
          <cell r="A5339" t="str">
            <v>BTN</v>
          </cell>
          <cell r="B5339">
            <v>2005</v>
          </cell>
          <cell r="C5339" t="str">
            <v>maconz</v>
          </cell>
          <cell r="D5339">
            <v>15.593961715698242</v>
          </cell>
          <cell r="F5339" t="str">
            <v>14 Aug 2024</v>
          </cell>
        </row>
        <row r="5340">
          <cell r="A5340" t="str">
            <v>BTN</v>
          </cell>
          <cell r="B5340">
            <v>2025</v>
          </cell>
          <cell r="C5340" t="str">
            <v>mar_srvfc</v>
          </cell>
          <cell r="D5340">
            <v>53.361972808837891</v>
          </cell>
          <cell r="F5340" t="str">
            <v>14 Aug 2024</v>
          </cell>
        </row>
        <row r="5341">
          <cell r="A5341" t="str">
            <v>BTN</v>
          </cell>
          <cell r="B5341">
            <v>2012</v>
          </cell>
          <cell r="C5341" t="str">
            <v>magap_</v>
          </cell>
          <cell r="D5341">
            <v>4.1850838661193848</v>
          </cell>
          <cell r="F5341" t="str">
            <v>14 Aug 2024</v>
          </cell>
        </row>
        <row r="5342">
          <cell r="A5342" t="str">
            <v>BTN</v>
          </cell>
          <cell r="B5342">
            <v>2025</v>
          </cell>
          <cell r="C5342" t="str">
            <v>mar_impz</v>
          </cell>
          <cell r="D5342">
            <v>41.997226715087891</v>
          </cell>
          <cell r="F5342" t="str">
            <v>14 Aug 2024</v>
          </cell>
        </row>
        <row r="5343">
          <cell r="A5343" t="str">
            <v>BTN</v>
          </cell>
          <cell r="B5343">
            <v>2012</v>
          </cell>
          <cell r="C5343" t="str">
            <v>mainvz</v>
          </cell>
          <cell r="D5343">
            <v>7.9093437194824219</v>
          </cell>
          <cell r="F5343" t="str">
            <v>14 Aug 2024</v>
          </cell>
        </row>
        <row r="5344">
          <cell r="A5344" t="str">
            <v>BTN</v>
          </cell>
          <cell r="B5344">
            <v>2016</v>
          </cell>
          <cell r="C5344" t="str">
            <v>magap_</v>
          </cell>
          <cell r="D5344">
            <v>0.32131844758987427</v>
          </cell>
          <cell r="F5344" t="str">
            <v>14 Aug 2024</v>
          </cell>
        </row>
        <row r="5345">
          <cell r="A5345" t="str">
            <v>BTN</v>
          </cell>
          <cell r="B5345">
            <v>2005</v>
          </cell>
          <cell r="C5345" t="str">
            <v>mafdi_</v>
          </cell>
          <cell r="D5345">
            <v>0</v>
          </cell>
          <cell r="F5345" t="str">
            <v>14 Aug 2024</v>
          </cell>
        </row>
        <row r="5346">
          <cell r="A5346" t="str">
            <v>BTN</v>
          </cell>
          <cell r="B5346">
            <v>2011</v>
          </cell>
          <cell r="C5346" t="str">
            <v>madebt_</v>
          </cell>
          <cell r="D5346">
            <v>63.620372772216797</v>
          </cell>
          <cell r="F5346" t="str">
            <v>14 Aug 2024</v>
          </cell>
        </row>
        <row r="5347">
          <cell r="A5347" t="str">
            <v>BTN</v>
          </cell>
          <cell r="B5347">
            <v>2005</v>
          </cell>
          <cell r="C5347" t="str">
            <v>mac_labz</v>
          </cell>
          <cell r="D5347">
            <v>0</v>
          </cell>
          <cell r="F5347" t="str">
            <v>14 Aug 2024</v>
          </cell>
        </row>
        <row r="5348">
          <cell r="A5348" t="str">
            <v>BTN</v>
          </cell>
          <cell r="B5348">
            <v>2023</v>
          </cell>
          <cell r="C5348" t="str">
            <v>magap_</v>
          </cell>
          <cell r="D5348">
            <v>-0.7411046028137207</v>
          </cell>
          <cell r="F5348" t="str">
            <v>14 Aug 2024</v>
          </cell>
        </row>
        <row r="5349">
          <cell r="A5349" t="str">
            <v>BTN</v>
          </cell>
          <cell r="B5349">
            <v>2023</v>
          </cell>
          <cell r="C5349" t="str">
            <v>mac_tfpz</v>
          </cell>
          <cell r="D5349">
            <v>2.4422774314880371</v>
          </cell>
          <cell r="F5349" t="str">
            <v>14 Aug 2024</v>
          </cell>
        </row>
        <row r="5350">
          <cell r="A5350" t="str">
            <v>BTN</v>
          </cell>
          <cell r="B5350">
            <v>2026</v>
          </cell>
          <cell r="C5350" t="str">
            <v>magap_</v>
          </cell>
          <cell r="D5350">
            <v>-0.16579745709896088</v>
          </cell>
          <cell r="F5350" t="str">
            <v>14 Aug 2024</v>
          </cell>
        </row>
        <row r="5351">
          <cell r="A5351" t="str">
            <v>BTN</v>
          </cell>
          <cell r="B5351">
            <v>2005</v>
          </cell>
          <cell r="C5351" t="str">
            <v>magdpz</v>
          </cell>
          <cell r="D5351">
            <v>6.0679469108581543</v>
          </cell>
          <cell r="F5351" t="str">
            <v>14 Aug 2024</v>
          </cell>
        </row>
        <row r="5352">
          <cell r="A5352" t="str">
            <v>BTN</v>
          </cell>
          <cell r="B5352">
            <v>2025</v>
          </cell>
          <cell r="C5352" t="str">
            <v>mar_agrfc</v>
          </cell>
          <cell r="D5352">
            <v>12.342770576477051</v>
          </cell>
          <cell r="F5352" t="str">
            <v>14 Aug 2024</v>
          </cell>
        </row>
        <row r="5353">
          <cell r="A5353" t="str">
            <v>BTN</v>
          </cell>
          <cell r="B5353">
            <v>2018</v>
          </cell>
          <cell r="C5353" t="str">
            <v>mataxfc</v>
          </cell>
          <cell r="D5353">
            <v>-4.5388779640197754</v>
          </cell>
          <cell r="F5353" t="str">
            <v>14 Aug 2024</v>
          </cell>
        </row>
        <row r="5354">
          <cell r="A5354" t="str">
            <v>BTN</v>
          </cell>
          <cell r="B5354">
            <v>2020</v>
          </cell>
          <cell r="C5354" t="str">
            <v>magap_</v>
          </cell>
          <cell r="D5354">
            <v>1.9331169128417969</v>
          </cell>
          <cell r="F5354" t="str">
            <v>14 Aug 2024</v>
          </cell>
        </row>
        <row r="5355">
          <cell r="A5355" t="str">
            <v>BTN</v>
          </cell>
          <cell r="B5355">
            <v>2009</v>
          </cell>
          <cell r="C5355" t="str">
            <v>maindfc</v>
          </cell>
          <cell r="D5355">
            <v>4.6607575416564941</v>
          </cell>
          <cell r="F5355" t="str">
            <v>14 Aug 2024</v>
          </cell>
        </row>
        <row r="5356">
          <cell r="A5356" t="str">
            <v>BTN</v>
          </cell>
          <cell r="B5356">
            <v>2012</v>
          </cell>
          <cell r="C5356" t="str">
            <v>madeficit_</v>
          </cell>
          <cell r="D5356">
            <v>-2.141542911529541</v>
          </cell>
          <cell r="F5356" t="str">
            <v>14 Aug 2024</v>
          </cell>
        </row>
        <row r="5357">
          <cell r="A5357" t="str">
            <v>BTN</v>
          </cell>
          <cell r="B5357">
            <v>2010</v>
          </cell>
          <cell r="C5357" t="str">
            <v>mar_expz</v>
          </cell>
          <cell r="D5357">
            <v>43.844020843505859</v>
          </cell>
          <cell r="F5357" t="str">
            <v>14 Aug 2024</v>
          </cell>
        </row>
        <row r="5358">
          <cell r="A5358" t="str">
            <v>BTN</v>
          </cell>
          <cell r="B5358">
            <v>2021</v>
          </cell>
          <cell r="C5358" t="str">
            <v>mac_tfpz</v>
          </cell>
          <cell r="D5358">
            <v>-4.0833697319030762</v>
          </cell>
          <cell r="F5358" t="str">
            <v>14 Aug 2024</v>
          </cell>
        </row>
        <row r="5359">
          <cell r="A5359" t="str">
            <v>BTN</v>
          </cell>
          <cell r="B5359">
            <v>2010</v>
          </cell>
          <cell r="C5359" t="str">
            <v>masrvfc</v>
          </cell>
          <cell r="D5359">
            <v>12.97754955291748</v>
          </cell>
          <cell r="F5359" t="str">
            <v>14 Aug 2024</v>
          </cell>
        </row>
        <row r="5360">
          <cell r="A5360" t="str">
            <v>BTN</v>
          </cell>
          <cell r="B5360">
            <v>2012</v>
          </cell>
          <cell r="C5360" t="str">
            <v>mar_taxfc</v>
          </cell>
          <cell r="D5360">
            <v>7.3750367164611816</v>
          </cell>
          <cell r="F5360" t="str">
            <v>14 Aug 2024</v>
          </cell>
        </row>
        <row r="5361">
          <cell r="A5361" t="str">
            <v>BTN</v>
          </cell>
          <cell r="B5361">
            <v>2020</v>
          </cell>
          <cell r="C5361" t="str">
            <v>mar_con</v>
          </cell>
          <cell r="D5361">
            <v>49.206081390380859</v>
          </cell>
          <cell r="F5361" t="str">
            <v>14 Aug 2024</v>
          </cell>
        </row>
        <row r="5362">
          <cell r="A5362" t="str">
            <v>BTN</v>
          </cell>
          <cell r="B5362">
            <v>2023</v>
          </cell>
          <cell r="C5362" t="str">
            <v>mareer</v>
          </cell>
          <cell r="D5362">
            <v>147.04615783691406</v>
          </cell>
          <cell r="F5362" t="str">
            <v>14 Aug 2024</v>
          </cell>
        </row>
        <row r="5363">
          <cell r="A5363" t="str">
            <v>BTN</v>
          </cell>
          <cell r="B5363">
            <v>2012</v>
          </cell>
          <cell r="C5363" t="str">
            <v>macpiz</v>
          </cell>
          <cell r="D5363">
            <v>10.115082740783691</v>
          </cell>
          <cell r="F5363" t="str">
            <v>14 Aug 2024</v>
          </cell>
        </row>
        <row r="5364">
          <cell r="A5364" t="str">
            <v>BTN</v>
          </cell>
          <cell r="B5364">
            <v>2016</v>
          </cell>
          <cell r="C5364" t="str">
            <v>mapanusatls</v>
          </cell>
          <cell r="D5364">
            <v>66.3466796875</v>
          </cell>
          <cell r="F5364" t="str">
            <v>14 Aug 2024</v>
          </cell>
        </row>
        <row r="5365">
          <cell r="A5365" t="str">
            <v>BTN</v>
          </cell>
          <cell r="B5365">
            <v>2018</v>
          </cell>
          <cell r="C5365" t="str">
            <v>magovz</v>
          </cell>
          <cell r="D5365">
            <v>4.0091648101806641</v>
          </cell>
          <cell r="F5365" t="str">
            <v>14 Aug 2024</v>
          </cell>
        </row>
        <row r="5366">
          <cell r="A5366" t="str">
            <v>BTN</v>
          </cell>
          <cell r="B5366">
            <v>2018</v>
          </cell>
          <cell r="C5366" t="str">
            <v>mar_impz</v>
          </cell>
          <cell r="D5366">
            <v>47.875415802001953</v>
          </cell>
          <cell r="F5366" t="str">
            <v>14 Aug 2024</v>
          </cell>
        </row>
        <row r="5367">
          <cell r="A5367" t="str">
            <v>BTN</v>
          </cell>
          <cell r="B5367">
            <v>2006</v>
          </cell>
          <cell r="C5367" t="str">
            <v>mar_taxfc</v>
          </cell>
          <cell r="D5367">
            <v>4.9227824211120605</v>
          </cell>
          <cell r="F5367" t="str">
            <v>14 Aug 2024</v>
          </cell>
        </row>
        <row r="5368">
          <cell r="A5368" t="str">
            <v>BTN</v>
          </cell>
          <cell r="B5368">
            <v>2011</v>
          </cell>
          <cell r="C5368" t="str">
            <v>magap_</v>
          </cell>
          <cell r="D5368">
            <v>6.258542537689209</v>
          </cell>
          <cell r="F5368" t="str">
            <v>14 Aug 2024</v>
          </cell>
        </row>
        <row r="5369">
          <cell r="A5369" t="str">
            <v>BTN</v>
          </cell>
          <cell r="B5369">
            <v>2005</v>
          </cell>
          <cell r="C5369" t="str">
            <v>mar_expz</v>
          </cell>
          <cell r="D5369">
            <v>36.056472778320313</v>
          </cell>
          <cell r="F5369" t="str">
            <v>14 Aug 2024</v>
          </cell>
        </row>
        <row r="5370">
          <cell r="A5370" t="str">
            <v>BTN</v>
          </cell>
          <cell r="B5370">
            <v>2015</v>
          </cell>
          <cell r="C5370" t="str">
            <v>mar_taxfc</v>
          </cell>
          <cell r="D5370">
            <v>7.2203545570373535</v>
          </cell>
          <cell r="F5370" t="str">
            <v>14 Aug 2024</v>
          </cell>
        </row>
        <row r="5371">
          <cell r="A5371" t="str">
            <v>BTN</v>
          </cell>
          <cell r="B5371">
            <v>2026</v>
          </cell>
          <cell r="C5371" t="str">
            <v>magovz</v>
          </cell>
          <cell r="D5371">
            <v>1.4271999597549438</v>
          </cell>
          <cell r="F5371" t="str">
            <v>14 Aug 2024</v>
          </cell>
        </row>
        <row r="5372">
          <cell r="A5372" t="str">
            <v>BTN</v>
          </cell>
          <cell r="B5372">
            <v>2007</v>
          </cell>
          <cell r="C5372" t="str">
            <v>mar_srvfc</v>
          </cell>
          <cell r="D5372">
            <v>40.958671569824219</v>
          </cell>
          <cell r="F5372" t="str">
            <v>14 Aug 2024</v>
          </cell>
        </row>
        <row r="5373">
          <cell r="A5373" t="str">
            <v>BTN</v>
          </cell>
          <cell r="B5373">
            <v>2025</v>
          </cell>
          <cell r="C5373" t="str">
            <v>maexpz</v>
          </cell>
          <cell r="D5373">
            <v>9.3356399536132813</v>
          </cell>
          <cell r="F5373" t="str">
            <v>14 Aug 2024</v>
          </cell>
        </row>
        <row r="5374">
          <cell r="A5374" t="str">
            <v>BTN</v>
          </cell>
          <cell r="B5374">
            <v>2008</v>
          </cell>
          <cell r="C5374" t="str">
            <v>mar_srvfc</v>
          </cell>
          <cell r="D5374">
            <v>39.431289672851563</v>
          </cell>
          <cell r="F5374" t="str">
            <v>14 Aug 2024</v>
          </cell>
        </row>
        <row r="5375">
          <cell r="A5375" t="str">
            <v>BTN</v>
          </cell>
          <cell r="B5375">
            <v>2017</v>
          </cell>
          <cell r="C5375" t="str">
            <v>mapanusatls</v>
          </cell>
          <cell r="D5375">
            <v>66.434478759765625</v>
          </cell>
          <cell r="F5375" t="str">
            <v>14 Aug 2024</v>
          </cell>
        </row>
        <row r="5376">
          <cell r="A5376" t="str">
            <v>BTN</v>
          </cell>
          <cell r="B5376">
            <v>2016</v>
          </cell>
          <cell r="C5376" t="str">
            <v>macab_</v>
          </cell>
          <cell r="D5376">
            <v>-27.361440658569336</v>
          </cell>
          <cell r="F5376" t="str">
            <v>14 Aug 2024</v>
          </cell>
        </row>
        <row r="5377">
          <cell r="A5377" t="str">
            <v>BTN</v>
          </cell>
          <cell r="B5377">
            <v>2019</v>
          </cell>
          <cell r="C5377" t="str">
            <v>magdpz</v>
          </cell>
          <cell r="D5377">
            <v>4.6478972434997559</v>
          </cell>
          <cell r="F5377" t="str">
            <v>14 Aug 2024</v>
          </cell>
        </row>
        <row r="5378">
          <cell r="A5378" t="str">
            <v>BTN</v>
          </cell>
          <cell r="B5378">
            <v>2026</v>
          </cell>
          <cell r="C5378" t="str">
            <v>mareer</v>
          </cell>
          <cell r="D5378">
            <v>124.12117767333984</v>
          </cell>
          <cell r="F5378" t="str">
            <v>14 Aug 2024</v>
          </cell>
        </row>
        <row r="5379">
          <cell r="A5379" t="str">
            <v>BTN</v>
          </cell>
          <cell r="B5379">
            <v>2008</v>
          </cell>
          <cell r="C5379" t="str">
            <v>mataxfc</v>
          </cell>
          <cell r="D5379">
            <v>5.5250139236450195</v>
          </cell>
          <cell r="F5379" t="str">
            <v>14 Aug 2024</v>
          </cell>
        </row>
        <row r="5380">
          <cell r="A5380" t="str">
            <v>BTN</v>
          </cell>
          <cell r="B5380">
            <v>2013</v>
          </cell>
          <cell r="C5380" t="str">
            <v>macab_</v>
          </cell>
          <cell r="D5380">
            <v>-23.877124786376953</v>
          </cell>
          <cell r="F5380" t="str">
            <v>14 Aug 2024</v>
          </cell>
        </row>
        <row r="5381">
          <cell r="A5381" t="str">
            <v>BTN</v>
          </cell>
          <cell r="B5381">
            <v>2024</v>
          </cell>
          <cell r="C5381" t="str">
            <v>mar_agrfc</v>
          </cell>
          <cell r="D5381">
            <v>12.845658302307129</v>
          </cell>
          <cell r="F5381" t="str">
            <v>14 Aug 2024</v>
          </cell>
        </row>
        <row r="5382">
          <cell r="A5382" t="str">
            <v>BTN</v>
          </cell>
          <cell r="B5382">
            <v>2006</v>
          </cell>
          <cell r="C5382" t="str">
            <v>mar_srvfc</v>
          </cell>
          <cell r="D5382">
            <v>42.803062438964844</v>
          </cell>
          <cell r="F5382" t="str">
            <v>14 Aug 2024</v>
          </cell>
        </row>
        <row r="5383">
          <cell r="A5383" t="str">
            <v>BTN</v>
          </cell>
          <cell r="B5383">
            <v>2013</v>
          </cell>
          <cell r="C5383" t="str">
            <v>mataxfc</v>
          </cell>
          <cell r="D5383">
            <v>10.816952705383301</v>
          </cell>
          <cell r="F5383" t="str">
            <v>14 Aug 2024</v>
          </cell>
        </row>
        <row r="5384">
          <cell r="A5384" t="str">
            <v>BTN</v>
          </cell>
          <cell r="B5384">
            <v>2012</v>
          </cell>
          <cell r="C5384" t="str">
            <v>mar_expz</v>
          </cell>
          <cell r="D5384">
            <v>39.486949920654297</v>
          </cell>
          <cell r="F5384" t="str">
            <v>14 Aug 2024</v>
          </cell>
        </row>
        <row r="5385">
          <cell r="A5385" t="str">
            <v>BTN</v>
          </cell>
          <cell r="B5385">
            <v>2025</v>
          </cell>
          <cell r="C5385" t="str">
            <v>matfpz</v>
          </cell>
          <cell r="D5385">
            <v>2.3235359191894531</v>
          </cell>
          <cell r="F5385" t="str">
            <v>14 Aug 2024</v>
          </cell>
        </row>
        <row r="5386">
          <cell r="A5386" t="str">
            <v>BTN</v>
          </cell>
          <cell r="B5386">
            <v>2005</v>
          </cell>
          <cell r="C5386" t="str">
            <v>mar_taxfc</v>
          </cell>
          <cell r="D5386">
            <v>5.2351751327514648</v>
          </cell>
          <cell r="F5386" t="str">
            <v>14 Aug 2024</v>
          </cell>
        </row>
        <row r="5387">
          <cell r="A5387" t="str">
            <v>BTN</v>
          </cell>
          <cell r="B5387">
            <v>2008</v>
          </cell>
          <cell r="C5387" t="str">
            <v>masrvfc</v>
          </cell>
          <cell r="D5387">
            <v>5.9756426811218262</v>
          </cell>
          <cell r="F5387" t="str">
            <v>14 Aug 2024</v>
          </cell>
        </row>
        <row r="5388">
          <cell r="A5388" t="str">
            <v>BTN</v>
          </cell>
          <cell r="B5388">
            <v>2009</v>
          </cell>
          <cell r="C5388" t="str">
            <v>matfpz</v>
          </cell>
          <cell r="D5388">
            <v>2.1578679084777832</v>
          </cell>
          <cell r="F5388" t="str">
            <v>14 Aug 2024</v>
          </cell>
        </row>
        <row r="5389">
          <cell r="A5389" t="str">
            <v>BTN</v>
          </cell>
          <cell r="B5389">
            <v>2009</v>
          </cell>
          <cell r="C5389" t="str">
            <v>mataxfc</v>
          </cell>
          <cell r="D5389">
            <v>2.8132326602935791</v>
          </cell>
          <cell r="F5389" t="str">
            <v>14 Aug 2024</v>
          </cell>
        </row>
        <row r="5390">
          <cell r="A5390" t="str">
            <v>BTN</v>
          </cell>
          <cell r="B5390">
            <v>2024</v>
          </cell>
          <cell r="C5390" t="str">
            <v>maconz</v>
          </cell>
          <cell r="D5390">
            <v>2</v>
          </cell>
          <cell r="F5390" t="str">
            <v>14 Aug 2024</v>
          </cell>
        </row>
        <row r="5391">
          <cell r="A5391" t="str">
            <v>BTN</v>
          </cell>
          <cell r="B5391">
            <v>2018</v>
          </cell>
          <cell r="C5391" t="str">
            <v>mac_tfpz</v>
          </cell>
          <cell r="D5391">
            <v>0.57654076814651489</v>
          </cell>
          <cell r="F5391" t="str">
            <v>14 Aug 2024</v>
          </cell>
        </row>
        <row r="5392">
          <cell r="A5392" t="str">
            <v>BTN</v>
          </cell>
          <cell r="B5392">
            <v>2015</v>
          </cell>
          <cell r="C5392" t="str">
            <v>mar_con</v>
          </cell>
          <cell r="D5392">
            <v>52.920112609863281</v>
          </cell>
          <cell r="F5392" t="str">
            <v>14 Aug 2024</v>
          </cell>
        </row>
        <row r="5393">
          <cell r="A5393" t="str">
            <v>BTN</v>
          </cell>
          <cell r="B5393">
            <v>2012</v>
          </cell>
          <cell r="C5393" t="str">
            <v>mac_tfpz</v>
          </cell>
          <cell r="D5393">
            <v>1.4078752994537354</v>
          </cell>
          <cell r="F5393" t="str">
            <v>14 Aug 2024</v>
          </cell>
        </row>
        <row r="5394">
          <cell r="A5394" t="str">
            <v>BTN</v>
          </cell>
          <cell r="B5394">
            <v>2012</v>
          </cell>
          <cell r="C5394" t="str">
            <v>magdpz</v>
          </cell>
          <cell r="D5394">
            <v>6.6378164291381836</v>
          </cell>
          <cell r="F5394" t="str">
            <v>14 Aug 2024</v>
          </cell>
        </row>
        <row r="5395">
          <cell r="A5395" t="str">
            <v>BTN</v>
          </cell>
          <cell r="B5395">
            <v>2025</v>
          </cell>
          <cell r="C5395" t="str">
            <v>magdpz</v>
          </cell>
          <cell r="D5395">
            <v>5.7435588836669922</v>
          </cell>
          <cell r="F5395" t="str">
            <v>14 Aug 2024</v>
          </cell>
        </row>
        <row r="5396">
          <cell r="A5396" t="str">
            <v>BTN</v>
          </cell>
          <cell r="B5396">
            <v>2026</v>
          </cell>
          <cell r="C5396" t="str">
            <v>mar_expz</v>
          </cell>
          <cell r="D5396">
            <v>29.005146026611328</v>
          </cell>
          <cell r="F5396" t="str">
            <v>14 Aug 2024</v>
          </cell>
        </row>
        <row r="5397">
          <cell r="A5397" t="str">
            <v>BTN</v>
          </cell>
          <cell r="B5397">
            <v>2024</v>
          </cell>
          <cell r="C5397" t="str">
            <v>madebt_</v>
          </cell>
          <cell r="D5397">
            <v>109.91453552246094</v>
          </cell>
          <cell r="F5397" t="str">
            <v>14 Aug 2024</v>
          </cell>
        </row>
        <row r="5398">
          <cell r="A5398" t="str">
            <v>BTN</v>
          </cell>
          <cell r="B5398">
            <v>2016</v>
          </cell>
          <cell r="C5398" t="str">
            <v>malabz</v>
          </cell>
          <cell r="D5398">
            <v>1.5163753032684326</v>
          </cell>
          <cell r="F5398" t="str">
            <v>14 Aug 2024</v>
          </cell>
        </row>
        <row r="5399">
          <cell r="A5399" t="str">
            <v>BTN</v>
          </cell>
          <cell r="B5399">
            <v>2025</v>
          </cell>
          <cell r="C5399" t="str">
            <v>macab_</v>
          </cell>
          <cell r="D5399">
            <v>-9.6595869064331055</v>
          </cell>
          <cell r="F5399" t="str">
            <v>14 Aug 2024</v>
          </cell>
        </row>
        <row r="5400">
          <cell r="A5400" t="str">
            <v>BTN</v>
          </cell>
          <cell r="B5400">
            <v>2010</v>
          </cell>
          <cell r="C5400" t="str">
            <v>mapanusatls</v>
          </cell>
          <cell r="D5400">
            <v>46.652667999267578</v>
          </cell>
          <cell r="F5400" t="str">
            <v>14 Aug 2024</v>
          </cell>
        </row>
        <row r="5401">
          <cell r="A5401" t="str">
            <v>BTN</v>
          </cell>
          <cell r="B5401">
            <v>2018</v>
          </cell>
          <cell r="C5401" t="str">
            <v>maimpz</v>
          </cell>
          <cell r="D5401">
            <v>0.28784376382827759</v>
          </cell>
          <cell r="F5401" t="str">
            <v>14 Aug 2024</v>
          </cell>
        </row>
        <row r="5402">
          <cell r="A5402" t="str">
            <v>BTN</v>
          </cell>
          <cell r="B5402">
            <v>2017</v>
          </cell>
          <cell r="C5402" t="str">
            <v>mar_indfc</v>
          </cell>
          <cell r="D5402">
            <v>41.47857666015625</v>
          </cell>
          <cell r="F5402" t="str">
            <v>14 Aug 2024</v>
          </cell>
        </row>
        <row r="5403">
          <cell r="A5403" t="str">
            <v>BTN</v>
          </cell>
          <cell r="B5403">
            <v>2017</v>
          </cell>
          <cell r="C5403" t="str">
            <v>magdpz</v>
          </cell>
          <cell r="D5403">
            <v>5.8551030158996582</v>
          </cell>
          <cell r="F5403" t="str">
            <v>14 Aug 2024</v>
          </cell>
        </row>
        <row r="5404">
          <cell r="A5404" t="str">
            <v>BTN</v>
          </cell>
          <cell r="B5404">
            <v>2016</v>
          </cell>
          <cell r="C5404" t="str">
            <v>masrvfc</v>
          </cell>
          <cell r="D5404">
            <v>9.4264030456542969</v>
          </cell>
          <cell r="F5404" t="str">
            <v>14 Aug 2024</v>
          </cell>
        </row>
        <row r="5405">
          <cell r="A5405" t="str">
            <v>BTN</v>
          </cell>
          <cell r="B5405">
            <v>2020</v>
          </cell>
          <cell r="C5405" t="str">
            <v>mainvz</v>
          </cell>
          <cell r="D5405">
            <v>-14.469231605529785</v>
          </cell>
          <cell r="F5405" t="str">
            <v>14 Aug 2024</v>
          </cell>
        </row>
        <row r="5406">
          <cell r="A5406" t="str">
            <v>BTN</v>
          </cell>
          <cell r="B5406">
            <v>2020</v>
          </cell>
          <cell r="C5406" t="str">
            <v>mar_agrfc</v>
          </cell>
          <cell r="D5406">
            <v>13.759082794189453</v>
          </cell>
          <cell r="F5406" t="str">
            <v>14 Aug 2024</v>
          </cell>
        </row>
        <row r="5407">
          <cell r="A5407" t="str">
            <v>BTN</v>
          </cell>
          <cell r="B5407">
            <v>2008</v>
          </cell>
          <cell r="C5407" t="str">
            <v>mac_tfpz</v>
          </cell>
          <cell r="D5407">
            <v>2.2550456523895264</v>
          </cell>
          <cell r="F5407" t="str">
            <v>14 Aug 2024</v>
          </cell>
        </row>
        <row r="5408">
          <cell r="A5408" t="str">
            <v>BTN</v>
          </cell>
          <cell r="B5408">
            <v>2013</v>
          </cell>
          <cell r="C5408" t="str">
            <v>mac_labz</v>
          </cell>
          <cell r="D5408">
            <v>1.1534914970397949</v>
          </cell>
          <cell r="F5408" t="str">
            <v>14 Aug 2024</v>
          </cell>
        </row>
        <row r="5409">
          <cell r="A5409" t="str">
            <v>BTN</v>
          </cell>
          <cell r="B5409">
            <v>2008</v>
          </cell>
          <cell r="C5409" t="str">
            <v>malabz</v>
          </cell>
          <cell r="D5409">
            <v>2.234699010848999</v>
          </cell>
          <cell r="F5409" t="str">
            <v>14 Aug 2024</v>
          </cell>
        </row>
        <row r="5410">
          <cell r="A5410" t="str">
            <v>BTN</v>
          </cell>
          <cell r="B5410">
            <v>2009</v>
          </cell>
          <cell r="C5410" t="str">
            <v>macab_</v>
          </cell>
          <cell r="D5410">
            <v>-5.8507285118103027</v>
          </cell>
          <cell r="F5410" t="str">
            <v>14 Aug 2024</v>
          </cell>
        </row>
        <row r="5411">
          <cell r="A5411" t="str">
            <v>BTN</v>
          </cell>
          <cell r="B5411">
            <v>2006</v>
          </cell>
          <cell r="C5411" t="str">
            <v>mafdi_</v>
          </cell>
          <cell r="D5411"/>
          <cell r="F5411" t="str">
            <v>14 Aug 2024</v>
          </cell>
        </row>
        <row r="5412">
          <cell r="A5412" t="str">
            <v>BTN</v>
          </cell>
          <cell r="B5412">
            <v>2026</v>
          </cell>
          <cell r="C5412" t="str">
            <v>mac_tfpz</v>
          </cell>
          <cell r="D5412">
            <v>2.5303959846496582</v>
          </cell>
          <cell r="F5412" t="str">
            <v>14 Aug 2024</v>
          </cell>
        </row>
        <row r="5413">
          <cell r="A5413" t="str">
            <v>BTN</v>
          </cell>
          <cell r="B5413">
            <v>2019</v>
          </cell>
          <cell r="C5413" t="str">
            <v>maimpz</v>
          </cell>
          <cell r="D5413">
            <v>-0.93203139305114746</v>
          </cell>
          <cell r="F5413" t="str">
            <v>14 Aug 2024</v>
          </cell>
        </row>
        <row r="5414">
          <cell r="A5414" t="str">
            <v>BTN</v>
          </cell>
          <cell r="B5414">
            <v>2013</v>
          </cell>
          <cell r="C5414" t="str">
            <v>maexpz</v>
          </cell>
          <cell r="D5414">
            <v>0.69569343328475952</v>
          </cell>
          <cell r="F5414" t="str">
            <v>14 Aug 2024</v>
          </cell>
        </row>
        <row r="5415">
          <cell r="A5415" t="str">
            <v>BTN</v>
          </cell>
          <cell r="B5415">
            <v>2014</v>
          </cell>
          <cell r="C5415" t="str">
            <v>mainvz</v>
          </cell>
          <cell r="D5415">
            <v>-9.356745719909668</v>
          </cell>
          <cell r="F5415" t="str">
            <v>14 Aug 2024</v>
          </cell>
        </row>
        <row r="5416">
          <cell r="A5416" t="str">
            <v>BTN</v>
          </cell>
          <cell r="B5416">
            <v>2014</v>
          </cell>
          <cell r="C5416" t="str">
            <v>mac_tfpz</v>
          </cell>
          <cell r="D5416">
            <v>0.96018904447555542</v>
          </cell>
          <cell r="F5416" t="str">
            <v>14 Aug 2024</v>
          </cell>
        </row>
        <row r="5417">
          <cell r="A5417" t="str">
            <v>BTN</v>
          </cell>
          <cell r="B5417">
            <v>2017</v>
          </cell>
          <cell r="C5417" t="str">
            <v>maindfc</v>
          </cell>
          <cell r="D5417">
            <v>5.0383901596069336</v>
          </cell>
          <cell r="F5417" t="str">
            <v>14 Aug 2024</v>
          </cell>
        </row>
        <row r="5418">
          <cell r="A5418" t="str">
            <v>BTN</v>
          </cell>
          <cell r="B5418">
            <v>2011</v>
          </cell>
          <cell r="C5418" t="str">
            <v>madeficit_</v>
          </cell>
          <cell r="D5418">
            <v>-3.0867857933044434</v>
          </cell>
          <cell r="F5418" t="str">
            <v>14 Aug 2024</v>
          </cell>
        </row>
        <row r="5419">
          <cell r="A5419" t="str">
            <v>BTN</v>
          </cell>
          <cell r="B5419">
            <v>2013</v>
          </cell>
          <cell r="C5419" t="str">
            <v>mar_impz</v>
          </cell>
          <cell r="D5419">
            <v>59.04779052734375</v>
          </cell>
          <cell r="F5419" t="str">
            <v>14 Aug 2024</v>
          </cell>
        </row>
        <row r="5420">
          <cell r="A5420" t="str">
            <v>BTN</v>
          </cell>
          <cell r="B5420">
            <v>2015</v>
          </cell>
          <cell r="C5420" t="str">
            <v>madebt_</v>
          </cell>
          <cell r="D5420">
            <v>91.540824890136719</v>
          </cell>
          <cell r="F5420" t="str">
            <v>14 Aug 2024</v>
          </cell>
        </row>
        <row r="5421">
          <cell r="A5421" t="str">
            <v>BTN</v>
          </cell>
          <cell r="B5421">
            <v>2009</v>
          </cell>
          <cell r="C5421" t="str">
            <v>macpiz</v>
          </cell>
          <cell r="D5421">
            <v>7.1269769668579102</v>
          </cell>
          <cell r="F5421" t="str">
            <v>14 Aug 2024</v>
          </cell>
        </row>
        <row r="5422">
          <cell r="A5422" t="str">
            <v>BTN</v>
          </cell>
          <cell r="B5422">
            <v>2018</v>
          </cell>
          <cell r="C5422" t="str">
            <v>mac_labz</v>
          </cell>
          <cell r="D5422">
            <v>1.2953474521636963</v>
          </cell>
          <cell r="F5422" t="str">
            <v>14 Aug 2024</v>
          </cell>
        </row>
        <row r="5423">
          <cell r="A5423" t="str">
            <v>BTN</v>
          </cell>
          <cell r="B5423">
            <v>2023</v>
          </cell>
          <cell r="C5423" t="str">
            <v>macpiz</v>
          </cell>
          <cell r="D5423">
            <v>4.5999994277954102</v>
          </cell>
          <cell r="F5423" t="str">
            <v>14 Aug 2024</v>
          </cell>
        </row>
        <row r="5424">
          <cell r="A5424" t="str">
            <v>BTN</v>
          </cell>
          <cell r="B5424">
            <v>2012</v>
          </cell>
          <cell r="C5424" t="str">
            <v>mareer</v>
          </cell>
          <cell r="D5424">
            <v>113.86077880859375</v>
          </cell>
          <cell r="F5424" t="str">
            <v>14 Aug 2024</v>
          </cell>
        </row>
        <row r="5425">
          <cell r="A5425" t="str">
            <v>BTN</v>
          </cell>
          <cell r="B5425">
            <v>2019</v>
          </cell>
          <cell r="C5425" t="str">
            <v>magap_</v>
          </cell>
          <cell r="D5425">
            <v>-0.20089982450008392</v>
          </cell>
          <cell r="F5425" t="str">
            <v>14 Aug 2024</v>
          </cell>
        </row>
        <row r="5426">
          <cell r="A5426" t="str">
            <v>BTN</v>
          </cell>
          <cell r="B5426">
            <v>2022</v>
          </cell>
          <cell r="C5426" t="str">
            <v>mar_impz</v>
          </cell>
          <cell r="D5426">
            <v>48.467121124267578</v>
          </cell>
          <cell r="F5426" t="str">
            <v>14 Aug 2024</v>
          </cell>
        </row>
        <row r="5427">
          <cell r="A5427" t="str">
            <v>BTN</v>
          </cell>
          <cell r="B5427">
            <v>2018</v>
          </cell>
          <cell r="C5427" t="str">
            <v>maexpz</v>
          </cell>
          <cell r="D5427">
            <v>3.2599680423736572</v>
          </cell>
          <cell r="F5427" t="str">
            <v>14 Aug 2024</v>
          </cell>
        </row>
        <row r="5428">
          <cell r="A5428" t="str">
            <v>BTN</v>
          </cell>
          <cell r="B5428">
            <v>2007</v>
          </cell>
          <cell r="C5428" t="str">
            <v>madeficit_</v>
          </cell>
          <cell r="D5428">
            <v>0.79275387525558472</v>
          </cell>
          <cell r="F5428" t="str">
            <v>14 Aug 2024</v>
          </cell>
        </row>
        <row r="5429">
          <cell r="A5429" t="str">
            <v>BTN</v>
          </cell>
          <cell r="B5429">
            <v>2006</v>
          </cell>
          <cell r="C5429" t="str">
            <v>macpiz</v>
          </cell>
          <cell r="D5429">
            <v>4.9300055503845215</v>
          </cell>
          <cell r="F5429" t="str">
            <v>14 Aug 2024</v>
          </cell>
        </row>
        <row r="5430">
          <cell r="A5430" t="str">
            <v>BTN</v>
          </cell>
          <cell r="B5430">
            <v>2014</v>
          </cell>
          <cell r="C5430" t="str">
            <v>matfpz</v>
          </cell>
          <cell r="D5430">
            <v>0.96018904447555542</v>
          </cell>
          <cell r="F5430" t="str">
            <v>14 Aug 2024</v>
          </cell>
        </row>
        <row r="5431">
          <cell r="A5431" t="str">
            <v>BTN</v>
          </cell>
          <cell r="B5431">
            <v>2025</v>
          </cell>
          <cell r="C5431" t="str">
            <v>maagrfc</v>
          </cell>
          <cell r="D5431">
            <v>1.6038600206375122</v>
          </cell>
          <cell r="F5431" t="str">
            <v>14 Aug 2024</v>
          </cell>
        </row>
        <row r="5432">
          <cell r="A5432" t="str">
            <v>BTN</v>
          </cell>
          <cell r="B5432">
            <v>2020</v>
          </cell>
          <cell r="C5432" t="str">
            <v>masrvfc</v>
          </cell>
          <cell r="D5432">
            <v>3.0082573890686035</v>
          </cell>
          <cell r="F5432" t="str">
            <v>14 Aug 2024</v>
          </cell>
        </row>
        <row r="5433">
          <cell r="A5433" t="str">
            <v>BTN</v>
          </cell>
          <cell r="B5433">
            <v>2009</v>
          </cell>
          <cell r="C5433" t="str">
            <v>mar_srvfc</v>
          </cell>
          <cell r="D5433">
            <v>40.831611633300781</v>
          </cell>
          <cell r="F5433" t="str">
            <v>14 Aug 2024</v>
          </cell>
        </row>
        <row r="5434">
          <cell r="A5434" t="str">
            <v>BTN</v>
          </cell>
          <cell r="B5434">
            <v>2016</v>
          </cell>
          <cell r="C5434" t="str">
            <v>mainvz</v>
          </cell>
          <cell r="D5434">
            <v>10.986773490905762</v>
          </cell>
          <cell r="F5434" t="str">
            <v>14 Aug 2024</v>
          </cell>
        </row>
        <row r="5435">
          <cell r="A5435" t="str">
            <v>BTN</v>
          </cell>
          <cell r="B5435">
            <v>2014</v>
          </cell>
          <cell r="C5435" t="str">
            <v>macpiz</v>
          </cell>
          <cell r="D5435">
            <v>9.5994243621826172</v>
          </cell>
          <cell r="F5435" t="str">
            <v>14 Aug 2024</v>
          </cell>
        </row>
        <row r="5436">
          <cell r="A5436" t="str">
            <v>BTN</v>
          </cell>
          <cell r="B5436">
            <v>2013</v>
          </cell>
          <cell r="C5436" t="str">
            <v>magdpz</v>
          </cell>
          <cell r="D5436">
            <v>3.3339576721191406</v>
          </cell>
          <cell r="F5436" t="str">
            <v>14 Aug 2024</v>
          </cell>
        </row>
        <row r="5437">
          <cell r="A5437" t="str">
            <v>BTN</v>
          </cell>
          <cell r="B5437">
            <v>2025</v>
          </cell>
          <cell r="C5437" t="str">
            <v>maconz</v>
          </cell>
          <cell r="D5437">
            <v>2.1500000953674316</v>
          </cell>
          <cell r="F5437" t="str">
            <v>14 Aug 2024</v>
          </cell>
        </row>
        <row r="5438">
          <cell r="A5438" t="str">
            <v>BTN</v>
          </cell>
          <cell r="B5438">
            <v>2005</v>
          </cell>
          <cell r="C5438" t="str">
            <v>macab_</v>
          </cell>
          <cell r="D5438">
            <v>0</v>
          </cell>
          <cell r="F5438" t="str">
            <v>14 Aug 2024</v>
          </cell>
        </row>
        <row r="5439">
          <cell r="A5439" t="str">
            <v>BTN</v>
          </cell>
          <cell r="B5439">
            <v>2024</v>
          </cell>
          <cell r="C5439" t="str">
            <v>mac_labz</v>
          </cell>
          <cell r="D5439">
            <v>0.88617116212844849</v>
          </cell>
          <cell r="F5439" t="str">
            <v>14 Aug 2024</v>
          </cell>
        </row>
        <row r="5440">
          <cell r="A5440" t="str">
            <v>BTN</v>
          </cell>
          <cell r="B5440">
            <v>2021</v>
          </cell>
          <cell r="C5440" t="str">
            <v>maconz</v>
          </cell>
          <cell r="D5440">
            <v>0.32167991995811462</v>
          </cell>
          <cell r="F5440" t="str">
            <v>14 Aug 2024</v>
          </cell>
        </row>
        <row r="5441">
          <cell r="A5441" t="str">
            <v>BTN</v>
          </cell>
          <cell r="B5441">
            <v>2014</v>
          </cell>
          <cell r="C5441" t="str">
            <v>mar_con</v>
          </cell>
          <cell r="D5441">
            <v>46.792022705078125</v>
          </cell>
          <cell r="F5441" t="str">
            <v>14 Aug 2024</v>
          </cell>
        </row>
        <row r="5442">
          <cell r="A5442" t="str">
            <v>BTN</v>
          </cell>
          <cell r="B5442">
            <v>2018</v>
          </cell>
          <cell r="C5442" t="str">
            <v>macab_</v>
          </cell>
          <cell r="D5442">
            <v>-17.420515060424805</v>
          </cell>
          <cell r="F5442" t="str">
            <v>14 Aug 2024</v>
          </cell>
        </row>
        <row r="5443">
          <cell r="A5443" t="str">
            <v>BTN</v>
          </cell>
          <cell r="B5443">
            <v>2006</v>
          </cell>
          <cell r="C5443" t="str">
            <v>maexpz</v>
          </cell>
          <cell r="D5443">
            <v>44.278091430664063</v>
          </cell>
          <cell r="F5443" t="str">
            <v>14 Aug 2024</v>
          </cell>
        </row>
        <row r="5444">
          <cell r="A5444" t="str">
            <v>BTN</v>
          </cell>
          <cell r="B5444">
            <v>2012</v>
          </cell>
          <cell r="C5444" t="str">
            <v>madebt_</v>
          </cell>
          <cell r="D5444">
            <v>72.808479309082031</v>
          </cell>
          <cell r="F5444" t="str">
            <v>14 Aug 2024</v>
          </cell>
        </row>
        <row r="5445">
          <cell r="A5445" t="str">
            <v>BTN</v>
          </cell>
          <cell r="B5445">
            <v>2018</v>
          </cell>
          <cell r="C5445" t="str">
            <v>masrvfc</v>
          </cell>
          <cell r="D5445">
            <v>8.5577116012573242</v>
          </cell>
          <cell r="F5445" t="str">
            <v>14 Aug 2024</v>
          </cell>
        </row>
        <row r="5446">
          <cell r="A5446" t="str">
            <v>BTN</v>
          </cell>
          <cell r="B5446">
            <v>2007</v>
          </cell>
          <cell r="C5446" t="str">
            <v>mar_taxfc</v>
          </cell>
          <cell r="D5446">
            <v>4.4587702751159668</v>
          </cell>
          <cell r="F5446" t="str">
            <v>14 Aug 2024</v>
          </cell>
        </row>
        <row r="5447">
          <cell r="A5447" t="str">
            <v>BTN</v>
          </cell>
          <cell r="B5447">
            <v>2023</v>
          </cell>
          <cell r="C5447" t="str">
            <v>matfpz</v>
          </cell>
          <cell r="D5447">
            <v>2.4422774314880371</v>
          </cell>
          <cell r="F5447" t="str">
            <v>14 Aug 2024</v>
          </cell>
        </row>
        <row r="5448">
          <cell r="A5448" t="str">
            <v>BTN</v>
          </cell>
          <cell r="B5448">
            <v>2011</v>
          </cell>
          <cell r="C5448" t="str">
            <v>mar_indfc</v>
          </cell>
          <cell r="D5448">
            <v>40.791248321533203</v>
          </cell>
          <cell r="F5448" t="str">
            <v>14 Aug 2024</v>
          </cell>
        </row>
        <row r="5449">
          <cell r="A5449" t="str">
            <v>BTN</v>
          </cell>
          <cell r="B5449">
            <v>2016</v>
          </cell>
          <cell r="C5449" t="str">
            <v>maimpz</v>
          </cell>
          <cell r="D5449">
            <v>2.9067833423614502</v>
          </cell>
          <cell r="F5449" t="str">
            <v>14 Aug 2024</v>
          </cell>
        </row>
        <row r="5450">
          <cell r="A5450" t="str">
            <v>BTN</v>
          </cell>
          <cell r="B5450">
            <v>2017</v>
          </cell>
          <cell r="C5450" t="str">
            <v>maagrfc</v>
          </cell>
          <cell r="D5450">
            <v>3.8418788909912109</v>
          </cell>
          <cell r="F5450" t="str">
            <v>14 Aug 2024</v>
          </cell>
        </row>
        <row r="5451">
          <cell r="A5451" t="str">
            <v>BTN</v>
          </cell>
          <cell r="B5451">
            <v>2009</v>
          </cell>
          <cell r="C5451" t="str">
            <v>mapanusatls</v>
          </cell>
          <cell r="D5451">
            <v>47.779998779296875</v>
          </cell>
          <cell r="F5451" t="str">
            <v>14 Aug 2024</v>
          </cell>
        </row>
        <row r="5452">
          <cell r="A5452" t="str">
            <v>BTN</v>
          </cell>
          <cell r="B5452">
            <v>2023</v>
          </cell>
          <cell r="C5452" t="str">
            <v>maexpz</v>
          </cell>
          <cell r="D5452">
            <v>3.7462399005889893</v>
          </cell>
          <cell r="F5452" t="str">
            <v>14 Aug 2024</v>
          </cell>
        </row>
        <row r="5453">
          <cell r="A5453" t="str">
            <v>BTN</v>
          </cell>
          <cell r="B5453">
            <v>2018</v>
          </cell>
          <cell r="C5453" t="str">
            <v>mareer</v>
          </cell>
          <cell r="D5453">
            <v>112.24560546875</v>
          </cell>
          <cell r="F5453" t="str">
            <v>14 Aug 2024</v>
          </cell>
        </row>
        <row r="5454">
          <cell r="A5454" t="str">
            <v>BTN</v>
          </cell>
          <cell r="B5454">
            <v>2025</v>
          </cell>
          <cell r="C5454" t="str">
            <v>madebt_</v>
          </cell>
          <cell r="D5454">
            <v>99.383354187011719</v>
          </cell>
          <cell r="F5454" t="str">
            <v>14 Aug 2024</v>
          </cell>
        </row>
        <row r="5455">
          <cell r="A5455" t="str">
            <v>BTN</v>
          </cell>
          <cell r="B5455">
            <v>2022</v>
          </cell>
          <cell r="C5455" t="str">
            <v>mar_srvfc</v>
          </cell>
          <cell r="D5455">
            <v>53.31317138671875</v>
          </cell>
          <cell r="F5455" t="str">
            <v>14 Aug 2024</v>
          </cell>
        </row>
        <row r="5456">
          <cell r="A5456" t="str">
            <v>BTN</v>
          </cell>
          <cell r="B5456">
            <v>2020</v>
          </cell>
          <cell r="C5456" t="str">
            <v>mar_taxfc</v>
          </cell>
          <cell r="D5456">
            <v>3.5490493774414063</v>
          </cell>
          <cell r="F5456" t="str">
            <v>14 Aug 2024</v>
          </cell>
        </row>
        <row r="5457">
          <cell r="A5457" t="str">
            <v>BTN</v>
          </cell>
          <cell r="B5457">
            <v>2016</v>
          </cell>
          <cell r="C5457" t="str">
            <v>madebt_</v>
          </cell>
          <cell r="D5457">
            <v>109.10807037353516</v>
          </cell>
          <cell r="F5457" t="str">
            <v>14 Aug 2024</v>
          </cell>
        </row>
        <row r="5458">
          <cell r="A5458" t="str">
            <v>BTN</v>
          </cell>
          <cell r="B5458">
            <v>2019</v>
          </cell>
          <cell r="C5458" t="str">
            <v>masrvfc</v>
          </cell>
          <cell r="D5458">
            <v>12.200627326965332</v>
          </cell>
          <cell r="F5458" t="str">
            <v>14 Aug 2024</v>
          </cell>
        </row>
        <row r="5459">
          <cell r="A5459" t="str">
            <v>BTN</v>
          </cell>
          <cell r="B5459">
            <v>2021</v>
          </cell>
          <cell r="C5459" t="str">
            <v>mac_labz</v>
          </cell>
          <cell r="D5459">
            <v>1.0707762241363525</v>
          </cell>
          <cell r="F5459" t="str">
            <v>14 Aug 2024</v>
          </cell>
        </row>
        <row r="5460">
          <cell r="A5460" t="str">
            <v>BTN</v>
          </cell>
          <cell r="B5460">
            <v>2019</v>
          </cell>
          <cell r="C5460" t="str">
            <v>mareer</v>
          </cell>
          <cell r="D5460">
            <v>105.58573150634766</v>
          </cell>
          <cell r="F5460" t="str">
            <v>14 Aug 2024</v>
          </cell>
        </row>
        <row r="5461">
          <cell r="A5461" t="str">
            <v>BTN</v>
          </cell>
          <cell r="B5461">
            <v>2005</v>
          </cell>
          <cell r="C5461" t="str">
            <v>maagrfc</v>
          </cell>
          <cell r="D5461">
            <v>1.6336570978164673</v>
          </cell>
          <cell r="F5461" t="str">
            <v>14 Aug 2024</v>
          </cell>
        </row>
        <row r="5462">
          <cell r="A5462" t="str">
            <v>BTN</v>
          </cell>
          <cell r="B5462">
            <v>2025</v>
          </cell>
          <cell r="C5462" t="str">
            <v>mac_labz</v>
          </cell>
          <cell r="D5462">
            <v>0.86437642574310303</v>
          </cell>
          <cell r="F5462" t="str">
            <v>14 Aug 2024</v>
          </cell>
        </row>
        <row r="5463">
          <cell r="A5463" t="str">
            <v>BTN</v>
          </cell>
          <cell r="B5463">
            <v>2013</v>
          </cell>
          <cell r="C5463" t="str">
            <v>mar_taxfc</v>
          </cell>
          <cell r="D5463">
            <v>7.9515714645385742</v>
          </cell>
          <cell r="F5463" t="str">
            <v>14 Aug 2024</v>
          </cell>
        </row>
        <row r="5464">
          <cell r="A5464" t="str">
            <v>BTN</v>
          </cell>
          <cell r="B5464">
            <v>2011</v>
          </cell>
          <cell r="C5464" t="str">
            <v>mar_srvfc</v>
          </cell>
          <cell r="D5464">
            <v>43.501964569091797</v>
          </cell>
          <cell r="F5464" t="str">
            <v>14 Aug 2024</v>
          </cell>
        </row>
        <row r="5465">
          <cell r="A5465" t="str">
            <v>BTN</v>
          </cell>
          <cell r="B5465">
            <v>2026</v>
          </cell>
          <cell r="C5465" t="str">
            <v>macpiz</v>
          </cell>
          <cell r="D5465">
            <v>4.0000028610229492</v>
          </cell>
          <cell r="F5465" t="str">
            <v>14 Aug 2024</v>
          </cell>
        </row>
        <row r="5466">
          <cell r="A5466" t="str">
            <v>BTN</v>
          </cell>
          <cell r="B5466">
            <v>2025</v>
          </cell>
          <cell r="C5466" t="str">
            <v>magovz</v>
          </cell>
          <cell r="D5466">
            <v>0.91501998901367188</v>
          </cell>
          <cell r="F5466" t="str">
            <v>14 Aug 2024</v>
          </cell>
        </row>
        <row r="5467">
          <cell r="A5467" t="str">
            <v>BTN</v>
          </cell>
          <cell r="B5467">
            <v>2014</v>
          </cell>
          <cell r="C5467" t="str">
            <v>malabz</v>
          </cell>
          <cell r="D5467">
            <v>1.5763862133026123</v>
          </cell>
          <cell r="F5467" t="str">
            <v>14 Aug 2024</v>
          </cell>
        </row>
        <row r="5468">
          <cell r="A5468" t="str">
            <v>BTN</v>
          </cell>
          <cell r="B5468">
            <v>2009</v>
          </cell>
          <cell r="C5468" t="str">
            <v>mafdi_</v>
          </cell>
          <cell r="D5468"/>
          <cell r="F5468" t="str">
            <v>14 Aug 2024</v>
          </cell>
        </row>
        <row r="5469">
          <cell r="A5469" t="str">
            <v>BTN</v>
          </cell>
          <cell r="B5469">
            <v>2023</v>
          </cell>
          <cell r="C5469" t="str">
            <v>masrvfc</v>
          </cell>
          <cell r="D5469">
            <v>5.0483107566833496</v>
          </cell>
          <cell r="F5469" t="str">
            <v>14 Aug 2024</v>
          </cell>
        </row>
        <row r="5470">
          <cell r="A5470" t="str">
            <v>BTN</v>
          </cell>
          <cell r="B5470">
            <v>2025</v>
          </cell>
          <cell r="C5470" t="str">
            <v>mainvz</v>
          </cell>
          <cell r="D5470">
            <v>0.41260188817977905</v>
          </cell>
          <cell r="F5470" t="str">
            <v>14 Aug 2024</v>
          </cell>
        </row>
        <row r="5471">
          <cell r="A5471" t="str">
            <v>BTN</v>
          </cell>
          <cell r="B5471">
            <v>2005</v>
          </cell>
          <cell r="C5471" t="str">
            <v>madebt_</v>
          </cell>
          <cell r="D5471">
            <v>80.840599060058594</v>
          </cell>
          <cell r="F5471" t="str">
            <v>14 Aug 2024</v>
          </cell>
        </row>
        <row r="5472">
          <cell r="A5472" t="str">
            <v>BTN</v>
          </cell>
          <cell r="B5472">
            <v>2025</v>
          </cell>
          <cell r="C5472" t="str">
            <v>malabz</v>
          </cell>
          <cell r="D5472">
            <v>1.23482346534729</v>
          </cell>
          <cell r="F5472" t="str">
            <v>14 Aug 2024</v>
          </cell>
        </row>
        <row r="5473">
          <cell r="A5473" t="str">
            <v>BTN</v>
          </cell>
          <cell r="B5473">
            <v>2009</v>
          </cell>
          <cell r="C5473" t="str">
            <v>mar_indfc</v>
          </cell>
          <cell r="D5473">
            <v>41.193046569824219</v>
          </cell>
          <cell r="F5473" t="str">
            <v>14 Aug 2024</v>
          </cell>
        </row>
        <row r="5474">
          <cell r="A5474" t="str">
            <v>BTN</v>
          </cell>
          <cell r="B5474">
            <v>2015</v>
          </cell>
          <cell r="C5474" t="str">
            <v>mar_indfc</v>
          </cell>
          <cell r="D5474">
            <v>42.154777526855469</v>
          </cell>
          <cell r="F5474" t="str">
            <v>14 Aug 2024</v>
          </cell>
        </row>
        <row r="5475">
          <cell r="A5475" t="str">
            <v>BTN</v>
          </cell>
          <cell r="B5475">
            <v>2024</v>
          </cell>
          <cell r="C5475" t="str">
            <v>macab_</v>
          </cell>
          <cell r="D5475">
            <v>-15.731094360351563</v>
          </cell>
          <cell r="F5475" t="str">
            <v>14 Aug 2024</v>
          </cell>
        </row>
        <row r="5476">
          <cell r="A5476" t="str">
            <v>BTN</v>
          </cell>
          <cell r="B5476">
            <v>2007</v>
          </cell>
          <cell r="C5476" t="str">
            <v>mar_con</v>
          </cell>
          <cell r="D5476">
            <v>35.804294586181641</v>
          </cell>
          <cell r="F5476" t="str">
            <v>14 Aug 2024</v>
          </cell>
        </row>
        <row r="5477">
          <cell r="A5477" t="str">
            <v>BTN</v>
          </cell>
          <cell r="B5477">
            <v>2020</v>
          </cell>
          <cell r="C5477" t="str">
            <v>mar_indfc</v>
          </cell>
          <cell r="D5477">
            <v>34.211612701416016</v>
          </cell>
          <cell r="F5477" t="str">
            <v>14 Aug 2024</v>
          </cell>
        </row>
        <row r="5478">
          <cell r="A5478" t="str">
            <v>BTN</v>
          </cell>
          <cell r="B5478">
            <v>2026</v>
          </cell>
          <cell r="C5478" t="str">
            <v>mar_agrfc</v>
          </cell>
          <cell r="D5478">
            <v>11.839325904846191</v>
          </cell>
          <cell r="F5478" t="str">
            <v>14 Aug 2024</v>
          </cell>
        </row>
        <row r="5479">
          <cell r="A5479" t="str">
            <v>BTN</v>
          </cell>
          <cell r="B5479">
            <v>2005</v>
          </cell>
          <cell r="C5479" t="str">
            <v>mar_indfc</v>
          </cell>
          <cell r="D5479">
            <v>35.064311981201172</v>
          </cell>
          <cell r="F5479" t="str">
            <v>14 Aug 2024</v>
          </cell>
        </row>
        <row r="5480">
          <cell r="A5480" t="str">
            <v>BTN</v>
          </cell>
          <cell r="B5480">
            <v>2025</v>
          </cell>
          <cell r="C5480" t="str">
            <v>mareer</v>
          </cell>
          <cell r="D5480">
            <v>116.88979339599609</v>
          </cell>
          <cell r="F5480" t="str">
            <v>14 Aug 2024</v>
          </cell>
        </row>
        <row r="5481">
          <cell r="A5481" t="str">
            <v>BTN</v>
          </cell>
          <cell r="B5481">
            <v>2019</v>
          </cell>
          <cell r="C5481" t="str">
            <v>maconz</v>
          </cell>
          <cell r="D5481">
            <v>2.8086006641387939</v>
          </cell>
          <cell r="F5481" t="str">
            <v>14 Aug 2024</v>
          </cell>
        </row>
        <row r="5482">
          <cell r="A5482" t="str">
            <v>BTN</v>
          </cell>
          <cell r="B5482">
            <v>2025</v>
          </cell>
          <cell r="C5482" t="str">
            <v>masrvfc</v>
          </cell>
          <cell r="D5482">
            <v>4.6605134010314941</v>
          </cell>
          <cell r="F5482" t="str">
            <v>14 Aug 2024</v>
          </cell>
        </row>
        <row r="5483">
          <cell r="A5483" t="str">
            <v>BTN</v>
          </cell>
          <cell r="B5483">
            <v>2025</v>
          </cell>
          <cell r="C5483" t="str">
            <v>mataxfc</v>
          </cell>
          <cell r="D5483">
            <v>5.7435588836669922</v>
          </cell>
          <cell r="F5483" t="str">
            <v>14 Aug 2024</v>
          </cell>
        </row>
        <row r="5484">
          <cell r="A5484" t="str">
            <v>BTN</v>
          </cell>
          <cell r="B5484">
            <v>2025</v>
          </cell>
          <cell r="C5484" t="str">
            <v>mar_expz</v>
          </cell>
          <cell r="D5484">
            <v>28.023136138916016</v>
          </cell>
          <cell r="F5484" t="str">
            <v>14 Aug 2024</v>
          </cell>
        </row>
        <row r="5485">
          <cell r="A5485" t="str">
            <v>BTN</v>
          </cell>
          <cell r="B5485">
            <v>2026</v>
          </cell>
          <cell r="C5485" t="str">
            <v>madeficit_</v>
          </cell>
          <cell r="D5485">
            <v>-2.3221697807312012</v>
          </cell>
          <cell r="F5485" t="str">
            <v>14 Aug 2024</v>
          </cell>
        </row>
        <row r="5486">
          <cell r="A5486" t="str">
            <v>BTN</v>
          </cell>
          <cell r="B5486">
            <v>2018</v>
          </cell>
          <cell r="C5486" t="str">
            <v>mar_srvfc</v>
          </cell>
          <cell r="D5486">
            <v>46.778640747070313</v>
          </cell>
          <cell r="F5486" t="str">
            <v>14 Aug 2024</v>
          </cell>
        </row>
        <row r="5487">
          <cell r="A5487" t="str">
            <v>BTN</v>
          </cell>
          <cell r="B5487">
            <v>2010</v>
          </cell>
          <cell r="C5487" t="str">
            <v>mar_taxfc</v>
          </cell>
          <cell r="D5487">
            <v>4.8529243469238281</v>
          </cell>
          <cell r="F5487" t="str">
            <v>14 Aug 2024</v>
          </cell>
        </row>
        <row r="5488">
          <cell r="A5488" t="str">
            <v>BTN</v>
          </cell>
          <cell r="B5488">
            <v>2018</v>
          </cell>
          <cell r="C5488" t="str">
            <v>mar_expz</v>
          </cell>
          <cell r="D5488">
            <v>27.993743896484375</v>
          </cell>
          <cell r="F5488" t="str">
            <v>14 Aug 2024</v>
          </cell>
        </row>
        <row r="5489">
          <cell r="A5489" t="str">
            <v>BTN</v>
          </cell>
          <cell r="B5489">
            <v>2011</v>
          </cell>
          <cell r="C5489" t="str">
            <v>mar_taxfc</v>
          </cell>
          <cell r="D5489">
            <v>5.9939136505126953</v>
          </cell>
          <cell r="F5489" t="str">
            <v>14 Aug 2024</v>
          </cell>
        </row>
        <row r="5490">
          <cell r="A5490" t="str">
            <v>BTN</v>
          </cell>
          <cell r="B5490">
            <v>2005</v>
          </cell>
          <cell r="C5490" t="str">
            <v>mar_impz</v>
          </cell>
          <cell r="D5490">
            <v>63.65838623046875</v>
          </cell>
          <cell r="F5490" t="str">
            <v>14 Aug 2024</v>
          </cell>
        </row>
        <row r="5491">
          <cell r="A5491" t="str">
            <v>BTN</v>
          </cell>
          <cell r="B5491">
            <v>2014</v>
          </cell>
          <cell r="C5491" t="str">
            <v>masrvfc</v>
          </cell>
          <cell r="D5491">
            <v>4.1479325294494629</v>
          </cell>
          <cell r="F5491" t="str">
            <v>14 Aug 2024</v>
          </cell>
        </row>
        <row r="5492">
          <cell r="A5492" t="str">
            <v>BTN</v>
          </cell>
          <cell r="B5492">
            <v>2022</v>
          </cell>
          <cell r="C5492" t="str">
            <v>mareer</v>
          </cell>
          <cell r="D5492">
            <v>122.506591796875</v>
          </cell>
          <cell r="F5492" t="str">
            <v>14 Aug 2024</v>
          </cell>
        </row>
        <row r="5493">
          <cell r="A5493" t="str">
            <v>BTN</v>
          </cell>
          <cell r="B5493">
            <v>2008</v>
          </cell>
          <cell r="C5493" t="str">
            <v>mar_con</v>
          </cell>
          <cell r="D5493">
            <v>41.478389739990234</v>
          </cell>
          <cell r="F5493" t="str">
            <v>14 Aug 2024</v>
          </cell>
        </row>
        <row r="5494">
          <cell r="A5494" t="str">
            <v>BTN</v>
          </cell>
          <cell r="B5494">
            <v>2014</v>
          </cell>
          <cell r="C5494" t="str">
            <v>maconz</v>
          </cell>
          <cell r="D5494">
            <v>30.138540267944336</v>
          </cell>
          <cell r="F5494" t="str">
            <v>14 Aug 2024</v>
          </cell>
        </row>
        <row r="5495">
          <cell r="A5495" t="str">
            <v>BTN</v>
          </cell>
          <cell r="B5495">
            <v>2014</v>
          </cell>
          <cell r="C5495" t="str">
            <v>maindfc</v>
          </cell>
          <cell r="D5495">
            <v>4.1242489814758301</v>
          </cell>
          <cell r="F5495" t="str">
            <v>14 Aug 2024</v>
          </cell>
        </row>
        <row r="5496">
          <cell r="A5496" t="str">
            <v>BTN</v>
          </cell>
          <cell r="B5496">
            <v>2026</v>
          </cell>
          <cell r="C5496" t="str">
            <v>maimpz</v>
          </cell>
          <cell r="D5496">
            <v>-1</v>
          </cell>
          <cell r="F5496" t="str">
            <v>14 Aug 2024</v>
          </cell>
        </row>
        <row r="5497">
          <cell r="A5497" t="str">
            <v>BTN</v>
          </cell>
          <cell r="B5497">
            <v>2015</v>
          </cell>
          <cell r="C5497" t="str">
            <v>maimpz</v>
          </cell>
          <cell r="D5497">
            <v>8.6131010055541992</v>
          </cell>
          <cell r="F5497" t="str">
            <v>14 Aug 2024</v>
          </cell>
        </row>
        <row r="5498">
          <cell r="A5498" t="str">
            <v>BTN</v>
          </cell>
          <cell r="B5498">
            <v>2011</v>
          </cell>
          <cell r="C5498" t="str">
            <v>mar_agrfc</v>
          </cell>
          <cell r="D5498">
            <v>15.706788063049316</v>
          </cell>
          <cell r="F5498" t="str">
            <v>14 Aug 2024</v>
          </cell>
        </row>
        <row r="5499">
          <cell r="A5499" t="str">
            <v>BTN</v>
          </cell>
          <cell r="B5499">
            <v>2019</v>
          </cell>
          <cell r="C5499" t="str">
            <v>magovz</v>
          </cell>
          <cell r="D5499">
            <v>6.7423195838928223</v>
          </cell>
          <cell r="F5499" t="str">
            <v>14 Aug 2024</v>
          </cell>
        </row>
        <row r="5500">
          <cell r="A5500" t="str">
            <v>BTN</v>
          </cell>
          <cell r="B5500">
            <v>2005</v>
          </cell>
          <cell r="C5500" t="str">
            <v>matfpz</v>
          </cell>
          <cell r="D5500">
            <v>1.9756748676300049</v>
          </cell>
          <cell r="F5500" t="str">
            <v>14 Aug 2024</v>
          </cell>
        </row>
        <row r="5501">
          <cell r="A5501" t="str">
            <v>BTN</v>
          </cell>
          <cell r="B5501">
            <v>2018</v>
          </cell>
          <cell r="C5501" t="str">
            <v>mar_agrfc</v>
          </cell>
          <cell r="D5501">
            <v>13.587113380432129</v>
          </cell>
          <cell r="F5501" t="str">
            <v>14 Aug 2024</v>
          </cell>
        </row>
        <row r="5502">
          <cell r="A5502" t="str">
            <v>BTN</v>
          </cell>
          <cell r="B5502">
            <v>2018</v>
          </cell>
          <cell r="C5502" t="str">
            <v>mar_indfc</v>
          </cell>
          <cell r="D5502">
            <v>39.634246826171875</v>
          </cell>
          <cell r="F5502" t="str">
            <v>14 Aug 2024</v>
          </cell>
        </row>
        <row r="5503">
          <cell r="A5503" t="str">
            <v>BTN</v>
          </cell>
          <cell r="B5503">
            <v>2026</v>
          </cell>
          <cell r="C5503" t="str">
            <v>malabz</v>
          </cell>
          <cell r="D5503">
            <v>1.2032643556594849</v>
          </cell>
          <cell r="F5503" t="str">
            <v>14 Aug 2024</v>
          </cell>
        </row>
        <row r="5504">
          <cell r="A5504" t="str">
            <v>BTN</v>
          </cell>
          <cell r="B5504">
            <v>2011</v>
          </cell>
          <cell r="C5504" t="str">
            <v>mainvz</v>
          </cell>
          <cell r="D5504">
            <v>25.257488250732422</v>
          </cell>
          <cell r="F5504" t="str">
            <v>14 Aug 2024</v>
          </cell>
        </row>
        <row r="5505">
          <cell r="A5505" t="str">
            <v>BTN</v>
          </cell>
          <cell r="B5505">
            <v>2006</v>
          </cell>
          <cell r="C5505" t="str">
            <v>maagrfc</v>
          </cell>
          <cell r="D5505">
            <v>1.9363247156143188</v>
          </cell>
          <cell r="F5505" t="str">
            <v>14 Aug 2024</v>
          </cell>
        </row>
        <row r="5506">
          <cell r="A5506" t="str">
            <v>BTN</v>
          </cell>
          <cell r="B5506">
            <v>2018</v>
          </cell>
          <cell r="C5506" t="str">
            <v>malabz</v>
          </cell>
          <cell r="D5506">
            <v>1.8504962921142578</v>
          </cell>
          <cell r="F5506" t="str">
            <v>14 Aug 2024</v>
          </cell>
        </row>
        <row r="5507">
          <cell r="A5507" t="str">
            <v>BTN</v>
          </cell>
          <cell r="B5507">
            <v>2011</v>
          </cell>
          <cell r="C5507" t="str">
            <v>masrvfc</v>
          </cell>
          <cell r="D5507">
            <v>11.997819900512695</v>
          </cell>
          <cell r="F5507" t="str">
            <v>14 Aug 2024</v>
          </cell>
        </row>
        <row r="5508">
          <cell r="A5508" t="str">
            <v>BTN</v>
          </cell>
          <cell r="B5508">
            <v>2016</v>
          </cell>
          <cell r="C5508" t="str">
            <v>mar_impz</v>
          </cell>
          <cell r="D5508">
            <v>55.254661560058594</v>
          </cell>
          <cell r="F5508" t="str">
            <v>14 Aug 2024</v>
          </cell>
        </row>
        <row r="5509">
          <cell r="A5509" t="str">
            <v>BTN</v>
          </cell>
          <cell r="B5509">
            <v>2014</v>
          </cell>
          <cell r="C5509" t="str">
            <v>maexpz</v>
          </cell>
          <cell r="D5509">
            <v>-0.79491257667541504</v>
          </cell>
          <cell r="F5509" t="str">
            <v>14 Aug 2024</v>
          </cell>
        </row>
        <row r="5510">
          <cell r="A5510" t="str">
            <v>BTN</v>
          </cell>
          <cell r="B5510">
            <v>2015</v>
          </cell>
          <cell r="C5510" t="str">
            <v>maexpz</v>
          </cell>
          <cell r="D5510">
            <v>-4.2636117935180664</v>
          </cell>
          <cell r="F5510" t="str">
            <v>14 Aug 2024</v>
          </cell>
        </row>
        <row r="5511">
          <cell r="A5511" t="str">
            <v>BTN</v>
          </cell>
          <cell r="B5511">
            <v>2026</v>
          </cell>
          <cell r="C5511" t="str">
            <v>mar_indfc</v>
          </cell>
          <cell r="D5511">
            <v>35.451774597167969</v>
          </cell>
          <cell r="F5511" t="str">
            <v>14 Aug 2024</v>
          </cell>
        </row>
        <row r="5512">
          <cell r="A5512" t="str">
            <v>BTN</v>
          </cell>
          <cell r="B5512">
            <v>2016</v>
          </cell>
          <cell r="C5512" t="str">
            <v>mataxfc</v>
          </cell>
          <cell r="D5512">
            <v>-1.202118992805481</v>
          </cell>
          <cell r="F5512" t="str">
            <v>14 Aug 2024</v>
          </cell>
        </row>
        <row r="5513">
          <cell r="A5513" t="str">
            <v>BTN</v>
          </cell>
          <cell r="B5513">
            <v>2020</v>
          </cell>
          <cell r="C5513" t="str">
            <v>maimpz</v>
          </cell>
          <cell r="D5513">
            <v>-6.161961555480957</v>
          </cell>
          <cell r="F5513" t="str">
            <v>14 Aug 2024</v>
          </cell>
        </row>
        <row r="5514">
          <cell r="A5514" t="str">
            <v>BTN</v>
          </cell>
          <cell r="B5514">
            <v>2009</v>
          </cell>
          <cell r="C5514" t="str">
            <v>madebt_</v>
          </cell>
          <cell r="D5514">
            <v>61.036792755126953</v>
          </cell>
          <cell r="F5514" t="str">
            <v>14 Aug 2024</v>
          </cell>
        </row>
        <row r="5515">
          <cell r="A5515" t="str">
            <v>BTN</v>
          </cell>
          <cell r="B5515">
            <v>2008</v>
          </cell>
          <cell r="C5515" t="str">
            <v>mar_expz</v>
          </cell>
          <cell r="D5515">
            <v>53.237380981445313</v>
          </cell>
          <cell r="F5515" t="str">
            <v>14 Aug 2024</v>
          </cell>
        </row>
        <row r="5516">
          <cell r="A5516" t="str">
            <v>BTN</v>
          </cell>
          <cell r="B5516">
            <v>2007</v>
          </cell>
          <cell r="C5516" t="str">
            <v>matfpz</v>
          </cell>
          <cell r="D5516">
            <v>2.239349365234375</v>
          </cell>
          <cell r="F5516" t="str">
            <v>14 Aug 2024</v>
          </cell>
        </row>
        <row r="5517">
          <cell r="A5517" t="str">
            <v>BTN</v>
          </cell>
          <cell r="B5517">
            <v>2022</v>
          </cell>
          <cell r="C5517" t="str">
            <v>magap_</v>
          </cell>
          <cell r="D5517">
            <v>-2.1569216623902321E-2</v>
          </cell>
          <cell r="F5517" t="str">
            <v>14 Aug 2024</v>
          </cell>
        </row>
        <row r="5518">
          <cell r="A5518" t="str">
            <v>BTN</v>
          </cell>
          <cell r="B5518">
            <v>2025</v>
          </cell>
          <cell r="C5518" t="str">
            <v>mar_indfc</v>
          </cell>
          <cell r="D5518">
            <v>34.295253753662109</v>
          </cell>
          <cell r="F5518" t="str">
            <v>14 Aug 2024</v>
          </cell>
        </row>
        <row r="5519">
          <cell r="A5519" t="str">
            <v>BTN</v>
          </cell>
          <cell r="B5519">
            <v>2010</v>
          </cell>
          <cell r="C5519" t="str">
            <v>mar_srvfc</v>
          </cell>
          <cell r="D5519">
            <v>42.272762298583984</v>
          </cell>
          <cell r="F5519" t="str">
            <v>14 Aug 2024</v>
          </cell>
        </row>
        <row r="5520">
          <cell r="A5520" t="str">
            <v>BTN</v>
          </cell>
          <cell r="B5520">
            <v>2010</v>
          </cell>
          <cell r="C5520" t="str">
            <v>magap_</v>
          </cell>
          <cell r="D5520">
            <v>4.3410263061523438</v>
          </cell>
          <cell r="F5520" t="str">
            <v>14 Aug 2024</v>
          </cell>
        </row>
        <row r="5521">
          <cell r="A5521" t="str">
            <v>BTN</v>
          </cell>
          <cell r="B5521">
            <v>2023</v>
          </cell>
          <cell r="C5521" t="str">
            <v>magovz</v>
          </cell>
          <cell r="D5521">
            <v>-1.2471799850463867</v>
          </cell>
          <cell r="F5521" t="str">
            <v>14 Aug 2024</v>
          </cell>
        </row>
        <row r="5522">
          <cell r="A5522" t="str">
            <v>BTN</v>
          </cell>
          <cell r="B5522">
            <v>2021</v>
          </cell>
          <cell r="C5522" t="str">
            <v>madeficit_</v>
          </cell>
          <cell r="D5522">
            <v>-5.7603926658630371</v>
          </cell>
          <cell r="F5522" t="str">
            <v>14 Aug 2024</v>
          </cell>
        </row>
        <row r="5523">
          <cell r="A5523" t="str">
            <v>BTN</v>
          </cell>
          <cell r="B5523">
            <v>2007</v>
          </cell>
          <cell r="C5523" t="str">
            <v>mar_impz</v>
          </cell>
          <cell r="D5523">
            <v>59.110641479492188</v>
          </cell>
          <cell r="F5523" t="str">
            <v>14 Aug 2024</v>
          </cell>
        </row>
        <row r="5524">
          <cell r="A5524" t="str">
            <v>BTN</v>
          </cell>
          <cell r="B5524">
            <v>2007</v>
          </cell>
          <cell r="C5524" t="str">
            <v>mafdi_</v>
          </cell>
          <cell r="D5524"/>
          <cell r="F5524" t="str">
            <v>14 Aug 2024</v>
          </cell>
        </row>
        <row r="5525">
          <cell r="A5525" t="str">
            <v>BTN</v>
          </cell>
          <cell r="B5525">
            <v>2011</v>
          </cell>
          <cell r="C5525" t="str">
            <v>maconz</v>
          </cell>
          <cell r="D5525">
            <v>4.2229690551757813</v>
          </cell>
          <cell r="F5525" t="str">
            <v>14 Aug 2024</v>
          </cell>
        </row>
        <row r="5526">
          <cell r="A5526" t="str">
            <v>BTN</v>
          </cell>
          <cell r="B5526">
            <v>2011</v>
          </cell>
          <cell r="C5526" t="str">
            <v>matfpz</v>
          </cell>
          <cell r="D5526">
            <v>1.7013117074966431</v>
          </cell>
          <cell r="F5526" t="str">
            <v>14 Aug 2024</v>
          </cell>
        </row>
        <row r="5527">
          <cell r="A5527" t="str">
            <v>BTN</v>
          </cell>
          <cell r="B5527">
            <v>2022</v>
          </cell>
          <cell r="C5527" t="str">
            <v>magdpz</v>
          </cell>
          <cell r="D5527">
            <v>4.8261880874633789</v>
          </cell>
          <cell r="F5527" t="str">
            <v>14 Aug 2024</v>
          </cell>
        </row>
        <row r="5528">
          <cell r="A5528" t="str">
            <v>BTN</v>
          </cell>
          <cell r="B5528">
            <v>2018</v>
          </cell>
          <cell r="C5528" t="str">
            <v>madeficit_</v>
          </cell>
          <cell r="D5528">
            <v>-1.5189510583877563</v>
          </cell>
          <cell r="F5528" t="str">
            <v>14 Aug 2024</v>
          </cell>
        </row>
        <row r="5529">
          <cell r="A5529" t="str">
            <v>BTN</v>
          </cell>
          <cell r="B5529">
            <v>2022</v>
          </cell>
          <cell r="C5529" t="str">
            <v>mar_taxfc</v>
          </cell>
          <cell r="D5529">
            <v>2.381758451461792</v>
          </cell>
          <cell r="F5529" t="str">
            <v>14 Aug 2024</v>
          </cell>
        </row>
        <row r="5530">
          <cell r="A5530" t="str">
            <v>BTN</v>
          </cell>
          <cell r="B5530">
            <v>2018</v>
          </cell>
          <cell r="C5530" t="str">
            <v>macpiz</v>
          </cell>
          <cell r="D5530">
            <v>3.6605877876281738</v>
          </cell>
          <cell r="F5530" t="str">
            <v>14 Aug 2024</v>
          </cell>
        </row>
        <row r="5531">
          <cell r="A5531" t="str">
            <v>BTN</v>
          </cell>
          <cell r="B5531">
            <v>2017</v>
          </cell>
          <cell r="C5531" t="str">
            <v>mar_con</v>
          </cell>
          <cell r="D5531">
            <v>47.752780914306641</v>
          </cell>
          <cell r="F5531" t="str">
            <v>14 Aug 2024</v>
          </cell>
        </row>
        <row r="5532">
          <cell r="A5532" t="str">
            <v>BTN</v>
          </cell>
          <cell r="B5532">
            <v>2017</v>
          </cell>
          <cell r="C5532" t="str">
            <v>mar_taxfc</v>
          </cell>
          <cell r="D5532">
            <v>5.8915896415710449</v>
          </cell>
          <cell r="F5532" t="str">
            <v>14 Aug 2024</v>
          </cell>
        </row>
        <row r="5533">
          <cell r="A5533" t="str">
            <v>BTN</v>
          </cell>
          <cell r="B5533">
            <v>2013</v>
          </cell>
          <cell r="C5533" t="str">
            <v>mar_indfc</v>
          </cell>
          <cell r="D5533">
            <v>42.205371856689453</v>
          </cell>
          <cell r="F5533" t="str">
            <v>14 Aug 2024</v>
          </cell>
        </row>
        <row r="5534">
          <cell r="A5534" t="str">
            <v>BTN</v>
          </cell>
          <cell r="B5534">
            <v>2015</v>
          </cell>
          <cell r="C5534" t="str">
            <v>mar_agrfc</v>
          </cell>
          <cell r="D5534">
            <v>14.513530731201172</v>
          </cell>
          <cell r="F5534" t="str">
            <v>14 Aug 2024</v>
          </cell>
        </row>
        <row r="5535">
          <cell r="A5535" t="str">
            <v>BTN</v>
          </cell>
          <cell r="B5535">
            <v>2012</v>
          </cell>
          <cell r="C5535" t="str">
            <v>maimpz</v>
          </cell>
          <cell r="D5535">
            <v>-0.77164417505264282</v>
          </cell>
          <cell r="F5535" t="str">
            <v>14 Aug 2024</v>
          </cell>
        </row>
        <row r="5536">
          <cell r="A5536" t="str">
            <v>BTN</v>
          </cell>
          <cell r="B5536">
            <v>2023</v>
          </cell>
          <cell r="C5536" t="str">
            <v>mar_indfc</v>
          </cell>
          <cell r="D5536">
            <v>33.208625793457031</v>
          </cell>
          <cell r="F5536" t="str">
            <v>14 Aug 2024</v>
          </cell>
        </row>
        <row r="5537">
          <cell r="A5537" t="str">
            <v>BTN</v>
          </cell>
          <cell r="B5537">
            <v>2015</v>
          </cell>
          <cell r="C5537" t="str">
            <v>magovz</v>
          </cell>
          <cell r="D5537">
            <v>6.6356735229492188</v>
          </cell>
          <cell r="F5537" t="str">
            <v>14 Aug 2024</v>
          </cell>
        </row>
        <row r="5538">
          <cell r="A5538" t="str">
            <v>BTN</v>
          </cell>
          <cell r="B5538">
            <v>2012</v>
          </cell>
          <cell r="C5538" t="str">
            <v>maindfc</v>
          </cell>
          <cell r="D5538">
            <v>5.9814457893371582</v>
          </cell>
          <cell r="F5538" t="str">
            <v>14 Aug 2024</v>
          </cell>
        </row>
        <row r="5539">
          <cell r="A5539" t="str">
            <v>BTN</v>
          </cell>
          <cell r="B5539">
            <v>2021</v>
          </cell>
          <cell r="C5539" t="str">
            <v>mar_indfc</v>
          </cell>
          <cell r="D5539">
            <v>32.930706024169922</v>
          </cell>
          <cell r="F5539" t="str">
            <v>14 Aug 2024</v>
          </cell>
        </row>
        <row r="5540">
          <cell r="A5540" t="str">
            <v>BTN</v>
          </cell>
          <cell r="B5540">
            <v>2019</v>
          </cell>
          <cell r="C5540" t="str">
            <v>mar_expz</v>
          </cell>
          <cell r="D5540">
            <v>30.286592483520508</v>
          </cell>
          <cell r="F5540" t="str">
            <v>14 Aug 2024</v>
          </cell>
        </row>
        <row r="5541">
          <cell r="A5541" t="str">
            <v>BTN</v>
          </cell>
          <cell r="B5541">
            <v>2006</v>
          </cell>
          <cell r="C5541" t="str">
            <v>mataxfc</v>
          </cell>
          <cell r="D5541">
            <v>0.22259321808815002</v>
          </cell>
          <cell r="F5541" t="str">
            <v>14 Aug 2024</v>
          </cell>
        </row>
        <row r="5542">
          <cell r="A5542" t="str">
            <v>BTN</v>
          </cell>
          <cell r="B5542">
            <v>2012</v>
          </cell>
          <cell r="C5542" t="str">
            <v>macab_</v>
          </cell>
          <cell r="D5542">
            <v>-20.118930816650391</v>
          </cell>
          <cell r="F5542" t="str">
            <v>14 Aug 2024</v>
          </cell>
        </row>
        <row r="5543">
          <cell r="A5543" t="str">
            <v>BTN</v>
          </cell>
          <cell r="B5543">
            <v>2013</v>
          </cell>
          <cell r="C5543" t="str">
            <v>magap_</v>
          </cell>
          <cell r="D5543">
            <v>-0.39679381251335144</v>
          </cell>
          <cell r="F5543" t="str">
            <v>14 Aug 2024</v>
          </cell>
        </row>
        <row r="5544">
          <cell r="A5544" t="str">
            <v>BTN</v>
          </cell>
          <cell r="B5544">
            <v>2016</v>
          </cell>
          <cell r="C5544" t="str">
            <v>macpiz</v>
          </cell>
          <cell r="D5544">
            <v>3.2795071601867676</v>
          </cell>
          <cell r="F5544" t="str">
            <v>14 Aug 2024</v>
          </cell>
        </row>
        <row r="5545">
          <cell r="A5545" t="str">
            <v>BTN</v>
          </cell>
          <cell r="B5545">
            <v>2013</v>
          </cell>
          <cell r="C5545" t="str">
            <v>mareer</v>
          </cell>
          <cell r="D5545">
            <v>105.92576599121094</v>
          </cell>
          <cell r="F5545" t="str">
            <v>14 Aug 2024</v>
          </cell>
        </row>
        <row r="5546">
          <cell r="A5546" t="str">
            <v>BTN</v>
          </cell>
          <cell r="B5546">
            <v>2005</v>
          </cell>
          <cell r="C5546" t="str">
            <v>malabz</v>
          </cell>
          <cell r="D5546">
            <v>0</v>
          </cell>
          <cell r="F5546" t="str">
            <v>14 Aug 2024</v>
          </cell>
        </row>
        <row r="5547">
          <cell r="A5547" t="str">
            <v>BTN</v>
          </cell>
          <cell r="B5547">
            <v>2007</v>
          </cell>
          <cell r="C5547" t="str">
            <v>magap_</v>
          </cell>
          <cell r="D5547">
            <v>-2.4918510913848877</v>
          </cell>
          <cell r="F5547" t="str">
            <v>14 Aug 2024</v>
          </cell>
        </row>
        <row r="5548">
          <cell r="A5548" t="str">
            <v>BTN</v>
          </cell>
          <cell r="B5548">
            <v>2010</v>
          </cell>
          <cell r="C5548" t="str">
            <v>madeficit_</v>
          </cell>
          <cell r="D5548">
            <v>0.99503135681152344</v>
          </cell>
          <cell r="F5548" t="str">
            <v>14 Aug 2024</v>
          </cell>
        </row>
        <row r="5549">
          <cell r="A5549" t="str">
            <v>BTN</v>
          </cell>
          <cell r="B5549">
            <v>2012</v>
          </cell>
          <cell r="C5549" t="str">
            <v>mar_agrfc</v>
          </cell>
          <cell r="D5549">
            <v>15.277998924255371</v>
          </cell>
          <cell r="F5549" t="str">
            <v>14 Aug 2024</v>
          </cell>
        </row>
        <row r="5550">
          <cell r="A5550" t="str">
            <v>BTN</v>
          </cell>
          <cell r="B5550">
            <v>2016</v>
          </cell>
          <cell r="C5550" t="str">
            <v>mafdi_</v>
          </cell>
          <cell r="D5550"/>
          <cell r="F5550" t="str">
            <v>14 Aug 2024</v>
          </cell>
        </row>
        <row r="5551">
          <cell r="A5551" t="str">
            <v>BTN</v>
          </cell>
          <cell r="B5551">
            <v>2010</v>
          </cell>
          <cell r="C5551" t="str">
            <v>mar_impz</v>
          </cell>
          <cell r="D5551">
            <v>65.20477294921875</v>
          </cell>
          <cell r="F5551" t="str">
            <v>14 Aug 2024</v>
          </cell>
        </row>
        <row r="5552">
          <cell r="A5552" t="str">
            <v>BTN</v>
          </cell>
          <cell r="B5552">
            <v>2006</v>
          </cell>
          <cell r="C5552" t="str">
            <v>mar_agrfc</v>
          </cell>
          <cell r="D5552">
            <v>22.447725296020508</v>
          </cell>
          <cell r="F5552" t="str">
            <v>14 Aug 2024</v>
          </cell>
        </row>
        <row r="5553">
          <cell r="A5553" t="str">
            <v>BTN</v>
          </cell>
          <cell r="B5553">
            <v>2009</v>
          </cell>
          <cell r="C5553" t="str">
            <v>masrvfc</v>
          </cell>
          <cell r="D5553">
            <v>10.049130439758301</v>
          </cell>
          <cell r="F5553" t="str">
            <v>14 Aug 2024</v>
          </cell>
        </row>
        <row r="5554">
          <cell r="A5554" t="str">
            <v>BTN</v>
          </cell>
          <cell r="B5554">
            <v>2017</v>
          </cell>
          <cell r="C5554" t="str">
            <v>mar_srvfc</v>
          </cell>
          <cell r="D5554">
            <v>44.805442810058594</v>
          </cell>
          <cell r="F5554" t="str">
            <v>14 Aug 2024</v>
          </cell>
        </row>
        <row r="5555">
          <cell r="A5555" t="str">
            <v>BTN</v>
          </cell>
          <cell r="B5555">
            <v>2012</v>
          </cell>
          <cell r="C5555" t="str">
            <v>mar_con</v>
          </cell>
          <cell r="D5555">
            <v>33.671257019042969</v>
          </cell>
          <cell r="F5555" t="str">
            <v>14 Aug 2024</v>
          </cell>
        </row>
        <row r="5556">
          <cell r="A5556" t="str">
            <v>BTN</v>
          </cell>
          <cell r="B5556">
            <v>2012</v>
          </cell>
          <cell r="C5556" t="str">
            <v>maexpz</v>
          </cell>
          <cell r="D5556">
            <v>0.35702243447303772</v>
          </cell>
          <cell r="F5556" t="str">
            <v>14 Aug 2024</v>
          </cell>
        </row>
        <row r="5557">
          <cell r="A5557" t="str">
            <v>BTN</v>
          </cell>
          <cell r="B5557">
            <v>2024</v>
          </cell>
          <cell r="C5557" t="str">
            <v>mar_srvfc</v>
          </cell>
          <cell r="D5557">
            <v>53.914173126220703</v>
          </cell>
          <cell r="F5557" t="str">
            <v>14 Aug 2024</v>
          </cell>
        </row>
        <row r="5558">
          <cell r="A5558" t="str">
            <v>BTN</v>
          </cell>
          <cell r="B5558">
            <v>2007</v>
          </cell>
          <cell r="C5558" t="str">
            <v>mac_labz</v>
          </cell>
          <cell r="D5558">
            <v>1.6136074066162109</v>
          </cell>
          <cell r="F5558" t="str">
            <v>14 Aug 2024</v>
          </cell>
        </row>
        <row r="5559">
          <cell r="A5559" t="str">
            <v>BTN</v>
          </cell>
          <cell r="B5559">
            <v>2006</v>
          </cell>
          <cell r="C5559" t="str">
            <v>magap_</v>
          </cell>
          <cell r="D5559">
            <v>-6.1048450469970703</v>
          </cell>
          <cell r="F5559" t="str">
            <v>14 Aug 2024</v>
          </cell>
        </row>
        <row r="5560">
          <cell r="A5560" t="str">
            <v>BTN</v>
          </cell>
          <cell r="B5560">
            <v>2025</v>
          </cell>
          <cell r="C5560" t="str">
            <v>madeficit_</v>
          </cell>
          <cell r="D5560">
            <v>-0.39492809772491455</v>
          </cell>
          <cell r="F5560" t="str">
            <v>14 Aug 2024</v>
          </cell>
        </row>
        <row r="5561">
          <cell r="A5561" t="str">
            <v>BTN</v>
          </cell>
          <cell r="B5561">
            <v>2014</v>
          </cell>
          <cell r="C5561" t="str">
            <v>macab_</v>
          </cell>
          <cell r="D5561">
            <v>-24.977594375610352</v>
          </cell>
          <cell r="F5561" t="str">
            <v>14 Aug 2024</v>
          </cell>
        </row>
        <row r="5562">
          <cell r="A5562" t="str">
            <v>BTN</v>
          </cell>
          <cell r="B5562">
            <v>2009</v>
          </cell>
          <cell r="C5562" t="str">
            <v>madeficit_</v>
          </cell>
          <cell r="D5562">
            <v>-0.80131733417510986</v>
          </cell>
          <cell r="F5562" t="str">
            <v>14 Aug 2024</v>
          </cell>
        </row>
        <row r="5563">
          <cell r="A5563" t="str">
            <v>BTN</v>
          </cell>
          <cell r="B5563">
            <v>2016</v>
          </cell>
          <cell r="C5563" t="str">
            <v>mac_labz</v>
          </cell>
          <cell r="D5563">
            <v>1.0614626407623291</v>
          </cell>
          <cell r="F5563" t="str">
            <v>14 Aug 2024</v>
          </cell>
        </row>
        <row r="5564">
          <cell r="A5564" t="str">
            <v>BTN</v>
          </cell>
          <cell r="B5564">
            <v>2017</v>
          </cell>
          <cell r="C5564" t="str">
            <v>mac_tfpz</v>
          </cell>
          <cell r="D5564">
            <v>0.65364187955856323</v>
          </cell>
          <cell r="F5564" t="str">
            <v>14 Aug 2024</v>
          </cell>
        </row>
        <row r="5565">
          <cell r="A5565" t="str">
            <v>BTN</v>
          </cell>
          <cell r="B5565">
            <v>2015</v>
          </cell>
          <cell r="C5565" t="str">
            <v>matfpz</v>
          </cell>
          <cell r="D5565">
            <v>0.8355252742767334</v>
          </cell>
          <cell r="F5565" t="str">
            <v>14 Aug 2024</v>
          </cell>
        </row>
        <row r="5566">
          <cell r="A5566" t="str">
            <v>BTN</v>
          </cell>
          <cell r="B5566">
            <v>2008</v>
          </cell>
          <cell r="C5566" t="str">
            <v>maconz</v>
          </cell>
          <cell r="D5566">
            <v>27.300432205200195</v>
          </cell>
          <cell r="F5566" t="str">
            <v>14 Aug 2024</v>
          </cell>
        </row>
        <row r="5567">
          <cell r="A5567" t="str">
            <v>BTN</v>
          </cell>
          <cell r="B5567">
            <v>2008</v>
          </cell>
          <cell r="C5567" t="str">
            <v>maexpz</v>
          </cell>
          <cell r="D5567">
            <v>2.0278704166412354</v>
          </cell>
          <cell r="F5567" t="str">
            <v>14 Aug 2024</v>
          </cell>
        </row>
        <row r="5568">
          <cell r="A5568" t="str">
            <v>BTN</v>
          </cell>
          <cell r="B5568">
            <v>2006</v>
          </cell>
          <cell r="C5568" t="str">
            <v>mar_indfc</v>
          </cell>
          <cell r="D5568">
            <v>34.749214172363281</v>
          </cell>
          <cell r="F5568" t="str">
            <v>14 Aug 2024</v>
          </cell>
        </row>
        <row r="5569">
          <cell r="A5569" t="str">
            <v>BTN</v>
          </cell>
          <cell r="B5569">
            <v>2008</v>
          </cell>
          <cell r="C5569" t="str">
            <v>mafdi_</v>
          </cell>
          <cell r="D5569"/>
          <cell r="F5569" t="str">
            <v>14 Aug 2024</v>
          </cell>
        </row>
        <row r="5570">
          <cell r="A5570" t="str">
            <v>BTN</v>
          </cell>
          <cell r="B5570">
            <v>2013</v>
          </cell>
          <cell r="C5570" t="str">
            <v>mar_con</v>
          </cell>
          <cell r="D5570">
            <v>37.287776947021484</v>
          </cell>
          <cell r="F5570" t="str">
            <v>14 Aug 2024</v>
          </cell>
        </row>
        <row r="5571">
          <cell r="A5571" t="str">
            <v>BTN</v>
          </cell>
          <cell r="B5571">
            <v>2008</v>
          </cell>
          <cell r="C5571" t="str">
            <v>magap_</v>
          </cell>
          <cell r="D5571">
            <v>0.97496205568313599</v>
          </cell>
          <cell r="F5571" t="str">
            <v>14 Aug 2024</v>
          </cell>
        </row>
        <row r="5572">
          <cell r="A5572" t="str">
            <v>BTN</v>
          </cell>
          <cell r="B5572">
            <v>2024</v>
          </cell>
          <cell r="C5572" t="str">
            <v>malabz</v>
          </cell>
          <cell r="D5572">
            <v>1.2659587860107422</v>
          </cell>
          <cell r="F5572" t="str">
            <v>14 Aug 2024</v>
          </cell>
        </row>
        <row r="5573">
          <cell r="A5573" t="str">
            <v>BTN</v>
          </cell>
          <cell r="B5573">
            <v>2021</v>
          </cell>
          <cell r="C5573" t="str">
            <v>maimpz</v>
          </cell>
          <cell r="D5573">
            <v>-0.47475412487983704</v>
          </cell>
          <cell r="F5573" t="str">
            <v>14 Aug 2024</v>
          </cell>
        </row>
        <row r="5574">
          <cell r="A5574" t="str">
            <v>BTN</v>
          </cell>
          <cell r="B5574">
            <v>2008</v>
          </cell>
          <cell r="C5574" t="str">
            <v>mar_agrfc</v>
          </cell>
          <cell r="D5574">
            <v>18.740327835083008</v>
          </cell>
          <cell r="F5574" t="str">
            <v>14 Aug 2024</v>
          </cell>
        </row>
        <row r="5575">
          <cell r="A5575" t="str">
            <v>BTN</v>
          </cell>
          <cell r="B5575">
            <v>2005</v>
          </cell>
          <cell r="C5575" t="str">
            <v>magap_</v>
          </cell>
          <cell r="D5575">
            <v>-4.7222709655761719</v>
          </cell>
          <cell r="F5575" t="str">
            <v>14 Aug 2024</v>
          </cell>
        </row>
        <row r="5576">
          <cell r="A5576" t="str">
            <v>BTN</v>
          </cell>
          <cell r="B5576">
            <v>2005</v>
          </cell>
          <cell r="C5576" t="str">
            <v>masrvfc</v>
          </cell>
          <cell r="D5576">
            <v>10.719564437866211</v>
          </cell>
          <cell r="F5576" t="str">
            <v>14 Aug 2024</v>
          </cell>
        </row>
        <row r="5577">
          <cell r="A5577" t="str">
            <v>BTN</v>
          </cell>
          <cell r="B5577">
            <v>2017</v>
          </cell>
          <cell r="C5577" t="str">
            <v>mar_agrfc</v>
          </cell>
          <cell r="D5577">
            <v>13.715977668762207</v>
          </cell>
          <cell r="F5577" t="str">
            <v>14 Aug 2024</v>
          </cell>
        </row>
        <row r="5578">
          <cell r="A5578" t="str">
            <v>BTN</v>
          </cell>
          <cell r="B5578">
            <v>2007</v>
          </cell>
          <cell r="C5578" t="str">
            <v>mataxfc</v>
          </cell>
          <cell r="D5578">
            <v>0.99944472312927246</v>
          </cell>
          <cell r="F5578" t="str">
            <v>14 Aug 2024</v>
          </cell>
        </row>
        <row r="5579">
          <cell r="A5579" t="str">
            <v>BTN</v>
          </cell>
          <cell r="B5579">
            <v>2006</v>
          </cell>
          <cell r="C5579" t="str">
            <v>madeficit_</v>
          </cell>
          <cell r="D5579">
            <v>-7.3501773178577423E-2</v>
          </cell>
          <cell r="F5579" t="str">
            <v>14 Aug 2024</v>
          </cell>
        </row>
        <row r="5580">
          <cell r="A5580" t="str">
            <v>BTN</v>
          </cell>
          <cell r="B5580">
            <v>2008</v>
          </cell>
          <cell r="C5580" t="str">
            <v>matfpz</v>
          </cell>
          <cell r="D5580">
            <v>2.2550456523895264</v>
          </cell>
          <cell r="F5580" t="str">
            <v>14 Aug 2024</v>
          </cell>
        </row>
        <row r="5581">
          <cell r="A5581" t="str">
            <v>BTN</v>
          </cell>
          <cell r="B5581">
            <v>2021</v>
          </cell>
          <cell r="C5581" t="str">
            <v>macpiz</v>
          </cell>
          <cell r="D5581">
            <v>8.2105998992919922</v>
          </cell>
          <cell r="F5581" t="str">
            <v>14 Aug 2024</v>
          </cell>
        </row>
        <row r="5582">
          <cell r="A5582" t="str">
            <v>BTN</v>
          </cell>
          <cell r="B5582">
            <v>2006</v>
          </cell>
          <cell r="C5582" t="str">
            <v>mar_impz</v>
          </cell>
          <cell r="D5582">
            <v>62.884906768798828</v>
          </cell>
          <cell r="F5582" t="str">
            <v>14 Aug 2024</v>
          </cell>
        </row>
        <row r="5583">
          <cell r="A5583" t="str">
            <v>BTN</v>
          </cell>
          <cell r="B5583">
            <v>2009</v>
          </cell>
          <cell r="C5583" t="str">
            <v>mac_labz</v>
          </cell>
          <cell r="D5583">
            <v>1.4833502769470215</v>
          </cell>
          <cell r="F5583" t="str">
            <v>14 Aug 2024</v>
          </cell>
        </row>
        <row r="5584">
          <cell r="A5584" t="str">
            <v>BTN</v>
          </cell>
          <cell r="B5584">
            <v>2009</v>
          </cell>
          <cell r="C5584" t="str">
            <v>maconz</v>
          </cell>
          <cell r="D5584">
            <v>2.702911376953125</v>
          </cell>
          <cell r="F5584" t="str">
            <v>14 Aug 2024</v>
          </cell>
        </row>
        <row r="5585">
          <cell r="A5585" t="str">
            <v>BTN</v>
          </cell>
          <cell r="B5585">
            <v>2009</v>
          </cell>
          <cell r="C5585" t="str">
            <v>maexpz</v>
          </cell>
          <cell r="D5585">
            <v>-6.3076615333557129</v>
          </cell>
          <cell r="F5585" t="str">
            <v>14 Aug 2024</v>
          </cell>
        </row>
        <row r="5586">
          <cell r="A5586" t="str">
            <v>BTN</v>
          </cell>
          <cell r="B5586">
            <v>2013</v>
          </cell>
          <cell r="C5586" t="str">
            <v>mar_agrfc</v>
          </cell>
          <cell r="D5586">
            <v>15.181607246398926</v>
          </cell>
          <cell r="F5586" t="str">
            <v>14 Aug 2024</v>
          </cell>
        </row>
        <row r="5587">
          <cell r="A5587" t="str">
            <v>BTN</v>
          </cell>
          <cell r="B5587">
            <v>2013</v>
          </cell>
          <cell r="C5587" t="str">
            <v>maagrfc</v>
          </cell>
          <cell r="D5587">
            <v>2.1336112022399902</v>
          </cell>
          <cell r="F5587" t="str">
            <v>14 Aug 2024</v>
          </cell>
        </row>
        <row r="5588">
          <cell r="A5588" t="str">
            <v>BTN</v>
          </cell>
          <cell r="B5588">
            <v>2015</v>
          </cell>
          <cell r="C5588" t="str">
            <v>mataxfc</v>
          </cell>
          <cell r="D5588">
            <v>-1.4952332973480225</v>
          </cell>
          <cell r="F5588" t="str">
            <v>14 Aug 2024</v>
          </cell>
        </row>
        <row r="5589">
          <cell r="A5589" t="str">
            <v>BTN</v>
          </cell>
          <cell r="B5589">
            <v>2009</v>
          </cell>
          <cell r="C5589" t="str">
            <v>magap_</v>
          </cell>
          <cell r="D5589">
            <v>1.201829195022583</v>
          </cell>
          <cell r="F5589" t="str">
            <v>14 Aug 2024</v>
          </cell>
        </row>
        <row r="5590">
          <cell r="A5590" t="str">
            <v>BTN</v>
          </cell>
          <cell r="B5590">
            <v>2010</v>
          </cell>
          <cell r="C5590" t="str">
            <v>mar_agrfc</v>
          </cell>
          <cell r="D5590">
            <v>16.813871383666992</v>
          </cell>
          <cell r="F5590" t="str">
            <v>14 Aug 2024</v>
          </cell>
        </row>
        <row r="5591">
          <cell r="A5591" t="str">
            <v>BTN</v>
          </cell>
          <cell r="B5591">
            <v>2006</v>
          </cell>
          <cell r="C5591" t="str">
            <v>malabz</v>
          </cell>
          <cell r="D5591">
            <v>2.6850533485412598</v>
          </cell>
          <cell r="F5591" t="str">
            <v>14 Aug 2024</v>
          </cell>
        </row>
        <row r="5592">
          <cell r="A5592" t="str">
            <v>BTN</v>
          </cell>
          <cell r="B5592">
            <v>2024</v>
          </cell>
          <cell r="C5592" t="str">
            <v>maagrfc</v>
          </cell>
          <cell r="D5592">
            <v>1.7394700050354004</v>
          </cell>
          <cell r="F5592" t="str">
            <v>14 Aug 2024</v>
          </cell>
        </row>
        <row r="5593">
          <cell r="A5593" t="str">
            <v>BTN</v>
          </cell>
          <cell r="B5593">
            <v>2011</v>
          </cell>
          <cell r="C5593" t="str">
            <v>maagrfc</v>
          </cell>
          <cell r="D5593">
            <v>1.6672376394271851</v>
          </cell>
          <cell r="F5593" t="str">
            <v>14 Aug 2024</v>
          </cell>
        </row>
        <row r="5594">
          <cell r="A5594" t="str">
            <v>BTN</v>
          </cell>
          <cell r="B5594">
            <v>2023</v>
          </cell>
          <cell r="C5594" t="str">
            <v>mainvz</v>
          </cell>
          <cell r="D5594">
            <v>13.290750503540039</v>
          </cell>
          <cell r="F5594" t="str">
            <v>14 Aug 2024</v>
          </cell>
        </row>
        <row r="5595">
          <cell r="A5595" t="str">
            <v>BTN</v>
          </cell>
          <cell r="B5595">
            <v>2023</v>
          </cell>
          <cell r="C5595" t="str">
            <v>mar_agrfc</v>
          </cell>
          <cell r="D5595">
            <v>13.239741325378418</v>
          </cell>
          <cell r="F5595" t="str">
            <v>14 Aug 2024</v>
          </cell>
        </row>
        <row r="5596">
          <cell r="A5596" t="str">
            <v>BTN</v>
          </cell>
          <cell r="B5596">
            <v>2024</v>
          </cell>
          <cell r="C5596" t="str">
            <v>magovz</v>
          </cell>
          <cell r="D5596">
            <v>0.5</v>
          </cell>
          <cell r="F5596" t="str">
            <v>14 Aug 2024</v>
          </cell>
        </row>
        <row r="5597">
          <cell r="A5597" t="str">
            <v>BTN</v>
          </cell>
          <cell r="B5597">
            <v>2011</v>
          </cell>
          <cell r="C5597" t="str">
            <v>mafdi_</v>
          </cell>
          <cell r="D5597"/>
          <cell r="F5597" t="str">
            <v>14 Aug 2024</v>
          </cell>
        </row>
        <row r="5598">
          <cell r="A5598" t="str">
            <v>BTN</v>
          </cell>
          <cell r="B5598">
            <v>2013</v>
          </cell>
          <cell r="C5598" t="str">
            <v>malabz</v>
          </cell>
          <cell r="D5598">
            <v>1.6478449106216431</v>
          </cell>
          <cell r="F5598" t="str">
            <v>14 Aug 2024</v>
          </cell>
        </row>
        <row r="5599">
          <cell r="A5599" t="str">
            <v>BTN</v>
          </cell>
          <cell r="B5599">
            <v>2017</v>
          </cell>
          <cell r="C5599" t="str">
            <v>mar_expz</v>
          </cell>
          <cell r="D5599">
            <v>28.060087203979492</v>
          </cell>
          <cell r="F5599" t="str">
            <v>14 Aug 2024</v>
          </cell>
        </row>
        <row r="5600">
          <cell r="A5600" t="str">
            <v>BTN</v>
          </cell>
          <cell r="B5600">
            <v>2019</v>
          </cell>
          <cell r="C5600" t="str">
            <v>mafdi_</v>
          </cell>
          <cell r="D5600"/>
          <cell r="F5600" t="str">
            <v>14 Aug 2024</v>
          </cell>
        </row>
        <row r="5601">
          <cell r="A5601" t="str">
            <v>BTN</v>
          </cell>
          <cell r="B5601">
            <v>2023</v>
          </cell>
          <cell r="C5601" t="str">
            <v>mac_labz</v>
          </cell>
          <cell r="D5601">
            <v>0.92107069492340088</v>
          </cell>
          <cell r="F5601" t="str">
            <v>14 Aug 2024</v>
          </cell>
        </row>
        <row r="5602">
          <cell r="A5602" t="str">
            <v>BTN</v>
          </cell>
          <cell r="B5602">
            <v>2016</v>
          </cell>
          <cell r="C5602" t="str">
            <v>maexpz</v>
          </cell>
          <cell r="D5602">
            <v>-4.2096343040466309</v>
          </cell>
          <cell r="F5602" t="str">
            <v>14 Aug 2024</v>
          </cell>
        </row>
        <row r="5603">
          <cell r="A5603" t="str">
            <v>BTN</v>
          </cell>
          <cell r="B5603">
            <v>2005</v>
          </cell>
          <cell r="C5603" t="str">
            <v>madeficit_</v>
          </cell>
          <cell r="D5603">
            <v>-6.9616451263427734</v>
          </cell>
          <cell r="F5603" t="str">
            <v>14 Aug 2024</v>
          </cell>
        </row>
        <row r="5604">
          <cell r="A5604" t="str">
            <v>BTN</v>
          </cell>
          <cell r="B5604">
            <v>2022</v>
          </cell>
          <cell r="C5604" t="str">
            <v>masrvfc</v>
          </cell>
          <cell r="D5604">
            <v>6.3208250999450684</v>
          </cell>
          <cell r="F5604" t="str">
            <v>14 Aug 2024</v>
          </cell>
        </row>
        <row r="5605">
          <cell r="A5605" t="str">
            <v>BTN</v>
          </cell>
          <cell r="B5605">
            <v>2024</v>
          </cell>
          <cell r="C5605" t="str">
            <v>macpiz</v>
          </cell>
          <cell r="D5605">
            <v>4.9000020027160645</v>
          </cell>
          <cell r="F5605" t="str">
            <v>14 Aug 2024</v>
          </cell>
        </row>
        <row r="5606">
          <cell r="A5606" t="str">
            <v>BTN</v>
          </cell>
          <cell r="B5606">
            <v>2014</v>
          </cell>
          <cell r="C5606" t="str">
            <v>maimpz</v>
          </cell>
          <cell r="D5606">
            <v>-0.90683513879776001</v>
          </cell>
          <cell r="F5606" t="str">
            <v>14 Aug 2024</v>
          </cell>
        </row>
        <row r="5607">
          <cell r="A5607" t="str">
            <v>BTN</v>
          </cell>
          <cell r="B5607">
            <v>2024</v>
          </cell>
          <cell r="C5607" t="str">
            <v>mar_impz</v>
          </cell>
          <cell r="D5607">
            <v>46.211612701416016</v>
          </cell>
          <cell r="F5607" t="str">
            <v>14 Aug 2024</v>
          </cell>
        </row>
        <row r="5608">
          <cell r="A5608" t="str">
            <v>BTN</v>
          </cell>
          <cell r="B5608">
            <v>2011</v>
          </cell>
          <cell r="C5608" t="str">
            <v>mac_labz</v>
          </cell>
          <cell r="D5608">
            <v>1.3226176500320435</v>
          </cell>
          <cell r="F5608" t="str">
            <v>14 Aug 2024</v>
          </cell>
        </row>
        <row r="5609">
          <cell r="A5609" t="str">
            <v>BTN</v>
          </cell>
          <cell r="B5609">
            <v>2022</v>
          </cell>
          <cell r="C5609" t="str">
            <v>mar_con</v>
          </cell>
          <cell r="D5609">
            <v>49.436836242675781</v>
          </cell>
          <cell r="F5609" t="str">
            <v>14 Aug 2024</v>
          </cell>
        </row>
        <row r="5610">
          <cell r="A5610" t="str">
            <v>BTN</v>
          </cell>
          <cell r="B5610">
            <v>2018</v>
          </cell>
          <cell r="C5610" t="str">
            <v>mar_con</v>
          </cell>
          <cell r="D5610">
            <v>48.571380615234375</v>
          </cell>
          <cell r="F5610" t="str">
            <v>14 Aug 2024</v>
          </cell>
        </row>
        <row r="5611">
          <cell r="A5611" t="str">
            <v>BTN</v>
          </cell>
          <cell r="B5611">
            <v>2023</v>
          </cell>
          <cell r="C5611" t="str">
            <v>mataxfc</v>
          </cell>
          <cell r="D5611">
            <v>4.5805368423461914</v>
          </cell>
          <cell r="F5611" t="str">
            <v>14 Aug 2024</v>
          </cell>
        </row>
        <row r="5612">
          <cell r="A5612" t="str">
            <v>BTN</v>
          </cell>
          <cell r="B5612">
            <v>2022</v>
          </cell>
          <cell r="C5612" t="str">
            <v>mapanusatls</v>
          </cell>
          <cell r="D5612">
            <v>75.45306396484375</v>
          </cell>
          <cell r="F5612" t="str">
            <v>14 Aug 2024</v>
          </cell>
        </row>
        <row r="5613">
          <cell r="A5613" t="str">
            <v>BTN</v>
          </cell>
          <cell r="B5613">
            <v>2013</v>
          </cell>
          <cell r="C5613" t="str">
            <v>magovz</v>
          </cell>
          <cell r="D5613">
            <v>-5.4149413108825684</v>
          </cell>
          <cell r="F5613" t="str">
            <v>14 Aug 2024</v>
          </cell>
        </row>
        <row r="5614">
          <cell r="A5614" t="str">
            <v>BTN</v>
          </cell>
          <cell r="B5614">
            <v>2007</v>
          </cell>
          <cell r="C5614" t="str">
            <v>mareer</v>
          </cell>
          <cell r="D5614">
            <v>109.91355895996094</v>
          </cell>
          <cell r="F5614" t="str">
            <v>14 Aug 2024</v>
          </cell>
        </row>
        <row r="5615">
          <cell r="A5615" t="str">
            <v>BTN</v>
          </cell>
          <cell r="B5615">
            <v>2013</v>
          </cell>
          <cell r="C5615" t="str">
            <v>matfpz</v>
          </cell>
          <cell r="D5615">
            <v>1.1482416391372681</v>
          </cell>
          <cell r="F5615" t="str">
            <v>14 Aug 2024</v>
          </cell>
        </row>
        <row r="5616">
          <cell r="A5616" t="str">
            <v>BTN</v>
          </cell>
          <cell r="B5616">
            <v>2015</v>
          </cell>
          <cell r="C5616" t="str">
            <v>malabz</v>
          </cell>
          <cell r="D5616">
            <v>1.5409599542617798</v>
          </cell>
          <cell r="F5616" t="str">
            <v>14 Aug 2024</v>
          </cell>
        </row>
        <row r="5617">
          <cell r="A5617" t="str">
            <v>BTN</v>
          </cell>
          <cell r="B5617">
            <v>2015</v>
          </cell>
          <cell r="C5617" t="str">
            <v>mar_impz</v>
          </cell>
          <cell r="D5617">
            <v>57.728534698486328</v>
          </cell>
          <cell r="F5617" t="str">
            <v>14 Aug 2024</v>
          </cell>
        </row>
        <row r="5618">
          <cell r="A5618" t="str">
            <v>BTN</v>
          </cell>
          <cell r="B5618">
            <v>2010</v>
          </cell>
          <cell r="C5618" t="str">
            <v>malabz</v>
          </cell>
          <cell r="D5618">
            <v>1.9999512434005737</v>
          </cell>
          <cell r="F5618" t="str">
            <v>14 Aug 2024</v>
          </cell>
        </row>
        <row r="5619">
          <cell r="A5619" t="str">
            <v>BTN</v>
          </cell>
          <cell r="B5619">
            <v>2023</v>
          </cell>
          <cell r="C5619" t="str">
            <v>mar_srvfc</v>
          </cell>
          <cell r="D5619">
            <v>53.551631927490234</v>
          </cell>
          <cell r="F5619" t="str">
            <v>14 Aug 2024</v>
          </cell>
        </row>
        <row r="5620">
          <cell r="A5620" t="str">
            <v>BTN</v>
          </cell>
          <cell r="B5620">
            <v>2006</v>
          </cell>
          <cell r="C5620" t="str">
            <v>magovz</v>
          </cell>
          <cell r="D5620">
            <v>8.4219226837158203</v>
          </cell>
          <cell r="F5620" t="str">
            <v>14 Aug 2024</v>
          </cell>
        </row>
        <row r="5621">
          <cell r="A5621" t="str">
            <v>BTN</v>
          </cell>
          <cell r="B5621">
            <v>2011</v>
          </cell>
          <cell r="C5621" t="str">
            <v>mareer</v>
          </cell>
          <cell r="D5621">
            <v>120.27960968017578</v>
          </cell>
          <cell r="F5621" t="str">
            <v>14 Aug 2024</v>
          </cell>
        </row>
        <row r="5622">
          <cell r="A5622" t="str">
            <v>BTN</v>
          </cell>
          <cell r="B5622">
            <v>2022</v>
          </cell>
          <cell r="C5622" t="str">
            <v>mar_expz</v>
          </cell>
          <cell r="D5622">
            <v>26.607574462890625</v>
          </cell>
          <cell r="F5622" t="str">
            <v>14 Aug 2024</v>
          </cell>
        </row>
        <row r="5623">
          <cell r="A5623" t="str">
            <v>BTN</v>
          </cell>
          <cell r="B5623">
            <v>2026</v>
          </cell>
          <cell r="C5623" t="str">
            <v>mar_taxfc</v>
          </cell>
          <cell r="D5623">
            <v>2.381758451461792</v>
          </cell>
          <cell r="F5623" t="str">
            <v>14 Aug 2024</v>
          </cell>
        </row>
        <row r="5624">
          <cell r="A5624" t="str">
            <v>BTN</v>
          </cell>
          <cell r="B5624">
            <v>2015</v>
          </cell>
          <cell r="C5624" t="str">
            <v>macab_</v>
          </cell>
          <cell r="D5624">
            <v>-27.023958206176758</v>
          </cell>
          <cell r="F5624" t="str">
            <v>14 Aug 2024</v>
          </cell>
        </row>
        <row r="5625">
          <cell r="A5625" t="str">
            <v>BTN</v>
          </cell>
          <cell r="B5625">
            <v>2008</v>
          </cell>
          <cell r="C5625" t="str">
            <v>macab_</v>
          </cell>
          <cell r="D5625">
            <v>-8.2082481384277344</v>
          </cell>
          <cell r="F5625" t="str">
            <v>14 Aug 2024</v>
          </cell>
        </row>
        <row r="5626">
          <cell r="A5626" t="str">
            <v>BTN</v>
          </cell>
          <cell r="B5626">
            <v>2020</v>
          </cell>
          <cell r="C5626" t="str">
            <v>madeficit_</v>
          </cell>
          <cell r="D5626">
            <v>-1.8067078590393066</v>
          </cell>
          <cell r="F5626" t="str">
            <v>14 Aug 2024</v>
          </cell>
        </row>
        <row r="5627">
          <cell r="A5627" t="str">
            <v>BTN</v>
          </cell>
          <cell r="B5627">
            <v>2010</v>
          </cell>
          <cell r="C5627" t="str">
            <v>maimpz</v>
          </cell>
          <cell r="D5627">
            <v>22.022514343261719</v>
          </cell>
          <cell r="F5627" t="str">
            <v>14 Aug 2024</v>
          </cell>
        </row>
        <row r="5628">
          <cell r="A5628" t="str">
            <v>BTN</v>
          </cell>
          <cell r="B5628">
            <v>2022</v>
          </cell>
          <cell r="C5628" t="str">
            <v>macab_</v>
          </cell>
          <cell r="D5628">
            <v>-28.087884902954102</v>
          </cell>
          <cell r="F5628" t="str">
            <v>14 Aug 2024</v>
          </cell>
        </row>
        <row r="5629">
          <cell r="A5629" t="str">
            <v>BTN</v>
          </cell>
          <cell r="B5629">
            <v>2017</v>
          </cell>
          <cell r="C5629" t="str">
            <v>mataxfc</v>
          </cell>
          <cell r="D5629">
            <v>-4.825737476348877</v>
          </cell>
          <cell r="F5629" t="str">
            <v>14 Aug 2024</v>
          </cell>
        </row>
        <row r="5630">
          <cell r="A5630" t="str">
            <v>BTN</v>
          </cell>
          <cell r="B5630">
            <v>2008</v>
          </cell>
          <cell r="C5630" t="str">
            <v>maimpz</v>
          </cell>
          <cell r="D5630">
            <v>6.6454944610595703</v>
          </cell>
          <cell r="F5630" t="str">
            <v>14 Aug 2024</v>
          </cell>
        </row>
        <row r="5631">
          <cell r="A5631" t="str">
            <v>BTN</v>
          </cell>
          <cell r="B5631">
            <v>2007</v>
          </cell>
          <cell r="C5631" t="str">
            <v>mainvz</v>
          </cell>
          <cell r="D5631">
            <v>-6.5979228019714355</v>
          </cell>
          <cell r="F5631" t="str">
            <v>14 Aug 2024</v>
          </cell>
        </row>
        <row r="5632">
          <cell r="A5632" t="str">
            <v>BTN</v>
          </cell>
          <cell r="B5632">
            <v>2007</v>
          </cell>
          <cell r="C5632" t="str">
            <v>malabz</v>
          </cell>
          <cell r="D5632">
            <v>2.3051533699035645</v>
          </cell>
          <cell r="F5632" t="str">
            <v>14 Aug 2024</v>
          </cell>
        </row>
        <row r="5633">
          <cell r="A5633" t="str">
            <v>BTN</v>
          </cell>
          <cell r="B5633">
            <v>2013</v>
          </cell>
          <cell r="C5633" t="str">
            <v>mac_tfpz</v>
          </cell>
          <cell r="D5633">
            <v>1.1482416391372681</v>
          </cell>
          <cell r="F5633" t="str">
            <v>14 Aug 2024</v>
          </cell>
        </row>
        <row r="5634">
          <cell r="A5634" t="str">
            <v>BTN</v>
          </cell>
          <cell r="B5634">
            <v>2020</v>
          </cell>
          <cell r="C5634" t="str">
            <v>mar_expz</v>
          </cell>
          <cell r="D5634">
            <v>31.230478286743164</v>
          </cell>
          <cell r="F5634" t="str">
            <v>14 Aug 2024</v>
          </cell>
        </row>
        <row r="5635">
          <cell r="A5635" t="str">
            <v>BTN</v>
          </cell>
          <cell r="B5635">
            <v>2022</v>
          </cell>
          <cell r="C5635" t="str">
            <v>malabz</v>
          </cell>
          <cell r="D5635">
            <v>1.4065413475036621</v>
          </cell>
          <cell r="F5635" t="str">
            <v>14 Aug 2024</v>
          </cell>
        </row>
        <row r="5636">
          <cell r="A5636" t="str">
            <v>BTN</v>
          </cell>
          <cell r="B5636">
            <v>2015</v>
          </cell>
          <cell r="C5636" t="str">
            <v>madeficit_</v>
          </cell>
          <cell r="D5636">
            <v>-0.49730676412582397</v>
          </cell>
          <cell r="F5636" t="str">
            <v>14 Aug 2024</v>
          </cell>
        </row>
        <row r="5637">
          <cell r="A5637" t="str">
            <v>BTN</v>
          </cell>
          <cell r="B5637">
            <v>2022</v>
          </cell>
          <cell r="C5637" t="str">
            <v>macpiz</v>
          </cell>
          <cell r="D5637">
            <v>5.313988208770752</v>
          </cell>
          <cell r="F5637" t="str">
            <v>14 Aug 2024</v>
          </cell>
        </row>
        <row r="5638">
          <cell r="A5638" t="str">
            <v>BTN</v>
          </cell>
          <cell r="B5638">
            <v>2017</v>
          </cell>
          <cell r="C5638" t="str">
            <v>madeficit_</v>
          </cell>
          <cell r="D5638">
            <v>-4.5242066383361816</v>
          </cell>
          <cell r="F5638" t="str">
            <v>14 Aug 2024</v>
          </cell>
        </row>
        <row r="5639">
          <cell r="A5639" t="str">
            <v>BTN</v>
          </cell>
          <cell r="B5639">
            <v>2013</v>
          </cell>
          <cell r="C5639" t="str">
            <v>mafdi_</v>
          </cell>
          <cell r="D5639"/>
          <cell r="F5639" t="str">
            <v>14 Aug 2024</v>
          </cell>
        </row>
        <row r="5640">
          <cell r="A5640" t="str">
            <v>BTN</v>
          </cell>
          <cell r="B5640">
            <v>2018</v>
          </cell>
          <cell r="C5640" t="str">
            <v>matfpz</v>
          </cell>
          <cell r="D5640">
            <v>0.57654076814651489</v>
          </cell>
          <cell r="F5640" t="str">
            <v>14 Aug 2024</v>
          </cell>
        </row>
        <row r="5641">
          <cell r="A5641" t="str">
            <v>BTN</v>
          </cell>
          <cell r="B5641">
            <v>2020</v>
          </cell>
          <cell r="C5641" t="str">
            <v>mar_impz</v>
          </cell>
          <cell r="D5641">
            <v>43.60028076171875</v>
          </cell>
          <cell r="F5641" t="str">
            <v>14 Aug 2024</v>
          </cell>
        </row>
        <row r="5642">
          <cell r="A5642" t="str">
            <v>BTN</v>
          </cell>
          <cell r="B5642">
            <v>2009</v>
          </cell>
          <cell r="C5642" t="str">
            <v>maimpz</v>
          </cell>
          <cell r="D5642">
            <v>8.6267871856689453</v>
          </cell>
          <cell r="F5642" t="str">
            <v>14 Aug 2024</v>
          </cell>
        </row>
        <row r="5643">
          <cell r="A5643" t="str">
            <v>BTN</v>
          </cell>
          <cell r="B5643">
            <v>2005</v>
          </cell>
          <cell r="C5643" t="str">
            <v>mar_agrfc</v>
          </cell>
          <cell r="D5643">
            <v>23.470888137817383</v>
          </cell>
          <cell r="F5643" t="str">
            <v>14 Aug 2024</v>
          </cell>
        </row>
        <row r="5644">
          <cell r="A5644" t="str">
            <v>BTN</v>
          </cell>
          <cell r="B5644">
            <v>2010</v>
          </cell>
          <cell r="C5644" t="str">
            <v>mac_tfpz</v>
          </cell>
          <cell r="D5644">
            <v>1.9669626951217651</v>
          </cell>
          <cell r="F5644" t="str">
            <v>14 Aug 2024</v>
          </cell>
        </row>
        <row r="5645">
          <cell r="A5645" t="str">
            <v>BTN</v>
          </cell>
          <cell r="B5645">
            <v>2009</v>
          </cell>
          <cell r="C5645" t="str">
            <v>mareer</v>
          </cell>
          <cell r="D5645">
            <v>118.78697967529297</v>
          </cell>
          <cell r="F5645" t="str">
            <v>14 Aug 2024</v>
          </cell>
        </row>
        <row r="5646">
          <cell r="A5646" t="str">
            <v>BTN</v>
          </cell>
          <cell r="B5646">
            <v>2005</v>
          </cell>
          <cell r="C5646" t="str">
            <v>mapanusatls</v>
          </cell>
          <cell r="D5646">
            <v>43.583999633789063</v>
          </cell>
          <cell r="F5646" t="str">
            <v>14 Aug 2024</v>
          </cell>
        </row>
        <row r="5647">
          <cell r="A5647" t="str">
            <v>BTN</v>
          </cell>
          <cell r="B5647">
            <v>2013</v>
          </cell>
          <cell r="C5647" t="str">
            <v>mainvz</v>
          </cell>
          <cell r="D5647">
            <v>-5.0042209625244141</v>
          </cell>
          <cell r="F5647" t="str">
            <v>14 Aug 2024</v>
          </cell>
        </row>
        <row r="5648">
          <cell r="A5648" t="str">
            <v>BTN</v>
          </cell>
          <cell r="B5648">
            <v>2021</v>
          </cell>
          <cell r="C5648" t="str">
            <v>mataxfc</v>
          </cell>
          <cell r="D5648">
            <v>-31.881183624267578</v>
          </cell>
          <cell r="F5648" t="str">
            <v>14 Aug 2024</v>
          </cell>
        </row>
        <row r="5649">
          <cell r="A5649" t="str">
            <v>BTN</v>
          </cell>
          <cell r="B5649">
            <v>2012</v>
          </cell>
          <cell r="C5649" t="str">
            <v>mar_srvfc</v>
          </cell>
          <cell r="D5649">
            <v>43.653579711914063</v>
          </cell>
          <cell r="F5649" t="str">
            <v>14 Aug 2024</v>
          </cell>
        </row>
        <row r="5650">
          <cell r="A5650" t="str">
            <v>BTN</v>
          </cell>
          <cell r="B5650">
            <v>2021</v>
          </cell>
          <cell r="C5650" t="str">
            <v>mareer</v>
          </cell>
          <cell r="D5650">
            <v>109.77842712402344</v>
          </cell>
          <cell r="F5650" t="str">
            <v>14 Aug 2024</v>
          </cell>
        </row>
        <row r="5651">
          <cell r="A5651" t="str">
            <v>BTN</v>
          </cell>
          <cell r="B5651">
            <v>2019</v>
          </cell>
          <cell r="C5651" t="str">
            <v>madebt_</v>
          </cell>
          <cell r="D5651">
            <v>99.737098693847656</v>
          </cell>
          <cell r="F5651" t="str">
            <v>14 Aug 2024</v>
          </cell>
        </row>
        <row r="5652">
          <cell r="A5652" t="str">
            <v>BTN</v>
          </cell>
          <cell r="B5652">
            <v>2007</v>
          </cell>
          <cell r="C5652" t="str">
            <v>maimpz</v>
          </cell>
          <cell r="D5652">
            <v>4.353950023651123</v>
          </cell>
          <cell r="F5652" t="str">
            <v>14 Aug 2024</v>
          </cell>
        </row>
        <row r="5653">
          <cell r="A5653" t="str">
            <v>BTN</v>
          </cell>
          <cell r="B5653">
            <v>2013</v>
          </cell>
          <cell r="C5653" t="str">
            <v>madebt_</v>
          </cell>
          <cell r="D5653">
            <v>93.909072875976563</v>
          </cell>
          <cell r="F5653" t="str">
            <v>14 Aug 2024</v>
          </cell>
        </row>
        <row r="5654">
          <cell r="A5654" t="str">
            <v>BTN</v>
          </cell>
          <cell r="B5654">
            <v>2022</v>
          </cell>
          <cell r="C5654" t="str">
            <v>maimpz</v>
          </cell>
          <cell r="D5654">
            <v>13.228036880493164</v>
          </cell>
          <cell r="F5654" t="str">
            <v>14 Aug 2024</v>
          </cell>
        </row>
        <row r="5655">
          <cell r="A5655" t="str">
            <v>BTN</v>
          </cell>
          <cell r="B5655">
            <v>2011</v>
          </cell>
          <cell r="C5655" t="str">
            <v>mar_con</v>
          </cell>
          <cell r="D5655">
            <v>35.368675231933594</v>
          </cell>
          <cell r="F5655" t="str">
            <v>14 Aug 2024</v>
          </cell>
        </row>
        <row r="5656">
          <cell r="A5656" t="str">
            <v>BTN</v>
          </cell>
          <cell r="B5656">
            <v>2007</v>
          </cell>
          <cell r="C5656" t="str">
            <v>maconz</v>
          </cell>
          <cell r="D5656">
            <v>7.0023493766784668</v>
          </cell>
          <cell r="F5656" t="str">
            <v>14 Aug 2024</v>
          </cell>
        </row>
        <row r="5657">
          <cell r="A5657" t="str">
            <v>BTN</v>
          </cell>
          <cell r="B5657">
            <v>2021</v>
          </cell>
          <cell r="C5657" t="str">
            <v>macab_</v>
          </cell>
          <cell r="D5657">
            <v>-11.068662643432617</v>
          </cell>
          <cell r="F5657" t="str">
            <v>14 Aug 2024</v>
          </cell>
        </row>
        <row r="5658">
          <cell r="A5658" t="str">
            <v>BTN</v>
          </cell>
          <cell r="B5658">
            <v>2019</v>
          </cell>
          <cell r="C5658" t="str">
            <v>mataxfc</v>
          </cell>
          <cell r="D5658">
            <v>-0.95545154809951782</v>
          </cell>
          <cell r="F5658" t="str">
            <v>14 Aug 2024</v>
          </cell>
        </row>
        <row r="5659">
          <cell r="A5659" t="str">
            <v>BTN</v>
          </cell>
          <cell r="B5659">
            <v>2015</v>
          </cell>
          <cell r="C5659" t="str">
            <v>mar_expz</v>
          </cell>
          <cell r="D5659">
            <v>33.196582794189453</v>
          </cell>
          <cell r="F5659" t="str">
            <v>14 Aug 2024</v>
          </cell>
        </row>
        <row r="5660">
          <cell r="A5660" t="str">
            <v>BTN</v>
          </cell>
          <cell r="B5660">
            <v>2021</v>
          </cell>
          <cell r="C5660" t="str">
            <v>mar_srvfc</v>
          </cell>
          <cell r="D5660">
            <v>52.61102294921875</v>
          </cell>
          <cell r="F5660" t="str">
            <v>14 Aug 2024</v>
          </cell>
        </row>
        <row r="5661">
          <cell r="A5661" t="str">
            <v>BTN</v>
          </cell>
          <cell r="B5661">
            <v>2014</v>
          </cell>
          <cell r="C5661" t="str">
            <v>mataxfc</v>
          </cell>
          <cell r="D5661">
            <v>2.1736900806427002</v>
          </cell>
          <cell r="F5661" t="str">
            <v>14 Aug 2024</v>
          </cell>
        </row>
        <row r="5662">
          <cell r="A5662" t="str">
            <v>BTN</v>
          </cell>
          <cell r="B5662">
            <v>2015</v>
          </cell>
          <cell r="C5662" t="str">
            <v>mar_srvfc</v>
          </cell>
          <cell r="D5662">
            <v>43.331691741943359</v>
          </cell>
          <cell r="F5662" t="str">
            <v>14 Aug 2024</v>
          </cell>
        </row>
        <row r="5663">
          <cell r="A5663" t="str">
            <v>BTN</v>
          </cell>
          <cell r="B5663">
            <v>2015</v>
          </cell>
          <cell r="C5663" t="str">
            <v>maagrfc</v>
          </cell>
          <cell r="D5663">
            <v>3.7818219661712646</v>
          </cell>
          <cell r="F5663" t="str">
            <v>14 Aug 2024</v>
          </cell>
        </row>
        <row r="5664">
          <cell r="A5664" t="str">
            <v>BTN</v>
          </cell>
          <cell r="B5664">
            <v>2011</v>
          </cell>
          <cell r="C5664" t="str">
            <v>macpiz</v>
          </cell>
          <cell r="D5664">
            <v>8.552215576171875</v>
          </cell>
          <cell r="F5664" t="str">
            <v>14 Aug 2024</v>
          </cell>
        </row>
        <row r="5665">
          <cell r="A5665" t="str">
            <v>BTN</v>
          </cell>
          <cell r="B5665">
            <v>2025</v>
          </cell>
          <cell r="C5665" t="str">
            <v>mafdi_</v>
          </cell>
          <cell r="D5665"/>
          <cell r="F5665" t="str">
            <v>14 Aug 2024</v>
          </cell>
        </row>
        <row r="5666">
          <cell r="A5666" t="str">
            <v>BTN</v>
          </cell>
          <cell r="B5666">
            <v>2019</v>
          </cell>
          <cell r="C5666" t="str">
            <v>maexpz</v>
          </cell>
          <cell r="D5666">
            <v>13.21916389465332</v>
          </cell>
          <cell r="F5666" t="str">
            <v>14 Aug 2024</v>
          </cell>
        </row>
        <row r="5667">
          <cell r="A5667" t="str">
            <v>BTN</v>
          </cell>
          <cell r="B5667">
            <v>2021</v>
          </cell>
          <cell r="C5667" t="str">
            <v>maagrfc</v>
          </cell>
          <cell r="D5667">
            <v>2.6878488063812256</v>
          </cell>
          <cell r="F5667" t="str">
            <v>14 Aug 2024</v>
          </cell>
        </row>
        <row r="5668">
          <cell r="A5668" t="str">
            <v>BTN</v>
          </cell>
          <cell r="B5668">
            <v>2014</v>
          </cell>
          <cell r="C5668" t="str">
            <v>mar_taxfc</v>
          </cell>
          <cell r="D5668">
            <v>7.824953556060791</v>
          </cell>
          <cell r="F5668" t="str">
            <v>14 Aug 2024</v>
          </cell>
        </row>
        <row r="5669">
          <cell r="A5669" t="str">
            <v>BTN</v>
          </cell>
          <cell r="B5669">
            <v>2021</v>
          </cell>
          <cell r="C5669" t="str">
            <v>mapanusatls</v>
          </cell>
          <cell r="D5669">
            <v>73.71588134765625</v>
          </cell>
          <cell r="F5669" t="str">
            <v>14 Aug 2024</v>
          </cell>
        </row>
        <row r="5670">
          <cell r="A5670" t="str">
            <v>BTN</v>
          </cell>
          <cell r="B5670">
            <v>2010</v>
          </cell>
          <cell r="C5670" t="str">
            <v>mataxfc</v>
          </cell>
          <cell r="D5670">
            <v>28.071952819824219</v>
          </cell>
          <cell r="F5670" t="str">
            <v>14 Aug 2024</v>
          </cell>
        </row>
        <row r="5671">
          <cell r="A5671" t="str">
            <v>BTN</v>
          </cell>
          <cell r="B5671">
            <v>2012</v>
          </cell>
          <cell r="C5671" t="str">
            <v>magovz</v>
          </cell>
          <cell r="D5671">
            <v>1.3760128021240234</v>
          </cell>
          <cell r="F5671" t="str">
            <v>14 Aug 2024</v>
          </cell>
        </row>
        <row r="5672">
          <cell r="A5672" t="str">
            <v>BTN</v>
          </cell>
          <cell r="B5672">
            <v>2021</v>
          </cell>
          <cell r="C5672" t="str">
            <v>maindfc</v>
          </cell>
          <cell r="D5672">
            <v>-5.9367985725402832</v>
          </cell>
          <cell r="F5672" t="str">
            <v>14 Aug 2024</v>
          </cell>
        </row>
        <row r="5673">
          <cell r="A5673" t="str">
            <v>BTN</v>
          </cell>
          <cell r="B5673">
            <v>2021</v>
          </cell>
          <cell r="C5673" t="str">
            <v>magdpz</v>
          </cell>
          <cell r="D5673">
            <v>-3.2926390171051025</v>
          </cell>
          <cell r="F5673" t="str">
            <v>14 Aug 2024</v>
          </cell>
        </row>
        <row r="5674">
          <cell r="A5674" t="str">
            <v>BTN</v>
          </cell>
          <cell r="B5674">
            <v>2021</v>
          </cell>
          <cell r="C5674" t="str">
            <v>magap_</v>
          </cell>
          <cell r="D5674">
            <v>0.46719276905059814</v>
          </cell>
          <cell r="F5674" t="str">
            <v>14 Aug 2024</v>
          </cell>
        </row>
        <row r="5675">
          <cell r="A5675" t="str">
            <v>BTN</v>
          </cell>
          <cell r="B5675">
            <v>2021</v>
          </cell>
          <cell r="C5675" t="str">
            <v>mafdi_</v>
          </cell>
          <cell r="D5675"/>
          <cell r="F5675" t="str">
            <v>14 Aug 2024</v>
          </cell>
        </row>
        <row r="5676">
          <cell r="A5676" t="str">
            <v>IND</v>
          </cell>
          <cell r="B5676">
            <v>2008</v>
          </cell>
          <cell r="C5676" t="str">
            <v>mapanusatls</v>
          </cell>
          <cell r="D5676">
            <v>45.990001678466797</v>
          </cell>
          <cell r="F5676" t="str">
            <v>14 Aug 2024</v>
          </cell>
        </row>
        <row r="5677">
          <cell r="A5677" t="str">
            <v>IND</v>
          </cell>
          <cell r="B5677">
            <v>2018</v>
          </cell>
          <cell r="C5677" t="str">
            <v>mataxfc</v>
          </cell>
          <cell r="D5677">
            <v>13.391839027404785</v>
          </cell>
          <cell r="F5677" t="str">
            <v>14 Aug 2024</v>
          </cell>
        </row>
        <row r="5678">
          <cell r="A5678" t="str">
            <v>IND</v>
          </cell>
          <cell r="B5678">
            <v>2008</v>
          </cell>
          <cell r="C5678" t="str">
            <v>mainvz</v>
          </cell>
          <cell r="D5678">
            <v>3.1993401050567627</v>
          </cell>
          <cell r="F5678" t="str">
            <v>14 Aug 2024</v>
          </cell>
        </row>
        <row r="5679">
          <cell r="A5679" t="str">
            <v>IND</v>
          </cell>
          <cell r="B5679">
            <v>2011</v>
          </cell>
          <cell r="C5679" t="str">
            <v>magovz</v>
          </cell>
          <cell r="D5679">
            <v>6.530672550201416</v>
          </cell>
          <cell r="F5679" t="str">
            <v>14 Aug 2024</v>
          </cell>
        </row>
        <row r="5680">
          <cell r="A5680" t="str">
            <v>IND</v>
          </cell>
          <cell r="B5680">
            <v>2005</v>
          </cell>
          <cell r="C5680" t="str">
            <v>mar_agrfc</v>
          </cell>
          <cell r="D5680">
            <v>21.912132263183594</v>
          </cell>
          <cell r="F5680" t="str">
            <v>14 Aug 2024</v>
          </cell>
        </row>
        <row r="5681">
          <cell r="A5681" t="str">
            <v>IND</v>
          </cell>
          <cell r="B5681">
            <v>2023</v>
          </cell>
          <cell r="C5681" t="str">
            <v>mac_tfpz</v>
          </cell>
          <cell r="D5681">
            <v>3.2243516445159912</v>
          </cell>
          <cell r="F5681" t="str">
            <v>14 Aug 2024</v>
          </cell>
        </row>
        <row r="5682">
          <cell r="A5682" t="str">
            <v>IND</v>
          </cell>
          <cell r="B5682">
            <v>2010</v>
          </cell>
          <cell r="C5682" t="str">
            <v>mar_con</v>
          </cell>
          <cell r="D5682">
            <v>55.066207885742188</v>
          </cell>
          <cell r="F5682" t="str">
            <v>14 Aug 2024</v>
          </cell>
        </row>
        <row r="5683">
          <cell r="A5683" t="str">
            <v>IND</v>
          </cell>
          <cell r="B5683">
            <v>2014</v>
          </cell>
          <cell r="C5683" t="str">
            <v>masrvfc</v>
          </cell>
          <cell r="D5683">
            <v>9.8105926513671875</v>
          </cell>
          <cell r="F5683" t="str">
            <v>14 Aug 2024</v>
          </cell>
        </row>
        <row r="5684">
          <cell r="A5684" t="str">
            <v>IND</v>
          </cell>
          <cell r="B5684">
            <v>2016</v>
          </cell>
          <cell r="C5684" t="str">
            <v>maconz</v>
          </cell>
          <cell r="D5684">
            <v>8.1301240921020508</v>
          </cell>
          <cell r="F5684" t="str">
            <v>14 Aug 2024</v>
          </cell>
        </row>
        <row r="5685">
          <cell r="A5685" t="str">
            <v>IND</v>
          </cell>
          <cell r="B5685">
            <v>2005</v>
          </cell>
          <cell r="C5685" t="str">
            <v>maconz</v>
          </cell>
          <cell r="D5685">
            <v>7.4556951522827148</v>
          </cell>
          <cell r="F5685" t="str">
            <v>14 Aug 2024</v>
          </cell>
        </row>
        <row r="5686">
          <cell r="A5686" t="str">
            <v>IND</v>
          </cell>
          <cell r="B5686">
            <v>2025</v>
          </cell>
          <cell r="C5686" t="str">
            <v>magovz</v>
          </cell>
          <cell r="D5686">
            <v>5.934730052947998</v>
          </cell>
          <cell r="F5686" t="str">
            <v>14 Aug 2024</v>
          </cell>
        </row>
        <row r="5687">
          <cell r="A5687" t="str">
            <v>IND</v>
          </cell>
          <cell r="B5687">
            <v>2008</v>
          </cell>
          <cell r="C5687" t="str">
            <v>magap_</v>
          </cell>
          <cell r="D5687">
            <v>-1.1473845243453979</v>
          </cell>
          <cell r="F5687" t="str">
            <v>14 Aug 2024</v>
          </cell>
        </row>
        <row r="5688">
          <cell r="A5688" t="str">
            <v>IND</v>
          </cell>
          <cell r="B5688">
            <v>2020</v>
          </cell>
          <cell r="C5688" t="str">
            <v>mar_agrfc</v>
          </cell>
          <cell r="D5688">
            <v>16.348672866821289</v>
          </cell>
          <cell r="F5688" t="str">
            <v>14 Aug 2024</v>
          </cell>
        </row>
        <row r="5689">
          <cell r="A5689" t="str">
            <v>IND</v>
          </cell>
          <cell r="B5689">
            <v>2026</v>
          </cell>
          <cell r="C5689" t="str">
            <v>macab_</v>
          </cell>
          <cell r="D5689">
            <v>-1.5004563331604004</v>
          </cell>
          <cell r="F5689" t="str">
            <v>14 Aug 2024</v>
          </cell>
        </row>
        <row r="5690">
          <cell r="A5690" t="str">
            <v>IND</v>
          </cell>
          <cell r="B5690">
            <v>2007</v>
          </cell>
          <cell r="C5690" t="str">
            <v>mac_labz</v>
          </cell>
          <cell r="D5690">
            <v>1.4889988899230957</v>
          </cell>
          <cell r="F5690" t="str">
            <v>14 Aug 2024</v>
          </cell>
        </row>
        <row r="5691">
          <cell r="A5691" t="str">
            <v>IND</v>
          </cell>
          <cell r="B5691">
            <v>2007</v>
          </cell>
          <cell r="C5691" t="str">
            <v>magdpz</v>
          </cell>
          <cell r="D5691">
            <v>7.6608152389526367</v>
          </cell>
          <cell r="F5691" t="str">
            <v>14 Aug 2024</v>
          </cell>
        </row>
        <row r="5692">
          <cell r="A5692" t="str">
            <v>IND</v>
          </cell>
          <cell r="B5692">
            <v>2010</v>
          </cell>
          <cell r="C5692" t="str">
            <v>madebt_</v>
          </cell>
          <cell r="D5692">
            <v>66.882728576660156</v>
          </cell>
          <cell r="F5692" t="str">
            <v>14 Aug 2024</v>
          </cell>
        </row>
        <row r="5693">
          <cell r="A5693" t="str">
            <v>IND</v>
          </cell>
          <cell r="B5693">
            <v>2016</v>
          </cell>
          <cell r="C5693" t="str">
            <v>mar_impz</v>
          </cell>
          <cell r="D5693">
            <v>21.29957389831543</v>
          </cell>
          <cell r="F5693" t="str">
            <v>14 Aug 2024</v>
          </cell>
        </row>
        <row r="5694">
          <cell r="A5694" t="str">
            <v>IND</v>
          </cell>
          <cell r="B5694">
            <v>2024</v>
          </cell>
          <cell r="C5694" t="str">
            <v>maagrfc</v>
          </cell>
          <cell r="D5694">
            <v>2.0999999046325684</v>
          </cell>
          <cell r="F5694" t="str">
            <v>14 Aug 2024</v>
          </cell>
        </row>
        <row r="5695">
          <cell r="A5695" t="str">
            <v>IND</v>
          </cell>
          <cell r="B5695">
            <v>2020</v>
          </cell>
          <cell r="C5695" t="str">
            <v>mainvz</v>
          </cell>
          <cell r="D5695">
            <v>-7.0961151123046875</v>
          </cell>
          <cell r="F5695" t="str">
            <v>14 Aug 2024</v>
          </cell>
        </row>
        <row r="5696">
          <cell r="A5696" t="str">
            <v>IND</v>
          </cell>
          <cell r="B5696">
            <v>2014</v>
          </cell>
          <cell r="C5696" t="str">
            <v>mainvz</v>
          </cell>
          <cell r="D5696">
            <v>2.6032474040985107</v>
          </cell>
          <cell r="F5696" t="str">
            <v>14 Aug 2024</v>
          </cell>
        </row>
        <row r="5697">
          <cell r="A5697" t="str">
            <v>IND</v>
          </cell>
          <cell r="B5697">
            <v>2016</v>
          </cell>
          <cell r="C5697" t="str">
            <v>mar_taxfc</v>
          </cell>
          <cell r="D5697">
            <v>8.6501054763793945</v>
          </cell>
          <cell r="F5697" t="str">
            <v>14 Aug 2024</v>
          </cell>
        </row>
        <row r="5698">
          <cell r="A5698" t="str">
            <v>IND</v>
          </cell>
          <cell r="B5698">
            <v>2008</v>
          </cell>
          <cell r="C5698" t="str">
            <v>mar_srvfc</v>
          </cell>
          <cell r="D5698">
            <v>47.944778442382813</v>
          </cell>
          <cell r="F5698" t="str">
            <v>14 Aug 2024</v>
          </cell>
        </row>
        <row r="5699">
          <cell r="A5699" t="str">
            <v>IND</v>
          </cell>
          <cell r="B5699">
            <v>2013</v>
          </cell>
          <cell r="C5699" t="str">
            <v>mar_srvfc</v>
          </cell>
          <cell r="D5699">
            <v>51.086078643798828</v>
          </cell>
          <cell r="F5699" t="str">
            <v>14 Aug 2024</v>
          </cell>
        </row>
        <row r="5700">
          <cell r="A5700" t="str">
            <v>IND</v>
          </cell>
          <cell r="B5700">
            <v>2016</v>
          </cell>
          <cell r="C5700" t="str">
            <v>macpiz</v>
          </cell>
          <cell r="D5700">
            <v>4.5247960090637207</v>
          </cell>
          <cell r="F5700" t="str">
            <v>14 Aug 2024</v>
          </cell>
        </row>
        <row r="5701">
          <cell r="A5701" t="str">
            <v>IND</v>
          </cell>
          <cell r="B5701">
            <v>2011</v>
          </cell>
          <cell r="C5701" t="str">
            <v>masrvfc</v>
          </cell>
          <cell r="D5701">
            <v>5.8640093803405762</v>
          </cell>
          <cell r="F5701" t="str">
            <v>14 Aug 2024</v>
          </cell>
        </row>
        <row r="5702">
          <cell r="A5702" t="str">
            <v>IND</v>
          </cell>
          <cell r="B5702">
            <v>2017</v>
          </cell>
          <cell r="C5702" t="str">
            <v>mac_tfpz</v>
          </cell>
          <cell r="D5702">
            <v>2.2026424407958984</v>
          </cell>
          <cell r="F5702" t="str">
            <v>14 Aug 2024</v>
          </cell>
        </row>
        <row r="5703">
          <cell r="A5703" t="str">
            <v>IND</v>
          </cell>
          <cell r="B5703">
            <v>2006</v>
          </cell>
          <cell r="C5703" t="str">
            <v>mapanusatls</v>
          </cell>
          <cell r="D5703">
            <v>45.310001373291016</v>
          </cell>
          <cell r="F5703" t="str">
            <v>14 Aug 2024</v>
          </cell>
        </row>
        <row r="5704">
          <cell r="A5704" t="str">
            <v>IND</v>
          </cell>
          <cell r="B5704">
            <v>2016</v>
          </cell>
          <cell r="C5704" t="str">
            <v>mar_agrfc</v>
          </cell>
          <cell r="D5704">
            <v>15.236237525939941</v>
          </cell>
          <cell r="F5704" t="str">
            <v>14 Aug 2024</v>
          </cell>
        </row>
        <row r="5705">
          <cell r="A5705" t="str">
            <v>IND</v>
          </cell>
          <cell r="B5705">
            <v>2006</v>
          </cell>
          <cell r="C5705" t="str">
            <v>mac_tfpz</v>
          </cell>
          <cell r="D5705">
            <v>2.037203311920166</v>
          </cell>
          <cell r="F5705" t="str">
            <v>14 Aug 2024</v>
          </cell>
        </row>
        <row r="5706">
          <cell r="A5706" t="str">
            <v>IND</v>
          </cell>
          <cell r="B5706">
            <v>2008</v>
          </cell>
          <cell r="C5706" t="str">
            <v>madeficit_</v>
          </cell>
          <cell r="D5706">
            <v>-8.4715652465820313</v>
          </cell>
          <cell r="F5706" t="str">
            <v>14 Aug 2024</v>
          </cell>
        </row>
        <row r="5707">
          <cell r="A5707" t="str">
            <v>IND</v>
          </cell>
          <cell r="B5707">
            <v>2024</v>
          </cell>
          <cell r="C5707" t="str">
            <v>mac_labz</v>
          </cell>
          <cell r="D5707">
            <v>1.0432610511779785</v>
          </cell>
          <cell r="F5707" t="str">
            <v>14 Aug 2024</v>
          </cell>
        </row>
        <row r="5708">
          <cell r="A5708" t="str">
            <v>IND</v>
          </cell>
          <cell r="B5708">
            <v>2015</v>
          </cell>
          <cell r="C5708" t="str">
            <v>magap_</v>
          </cell>
          <cell r="D5708">
            <v>-0.19733573496341705</v>
          </cell>
          <cell r="F5708" t="str">
            <v>14 Aug 2024</v>
          </cell>
        </row>
        <row r="5709">
          <cell r="A5709" t="str">
            <v>IND</v>
          </cell>
          <cell r="B5709">
            <v>2017</v>
          </cell>
          <cell r="C5709" t="str">
            <v>magdpz</v>
          </cell>
          <cell r="D5709">
            <v>6.7953834533691406</v>
          </cell>
          <cell r="F5709" t="str">
            <v>14 Aug 2024</v>
          </cell>
        </row>
        <row r="5710">
          <cell r="A5710" t="str">
            <v>IND</v>
          </cell>
          <cell r="B5710">
            <v>2025</v>
          </cell>
          <cell r="C5710" t="str">
            <v>madeficit_</v>
          </cell>
          <cell r="D5710">
            <v>-8.8336143493652344</v>
          </cell>
          <cell r="F5710" t="str">
            <v>14 Aug 2024</v>
          </cell>
        </row>
        <row r="5711">
          <cell r="A5711" t="str">
            <v>IND</v>
          </cell>
          <cell r="B5711">
            <v>2024</v>
          </cell>
          <cell r="C5711" t="str">
            <v>magovz</v>
          </cell>
          <cell r="D5711">
            <v>5.8055696487426758</v>
          </cell>
          <cell r="F5711" t="str">
            <v>14 Aug 2024</v>
          </cell>
        </row>
        <row r="5712">
          <cell r="A5712" t="str">
            <v>IND</v>
          </cell>
          <cell r="B5712">
            <v>2014</v>
          </cell>
          <cell r="C5712" t="str">
            <v>mar_taxfc</v>
          </cell>
          <cell r="D5712">
            <v>8.3971338272094727</v>
          </cell>
          <cell r="F5712" t="str">
            <v>14 Aug 2024</v>
          </cell>
        </row>
        <row r="5713">
          <cell r="A5713" t="str">
            <v>IND</v>
          </cell>
          <cell r="B5713">
            <v>2013</v>
          </cell>
          <cell r="C5713" t="str">
            <v>mataxfc</v>
          </cell>
          <cell r="D5713">
            <v>10.645779609680176</v>
          </cell>
          <cell r="F5713" t="str">
            <v>14 Aug 2024</v>
          </cell>
        </row>
        <row r="5714">
          <cell r="A5714" t="str">
            <v>IND</v>
          </cell>
          <cell r="B5714">
            <v>2023</v>
          </cell>
          <cell r="C5714" t="str">
            <v>maconz</v>
          </cell>
          <cell r="D5714">
            <v>3.7999999523162842</v>
          </cell>
          <cell r="F5714" t="str">
            <v>14 Aug 2024</v>
          </cell>
        </row>
        <row r="5715">
          <cell r="A5715" t="str">
            <v>IND</v>
          </cell>
          <cell r="B5715">
            <v>2024</v>
          </cell>
          <cell r="C5715" t="str">
            <v>mapanusatls</v>
          </cell>
          <cell r="D5715">
            <v>82.872894287109375</v>
          </cell>
          <cell r="F5715" t="str">
            <v>14 Aug 2024</v>
          </cell>
        </row>
        <row r="5716">
          <cell r="A5716" t="str">
            <v>IND</v>
          </cell>
          <cell r="B5716">
            <v>2007</v>
          </cell>
          <cell r="C5716" t="str">
            <v>mataxfc</v>
          </cell>
          <cell r="D5716">
            <v>11.478486061096191</v>
          </cell>
          <cell r="F5716" t="str">
            <v>14 Aug 2024</v>
          </cell>
        </row>
        <row r="5717">
          <cell r="A5717" t="str">
            <v>IND</v>
          </cell>
          <cell r="B5717">
            <v>2022</v>
          </cell>
          <cell r="C5717" t="str">
            <v>macpiz</v>
          </cell>
          <cell r="D5717">
            <v>6.6531028747558594</v>
          </cell>
          <cell r="F5717" t="str">
            <v>14 Aug 2024</v>
          </cell>
        </row>
        <row r="5718">
          <cell r="A5718" t="str">
            <v>IND</v>
          </cell>
          <cell r="B5718">
            <v>2018</v>
          </cell>
          <cell r="C5718" t="str">
            <v>mar_impz</v>
          </cell>
          <cell r="D5718">
            <v>23.939693450927734</v>
          </cell>
          <cell r="F5718" t="str">
            <v>14 Aug 2024</v>
          </cell>
        </row>
        <row r="5719">
          <cell r="A5719" t="str">
            <v>IND</v>
          </cell>
          <cell r="B5719">
            <v>2017</v>
          </cell>
          <cell r="C5719" t="str">
            <v>magap_</v>
          </cell>
          <cell r="D5719">
            <v>1.9679666757583618</v>
          </cell>
          <cell r="F5719" t="str">
            <v>14 Aug 2024</v>
          </cell>
        </row>
        <row r="5720">
          <cell r="A5720" t="str">
            <v>IND</v>
          </cell>
          <cell r="B5720">
            <v>2020</v>
          </cell>
          <cell r="C5720" t="str">
            <v>mac_labz</v>
          </cell>
          <cell r="D5720">
            <v>1.1356152296066284</v>
          </cell>
          <cell r="F5720" t="str">
            <v>14 Aug 2024</v>
          </cell>
        </row>
        <row r="5721">
          <cell r="A5721" t="str">
            <v>IND</v>
          </cell>
          <cell r="B5721">
            <v>2009</v>
          </cell>
          <cell r="C5721" t="str">
            <v>mareer</v>
          </cell>
          <cell r="D5721">
            <v>96.770088195800781</v>
          </cell>
          <cell r="F5721" t="str">
            <v>14 Aug 2024</v>
          </cell>
        </row>
        <row r="5722">
          <cell r="A5722" t="str">
            <v>IND</v>
          </cell>
          <cell r="B5722">
            <v>2015</v>
          </cell>
          <cell r="C5722" t="str">
            <v>mar_srvfc</v>
          </cell>
          <cell r="D5722">
            <v>53.035427093505859</v>
          </cell>
          <cell r="F5722" t="str">
            <v>14 Aug 2024</v>
          </cell>
        </row>
        <row r="5723">
          <cell r="A5723" t="str">
            <v>IND</v>
          </cell>
          <cell r="B5723">
            <v>2025</v>
          </cell>
          <cell r="C5723" t="str">
            <v>maimpz</v>
          </cell>
          <cell r="D5723">
            <v>7.0999999046325684</v>
          </cell>
          <cell r="F5723" t="str">
            <v>14 Aug 2024</v>
          </cell>
        </row>
        <row r="5724">
          <cell r="A5724" t="str">
            <v>IND</v>
          </cell>
          <cell r="B5724">
            <v>2023</v>
          </cell>
          <cell r="C5724" t="str">
            <v>madebt_</v>
          </cell>
          <cell r="D5724">
            <v>84.205848693847656</v>
          </cell>
          <cell r="F5724" t="str">
            <v>14 Aug 2024</v>
          </cell>
        </row>
        <row r="5725">
          <cell r="A5725" t="str">
            <v>IND</v>
          </cell>
          <cell r="B5725">
            <v>2005</v>
          </cell>
          <cell r="C5725" t="str">
            <v>mareer</v>
          </cell>
          <cell r="D5725">
            <v>0</v>
          </cell>
          <cell r="F5725" t="str">
            <v>14 Aug 2024</v>
          </cell>
        </row>
        <row r="5726">
          <cell r="A5726" t="str">
            <v>IND</v>
          </cell>
          <cell r="B5726">
            <v>2010</v>
          </cell>
          <cell r="C5726" t="str">
            <v>mafdi_</v>
          </cell>
          <cell r="D5726">
            <v>-0.55853492021560669</v>
          </cell>
          <cell r="F5726" t="str">
            <v>14 Aug 2024</v>
          </cell>
        </row>
        <row r="5727">
          <cell r="A5727" t="str">
            <v>IND</v>
          </cell>
          <cell r="B5727">
            <v>2009</v>
          </cell>
          <cell r="C5727" t="str">
            <v>maexpz</v>
          </cell>
          <cell r="D5727">
            <v>-4.8342251777648926</v>
          </cell>
          <cell r="F5727" t="str">
            <v>14 Aug 2024</v>
          </cell>
        </row>
        <row r="5728">
          <cell r="A5728" t="str">
            <v>IND</v>
          </cell>
          <cell r="B5728">
            <v>2012</v>
          </cell>
          <cell r="C5728" t="str">
            <v>mafdi_</v>
          </cell>
          <cell r="D5728">
            <v>-1.0844422578811646</v>
          </cell>
          <cell r="F5728" t="str">
            <v>14 Aug 2024</v>
          </cell>
        </row>
        <row r="5729">
          <cell r="A5729" t="str">
            <v>IND</v>
          </cell>
          <cell r="B5729">
            <v>2023</v>
          </cell>
          <cell r="C5729" t="str">
            <v>malabz</v>
          </cell>
          <cell r="D5729">
            <v>1.3561819791793823</v>
          </cell>
          <cell r="F5729" t="str">
            <v>14 Aug 2024</v>
          </cell>
        </row>
        <row r="5730">
          <cell r="A5730" t="str">
            <v>IND</v>
          </cell>
          <cell r="B5730">
            <v>2018</v>
          </cell>
          <cell r="C5730" t="str">
            <v>mac_tfpz</v>
          </cell>
          <cell r="D5730">
            <v>2.1465902328491211</v>
          </cell>
          <cell r="F5730" t="str">
            <v>14 Aug 2024</v>
          </cell>
        </row>
        <row r="5731">
          <cell r="A5731" t="str">
            <v>IND</v>
          </cell>
          <cell r="B5731">
            <v>2011</v>
          </cell>
          <cell r="C5731" t="str">
            <v>mafdi_</v>
          </cell>
          <cell r="D5731">
            <v>-1.2100518941879272</v>
          </cell>
          <cell r="F5731" t="str">
            <v>14 Aug 2024</v>
          </cell>
        </row>
        <row r="5732">
          <cell r="A5732" t="str">
            <v>IND</v>
          </cell>
          <cell r="B5732">
            <v>2015</v>
          </cell>
          <cell r="C5732" t="str">
            <v>mapanusatls</v>
          </cell>
          <cell r="D5732">
            <v>65.461067199707031</v>
          </cell>
          <cell r="F5732" t="str">
            <v>14 Aug 2024</v>
          </cell>
        </row>
        <row r="5733">
          <cell r="A5733" t="str">
            <v>IND</v>
          </cell>
          <cell r="B5733">
            <v>2013</v>
          </cell>
          <cell r="C5733" t="str">
            <v>mareer</v>
          </cell>
          <cell r="D5733">
            <v>91.450172424316406</v>
          </cell>
          <cell r="F5733" t="str">
            <v>14 Aug 2024</v>
          </cell>
        </row>
        <row r="5734">
          <cell r="A5734" t="str">
            <v>IND</v>
          </cell>
          <cell r="B5734">
            <v>2014</v>
          </cell>
          <cell r="C5734" t="str">
            <v>mafdi_</v>
          </cell>
          <cell r="D5734">
            <v>-1.5324957370758057</v>
          </cell>
          <cell r="F5734" t="str">
            <v>14 Aug 2024</v>
          </cell>
        </row>
        <row r="5735">
          <cell r="A5735" t="str">
            <v>IND</v>
          </cell>
          <cell r="B5735">
            <v>2021</v>
          </cell>
          <cell r="C5735" t="str">
            <v>maindfc</v>
          </cell>
          <cell r="D5735">
            <v>12.244123458862305</v>
          </cell>
          <cell r="F5735" t="str">
            <v>14 Aug 2024</v>
          </cell>
        </row>
        <row r="5736">
          <cell r="A5736" t="str">
            <v>IND</v>
          </cell>
          <cell r="B5736">
            <v>2016</v>
          </cell>
          <cell r="C5736" t="str">
            <v>mar_expz</v>
          </cell>
          <cell r="D5736">
            <v>20.217611312866211</v>
          </cell>
          <cell r="F5736" t="str">
            <v>14 Aug 2024</v>
          </cell>
        </row>
        <row r="5737">
          <cell r="A5737" t="str">
            <v>IND</v>
          </cell>
          <cell r="B5737">
            <v>2018</v>
          </cell>
          <cell r="C5737" t="str">
            <v>madebt_</v>
          </cell>
          <cell r="D5737">
            <v>70.530471801757813</v>
          </cell>
          <cell r="F5737" t="str">
            <v>14 Aug 2024</v>
          </cell>
        </row>
        <row r="5738">
          <cell r="A5738" t="str">
            <v>IND</v>
          </cell>
          <cell r="B5738">
            <v>2012</v>
          </cell>
          <cell r="C5738" t="str">
            <v>matfpz</v>
          </cell>
          <cell r="D5738">
            <v>2.0561749935150146</v>
          </cell>
          <cell r="F5738" t="str">
            <v>14 Aug 2024</v>
          </cell>
        </row>
        <row r="5739">
          <cell r="A5739" t="str">
            <v>IND</v>
          </cell>
          <cell r="B5739">
            <v>2021</v>
          </cell>
          <cell r="C5739" t="str">
            <v>mar_srvfc</v>
          </cell>
          <cell r="D5739">
            <v>52.785259246826172</v>
          </cell>
          <cell r="F5739" t="str">
            <v>14 Aug 2024</v>
          </cell>
        </row>
        <row r="5740">
          <cell r="A5740" t="str">
            <v>IND</v>
          </cell>
          <cell r="B5740">
            <v>2016</v>
          </cell>
          <cell r="C5740" t="str">
            <v>mainvz</v>
          </cell>
          <cell r="D5740">
            <v>8.4584503173828125</v>
          </cell>
          <cell r="F5740" t="str">
            <v>14 Aug 2024</v>
          </cell>
        </row>
        <row r="5741">
          <cell r="A5741" t="str">
            <v>IND</v>
          </cell>
          <cell r="B5741">
            <v>2020</v>
          </cell>
          <cell r="C5741" t="str">
            <v>magdpz</v>
          </cell>
          <cell r="D5741">
            <v>-5.7777247428894043</v>
          </cell>
          <cell r="F5741" t="str">
            <v>14 Aug 2024</v>
          </cell>
        </row>
        <row r="5742">
          <cell r="A5742" t="str">
            <v>IND</v>
          </cell>
          <cell r="B5742">
            <v>2012</v>
          </cell>
          <cell r="C5742" t="str">
            <v>mataxfc</v>
          </cell>
          <cell r="D5742">
            <v>5.935760498046875</v>
          </cell>
          <cell r="F5742" t="str">
            <v>14 Aug 2024</v>
          </cell>
        </row>
        <row r="5743">
          <cell r="A5743" t="str">
            <v>IND</v>
          </cell>
          <cell r="B5743">
            <v>2013</v>
          </cell>
          <cell r="C5743" t="str">
            <v>maimpz</v>
          </cell>
          <cell r="D5743">
            <v>-8.1458005905151367</v>
          </cell>
          <cell r="F5743" t="str">
            <v>14 Aug 2024</v>
          </cell>
        </row>
        <row r="5744">
          <cell r="A5744" t="str">
            <v>IND</v>
          </cell>
          <cell r="B5744">
            <v>2016</v>
          </cell>
          <cell r="C5744" t="str">
            <v>malabz</v>
          </cell>
          <cell r="D5744">
            <v>1.9233814477920532</v>
          </cell>
          <cell r="F5744" t="str">
            <v>14 Aug 2024</v>
          </cell>
        </row>
        <row r="5745">
          <cell r="A5745" t="str">
            <v>IND</v>
          </cell>
          <cell r="B5745">
            <v>2018</v>
          </cell>
          <cell r="C5745" t="str">
            <v>madeficit_</v>
          </cell>
          <cell r="D5745">
            <v>-5.8346467018127441</v>
          </cell>
          <cell r="F5745" t="str">
            <v>14 Aug 2024</v>
          </cell>
        </row>
        <row r="5746">
          <cell r="A5746" t="str">
            <v>IND</v>
          </cell>
          <cell r="B5746">
            <v>2013</v>
          </cell>
          <cell r="C5746" t="str">
            <v>macpiz</v>
          </cell>
          <cell r="D5746">
            <v>9.4313859939575195</v>
          </cell>
          <cell r="F5746" t="str">
            <v>14 Aug 2024</v>
          </cell>
        </row>
        <row r="5747">
          <cell r="A5747" t="str">
            <v>IND</v>
          </cell>
          <cell r="B5747">
            <v>2009</v>
          </cell>
          <cell r="C5747" t="str">
            <v>magdpz</v>
          </cell>
          <cell r="D5747">
            <v>7.8618888854980469</v>
          </cell>
          <cell r="F5747" t="str">
            <v>14 Aug 2024</v>
          </cell>
        </row>
        <row r="5748">
          <cell r="A5748" t="str">
            <v>IND</v>
          </cell>
          <cell r="B5748">
            <v>2014</v>
          </cell>
          <cell r="C5748" t="str">
            <v>madebt_</v>
          </cell>
          <cell r="D5748">
            <v>66.5753173828125</v>
          </cell>
          <cell r="F5748" t="str">
            <v>14 Aug 2024</v>
          </cell>
        </row>
        <row r="5749">
          <cell r="A5749" t="str">
            <v>IND</v>
          </cell>
          <cell r="B5749">
            <v>2017</v>
          </cell>
          <cell r="C5749" t="str">
            <v>mar_impz</v>
          </cell>
          <cell r="D5749">
            <v>23.418575286865234</v>
          </cell>
          <cell r="F5749" t="str">
            <v>14 Aug 2024</v>
          </cell>
        </row>
        <row r="5750">
          <cell r="A5750" t="str">
            <v>IND</v>
          </cell>
          <cell r="B5750">
            <v>2014</v>
          </cell>
          <cell r="C5750" t="str">
            <v>macpiz</v>
          </cell>
          <cell r="D5750">
            <v>5.9269161224365234</v>
          </cell>
          <cell r="F5750" t="str">
            <v>14 Aug 2024</v>
          </cell>
        </row>
        <row r="5751">
          <cell r="A5751" t="str">
            <v>IND</v>
          </cell>
          <cell r="B5751">
            <v>2022</v>
          </cell>
          <cell r="C5751" t="str">
            <v>mar_con</v>
          </cell>
          <cell r="D5751">
            <v>58.014907836914063</v>
          </cell>
          <cell r="F5751" t="str">
            <v>14 Aug 2024</v>
          </cell>
        </row>
        <row r="5752">
          <cell r="A5752" t="str">
            <v>IND</v>
          </cell>
          <cell r="B5752">
            <v>2011</v>
          </cell>
          <cell r="C5752" t="str">
            <v>madebt_</v>
          </cell>
          <cell r="D5752">
            <v>67.357215881347656</v>
          </cell>
          <cell r="F5752" t="str">
            <v>14 Aug 2024</v>
          </cell>
        </row>
        <row r="5753">
          <cell r="A5753" t="str">
            <v>IND</v>
          </cell>
          <cell r="B5753">
            <v>2026</v>
          </cell>
          <cell r="C5753" t="str">
            <v>maagrfc</v>
          </cell>
          <cell r="D5753">
            <v>4</v>
          </cell>
          <cell r="F5753" t="str">
            <v>14 Aug 2024</v>
          </cell>
        </row>
        <row r="5754">
          <cell r="A5754" t="str">
            <v>IND</v>
          </cell>
          <cell r="B5754">
            <v>2015</v>
          </cell>
          <cell r="C5754" t="str">
            <v>maimpz</v>
          </cell>
          <cell r="D5754">
            <v>-5.850043773651123</v>
          </cell>
          <cell r="F5754" t="str">
            <v>14 Aug 2024</v>
          </cell>
        </row>
        <row r="5755">
          <cell r="A5755" t="str">
            <v>IND</v>
          </cell>
          <cell r="B5755">
            <v>2008</v>
          </cell>
          <cell r="C5755" t="str">
            <v>mar_indfc</v>
          </cell>
          <cell r="D5755">
            <v>32.441249847412109</v>
          </cell>
          <cell r="F5755" t="str">
            <v>14 Aug 2024</v>
          </cell>
        </row>
        <row r="5756">
          <cell r="A5756" t="str">
            <v>IND</v>
          </cell>
          <cell r="B5756">
            <v>2015</v>
          </cell>
          <cell r="C5756" t="str">
            <v>mafdi_</v>
          </cell>
          <cell r="D5756">
            <v>-1.712165355682373</v>
          </cell>
          <cell r="F5756" t="str">
            <v>14 Aug 2024</v>
          </cell>
        </row>
        <row r="5757">
          <cell r="A5757" t="str">
            <v>IND</v>
          </cell>
          <cell r="B5757">
            <v>2007</v>
          </cell>
          <cell r="C5757" t="str">
            <v>maimpz</v>
          </cell>
          <cell r="D5757">
            <v>9.9515867233276367</v>
          </cell>
          <cell r="F5757" t="str">
            <v>14 Aug 2024</v>
          </cell>
        </row>
        <row r="5758">
          <cell r="A5758" t="str">
            <v>IND</v>
          </cell>
          <cell r="B5758">
            <v>2022</v>
          </cell>
          <cell r="C5758" t="str">
            <v>malabz</v>
          </cell>
          <cell r="D5758">
            <v>1.1992725133895874</v>
          </cell>
          <cell r="F5758" t="str">
            <v>14 Aug 2024</v>
          </cell>
        </row>
        <row r="5759">
          <cell r="A5759" t="str">
            <v>IND</v>
          </cell>
          <cell r="B5759">
            <v>2022</v>
          </cell>
          <cell r="C5759" t="str">
            <v>madebt_</v>
          </cell>
          <cell r="D5759">
            <v>82.469306945800781</v>
          </cell>
          <cell r="F5759" t="str">
            <v>14 Aug 2024</v>
          </cell>
        </row>
        <row r="5760">
          <cell r="A5760" t="str">
            <v>IND</v>
          </cell>
          <cell r="B5760">
            <v>2013</v>
          </cell>
          <cell r="C5760" t="str">
            <v>maagrfc</v>
          </cell>
          <cell r="D5760">
            <v>5.5704755783081055</v>
          </cell>
          <cell r="F5760" t="str">
            <v>14 Aug 2024</v>
          </cell>
        </row>
        <row r="5761">
          <cell r="A5761" t="str">
            <v>IND</v>
          </cell>
          <cell r="B5761">
            <v>2013</v>
          </cell>
          <cell r="C5761" t="str">
            <v>madeficit_</v>
          </cell>
          <cell r="D5761">
            <v>-6.6738710403442383</v>
          </cell>
          <cell r="F5761" t="str">
            <v>14 Aug 2024</v>
          </cell>
        </row>
        <row r="5762">
          <cell r="A5762" t="str">
            <v>IND</v>
          </cell>
          <cell r="B5762">
            <v>2019</v>
          </cell>
          <cell r="C5762" t="str">
            <v>madebt_</v>
          </cell>
          <cell r="D5762">
            <v>75.219810485839844</v>
          </cell>
          <cell r="F5762" t="str">
            <v>14 Aug 2024</v>
          </cell>
        </row>
        <row r="5763">
          <cell r="A5763" t="str">
            <v>IND</v>
          </cell>
          <cell r="B5763">
            <v>2020</v>
          </cell>
          <cell r="C5763" t="str">
            <v>magovz</v>
          </cell>
          <cell r="D5763">
            <v>-0.76975387334823608</v>
          </cell>
          <cell r="F5763" t="str">
            <v>14 Aug 2024</v>
          </cell>
        </row>
        <row r="5764">
          <cell r="A5764" t="str">
            <v>IND</v>
          </cell>
          <cell r="B5764">
            <v>2008</v>
          </cell>
          <cell r="C5764" t="str">
            <v>mataxfc</v>
          </cell>
          <cell r="D5764">
            <v>-13.159848213195801</v>
          </cell>
          <cell r="F5764" t="str">
            <v>14 Aug 2024</v>
          </cell>
        </row>
        <row r="5765">
          <cell r="A5765" t="str">
            <v>IND</v>
          </cell>
          <cell r="B5765">
            <v>2020</v>
          </cell>
          <cell r="C5765" t="str">
            <v>mapanusatls</v>
          </cell>
          <cell r="D5765">
            <v>74.201034545898438</v>
          </cell>
          <cell r="F5765" t="str">
            <v>14 Aug 2024</v>
          </cell>
        </row>
        <row r="5766">
          <cell r="A5766" t="str">
            <v>IND</v>
          </cell>
          <cell r="B5766">
            <v>2019</v>
          </cell>
          <cell r="C5766" t="str">
            <v>macab_</v>
          </cell>
          <cell r="D5766">
            <v>-0.86556136608123779</v>
          </cell>
          <cell r="F5766" t="str">
            <v>14 Aug 2024</v>
          </cell>
        </row>
        <row r="5767">
          <cell r="A5767" t="str">
            <v>IND</v>
          </cell>
          <cell r="B5767">
            <v>2019</v>
          </cell>
          <cell r="C5767" t="str">
            <v>maindfc</v>
          </cell>
          <cell r="D5767">
            <v>-1.4000327587127686</v>
          </cell>
          <cell r="F5767" t="str">
            <v>14 Aug 2024</v>
          </cell>
        </row>
        <row r="5768">
          <cell r="A5768" t="str">
            <v>IND</v>
          </cell>
          <cell r="B5768">
            <v>2009</v>
          </cell>
          <cell r="C5768" t="str">
            <v>maindfc</v>
          </cell>
          <cell r="D5768">
            <v>8.8445730209350586</v>
          </cell>
          <cell r="F5768" t="str">
            <v>14 Aug 2024</v>
          </cell>
        </row>
        <row r="5769">
          <cell r="A5769" t="str">
            <v>IND</v>
          </cell>
          <cell r="B5769">
            <v>2016</v>
          </cell>
          <cell r="C5769" t="str">
            <v>macab_</v>
          </cell>
          <cell r="D5769">
            <v>-0.62549281120300293</v>
          </cell>
          <cell r="F5769" t="str">
            <v>14 Aug 2024</v>
          </cell>
        </row>
        <row r="5770">
          <cell r="A5770" t="str">
            <v>IND</v>
          </cell>
          <cell r="B5770">
            <v>2006</v>
          </cell>
          <cell r="C5770" t="str">
            <v>malabz</v>
          </cell>
          <cell r="D5770">
            <v>2.1681003570556641</v>
          </cell>
          <cell r="F5770" t="str">
            <v>14 Aug 2024</v>
          </cell>
        </row>
        <row r="5771">
          <cell r="A5771" t="str">
            <v>IND</v>
          </cell>
          <cell r="B5771">
            <v>2015</v>
          </cell>
          <cell r="C5771" t="str">
            <v>madeficit_</v>
          </cell>
          <cell r="D5771">
            <v>-6.915616512298584</v>
          </cell>
          <cell r="F5771" t="str">
            <v>14 Aug 2024</v>
          </cell>
        </row>
        <row r="5772">
          <cell r="A5772" t="str">
            <v>IND</v>
          </cell>
          <cell r="B5772">
            <v>2009</v>
          </cell>
          <cell r="C5772" t="str">
            <v>magap_</v>
          </cell>
          <cell r="D5772">
            <v>-0.25627347826957703</v>
          </cell>
          <cell r="F5772" t="str">
            <v>14 Aug 2024</v>
          </cell>
        </row>
        <row r="5773">
          <cell r="A5773" t="str">
            <v>IND</v>
          </cell>
          <cell r="B5773">
            <v>2006</v>
          </cell>
          <cell r="C5773" t="str">
            <v>mar_con</v>
          </cell>
          <cell r="D5773">
            <v>56.957496643066406</v>
          </cell>
          <cell r="F5773" t="str">
            <v>14 Aug 2024</v>
          </cell>
        </row>
        <row r="5774">
          <cell r="A5774" t="str">
            <v>IND</v>
          </cell>
          <cell r="B5774">
            <v>2009</v>
          </cell>
          <cell r="C5774" t="str">
            <v>mar_agrfc</v>
          </cell>
          <cell r="D5774">
            <v>18.193851470947266</v>
          </cell>
          <cell r="F5774" t="str">
            <v>14 Aug 2024</v>
          </cell>
        </row>
        <row r="5775">
          <cell r="A5775" t="str">
            <v>IND</v>
          </cell>
          <cell r="B5775">
            <v>2021</v>
          </cell>
          <cell r="C5775" t="str">
            <v>maconz</v>
          </cell>
          <cell r="D5775">
            <v>11.676754951477051</v>
          </cell>
          <cell r="F5775" t="str">
            <v>14 Aug 2024</v>
          </cell>
        </row>
        <row r="5776">
          <cell r="A5776" t="str">
            <v>IND</v>
          </cell>
          <cell r="B5776">
            <v>2005</v>
          </cell>
          <cell r="C5776" t="str">
            <v>maindfc</v>
          </cell>
          <cell r="D5776">
            <v>9.5732879638671875</v>
          </cell>
          <cell r="F5776" t="str">
            <v>14 Aug 2024</v>
          </cell>
        </row>
        <row r="5777">
          <cell r="A5777" t="str">
            <v>IND</v>
          </cell>
          <cell r="B5777">
            <v>2008</v>
          </cell>
          <cell r="C5777" t="str">
            <v>mar_expz</v>
          </cell>
          <cell r="D5777">
            <v>23.016080856323242</v>
          </cell>
          <cell r="F5777" t="str">
            <v>14 Aug 2024</v>
          </cell>
        </row>
        <row r="5778">
          <cell r="A5778" t="str">
            <v>IND</v>
          </cell>
          <cell r="B5778">
            <v>2018</v>
          </cell>
          <cell r="C5778" t="str">
            <v>matfpz</v>
          </cell>
          <cell r="D5778">
            <v>2.1465902328491211</v>
          </cell>
          <cell r="F5778" t="str">
            <v>14 Aug 2024</v>
          </cell>
        </row>
        <row r="5779">
          <cell r="A5779" t="str">
            <v>IND</v>
          </cell>
          <cell r="B5779">
            <v>2023</v>
          </cell>
          <cell r="C5779" t="str">
            <v>mar_agrfc</v>
          </cell>
          <cell r="D5779">
            <v>14.466111183166504</v>
          </cell>
          <cell r="F5779" t="str">
            <v>14 Aug 2024</v>
          </cell>
        </row>
        <row r="5780">
          <cell r="A5780" t="str">
            <v>IND</v>
          </cell>
          <cell r="B5780">
            <v>2018</v>
          </cell>
          <cell r="C5780" t="str">
            <v>mafdi_</v>
          </cell>
          <cell r="D5780">
            <v>-1.1356953382492065</v>
          </cell>
          <cell r="F5780" t="str">
            <v>14 Aug 2024</v>
          </cell>
        </row>
        <row r="5781">
          <cell r="A5781" t="str">
            <v>IND</v>
          </cell>
          <cell r="B5781">
            <v>2008</v>
          </cell>
          <cell r="C5781" t="str">
            <v>macab_</v>
          </cell>
          <cell r="D5781">
            <v>-2.3281664848327637</v>
          </cell>
          <cell r="F5781" t="str">
            <v>14 Aug 2024</v>
          </cell>
        </row>
        <row r="5782">
          <cell r="A5782" t="str">
            <v>IND</v>
          </cell>
          <cell r="B5782">
            <v>2019</v>
          </cell>
          <cell r="C5782" t="str">
            <v>mar_expz</v>
          </cell>
          <cell r="D5782">
            <v>19.359912872314453</v>
          </cell>
          <cell r="F5782" t="str">
            <v>14 Aug 2024</v>
          </cell>
        </row>
        <row r="5783">
          <cell r="A5783" t="str">
            <v>IND</v>
          </cell>
          <cell r="B5783">
            <v>2008</v>
          </cell>
          <cell r="C5783" t="str">
            <v>maagrfc</v>
          </cell>
          <cell r="D5783">
            <v>-0.24419271945953369</v>
          </cell>
          <cell r="F5783" t="str">
            <v>14 Aug 2024</v>
          </cell>
        </row>
        <row r="5784">
          <cell r="A5784" t="str">
            <v>IND</v>
          </cell>
          <cell r="B5784">
            <v>2010</v>
          </cell>
          <cell r="C5784" t="str">
            <v>matfpz</v>
          </cell>
          <cell r="D5784">
            <v>1.9799666404724121</v>
          </cell>
          <cell r="F5784" t="str">
            <v>14 Aug 2024</v>
          </cell>
        </row>
        <row r="5785">
          <cell r="A5785" t="str">
            <v>IND</v>
          </cell>
          <cell r="B5785">
            <v>2020</v>
          </cell>
          <cell r="C5785" t="str">
            <v>masrvfc</v>
          </cell>
          <cell r="D5785">
            <v>-8.3515729904174805</v>
          </cell>
          <cell r="F5785" t="str">
            <v>14 Aug 2024</v>
          </cell>
        </row>
        <row r="5786">
          <cell r="A5786" t="str">
            <v>IND</v>
          </cell>
          <cell r="B5786">
            <v>2018</v>
          </cell>
          <cell r="C5786" t="str">
            <v>mac_labz</v>
          </cell>
          <cell r="D5786">
            <v>1.2617745399475098</v>
          </cell>
          <cell r="F5786" t="str">
            <v>14 Aug 2024</v>
          </cell>
        </row>
        <row r="5787">
          <cell r="A5787" t="str">
            <v>IND</v>
          </cell>
          <cell r="B5787">
            <v>2013</v>
          </cell>
          <cell r="C5787" t="str">
            <v>magap_</v>
          </cell>
          <cell r="D5787">
            <v>-2.4330720901489258</v>
          </cell>
          <cell r="F5787" t="str">
            <v>14 Aug 2024</v>
          </cell>
        </row>
        <row r="5788">
          <cell r="A5788" t="str">
            <v>IND</v>
          </cell>
          <cell r="B5788">
            <v>2013</v>
          </cell>
          <cell r="C5788" t="str">
            <v>maindfc</v>
          </cell>
          <cell r="D5788">
            <v>3.7858901023864746</v>
          </cell>
          <cell r="F5788" t="str">
            <v>14 Aug 2024</v>
          </cell>
        </row>
        <row r="5789">
          <cell r="A5789" t="str">
            <v>IND</v>
          </cell>
          <cell r="B5789">
            <v>2009</v>
          </cell>
          <cell r="C5789" t="str">
            <v>mar_con</v>
          </cell>
          <cell r="D5789">
            <v>55.983207702636719</v>
          </cell>
          <cell r="F5789" t="str">
            <v>14 Aug 2024</v>
          </cell>
        </row>
        <row r="5790">
          <cell r="A5790" t="str">
            <v>IND</v>
          </cell>
          <cell r="B5790">
            <v>2008</v>
          </cell>
          <cell r="C5790" t="str">
            <v>mafdi_</v>
          </cell>
          <cell r="D5790">
            <v>-1.865904688835144</v>
          </cell>
          <cell r="F5790" t="str">
            <v>14 Aug 2024</v>
          </cell>
        </row>
        <row r="5791">
          <cell r="A5791" t="str">
            <v>IND</v>
          </cell>
          <cell r="B5791">
            <v>2010</v>
          </cell>
          <cell r="C5791" t="str">
            <v>macpiz</v>
          </cell>
          <cell r="D5791">
            <v>10.983650207519531</v>
          </cell>
          <cell r="F5791" t="str">
            <v>14 Aug 2024</v>
          </cell>
        </row>
        <row r="5792">
          <cell r="A5792" t="str">
            <v>IND</v>
          </cell>
          <cell r="B5792">
            <v>2021</v>
          </cell>
          <cell r="C5792" t="str">
            <v>maagrfc</v>
          </cell>
          <cell r="D5792">
            <v>4.6231555938720703</v>
          </cell>
          <cell r="F5792" t="str">
            <v>14 Aug 2024</v>
          </cell>
        </row>
        <row r="5793">
          <cell r="A5793" t="str">
            <v>IND</v>
          </cell>
          <cell r="B5793">
            <v>2008</v>
          </cell>
          <cell r="C5793" t="str">
            <v>maimpz</v>
          </cell>
          <cell r="D5793">
            <v>22.448625564575195</v>
          </cell>
          <cell r="F5793" t="str">
            <v>14 Aug 2024</v>
          </cell>
        </row>
        <row r="5794">
          <cell r="A5794" t="str">
            <v>IND</v>
          </cell>
          <cell r="B5794">
            <v>2026</v>
          </cell>
          <cell r="C5794" t="str">
            <v>mac_labz</v>
          </cell>
          <cell r="D5794">
            <v>0.97572243213653564</v>
          </cell>
          <cell r="F5794" t="str">
            <v>14 Aug 2024</v>
          </cell>
        </row>
        <row r="5795">
          <cell r="A5795" t="str">
            <v>IND</v>
          </cell>
          <cell r="B5795">
            <v>2013</v>
          </cell>
          <cell r="C5795" t="str">
            <v>magovz</v>
          </cell>
          <cell r="D5795">
            <v>0.5709083080291748</v>
          </cell>
          <cell r="F5795" t="str">
            <v>14 Aug 2024</v>
          </cell>
        </row>
        <row r="5796">
          <cell r="A5796" t="str">
            <v>IND</v>
          </cell>
          <cell r="B5796">
            <v>2024</v>
          </cell>
          <cell r="C5796" t="str">
            <v>mar_indfc</v>
          </cell>
          <cell r="D5796">
            <v>31.081356048583984</v>
          </cell>
          <cell r="F5796" t="str">
            <v>14 Aug 2024</v>
          </cell>
        </row>
        <row r="5797">
          <cell r="A5797" t="str">
            <v>IND</v>
          </cell>
          <cell r="B5797">
            <v>2006</v>
          </cell>
          <cell r="C5797" t="str">
            <v>mar_impz</v>
          </cell>
          <cell r="D5797">
            <v>23.074485778808594</v>
          </cell>
          <cell r="F5797" t="str">
            <v>14 Aug 2024</v>
          </cell>
        </row>
        <row r="5798">
          <cell r="A5798" t="str">
            <v>IND</v>
          </cell>
          <cell r="B5798">
            <v>2022</v>
          </cell>
          <cell r="C5798" t="str">
            <v>mar_expz</v>
          </cell>
          <cell r="D5798">
            <v>23.941505432128906</v>
          </cell>
          <cell r="F5798" t="str">
            <v>14 Aug 2024</v>
          </cell>
        </row>
        <row r="5799">
          <cell r="A5799" t="str">
            <v>IND</v>
          </cell>
          <cell r="B5799">
            <v>2026</v>
          </cell>
          <cell r="C5799" t="str">
            <v>maimpz</v>
          </cell>
          <cell r="D5799">
            <v>8.5</v>
          </cell>
          <cell r="F5799" t="str">
            <v>14 Aug 2024</v>
          </cell>
        </row>
        <row r="5800">
          <cell r="A5800" t="str">
            <v>IND</v>
          </cell>
          <cell r="B5800">
            <v>2011</v>
          </cell>
          <cell r="C5800" t="str">
            <v>mar_expz</v>
          </cell>
          <cell r="D5800">
            <v>24.540410995483398</v>
          </cell>
          <cell r="F5800" t="str">
            <v>14 Aug 2024</v>
          </cell>
        </row>
        <row r="5801">
          <cell r="A5801" t="str">
            <v>IND</v>
          </cell>
          <cell r="B5801">
            <v>2005</v>
          </cell>
          <cell r="C5801" t="str">
            <v>maexpz</v>
          </cell>
          <cell r="D5801">
            <v>26.085075378417969</v>
          </cell>
          <cell r="F5801" t="str">
            <v>14 Aug 2024</v>
          </cell>
        </row>
        <row r="5802">
          <cell r="A5802" t="str">
            <v>IND</v>
          </cell>
          <cell r="B5802">
            <v>2006</v>
          </cell>
          <cell r="C5802" t="str">
            <v>mareer</v>
          </cell>
          <cell r="D5802">
            <v>92.73992919921875</v>
          </cell>
          <cell r="F5802" t="str">
            <v>14 Aug 2024</v>
          </cell>
        </row>
        <row r="5803">
          <cell r="A5803" t="str">
            <v>IND</v>
          </cell>
          <cell r="B5803">
            <v>2018</v>
          </cell>
          <cell r="C5803" t="str">
            <v>maindfc</v>
          </cell>
          <cell r="D5803">
            <v>5.3164114952087402</v>
          </cell>
          <cell r="F5803" t="str">
            <v>14 Aug 2024</v>
          </cell>
        </row>
        <row r="5804">
          <cell r="A5804" t="str">
            <v>IND</v>
          </cell>
          <cell r="B5804">
            <v>2026</v>
          </cell>
          <cell r="C5804" t="str">
            <v>maindfc</v>
          </cell>
          <cell r="D5804">
            <v>7.0999999046325684</v>
          </cell>
          <cell r="F5804" t="str">
            <v>14 Aug 2024</v>
          </cell>
        </row>
        <row r="5805">
          <cell r="A5805" t="str">
            <v>IND</v>
          </cell>
          <cell r="B5805">
            <v>2010</v>
          </cell>
          <cell r="C5805" t="str">
            <v>mataxfc</v>
          </cell>
          <cell r="D5805">
            <v>14.921598434448242</v>
          </cell>
          <cell r="F5805" t="str">
            <v>14 Aug 2024</v>
          </cell>
        </row>
        <row r="5806">
          <cell r="A5806" t="str">
            <v>IND</v>
          </cell>
          <cell r="B5806">
            <v>2018</v>
          </cell>
          <cell r="C5806" t="str">
            <v>macpiz</v>
          </cell>
          <cell r="D5806">
            <v>3.4135801792144775</v>
          </cell>
          <cell r="F5806" t="str">
            <v>14 Aug 2024</v>
          </cell>
        </row>
        <row r="5807">
          <cell r="A5807" t="str">
            <v>IND</v>
          </cell>
          <cell r="B5807">
            <v>2013</v>
          </cell>
          <cell r="C5807" t="str">
            <v>magdpz</v>
          </cell>
          <cell r="D5807">
            <v>6.3861083984375</v>
          </cell>
          <cell r="F5807" t="str">
            <v>14 Aug 2024</v>
          </cell>
        </row>
        <row r="5808">
          <cell r="A5808" t="str">
            <v>IND</v>
          </cell>
          <cell r="B5808">
            <v>2013</v>
          </cell>
          <cell r="C5808" t="str">
            <v>mar_indfc</v>
          </cell>
          <cell r="D5808">
            <v>31.159500122070313</v>
          </cell>
          <cell r="F5808" t="str">
            <v>14 Aug 2024</v>
          </cell>
        </row>
        <row r="5809">
          <cell r="A5809" t="str">
            <v>IND</v>
          </cell>
          <cell r="B5809">
            <v>2009</v>
          </cell>
          <cell r="C5809" t="str">
            <v>maagrfc</v>
          </cell>
          <cell r="D5809">
            <v>-0.88022971153259277</v>
          </cell>
          <cell r="F5809" t="str">
            <v>14 Aug 2024</v>
          </cell>
        </row>
        <row r="5810">
          <cell r="A5810" t="str">
            <v>IND</v>
          </cell>
          <cell r="B5810">
            <v>2024</v>
          </cell>
          <cell r="C5810" t="str">
            <v>mar_expz</v>
          </cell>
          <cell r="D5810">
            <v>22.50398063659668</v>
          </cell>
          <cell r="F5810" t="str">
            <v>14 Aug 2024</v>
          </cell>
        </row>
        <row r="5811">
          <cell r="A5811" t="str">
            <v>IND</v>
          </cell>
          <cell r="B5811">
            <v>2006</v>
          </cell>
          <cell r="C5811" t="str">
            <v>mataxfc</v>
          </cell>
          <cell r="D5811">
            <v>8.1478729248046875</v>
          </cell>
          <cell r="F5811" t="str">
            <v>14 Aug 2024</v>
          </cell>
        </row>
        <row r="5812">
          <cell r="A5812" t="str">
            <v>IND</v>
          </cell>
          <cell r="B5812">
            <v>2019</v>
          </cell>
          <cell r="C5812" t="str">
            <v>maexpz</v>
          </cell>
          <cell r="D5812">
            <v>-3.3849780559539795</v>
          </cell>
          <cell r="F5812" t="str">
            <v>14 Aug 2024</v>
          </cell>
        </row>
        <row r="5813">
          <cell r="A5813" t="str">
            <v>IND</v>
          </cell>
          <cell r="B5813">
            <v>2017</v>
          </cell>
          <cell r="C5813" t="str">
            <v>masrvfc</v>
          </cell>
          <cell r="D5813">
            <v>6.3430628776550293</v>
          </cell>
          <cell r="F5813" t="str">
            <v>14 Aug 2024</v>
          </cell>
        </row>
        <row r="5814">
          <cell r="A5814" t="str">
            <v>IND</v>
          </cell>
          <cell r="B5814">
            <v>2021</v>
          </cell>
          <cell r="C5814" t="str">
            <v>madeficit_</v>
          </cell>
          <cell r="D5814">
            <v>-9.4525375366210938</v>
          </cell>
          <cell r="F5814" t="str">
            <v>14 Aug 2024</v>
          </cell>
        </row>
        <row r="5815">
          <cell r="A5815" t="str">
            <v>IND</v>
          </cell>
          <cell r="B5815">
            <v>2006</v>
          </cell>
          <cell r="C5815" t="str">
            <v>magovz</v>
          </cell>
          <cell r="D5815">
            <v>4.0534000396728516</v>
          </cell>
          <cell r="F5815" t="str">
            <v>14 Aug 2024</v>
          </cell>
        </row>
        <row r="5816">
          <cell r="A5816" t="str">
            <v>IND</v>
          </cell>
          <cell r="B5816">
            <v>2020</v>
          </cell>
          <cell r="C5816" t="str">
            <v>mar_taxfc</v>
          </cell>
          <cell r="D5816">
            <v>7.9411783218383789</v>
          </cell>
          <cell r="F5816" t="str">
            <v>14 Aug 2024</v>
          </cell>
        </row>
        <row r="5817">
          <cell r="A5817" t="str">
            <v>IND</v>
          </cell>
          <cell r="B5817">
            <v>2006</v>
          </cell>
          <cell r="C5817" t="str">
            <v>mar_indfc</v>
          </cell>
          <cell r="D5817">
            <v>32.346012115478516</v>
          </cell>
          <cell r="F5817" t="str">
            <v>14 Aug 2024</v>
          </cell>
        </row>
        <row r="5818">
          <cell r="A5818" t="str">
            <v>IND</v>
          </cell>
          <cell r="B5818">
            <v>2010</v>
          </cell>
          <cell r="C5818" t="str">
            <v>malabz</v>
          </cell>
          <cell r="D5818">
            <v>2.0304522514343262</v>
          </cell>
          <cell r="F5818" t="str">
            <v>14 Aug 2024</v>
          </cell>
        </row>
        <row r="5819">
          <cell r="A5819" t="str">
            <v>IND</v>
          </cell>
          <cell r="B5819">
            <v>2012</v>
          </cell>
          <cell r="C5819" t="str">
            <v>maindfc</v>
          </cell>
          <cell r="D5819">
            <v>3.269181489944458</v>
          </cell>
          <cell r="F5819" t="str">
            <v>14 Aug 2024</v>
          </cell>
        </row>
        <row r="5820">
          <cell r="A5820" t="str">
            <v>IND</v>
          </cell>
          <cell r="B5820">
            <v>2015</v>
          </cell>
          <cell r="C5820" t="str">
            <v>mac_tfpz</v>
          </cell>
          <cell r="D5820">
            <v>2.236285924911499</v>
          </cell>
          <cell r="F5820" t="str">
            <v>14 Aug 2024</v>
          </cell>
        </row>
        <row r="5821">
          <cell r="A5821" t="str">
            <v>IND</v>
          </cell>
          <cell r="B5821">
            <v>2016</v>
          </cell>
          <cell r="C5821" t="str">
            <v>mareer</v>
          </cell>
          <cell r="D5821">
            <v>102.49609375</v>
          </cell>
          <cell r="F5821" t="str">
            <v>14 Aug 2024</v>
          </cell>
        </row>
        <row r="5822">
          <cell r="A5822" t="str">
            <v>IND</v>
          </cell>
          <cell r="B5822">
            <v>2010</v>
          </cell>
          <cell r="C5822" t="str">
            <v>mar_agrfc</v>
          </cell>
          <cell r="D5822">
            <v>18.322164535522461</v>
          </cell>
          <cell r="F5822" t="str">
            <v>14 Aug 2024</v>
          </cell>
        </row>
        <row r="5823">
          <cell r="A5823" t="str">
            <v>IND</v>
          </cell>
          <cell r="B5823">
            <v>2015</v>
          </cell>
          <cell r="C5823" t="str">
            <v>matfpz</v>
          </cell>
          <cell r="D5823">
            <v>2.236285924911499</v>
          </cell>
          <cell r="F5823" t="str">
            <v>14 Aug 2024</v>
          </cell>
        </row>
        <row r="5824">
          <cell r="A5824" t="str">
            <v>IND</v>
          </cell>
          <cell r="B5824">
            <v>2021</v>
          </cell>
          <cell r="C5824" t="str">
            <v>mataxfc</v>
          </cell>
          <cell r="D5824">
            <v>13.645477294921875</v>
          </cell>
          <cell r="F5824" t="str">
            <v>14 Aug 2024</v>
          </cell>
        </row>
        <row r="5825">
          <cell r="A5825" t="str">
            <v>IND</v>
          </cell>
          <cell r="B5825">
            <v>2019</v>
          </cell>
          <cell r="C5825" t="str">
            <v>masrvfc</v>
          </cell>
          <cell r="D5825">
            <v>6.4295077323913574</v>
          </cell>
          <cell r="F5825" t="str">
            <v>14 Aug 2024</v>
          </cell>
        </row>
        <row r="5826">
          <cell r="A5826" t="str">
            <v>IND</v>
          </cell>
          <cell r="B5826">
            <v>2026</v>
          </cell>
          <cell r="C5826" t="str">
            <v>maexpz</v>
          </cell>
          <cell r="D5826">
            <v>8.1999998092651367</v>
          </cell>
          <cell r="F5826" t="str">
            <v>14 Aug 2024</v>
          </cell>
        </row>
        <row r="5827">
          <cell r="A5827" t="str">
            <v>IND</v>
          </cell>
          <cell r="B5827">
            <v>2007</v>
          </cell>
          <cell r="C5827" t="str">
            <v>madeficit_</v>
          </cell>
          <cell r="D5827">
            <v>-4.0645866394042969</v>
          </cell>
          <cell r="F5827" t="str">
            <v>14 Aug 2024</v>
          </cell>
        </row>
        <row r="5828">
          <cell r="A5828" t="str">
            <v>IND</v>
          </cell>
          <cell r="B5828">
            <v>2013</v>
          </cell>
          <cell r="C5828" t="str">
            <v>mapanusatls</v>
          </cell>
          <cell r="D5828">
            <v>60.5</v>
          </cell>
          <cell r="F5828" t="str">
            <v>14 Aug 2024</v>
          </cell>
        </row>
        <row r="5829">
          <cell r="A5829" t="str">
            <v>IND</v>
          </cell>
          <cell r="B5829">
            <v>2022</v>
          </cell>
          <cell r="C5829" t="str">
            <v>magap_</v>
          </cell>
          <cell r="D5829">
            <v>0.50293141603469849</v>
          </cell>
          <cell r="F5829" t="str">
            <v>14 Aug 2024</v>
          </cell>
        </row>
        <row r="5830">
          <cell r="A5830" t="str">
            <v>IND</v>
          </cell>
          <cell r="B5830">
            <v>2024</v>
          </cell>
          <cell r="C5830" t="str">
            <v>mar_impz</v>
          </cell>
          <cell r="D5830">
            <v>24.650915145874023</v>
          </cell>
          <cell r="F5830" t="str">
            <v>14 Aug 2024</v>
          </cell>
        </row>
        <row r="5831">
          <cell r="A5831" t="str">
            <v>IND</v>
          </cell>
          <cell r="B5831">
            <v>2012</v>
          </cell>
          <cell r="C5831" t="str">
            <v>mar_con</v>
          </cell>
          <cell r="D5831">
            <v>56.214927673339844</v>
          </cell>
          <cell r="F5831" t="str">
            <v>14 Aug 2024</v>
          </cell>
        </row>
        <row r="5832">
          <cell r="A5832" t="str">
            <v>IND</v>
          </cell>
          <cell r="B5832">
            <v>2024</v>
          </cell>
          <cell r="C5832" t="str">
            <v>mac_tfpz</v>
          </cell>
          <cell r="D5832">
            <v>2.9410800933837891</v>
          </cell>
          <cell r="F5832" t="str">
            <v>14 Aug 2024</v>
          </cell>
        </row>
        <row r="5833">
          <cell r="A5833" t="str">
            <v>IND</v>
          </cell>
          <cell r="B5833">
            <v>2023</v>
          </cell>
          <cell r="C5833" t="str">
            <v>matfpz</v>
          </cell>
          <cell r="D5833">
            <v>3.2243516445159912</v>
          </cell>
          <cell r="F5833" t="str">
            <v>14 Aug 2024</v>
          </cell>
        </row>
        <row r="5834">
          <cell r="A5834" t="str">
            <v>IND</v>
          </cell>
          <cell r="B5834">
            <v>2009</v>
          </cell>
          <cell r="C5834" t="str">
            <v>masrvfc</v>
          </cell>
          <cell r="D5834">
            <v>8.6764688491821289</v>
          </cell>
          <cell r="F5834" t="str">
            <v>14 Aug 2024</v>
          </cell>
        </row>
        <row r="5835">
          <cell r="A5835" t="str">
            <v>IND</v>
          </cell>
          <cell r="B5835">
            <v>2012</v>
          </cell>
          <cell r="C5835" t="str">
            <v>madebt_</v>
          </cell>
          <cell r="D5835">
            <v>66.651351928710938</v>
          </cell>
          <cell r="F5835" t="str">
            <v>14 Aug 2024</v>
          </cell>
        </row>
        <row r="5836">
          <cell r="A5836" t="str">
            <v>IND</v>
          </cell>
          <cell r="B5836">
            <v>2020</v>
          </cell>
          <cell r="C5836" t="str">
            <v>macpiz</v>
          </cell>
          <cell r="D5836">
            <v>6.1645398139953613</v>
          </cell>
          <cell r="F5836" t="str">
            <v>14 Aug 2024</v>
          </cell>
        </row>
        <row r="5837">
          <cell r="A5837" t="str">
            <v>IND</v>
          </cell>
          <cell r="B5837">
            <v>2019</v>
          </cell>
          <cell r="C5837" t="str">
            <v>matfpz</v>
          </cell>
          <cell r="D5837">
            <v>2.0916321277618408</v>
          </cell>
          <cell r="F5837" t="str">
            <v>14 Aug 2024</v>
          </cell>
        </row>
        <row r="5838">
          <cell r="A5838" t="str">
            <v>IND</v>
          </cell>
          <cell r="B5838">
            <v>2024</v>
          </cell>
          <cell r="C5838" t="str">
            <v>mareer</v>
          </cell>
          <cell r="D5838">
            <v>104.70857238769531</v>
          </cell>
          <cell r="F5838" t="str">
            <v>14 Aug 2024</v>
          </cell>
        </row>
        <row r="5839">
          <cell r="A5839" t="str">
            <v>IND</v>
          </cell>
          <cell r="B5839">
            <v>2010</v>
          </cell>
          <cell r="C5839" t="str">
            <v>maconz</v>
          </cell>
          <cell r="D5839">
            <v>6.7204084396362305</v>
          </cell>
          <cell r="F5839" t="str">
            <v>14 Aug 2024</v>
          </cell>
        </row>
        <row r="5840">
          <cell r="A5840" t="str">
            <v>IND</v>
          </cell>
          <cell r="B5840">
            <v>2008</v>
          </cell>
          <cell r="C5840" t="str">
            <v>maconz</v>
          </cell>
          <cell r="D5840">
            <v>4.4521975517272949</v>
          </cell>
          <cell r="F5840" t="str">
            <v>14 Aug 2024</v>
          </cell>
        </row>
        <row r="5841">
          <cell r="A5841" t="str">
            <v>IND</v>
          </cell>
          <cell r="B5841">
            <v>2016</v>
          </cell>
          <cell r="C5841" t="str">
            <v>matfpz</v>
          </cell>
          <cell r="D5841">
            <v>2.2388143539428711</v>
          </cell>
          <cell r="F5841" t="str">
            <v>14 Aug 2024</v>
          </cell>
        </row>
        <row r="5842">
          <cell r="A5842" t="str">
            <v>IND</v>
          </cell>
          <cell r="B5842">
            <v>2025</v>
          </cell>
          <cell r="C5842" t="str">
            <v>maconz</v>
          </cell>
          <cell r="D5842">
            <v>6.3000001907348633</v>
          </cell>
          <cell r="F5842" t="str">
            <v>14 Aug 2024</v>
          </cell>
        </row>
        <row r="5843">
          <cell r="A5843" t="str">
            <v>IND</v>
          </cell>
          <cell r="B5843">
            <v>2017</v>
          </cell>
          <cell r="C5843" t="str">
            <v>mac_labz</v>
          </cell>
          <cell r="D5843">
            <v>1.3288689851760864</v>
          </cell>
          <cell r="F5843" t="str">
            <v>14 Aug 2024</v>
          </cell>
        </row>
        <row r="5844">
          <cell r="A5844" t="str">
            <v>IND</v>
          </cell>
          <cell r="B5844">
            <v>2015</v>
          </cell>
          <cell r="C5844" t="str">
            <v>mar_indfc</v>
          </cell>
          <cell r="D5844">
            <v>31.560781478881836</v>
          </cell>
          <cell r="F5844" t="str">
            <v>14 Aug 2024</v>
          </cell>
        </row>
        <row r="5845">
          <cell r="A5845" t="str">
            <v>IND</v>
          </cell>
          <cell r="B5845">
            <v>2025</v>
          </cell>
          <cell r="C5845" t="str">
            <v>maagrfc</v>
          </cell>
          <cell r="D5845">
            <v>3.7000000476837158</v>
          </cell>
          <cell r="F5845" t="str">
            <v>14 Aug 2024</v>
          </cell>
        </row>
        <row r="5846">
          <cell r="A5846" t="str">
            <v>IND</v>
          </cell>
          <cell r="B5846">
            <v>2025</v>
          </cell>
          <cell r="C5846" t="str">
            <v>mainvz</v>
          </cell>
          <cell r="D5846">
            <v>7.6191635131835938</v>
          </cell>
          <cell r="F5846" t="str">
            <v>14 Aug 2024</v>
          </cell>
        </row>
        <row r="5847">
          <cell r="A5847" t="str">
            <v>IND</v>
          </cell>
          <cell r="B5847">
            <v>2014</v>
          </cell>
          <cell r="C5847" t="str">
            <v>mar_impz</v>
          </cell>
          <cell r="D5847">
            <v>25.338886260986328</v>
          </cell>
          <cell r="F5847" t="str">
            <v>14 Aug 2024</v>
          </cell>
        </row>
        <row r="5848">
          <cell r="A5848" t="str">
            <v>IND</v>
          </cell>
          <cell r="B5848">
            <v>2015</v>
          </cell>
          <cell r="C5848" t="str">
            <v>macpiz</v>
          </cell>
          <cell r="D5848">
            <v>4.9081473350524902</v>
          </cell>
          <cell r="F5848" t="str">
            <v>14 Aug 2024</v>
          </cell>
        </row>
        <row r="5849">
          <cell r="A5849" t="str">
            <v>IND</v>
          </cell>
          <cell r="B5849">
            <v>2019</v>
          </cell>
          <cell r="C5849" t="str">
            <v>mar_srvfc</v>
          </cell>
          <cell r="D5849">
            <v>55.308643341064453</v>
          </cell>
          <cell r="F5849" t="str">
            <v>14 Aug 2024</v>
          </cell>
        </row>
        <row r="5850">
          <cell r="A5850" t="str">
            <v>IND</v>
          </cell>
          <cell r="B5850">
            <v>2009</v>
          </cell>
          <cell r="C5850" t="str">
            <v>mar_impz</v>
          </cell>
          <cell r="D5850">
            <v>25.451528549194336</v>
          </cell>
          <cell r="F5850" t="str">
            <v>14 Aug 2024</v>
          </cell>
        </row>
        <row r="5851">
          <cell r="A5851" t="str">
            <v>IND</v>
          </cell>
          <cell r="B5851">
            <v>2006</v>
          </cell>
          <cell r="C5851" t="str">
            <v>mar_taxfc</v>
          </cell>
          <cell r="D5851">
            <v>7.2672371864318848</v>
          </cell>
          <cell r="F5851" t="str">
            <v>14 Aug 2024</v>
          </cell>
        </row>
        <row r="5852">
          <cell r="A5852" t="str">
            <v>IND</v>
          </cell>
          <cell r="B5852">
            <v>2007</v>
          </cell>
          <cell r="C5852" t="str">
            <v>mainvz</v>
          </cell>
          <cell r="D5852">
            <v>16.328899383544922</v>
          </cell>
          <cell r="F5852" t="str">
            <v>14 Aug 2024</v>
          </cell>
        </row>
        <row r="5853">
          <cell r="A5853" t="str">
            <v>IND</v>
          </cell>
          <cell r="B5853">
            <v>2011</v>
          </cell>
          <cell r="C5853" t="str">
            <v>mapanusatls</v>
          </cell>
          <cell r="D5853">
            <v>47.919998168945313</v>
          </cell>
          <cell r="F5853" t="str">
            <v>14 Aug 2024</v>
          </cell>
        </row>
        <row r="5854">
          <cell r="A5854" t="str">
            <v>IND</v>
          </cell>
          <cell r="B5854">
            <v>2026</v>
          </cell>
          <cell r="C5854" t="str">
            <v>matfpz</v>
          </cell>
          <cell r="D5854">
            <v>2.8458631038665771</v>
          </cell>
          <cell r="F5854" t="str">
            <v>14 Aug 2024</v>
          </cell>
        </row>
        <row r="5855">
          <cell r="A5855" t="str">
            <v>IND</v>
          </cell>
          <cell r="B5855">
            <v>2007</v>
          </cell>
          <cell r="C5855" t="str">
            <v>mar_con</v>
          </cell>
          <cell r="D5855">
            <v>56.756855010986328</v>
          </cell>
          <cell r="F5855" t="str">
            <v>14 Aug 2024</v>
          </cell>
        </row>
        <row r="5856">
          <cell r="A5856" t="str">
            <v>IND</v>
          </cell>
          <cell r="B5856">
            <v>2013</v>
          </cell>
          <cell r="C5856" t="str">
            <v>maconz</v>
          </cell>
          <cell r="D5856">
            <v>7.3031702041625977</v>
          </cell>
          <cell r="F5856" t="str">
            <v>14 Aug 2024</v>
          </cell>
        </row>
        <row r="5857">
          <cell r="A5857" t="str">
            <v>IND</v>
          </cell>
          <cell r="B5857">
            <v>2014</v>
          </cell>
          <cell r="C5857" t="str">
            <v>mar_indfc</v>
          </cell>
          <cell r="D5857">
            <v>31.114675521850586</v>
          </cell>
          <cell r="F5857" t="str">
            <v>14 Aug 2024</v>
          </cell>
        </row>
        <row r="5858">
          <cell r="A5858" t="str">
            <v>IND</v>
          </cell>
          <cell r="B5858">
            <v>2008</v>
          </cell>
          <cell r="C5858" t="str">
            <v>mar_agrfc</v>
          </cell>
          <cell r="D5858">
            <v>19.613971710205078</v>
          </cell>
          <cell r="F5858" t="str">
            <v>14 Aug 2024</v>
          </cell>
        </row>
        <row r="5859">
          <cell r="A5859" t="str">
            <v>IND</v>
          </cell>
          <cell r="B5859">
            <v>2012</v>
          </cell>
          <cell r="C5859" t="str">
            <v>mar_expz</v>
          </cell>
          <cell r="D5859">
            <v>24.85435676574707</v>
          </cell>
          <cell r="F5859" t="str">
            <v>14 Aug 2024</v>
          </cell>
        </row>
        <row r="5860">
          <cell r="A5860" t="str">
            <v>IND</v>
          </cell>
          <cell r="B5860">
            <v>2009</v>
          </cell>
          <cell r="C5860" t="str">
            <v>mafdi_</v>
          </cell>
          <cell r="D5860">
            <v>-1.3387569189071655</v>
          </cell>
          <cell r="F5860" t="str">
            <v>14 Aug 2024</v>
          </cell>
        </row>
        <row r="5861">
          <cell r="A5861" t="str">
            <v>IND</v>
          </cell>
          <cell r="B5861">
            <v>2008</v>
          </cell>
          <cell r="C5861" t="str">
            <v>madebt_</v>
          </cell>
          <cell r="D5861">
            <v>73.728065490722656</v>
          </cell>
          <cell r="F5861" t="str">
            <v>14 Aug 2024</v>
          </cell>
        </row>
        <row r="5862">
          <cell r="A5862" t="str">
            <v>IND</v>
          </cell>
          <cell r="B5862">
            <v>2010</v>
          </cell>
          <cell r="C5862" t="str">
            <v>mar_taxfc</v>
          </cell>
          <cell r="D5862">
            <v>7.7450780868530273</v>
          </cell>
          <cell r="F5862" t="str">
            <v>14 Aug 2024</v>
          </cell>
        </row>
        <row r="5863">
          <cell r="A5863" t="str">
            <v>IND</v>
          </cell>
          <cell r="B5863">
            <v>2012</v>
          </cell>
          <cell r="C5863" t="str">
            <v>mareer</v>
          </cell>
          <cell r="D5863">
            <v>96.331710815429688</v>
          </cell>
          <cell r="F5863" t="str">
            <v>14 Aug 2024</v>
          </cell>
        </row>
        <row r="5864">
          <cell r="A5864" t="str">
            <v>IND</v>
          </cell>
          <cell r="B5864">
            <v>2016</v>
          </cell>
          <cell r="C5864" t="str">
            <v>madeficit_</v>
          </cell>
          <cell r="D5864">
            <v>-6.9174113273620605</v>
          </cell>
          <cell r="F5864" t="str">
            <v>14 Aug 2024</v>
          </cell>
        </row>
        <row r="5865">
          <cell r="A5865" t="str">
            <v>IND</v>
          </cell>
          <cell r="B5865">
            <v>2013</v>
          </cell>
          <cell r="C5865" t="str">
            <v>mafdi_</v>
          </cell>
          <cell r="D5865">
            <v>-1.1613729000091553</v>
          </cell>
          <cell r="F5865" t="str">
            <v>14 Aug 2024</v>
          </cell>
        </row>
        <row r="5866">
          <cell r="A5866" t="str">
            <v>IND</v>
          </cell>
          <cell r="B5866">
            <v>2025</v>
          </cell>
          <cell r="C5866" t="str">
            <v>mar_con</v>
          </cell>
          <cell r="D5866">
            <v>55.012508392333984</v>
          </cell>
          <cell r="F5866" t="str">
            <v>14 Aug 2024</v>
          </cell>
        </row>
        <row r="5867">
          <cell r="A5867" t="str">
            <v>IND</v>
          </cell>
          <cell r="B5867">
            <v>2024</v>
          </cell>
          <cell r="C5867" t="str">
            <v>masrvfc</v>
          </cell>
          <cell r="D5867">
            <v>7.2616119384765625</v>
          </cell>
          <cell r="F5867" t="str">
            <v>14 Aug 2024</v>
          </cell>
        </row>
        <row r="5868">
          <cell r="A5868" t="str">
            <v>IND</v>
          </cell>
          <cell r="B5868">
            <v>2022</v>
          </cell>
          <cell r="C5868" t="str">
            <v>mafdi_</v>
          </cell>
          <cell r="D5868">
            <v>-0.83483749628067017</v>
          </cell>
          <cell r="F5868" t="str">
            <v>14 Aug 2024</v>
          </cell>
        </row>
        <row r="5869">
          <cell r="A5869" t="str">
            <v>IND</v>
          </cell>
          <cell r="B5869">
            <v>2009</v>
          </cell>
          <cell r="C5869" t="str">
            <v>mac_tfpz</v>
          </cell>
          <cell r="D5869">
            <v>1.9666600227355957</v>
          </cell>
          <cell r="F5869" t="str">
            <v>14 Aug 2024</v>
          </cell>
        </row>
        <row r="5870">
          <cell r="A5870" t="str">
            <v>IND</v>
          </cell>
          <cell r="B5870">
            <v>2008</v>
          </cell>
          <cell r="C5870" t="str">
            <v>mac_labz</v>
          </cell>
          <cell r="D5870">
            <v>1.452930212020874</v>
          </cell>
          <cell r="F5870" t="str">
            <v>14 Aug 2024</v>
          </cell>
        </row>
        <row r="5871">
          <cell r="A5871" t="str">
            <v>IND</v>
          </cell>
          <cell r="B5871">
            <v>2013</v>
          </cell>
          <cell r="C5871" t="str">
            <v>maexpz</v>
          </cell>
          <cell r="D5871">
            <v>7.7923893928527832</v>
          </cell>
          <cell r="F5871" t="str">
            <v>14 Aug 2024</v>
          </cell>
        </row>
        <row r="5872">
          <cell r="A5872" t="str">
            <v>IND</v>
          </cell>
          <cell r="B5872">
            <v>2025</v>
          </cell>
          <cell r="C5872" t="str">
            <v>mar_indfc</v>
          </cell>
          <cell r="D5872">
            <v>31.191225051879883</v>
          </cell>
          <cell r="F5872" t="str">
            <v>14 Aug 2024</v>
          </cell>
        </row>
        <row r="5873">
          <cell r="A5873" t="str">
            <v>IND</v>
          </cell>
          <cell r="B5873">
            <v>2025</v>
          </cell>
          <cell r="C5873" t="str">
            <v>malabz</v>
          </cell>
          <cell r="D5873">
            <v>1.4464442729949951</v>
          </cell>
          <cell r="F5873" t="str">
            <v>14 Aug 2024</v>
          </cell>
        </row>
        <row r="5874">
          <cell r="A5874" t="str">
            <v>IND</v>
          </cell>
          <cell r="B5874">
            <v>2012</v>
          </cell>
          <cell r="C5874" t="str">
            <v>mac_labz</v>
          </cell>
          <cell r="D5874">
            <v>1.4004642963409424</v>
          </cell>
          <cell r="F5874" t="str">
            <v>14 Aug 2024</v>
          </cell>
        </row>
        <row r="5875">
          <cell r="A5875" t="str">
            <v>IND</v>
          </cell>
          <cell r="B5875">
            <v>2011</v>
          </cell>
          <cell r="C5875" t="str">
            <v>mar_con</v>
          </cell>
          <cell r="D5875">
            <v>56.207218170166016</v>
          </cell>
          <cell r="F5875" t="str">
            <v>14 Aug 2024</v>
          </cell>
        </row>
        <row r="5876">
          <cell r="A5876" t="str">
            <v>IND</v>
          </cell>
          <cell r="B5876">
            <v>2013</v>
          </cell>
          <cell r="C5876" t="str">
            <v>mac_labz</v>
          </cell>
          <cell r="D5876">
            <v>1.3822033405303955</v>
          </cell>
          <cell r="F5876" t="str">
            <v>14 Aug 2024</v>
          </cell>
        </row>
        <row r="5877">
          <cell r="A5877" t="str">
            <v>IND</v>
          </cell>
          <cell r="B5877">
            <v>2006</v>
          </cell>
          <cell r="C5877" t="str">
            <v>matfpz</v>
          </cell>
          <cell r="D5877">
            <v>2.037203311920166</v>
          </cell>
          <cell r="F5877" t="str">
            <v>14 Aug 2024</v>
          </cell>
        </row>
        <row r="5878">
          <cell r="A5878" t="str">
            <v>IND</v>
          </cell>
          <cell r="B5878">
            <v>2018</v>
          </cell>
          <cell r="C5878" t="str">
            <v>magovz</v>
          </cell>
          <cell r="D5878">
            <v>6.6998591423034668</v>
          </cell>
          <cell r="F5878" t="str">
            <v>14 Aug 2024</v>
          </cell>
        </row>
        <row r="5879">
          <cell r="A5879" t="str">
            <v>IND</v>
          </cell>
          <cell r="B5879">
            <v>2006</v>
          </cell>
          <cell r="C5879" t="str">
            <v>macpiz</v>
          </cell>
          <cell r="D5879">
            <v>7.3482427597045898</v>
          </cell>
          <cell r="F5879" t="str">
            <v>14 Aug 2024</v>
          </cell>
        </row>
        <row r="5880">
          <cell r="A5880" t="str">
            <v>IND</v>
          </cell>
          <cell r="B5880">
            <v>2021</v>
          </cell>
          <cell r="C5880" t="str">
            <v>macab_</v>
          </cell>
          <cell r="D5880">
            <v>-1.2217280864715576</v>
          </cell>
          <cell r="F5880" t="str">
            <v>14 Aug 2024</v>
          </cell>
        </row>
        <row r="5881">
          <cell r="A5881" t="str">
            <v>IND</v>
          </cell>
          <cell r="B5881">
            <v>2012</v>
          </cell>
          <cell r="C5881" t="str">
            <v>masrvfc</v>
          </cell>
          <cell r="D5881">
            <v>8.3336715698242188</v>
          </cell>
          <cell r="F5881" t="str">
            <v>14 Aug 2024</v>
          </cell>
        </row>
        <row r="5882">
          <cell r="A5882" t="str">
            <v>IND</v>
          </cell>
          <cell r="B5882">
            <v>2021</v>
          </cell>
          <cell r="C5882" t="str">
            <v>masrvfc</v>
          </cell>
          <cell r="D5882">
            <v>9.1754989624023438</v>
          </cell>
          <cell r="F5882" t="str">
            <v>14 Aug 2024</v>
          </cell>
        </row>
        <row r="5883">
          <cell r="A5883" t="str">
            <v>IND</v>
          </cell>
          <cell r="B5883">
            <v>2024</v>
          </cell>
          <cell r="C5883" t="str">
            <v>mainvz</v>
          </cell>
          <cell r="D5883">
            <v>9.7356739044189453</v>
          </cell>
          <cell r="F5883" t="str">
            <v>14 Aug 2024</v>
          </cell>
        </row>
        <row r="5884">
          <cell r="A5884" t="str">
            <v>IND</v>
          </cell>
          <cell r="B5884">
            <v>2007</v>
          </cell>
          <cell r="C5884" t="str">
            <v>magap_</v>
          </cell>
          <cell r="D5884">
            <v>2.9169366359710693</v>
          </cell>
          <cell r="F5884" t="str">
            <v>14 Aug 2024</v>
          </cell>
        </row>
        <row r="5885">
          <cell r="A5885" t="str">
            <v>IND</v>
          </cell>
          <cell r="B5885">
            <v>2010</v>
          </cell>
          <cell r="C5885" t="str">
            <v>maexpz</v>
          </cell>
          <cell r="D5885">
            <v>19.47813606262207</v>
          </cell>
          <cell r="F5885" t="str">
            <v>14 Aug 2024</v>
          </cell>
        </row>
        <row r="5886">
          <cell r="A5886" t="str">
            <v>IND</v>
          </cell>
          <cell r="B5886">
            <v>2016</v>
          </cell>
          <cell r="C5886" t="str">
            <v>maindfc</v>
          </cell>
          <cell r="D5886">
            <v>7.7200846672058105</v>
          </cell>
          <cell r="F5886" t="str">
            <v>14 Aug 2024</v>
          </cell>
        </row>
        <row r="5887">
          <cell r="A5887" t="str">
            <v>IND</v>
          </cell>
          <cell r="B5887">
            <v>2023</v>
          </cell>
          <cell r="C5887" t="str">
            <v>mar_con</v>
          </cell>
          <cell r="D5887">
            <v>56.031623840332031</v>
          </cell>
          <cell r="F5887" t="str">
            <v>14 Aug 2024</v>
          </cell>
        </row>
        <row r="5888">
          <cell r="A5888" t="str">
            <v>IND</v>
          </cell>
          <cell r="B5888">
            <v>2010</v>
          </cell>
          <cell r="C5888" t="str">
            <v>maindfc</v>
          </cell>
          <cell r="D5888">
            <v>7.8969821929931641</v>
          </cell>
          <cell r="F5888" t="str">
            <v>14 Aug 2024</v>
          </cell>
        </row>
        <row r="5889">
          <cell r="A5889" t="str">
            <v>IND</v>
          </cell>
          <cell r="B5889">
            <v>2008</v>
          </cell>
          <cell r="C5889" t="str">
            <v>matfpz</v>
          </cell>
          <cell r="D5889">
            <v>1.9697611331939697</v>
          </cell>
          <cell r="F5889" t="str">
            <v>14 Aug 2024</v>
          </cell>
        </row>
        <row r="5890">
          <cell r="A5890" t="str">
            <v>IND</v>
          </cell>
          <cell r="B5890">
            <v>2022</v>
          </cell>
          <cell r="C5890" t="str">
            <v>matfpz</v>
          </cell>
          <cell r="D5890">
            <v>3.3289980888366699</v>
          </cell>
          <cell r="F5890" t="str">
            <v>14 Aug 2024</v>
          </cell>
        </row>
        <row r="5891">
          <cell r="A5891" t="str">
            <v>IND</v>
          </cell>
          <cell r="B5891">
            <v>2007</v>
          </cell>
          <cell r="C5891" t="str">
            <v>maagrfc</v>
          </cell>
          <cell r="D5891">
            <v>5.506474494934082</v>
          </cell>
          <cell r="F5891" t="str">
            <v>14 Aug 2024</v>
          </cell>
        </row>
        <row r="5892">
          <cell r="A5892" t="str">
            <v>IND</v>
          </cell>
          <cell r="B5892">
            <v>2024</v>
          </cell>
          <cell r="C5892" t="str">
            <v>malabz</v>
          </cell>
          <cell r="D5892">
            <v>1.490372896194458</v>
          </cell>
          <cell r="F5892" t="str">
            <v>14 Aug 2024</v>
          </cell>
        </row>
        <row r="5893">
          <cell r="A5893" t="str">
            <v>IND</v>
          </cell>
          <cell r="B5893">
            <v>2015</v>
          </cell>
          <cell r="C5893" t="str">
            <v>mainvz</v>
          </cell>
          <cell r="D5893">
            <v>6.5308322906494141</v>
          </cell>
          <cell r="F5893" t="str">
            <v>14 Aug 2024</v>
          </cell>
        </row>
        <row r="5894">
          <cell r="A5894" t="str">
            <v>IND</v>
          </cell>
          <cell r="B5894">
            <v>2017</v>
          </cell>
          <cell r="C5894" t="str">
            <v>mataxfc</v>
          </cell>
          <cell r="D5894">
            <v>13.317877769470215</v>
          </cell>
          <cell r="F5894" t="str">
            <v>14 Aug 2024</v>
          </cell>
        </row>
        <row r="5895">
          <cell r="A5895" t="str">
            <v>IND</v>
          </cell>
          <cell r="B5895">
            <v>2017</v>
          </cell>
          <cell r="C5895" t="str">
            <v>maagrfc</v>
          </cell>
          <cell r="D5895">
            <v>6.605921745300293</v>
          </cell>
          <cell r="F5895" t="str">
            <v>14 Aug 2024</v>
          </cell>
        </row>
        <row r="5896">
          <cell r="A5896" t="str">
            <v>IND</v>
          </cell>
          <cell r="B5896">
            <v>2014</v>
          </cell>
          <cell r="C5896" t="str">
            <v>maimpz</v>
          </cell>
          <cell r="D5896">
            <v>0.87123072147369385</v>
          </cell>
          <cell r="F5896" t="str">
            <v>14 Aug 2024</v>
          </cell>
        </row>
        <row r="5897">
          <cell r="A5897" t="str">
            <v>IND</v>
          </cell>
          <cell r="B5897">
            <v>2017</v>
          </cell>
          <cell r="C5897" t="str">
            <v>mar_expz</v>
          </cell>
          <cell r="D5897">
            <v>19.795318603515625</v>
          </cell>
          <cell r="F5897" t="str">
            <v>14 Aug 2024</v>
          </cell>
        </row>
        <row r="5898">
          <cell r="A5898" t="str">
            <v>IND</v>
          </cell>
          <cell r="B5898">
            <v>2024</v>
          </cell>
          <cell r="C5898" t="str">
            <v>macab_</v>
          </cell>
          <cell r="D5898">
            <v>-1.3610140085220337</v>
          </cell>
          <cell r="F5898" t="str">
            <v>14 Aug 2024</v>
          </cell>
        </row>
        <row r="5899">
          <cell r="A5899" t="str">
            <v>IND</v>
          </cell>
          <cell r="B5899">
            <v>2024</v>
          </cell>
          <cell r="C5899" t="str">
            <v>maconz</v>
          </cell>
          <cell r="D5899">
            <v>5.0999999046325684</v>
          </cell>
          <cell r="F5899" t="str">
            <v>14 Aug 2024</v>
          </cell>
        </row>
        <row r="5900">
          <cell r="A5900" t="str">
            <v>IND</v>
          </cell>
          <cell r="B5900">
            <v>2006</v>
          </cell>
          <cell r="C5900" t="str">
            <v>mac_labz</v>
          </cell>
          <cell r="D5900">
            <v>1.5176702737808228</v>
          </cell>
          <cell r="F5900" t="str">
            <v>14 Aug 2024</v>
          </cell>
        </row>
        <row r="5901">
          <cell r="A5901" t="str">
            <v>IND</v>
          </cell>
          <cell r="B5901">
            <v>2020</v>
          </cell>
          <cell r="C5901" t="str">
            <v>mar_indfc</v>
          </cell>
          <cell r="D5901">
            <v>30.769393920898438</v>
          </cell>
          <cell r="F5901" t="str">
            <v>14 Aug 2024</v>
          </cell>
        </row>
        <row r="5902">
          <cell r="A5902" t="str">
            <v>IND</v>
          </cell>
          <cell r="B5902">
            <v>2026</v>
          </cell>
          <cell r="C5902" t="str">
            <v>mar_impz</v>
          </cell>
          <cell r="D5902">
            <v>25.129100799560547</v>
          </cell>
          <cell r="F5902" t="str">
            <v>14 Aug 2024</v>
          </cell>
        </row>
        <row r="5903">
          <cell r="A5903" t="str">
            <v>IND</v>
          </cell>
          <cell r="B5903">
            <v>2022</v>
          </cell>
          <cell r="C5903" t="str">
            <v>maagrfc</v>
          </cell>
          <cell r="D5903">
            <v>4.7068657875061035</v>
          </cell>
          <cell r="F5903" t="str">
            <v>14 Aug 2024</v>
          </cell>
        </row>
        <row r="5904">
          <cell r="A5904" t="str">
            <v>IND</v>
          </cell>
          <cell r="B5904">
            <v>2007</v>
          </cell>
          <cell r="C5904" t="str">
            <v>maconz</v>
          </cell>
          <cell r="D5904">
            <v>7.2815642356872559</v>
          </cell>
          <cell r="F5904" t="str">
            <v>14 Aug 2024</v>
          </cell>
        </row>
        <row r="5905">
          <cell r="A5905" t="str">
            <v>IND</v>
          </cell>
          <cell r="B5905">
            <v>2011</v>
          </cell>
          <cell r="C5905" t="str">
            <v>mar_agrfc</v>
          </cell>
          <cell r="D5905">
            <v>18.52667236328125</v>
          </cell>
          <cell r="F5905" t="str">
            <v>14 Aug 2024</v>
          </cell>
        </row>
        <row r="5906">
          <cell r="A5906" t="str">
            <v>IND</v>
          </cell>
          <cell r="B5906">
            <v>2018</v>
          </cell>
          <cell r="C5906" t="str">
            <v>maagrfc</v>
          </cell>
          <cell r="D5906">
            <v>2.096466064453125</v>
          </cell>
          <cell r="F5906" t="str">
            <v>14 Aug 2024</v>
          </cell>
        </row>
        <row r="5907">
          <cell r="A5907" t="str">
            <v>IND</v>
          </cell>
          <cell r="B5907">
            <v>2007</v>
          </cell>
          <cell r="C5907" t="str">
            <v>mar_srvfc</v>
          </cell>
          <cell r="D5907">
            <v>46.951171875</v>
          </cell>
          <cell r="F5907" t="str">
            <v>14 Aug 2024</v>
          </cell>
        </row>
        <row r="5908">
          <cell r="A5908" t="str">
            <v>IND</v>
          </cell>
          <cell r="B5908">
            <v>2008</v>
          </cell>
          <cell r="C5908" t="str">
            <v>maindfc</v>
          </cell>
          <cell r="D5908">
            <v>3.9992265701293945</v>
          </cell>
          <cell r="F5908" t="str">
            <v>14 Aug 2024</v>
          </cell>
        </row>
        <row r="5909">
          <cell r="A5909" t="str">
            <v>IND</v>
          </cell>
          <cell r="B5909">
            <v>2022</v>
          </cell>
          <cell r="C5909" t="str">
            <v>mac_tfpz</v>
          </cell>
          <cell r="D5909">
            <v>3.3289980888366699</v>
          </cell>
          <cell r="F5909" t="str">
            <v>14 Aug 2024</v>
          </cell>
        </row>
        <row r="5910">
          <cell r="A5910" t="str">
            <v>IND</v>
          </cell>
          <cell r="B5910">
            <v>2012</v>
          </cell>
          <cell r="C5910" t="str">
            <v>malabz</v>
          </cell>
          <cell r="D5910">
            <v>2.0006632804870605</v>
          </cell>
          <cell r="F5910" t="str">
            <v>14 Aug 2024</v>
          </cell>
        </row>
        <row r="5911">
          <cell r="A5911" t="str">
            <v>IND</v>
          </cell>
          <cell r="B5911">
            <v>2010</v>
          </cell>
          <cell r="C5911" t="str">
            <v>mar_indfc</v>
          </cell>
          <cell r="D5911">
            <v>33.004154205322266</v>
          </cell>
          <cell r="F5911" t="str">
            <v>14 Aug 2024</v>
          </cell>
        </row>
        <row r="5912">
          <cell r="A5912" t="str">
            <v>IND</v>
          </cell>
          <cell r="B5912">
            <v>2014</v>
          </cell>
          <cell r="C5912" t="str">
            <v>maexpz</v>
          </cell>
          <cell r="D5912">
            <v>1.7775907516479492</v>
          </cell>
          <cell r="F5912" t="str">
            <v>14 Aug 2024</v>
          </cell>
        </row>
        <row r="5913">
          <cell r="A5913" t="str">
            <v>IND</v>
          </cell>
          <cell r="B5913">
            <v>2024</v>
          </cell>
          <cell r="C5913" t="str">
            <v>magdpz</v>
          </cell>
          <cell r="D5913">
            <v>6.6229639053344727</v>
          </cell>
          <cell r="F5913" t="str">
            <v>14 Aug 2024</v>
          </cell>
        </row>
        <row r="5914">
          <cell r="A5914" t="str">
            <v>IND</v>
          </cell>
          <cell r="B5914">
            <v>2025</v>
          </cell>
          <cell r="C5914" t="str">
            <v>magdpz</v>
          </cell>
          <cell r="D5914">
            <v>6.7227458953857422</v>
          </cell>
          <cell r="F5914" t="str">
            <v>14 Aug 2024</v>
          </cell>
        </row>
        <row r="5915">
          <cell r="A5915" t="str">
            <v>IND</v>
          </cell>
          <cell r="B5915">
            <v>2007</v>
          </cell>
          <cell r="C5915" t="str">
            <v>macpiz</v>
          </cell>
          <cell r="D5915">
            <v>6.8802518844604492</v>
          </cell>
          <cell r="F5915" t="str">
            <v>14 Aug 2024</v>
          </cell>
        </row>
        <row r="5916">
          <cell r="A5916" t="str">
            <v>IND</v>
          </cell>
          <cell r="B5916">
            <v>2006</v>
          </cell>
          <cell r="C5916" t="str">
            <v>masrvfc</v>
          </cell>
          <cell r="D5916">
            <v>7.0383195877075195</v>
          </cell>
          <cell r="F5916" t="str">
            <v>14 Aug 2024</v>
          </cell>
        </row>
        <row r="5917">
          <cell r="A5917" t="str">
            <v>IND</v>
          </cell>
          <cell r="B5917">
            <v>2005</v>
          </cell>
          <cell r="C5917" t="str">
            <v>mafdi_</v>
          </cell>
          <cell r="D5917">
            <v>-0.36837777495384216</v>
          </cell>
          <cell r="F5917" t="str">
            <v>14 Aug 2024</v>
          </cell>
        </row>
        <row r="5918">
          <cell r="A5918" t="str">
            <v>IND</v>
          </cell>
          <cell r="B5918">
            <v>2019</v>
          </cell>
          <cell r="C5918" t="str">
            <v>mar_indfc</v>
          </cell>
          <cell r="D5918">
            <v>29.62403678894043</v>
          </cell>
          <cell r="F5918" t="str">
            <v>14 Aug 2024</v>
          </cell>
        </row>
        <row r="5919">
          <cell r="A5919" t="str">
            <v>IND</v>
          </cell>
          <cell r="B5919">
            <v>2006</v>
          </cell>
          <cell r="C5919" t="str">
            <v>magap_</v>
          </cell>
          <cell r="D5919">
            <v>2.2658803462982178</v>
          </cell>
          <cell r="F5919" t="str">
            <v>14 Aug 2024</v>
          </cell>
        </row>
        <row r="5920">
          <cell r="A5920" t="str">
            <v>IND</v>
          </cell>
          <cell r="B5920">
            <v>2025</v>
          </cell>
          <cell r="C5920" t="str">
            <v>mar_expz</v>
          </cell>
          <cell r="D5920">
            <v>22.604616165161133</v>
          </cell>
          <cell r="F5920" t="str">
            <v>14 Aug 2024</v>
          </cell>
        </row>
        <row r="5921">
          <cell r="A5921" t="str">
            <v>IND</v>
          </cell>
          <cell r="B5921">
            <v>2024</v>
          </cell>
          <cell r="C5921" t="str">
            <v>mar_taxfc</v>
          </cell>
          <cell r="D5921">
            <v>9.2399406433105469</v>
          </cell>
          <cell r="F5921" t="str">
            <v>14 Aug 2024</v>
          </cell>
        </row>
        <row r="5922">
          <cell r="A5922" t="str">
            <v>IND</v>
          </cell>
          <cell r="B5922">
            <v>2026</v>
          </cell>
          <cell r="C5922" t="str">
            <v>mar_con</v>
          </cell>
          <cell r="D5922">
            <v>55.006546020507813</v>
          </cell>
          <cell r="F5922" t="str">
            <v>14 Aug 2024</v>
          </cell>
        </row>
        <row r="5923">
          <cell r="A5923" t="str">
            <v>IND</v>
          </cell>
          <cell r="B5923">
            <v>2010</v>
          </cell>
          <cell r="C5923" t="str">
            <v>magdpz</v>
          </cell>
          <cell r="D5923">
            <v>8.497584342956543</v>
          </cell>
          <cell r="F5923" t="str">
            <v>14 Aug 2024</v>
          </cell>
        </row>
        <row r="5924">
          <cell r="A5924" t="str">
            <v>IND</v>
          </cell>
          <cell r="B5924">
            <v>2010</v>
          </cell>
          <cell r="C5924" t="str">
            <v>masrvfc</v>
          </cell>
          <cell r="D5924">
            <v>7.8356661796569824</v>
          </cell>
          <cell r="F5924" t="str">
            <v>14 Aug 2024</v>
          </cell>
        </row>
        <row r="5925">
          <cell r="A5925" t="str">
            <v>IND</v>
          </cell>
          <cell r="B5925">
            <v>2024</v>
          </cell>
          <cell r="C5925" t="str">
            <v>madebt_</v>
          </cell>
          <cell r="D5925">
            <v>83.87994384765625</v>
          </cell>
          <cell r="F5925" t="str">
            <v>14 Aug 2024</v>
          </cell>
        </row>
        <row r="5926">
          <cell r="A5926" t="str">
            <v>IND</v>
          </cell>
          <cell r="B5926">
            <v>2014</v>
          </cell>
          <cell r="C5926" t="str">
            <v>magovz</v>
          </cell>
          <cell r="D5926">
            <v>7.5856151580810547</v>
          </cell>
          <cell r="F5926" t="str">
            <v>14 Aug 2024</v>
          </cell>
        </row>
        <row r="5927">
          <cell r="A5927" t="str">
            <v>IND</v>
          </cell>
          <cell r="B5927">
            <v>2012</v>
          </cell>
          <cell r="C5927" t="str">
            <v>maexpz</v>
          </cell>
          <cell r="D5927">
            <v>6.8054885864257813</v>
          </cell>
          <cell r="F5927" t="str">
            <v>14 Aug 2024</v>
          </cell>
        </row>
        <row r="5928">
          <cell r="A5928" t="str">
            <v>IND</v>
          </cell>
          <cell r="B5928">
            <v>2025</v>
          </cell>
          <cell r="C5928" t="str">
            <v>mareer</v>
          </cell>
          <cell r="D5928">
            <v>105.27901458740234</v>
          </cell>
          <cell r="F5928" t="str">
            <v>14 Aug 2024</v>
          </cell>
        </row>
        <row r="5929">
          <cell r="A5929" t="str">
            <v>IND</v>
          </cell>
          <cell r="B5929">
            <v>2012</v>
          </cell>
          <cell r="C5929" t="str">
            <v>madeficit_</v>
          </cell>
          <cell r="D5929">
            <v>-6.8824868202209473</v>
          </cell>
          <cell r="F5929" t="str">
            <v>14 Aug 2024</v>
          </cell>
        </row>
        <row r="5930">
          <cell r="A5930" t="str">
            <v>IND</v>
          </cell>
          <cell r="B5930">
            <v>2011</v>
          </cell>
          <cell r="C5930" t="str">
            <v>mac_labz</v>
          </cell>
          <cell r="D5930">
            <v>1.416988730430603</v>
          </cell>
          <cell r="F5930" t="str">
            <v>14 Aug 2024</v>
          </cell>
        </row>
        <row r="5931">
          <cell r="A5931" t="str">
            <v>IND</v>
          </cell>
          <cell r="B5931">
            <v>2019</v>
          </cell>
          <cell r="C5931" t="str">
            <v>mar_con</v>
          </cell>
          <cell r="D5931">
            <v>56.803726196289063</v>
          </cell>
          <cell r="F5931" t="str">
            <v>14 Aug 2024</v>
          </cell>
        </row>
        <row r="5932">
          <cell r="A5932" t="str">
            <v>IND</v>
          </cell>
          <cell r="B5932">
            <v>2025</v>
          </cell>
          <cell r="C5932" t="str">
            <v>macpiz</v>
          </cell>
          <cell r="D5932">
            <v>4.1321201324462891</v>
          </cell>
          <cell r="F5932" t="str">
            <v>14 Aug 2024</v>
          </cell>
        </row>
        <row r="5933">
          <cell r="A5933" t="str">
            <v>IND</v>
          </cell>
          <cell r="B5933">
            <v>2026</v>
          </cell>
          <cell r="C5933" t="str">
            <v>magovz</v>
          </cell>
          <cell r="D5933">
            <v>6.1396708488464355</v>
          </cell>
          <cell r="F5933" t="str">
            <v>14 Aug 2024</v>
          </cell>
        </row>
        <row r="5934">
          <cell r="A5934" t="str">
            <v>IND</v>
          </cell>
          <cell r="B5934">
            <v>2007</v>
          </cell>
          <cell r="C5934" t="str">
            <v>mar_impz</v>
          </cell>
          <cell r="D5934">
            <v>23.565458297729492</v>
          </cell>
          <cell r="F5934" t="str">
            <v>14 Aug 2024</v>
          </cell>
        </row>
        <row r="5935">
          <cell r="A5935" t="str">
            <v>IND</v>
          </cell>
          <cell r="B5935">
            <v>2017</v>
          </cell>
          <cell r="C5935" t="str">
            <v>malabz</v>
          </cell>
          <cell r="D5935">
            <v>1.8983842134475708</v>
          </cell>
          <cell r="F5935" t="str">
            <v>14 Aug 2024</v>
          </cell>
        </row>
        <row r="5936">
          <cell r="A5936" t="str">
            <v>IND</v>
          </cell>
          <cell r="B5936">
            <v>2022</v>
          </cell>
          <cell r="C5936" t="str">
            <v>magdpz</v>
          </cell>
          <cell r="D5936">
            <v>6.9870390892028809</v>
          </cell>
          <cell r="F5936" t="str">
            <v>14 Aug 2024</v>
          </cell>
        </row>
        <row r="5937">
          <cell r="A5937" t="str">
            <v>IND</v>
          </cell>
          <cell r="B5937">
            <v>2014</v>
          </cell>
          <cell r="C5937" t="str">
            <v>mareer</v>
          </cell>
          <cell r="D5937">
            <v>94.736358642578125</v>
          </cell>
          <cell r="F5937" t="str">
            <v>14 Aug 2024</v>
          </cell>
        </row>
        <row r="5938">
          <cell r="A5938" t="str">
            <v>IND</v>
          </cell>
          <cell r="B5938">
            <v>2024</v>
          </cell>
          <cell r="C5938" t="str">
            <v>mar_agrfc</v>
          </cell>
          <cell r="D5938">
            <v>13.852456092834473</v>
          </cell>
          <cell r="F5938" t="str">
            <v>14 Aug 2024</v>
          </cell>
        </row>
        <row r="5939">
          <cell r="A5939" t="str">
            <v>IND</v>
          </cell>
          <cell r="B5939">
            <v>2021</v>
          </cell>
          <cell r="C5939" t="str">
            <v>magovz</v>
          </cell>
          <cell r="D5939">
            <v>1.8207591027021408E-2</v>
          </cell>
          <cell r="F5939" t="str">
            <v>14 Aug 2024</v>
          </cell>
        </row>
        <row r="5940">
          <cell r="A5940" t="str">
            <v>IND</v>
          </cell>
          <cell r="B5940">
            <v>2021</v>
          </cell>
          <cell r="C5940" t="str">
            <v>madebt_</v>
          </cell>
          <cell r="D5940">
            <v>84.750625610351563</v>
          </cell>
          <cell r="F5940" t="str">
            <v>14 Aug 2024</v>
          </cell>
        </row>
        <row r="5941">
          <cell r="A5941" t="str">
            <v>IND</v>
          </cell>
          <cell r="B5941">
            <v>2020</v>
          </cell>
          <cell r="C5941" t="str">
            <v>malabz</v>
          </cell>
          <cell r="D5941">
            <v>1.6223075389862061</v>
          </cell>
          <cell r="F5941" t="str">
            <v>14 Aug 2024</v>
          </cell>
        </row>
        <row r="5942">
          <cell r="A5942" t="str">
            <v>IND</v>
          </cell>
          <cell r="B5942">
            <v>2020</v>
          </cell>
          <cell r="C5942" t="str">
            <v>magap_</v>
          </cell>
          <cell r="D5942">
            <v>-1.6554359197616577</v>
          </cell>
          <cell r="F5942" t="str">
            <v>14 Aug 2024</v>
          </cell>
        </row>
        <row r="5943">
          <cell r="A5943" t="str">
            <v>IND</v>
          </cell>
          <cell r="B5943">
            <v>2022</v>
          </cell>
          <cell r="C5943" t="str">
            <v>mapanusatls</v>
          </cell>
          <cell r="D5943">
            <v>80.391433715820313</v>
          </cell>
          <cell r="F5943" t="str">
            <v>14 Aug 2024</v>
          </cell>
        </row>
        <row r="5944">
          <cell r="A5944" t="str">
            <v>IND</v>
          </cell>
          <cell r="B5944">
            <v>2007</v>
          </cell>
          <cell r="C5944" t="str">
            <v>mar_expz</v>
          </cell>
          <cell r="D5944">
            <v>20.671636581420898</v>
          </cell>
          <cell r="F5944" t="str">
            <v>14 Aug 2024</v>
          </cell>
        </row>
        <row r="5945">
          <cell r="A5945" t="str">
            <v>IND</v>
          </cell>
          <cell r="B5945">
            <v>2021</v>
          </cell>
          <cell r="C5945" t="str">
            <v>macpiz</v>
          </cell>
          <cell r="D5945">
            <v>5.5060644149780273</v>
          </cell>
          <cell r="F5945" t="str">
            <v>14 Aug 2024</v>
          </cell>
        </row>
        <row r="5946">
          <cell r="A5946" t="str">
            <v>IND</v>
          </cell>
          <cell r="B5946">
            <v>2007</v>
          </cell>
          <cell r="C5946" t="str">
            <v>masrvfc</v>
          </cell>
          <cell r="D5946">
            <v>7.7780451774597168</v>
          </cell>
          <cell r="F5946" t="str">
            <v>14 Aug 2024</v>
          </cell>
        </row>
        <row r="5947">
          <cell r="A5947" t="str">
            <v>IND</v>
          </cell>
          <cell r="B5947">
            <v>2019</v>
          </cell>
          <cell r="C5947" t="str">
            <v>macpiz</v>
          </cell>
          <cell r="D5947">
            <v>4.7692952156066895</v>
          </cell>
          <cell r="F5947" t="str">
            <v>14 Aug 2024</v>
          </cell>
        </row>
        <row r="5948">
          <cell r="A5948" t="str">
            <v>IND</v>
          </cell>
          <cell r="B5948">
            <v>2020</v>
          </cell>
          <cell r="C5948" t="str">
            <v>mataxfc</v>
          </cell>
          <cell r="D5948">
            <v>-22.410985946655273</v>
          </cell>
          <cell r="F5948" t="str">
            <v>14 Aug 2024</v>
          </cell>
        </row>
        <row r="5949">
          <cell r="A5949" t="str">
            <v>IND</v>
          </cell>
          <cell r="B5949">
            <v>2011</v>
          </cell>
          <cell r="C5949" t="str">
            <v>mar_taxfc</v>
          </cell>
          <cell r="D5949">
            <v>7.7634992599487305</v>
          </cell>
          <cell r="F5949" t="str">
            <v>14 Aug 2024</v>
          </cell>
        </row>
        <row r="5950">
          <cell r="A5950" t="str">
            <v>IND</v>
          </cell>
          <cell r="B5950">
            <v>2010</v>
          </cell>
          <cell r="C5950" t="str">
            <v>maimpz</v>
          </cell>
          <cell r="D5950">
            <v>15.811891555786133</v>
          </cell>
          <cell r="F5950" t="str">
            <v>14 Aug 2024</v>
          </cell>
        </row>
        <row r="5951">
          <cell r="A5951" t="str">
            <v>IND</v>
          </cell>
          <cell r="B5951">
            <v>2022</v>
          </cell>
          <cell r="C5951" t="str">
            <v>mar_srvfc</v>
          </cell>
          <cell r="D5951">
            <v>54.431308746337891</v>
          </cell>
          <cell r="F5951" t="str">
            <v>14 Aug 2024</v>
          </cell>
        </row>
        <row r="5952">
          <cell r="A5952" t="str">
            <v>IND</v>
          </cell>
          <cell r="B5952">
            <v>2024</v>
          </cell>
          <cell r="C5952" t="str">
            <v>maimpz</v>
          </cell>
          <cell r="D5952">
            <v>4.9289698600769043</v>
          </cell>
          <cell r="F5952" t="str">
            <v>14 Aug 2024</v>
          </cell>
        </row>
        <row r="5953">
          <cell r="A5953" t="str">
            <v>IND</v>
          </cell>
          <cell r="B5953">
            <v>2026</v>
          </cell>
          <cell r="C5953" t="str">
            <v>mar_agrfc</v>
          </cell>
          <cell r="D5953">
            <v>13.105800628662109</v>
          </cell>
          <cell r="F5953" t="str">
            <v>14 Aug 2024</v>
          </cell>
        </row>
        <row r="5954">
          <cell r="A5954" t="str">
            <v>IND</v>
          </cell>
          <cell r="B5954">
            <v>2008</v>
          </cell>
          <cell r="C5954" t="str">
            <v>malabz</v>
          </cell>
          <cell r="D5954">
            <v>2.0756144523620605</v>
          </cell>
          <cell r="F5954" t="str">
            <v>14 Aug 2024</v>
          </cell>
        </row>
        <row r="5955">
          <cell r="A5955" t="str">
            <v>IND</v>
          </cell>
          <cell r="B5955">
            <v>2023</v>
          </cell>
          <cell r="C5955" t="str">
            <v>mar_srvfc</v>
          </cell>
          <cell r="D5955">
            <v>54.738319396972656</v>
          </cell>
          <cell r="F5955" t="str">
            <v>14 Aug 2024</v>
          </cell>
        </row>
        <row r="5956">
          <cell r="A5956" t="str">
            <v>IND</v>
          </cell>
          <cell r="B5956">
            <v>2021</v>
          </cell>
          <cell r="C5956" t="str">
            <v>magdpz</v>
          </cell>
          <cell r="D5956">
            <v>9.6895923614501953</v>
          </cell>
          <cell r="F5956" t="str">
            <v>14 Aug 2024</v>
          </cell>
        </row>
        <row r="5957">
          <cell r="A5957" t="str">
            <v>IND</v>
          </cell>
          <cell r="B5957">
            <v>2020</v>
          </cell>
          <cell r="C5957" t="str">
            <v>mar_con</v>
          </cell>
          <cell r="D5957">
            <v>57.098087310791016</v>
          </cell>
          <cell r="F5957" t="str">
            <v>14 Aug 2024</v>
          </cell>
        </row>
        <row r="5958">
          <cell r="A5958" t="str">
            <v>IND</v>
          </cell>
          <cell r="B5958">
            <v>2005</v>
          </cell>
          <cell r="C5958" t="str">
            <v>mar_indfc</v>
          </cell>
          <cell r="D5958">
            <v>30.86456298828125</v>
          </cell>
          <cell r="F5958" t="str">
            <v>14 Aug 2024</v>
          </cell>
        </row>
        <row r="5959">
          <cell r="A5959" t="str">
            <v>IND</v>
          </cell>
          <cell r="B5959">
            <v>2025</v>
          </cell>
          <cell r="C5959" t="str">
            <v>macab_</v>
          </cell>
          <cell r="D5959">
            <v>-1.5330785512924194</v>
          </cell>
          <cell r="F5959" t="str">
            <v>14 Aug 2024</v>
          </cell>
        </row>
        <row r="5960">
          <cell r="A5960" t="str">
            <v>IND</v>
          </cell>
          <cell r="B5960">
            <v>2016</v>
          </cell>
          <cell r="C5960" t="str">
            <v>mapanusatls</v>
          </cell>
          <cell r="D5960">
            <v>67.089599609375</v>
          </cell>
          <cell r="F5960" t="str">
            <v>14 Aug 2024</v>
          </cell>
        </row>
        <row r="5961">
          <cell r="A5961" t="str">
            <v>IND</v>
          </cell>
          <cell r="B5961">
            <v>2021</v>
          </cell>
          <cell r="C5961" t="str">
            <v>mac_tfpz</v>
          </cell>
          <cell r="D5961">
            <v>4.1019196510314941</v>
          </cell>
          <cell r="F5961" t="str">
            <v>14 Aug 2024</v>
          </cell>
        </row>
        <row r="5962">
          <cell r="A5962" t="str">
            <v>IND</v>
          </cell>
          <cell r="B5962">
            <v>2019</v>
          </cell>
          <cell r="C5962" t="str">
            <v>maconz</v>
          </cell>
          <cell r="D5962">
            <v>5.1688008308410645</v>
          </cell>
          <cell r="F5962" t="str">
            <v>14 Aug 2024</v>
          </cell>
        </row>
        <row r="5963">
          <cell r="A5963" t="str">
            <v>IND</v>
          </cell>
          <cell r="B5963">
            <v>2014</v>
          </cell>
          <cell r="C5963" t="str">
            <v>mac_tfpz</v>
          </cell>
          <cell r="D5963">
            <v>2.1936366558074951</v>
          </cell>
          <cell r="F5963" t="str">
            <v>14 Aug 2024</v>
          </cell>
        </row>
        <row r="5964">
          <cell r="A5964" t="str">
            <v>IND</v>
          </cell>
          <cell r="B5964">
            <v>2025</v>
          </cell>
          <cell r="C5964" t="str">
            <v>matfpz</v>
          </cell>
          <cell r="D5964">
            <v>2.831721305847168</v>
          </cell>
          <cell r="F5964" t="str">
            <v>14 Aug 2024</v>
          </cell>
        </row>
        <row r="5965">
          <cell r="A5965" t="str">
            <v>IND</v>
          </cell>
          <cell r="B5965">
            <v>2010</v>
          </cell>
          <cell r="C5965" t="str">
            <v>magovz</v>
          </cell>
          <cell r="D5965">
            <v>5.2218866348266602</v>
          </cell>
          <cell r="F5965" t="str">
            <v>14 Aug 2024</v>
          </cell>
        </row>
        <row r="5966">
          <cell r="A5966" t="str">
            <v>IND</v>
          </cell>
          <cell r="B5966">
            <v>2014</v>
          </cell>
          <cell r="C5966" t="str">
            <v>matfpz</v>
          </cell>
          <cell r="D5966">
            <v>2.1936366558074951</v>
          </cell>
          <cell r="F5966" t="str">
            <v>14 Aug 2024</v>
          </cell>
        </row>
        <row r="5967">
          <cell r="A5967" t="str">
            <v>IND</v>
          </cell>
          <cell r="B5967">
            <v>2020</v>
          </cell>
          <cell r="C5967" t="str">
            <v>maconz</v>
          </cell>
          <cell r="D5967">
            <v>-5.2894582748413086</v>
          </cell>
          <cell r="F5967" t="str">
            <v>14 Aug 2024</v>
          </cell>
        </row>
        <row r="5968">
          <cell r="A5968" t="str">
            <v>IND</v>
          </cell>
          <cell r="B5968">
            <v>2017</v>
          </cell>
          <cell r="C5968" t="str">
            <v>mar_taxfc</v>
          </cell>
          <cell r="D5968">
            <v>9.2271556854248047</v>
          </cell>
          <cell r="F5968" t="str">
            <v>14 Aug 2024</v>
          </cell>
        </row>
        <row r="5969">
          <cell r="A5969" t="str">
            <v>IND</v>
          </cell>
          <cell r="B5969">
            <v>2022</v>
          </cell>
          <cell r="C5969" t="str">
            <v>mataxfc</v>
          </cell>
          <cell r="D5969">
            <v>10.61319637298584</v>
          </cell>
          <cell r="F5969" t="str">
            <v>14 Aug 2024</v>
          </cell>
        </row>
        <row r="5970">
          <cell r="A5970" t="str">
            <v>IND</v>
          </cell>
          <cell r="B5970">
            <v>2016</v>
          </cell>
          <cell r="C5970" t="str">
            <v>mataxfc</v>
          </cell>
          <cell r="D5970">
            <v>11.654870986938477</v>
          </cell>
          <cell r="F5970" t="str">
            <v>14 Aug 2024</v>
          </cell>
        </row>
        <row r="5971">
          <cell r="A5971" t="str">
            <v>IND</v>
          </cell>
          <cell r="B5971">
            <v>2006</v>
          </cell>
          <cell r="C5971" t="str">
            <v>macab_</v>
          </cell>
          <cell r="D5971">
            <v>-1.0186320543289185</v>
          </cell>
          <cell r="F5971" t="str">
            <v>14 Aug 2024</v>
          </cell>
        </row>
        <row r="5972">
          <cell r="A5972" t="str">
            <v>IND</v>
          </cell>
          <cell r="B5972">
            <v>2013</v>
          </cell>
          <cell r="C5972" t="str">
            <v>madebt_</v>
          </cell>
          <cell r="D5972">
            <v>67.059654235839844</v>
          </cell>
          <cell r="F5972" t="str">
            <v>14 Aug 2024</v>
          </cell>
        </row>
        <row r="5973">
          <cell r="A5973" t="str">
            <v>IND</v>
          </cell>
          <cell r="B5973">
            <v>2005</v>
          </cell>
          <cell r="C5973" t="str">
            <v>mar_expz</v>
          </cell>
          <cell r="D5973">
            <v>18.868507385253906</v>
          </cell>
          <cell r="F5973" t="str">
            <v>14 Aug 2024</v>
          </cell>
        </row>
        <row r="5974">
          <cell r="A5974" t="str">
            <v>IND</v>
          </cell>
          <cell r="B5974">
            <v>2009</v>
          </cell>
          <cell r="C5974" t="str">
            <v>magovz</v>
          </cell>
          <cell r="D5974">
            <v>14.190385818481445</v>
          </cell>
          <cell r="F5974" t="str">
            <v>14 Aug 2024</v>
          </cell>
        </row>
        <row r="5975">
          <cell r="A5975" t="str">
            <v>IND</v>
          </cell>
          <cell r="B5975">
            <v>2020</v>
          </cell>
          <cell r="C5975" t="str">
            <v>mafdi_</v>
          </cell>
          <cell r="D5975">
            <v>-1.6427409648895264</v>
          </cell>
          <cell r="F5975" t="str">
            <v>14 Aug 2024</v>
          </cell>
        </row>
        <row r="5976">
          <cell r="A5976" t="str">
            <v>IND</v>
          </cell>
          <cell r="B5976">
            <v>2006</v>
          </cell>
          <cell r="C5976" t="str">
            <v>maexpz</v>
          </cell>
          <cell r="D5976">
            <v>20.393804550170898</v>
          </cell>
          <cell r="F5976" t="str">
            <v>14 Aug 2024</v>
          </cell>
        </row>
        <row r="5977">
          <cell r="A5977" t="str">
            <v>IND</v>
          </cell>
          <cell r="B5977">
            <v>2020</v>
          </cell>
          <cell r="C5977" t="str">
            <v>mar_srvfc</v>
          </cell>
          <cell r="D5977">
            <v>52.881935119628906</v>
          </cell>
          <cell r="F5977" t="str">
            <v>14 Aug 2024</v>
          </cell>
        </row>
        <row r="5978">
          <cell r="A5978" t="str">
            <v>IND</v>
          </cell>
          <cell r="B5978">
            <v>2006</v>
          </cell>
          <cell r="C5978" t="str">
            <v>maindfc</v>
          </cell>
          <cell r="D5978">
            <v>13.240835189819336</v>
          </cell>
          <cell r="F5978" t="str">
            <v>14 Aug 2024</v>
          </cell>
        </row>
        <row r="5979">
          <cell r="A5979" t="str">
            <v>IND</v>
          </cell>
          <cell r="B5979">
            <v>2019</v>
          </cell>
          <cell r="C5979" t="str">
            <v>mataxfc</v>
          </cell>
          <cell r="D5979">
            <v>3.1311008930206299</v>
          </cell>
          <cell r="F5979" t="str">
            <v>14 Aug 2024</v>
          </cell>
        </row>
        <row r="5980">
          <cell r="A5980" t="str">
            <v>IND</v>
          </cell>
          <cell r="B5980">
            <v>2014</v>
          </cell>
          <cell r="C5980" t="str">
            <v>mar_agrfc</v>
          </cell>
          <cell r="D5980">
            <v>16.533084869384766</v>
          </cell>
          <cell r="F5980" t="str">
            <v>14 Aug 2024</v>
          </cell>
        </row>
        <row r="5981">
          <cell r="A5981" t="str">
            <v>IND</v>
          </cell>
          <cell r="B5981">
            <v>2020</v>
          </cell>
          <cell r="C5981" t="str">
            <v>madebt_</v>
          </cell>
          <cell r="D5981">
            <v>89.340927124023438</v>
          </cell>
          <cell r="F5981" t="str">
            <v>14 Aug 2024</v>
          </cell>
        </row>
        <row r="5982">
          <cell r="A5982" t="str">
            <v>IND</v>
          </cell>
          <cell r="B5982">
            <v>2008</v>
          </cell>
          <cell r="C5982" t="str">
            <v>magdpz</v>
          </cell>
          <cell r="D5982">
            <v>3.086698055267334</v>
          </cell>
          <cell r="F5982" t="str">
            <v>14 Aug 2024</v>
          </cell>
        </row>
        <row r="5983">
          <cell r="A5983" t="str">
            <v>IND</v>
          </cell>
          <cell r="B5983">
            <v>2015</v>
          </cell>
          <cell r="C5983" t="str">
            <v>mar_expz</v>
          </cell>
          <cell r="D5983">
            <v>20.847734451293945</v>
          </cell>
          <cell r="F5983" t="str">
            <v>14 Aug 2024</v>
          </cell>
        </row>
        <row r="5984">
          <cell r="A5984" t="str">
            <v>IND</v>
          </cell>
          <cell r="B5984">
            <v>2026</v>
          </cell>
          <cell r="C5984" t="str">
            <v>mataxfc</v>
          </cell>
          <cell r="D5984">
            <v>6.8115782737731934</v>
          </cell>
          <cell r="F5984" t="str">
            <v>14 Aug 2024</v>
          </cell>
        </row>
        <row r="5985">
          <cell r="A5985" t="str">
            <v>IND</v>
          </cell>
          <cell r="B5985">
            <v>2023</v>
          </cell>
          <cell r="C5985" t="str">
            <v>mareer</v>
          </cell>
          <cell r="D5985">
            <v>104.60343933105469</v>
          </cell>
          <cell r="F5985" t="str">
            <v>14 Aug 2024</v>
          </cell>
        </row>
        <row r="5986">
          <cell r="A5986" t="str">
            <v>IND</v>
          </cell>
          <cell r="B5986">
            <v>2015</v>
          </cell>
          <cell r="C5986" t="str">
            <v>macab_</v>
          </cell>
          <cell r="D5986">
            <v>-1.0498871803283691</v>
          </cell>
          <cell r="F5986" t="str">
            <v>14 Aug 2024</v>
          </cell>
        </row>
        <row r="5987">
          <cell r="A5987" t="str">
            <v>IND</v>
          </cell>
          <cell r="B5987">
            <v>2026</v>
          </cell>
          <cell r="C5987" t="str">
            <v>malabz</v>
          </cell>
          <cell r="D5987">
            <v>1.3938891887664795</v>
          </cell>
          <cell r="F5987" t="str">
            <v>14 Aug 2024</v>
          </cell>
        </row>
        <row r="5988">
          <cell r="A5988" t="str">
            <v>IND</v>
          </cell>
          <cell r="B5988">
            <v>2005</v>
          </cell>
          <cell r="C5988" t="str">
            <v>madebt_</v>
          </cell>
          <cell r="D5988">
            <v>80.404731750488281</v>
          </cell>
          <cell r="F5988" t="str">
            <v>14 Aug 2024</v>
          </cell>
        </row>
        <row r="5989">
          <cell r="A5989" t="str">
            <v>IND</v>
          </cell>
          <cell r="B5989">
            <v>2010</v>
          </cell>
          <cell r="C5989" t="str">
            <v>mareer</v>
          </cell>
          <cell r="D5989">
            <v>105.22976684570313</v>
          </cell>
          <cell r="F5989" t="str">
            <v>14 Aug 2024</v>
          </cell>
        </row>
        <row r="5990">
          <cell r="A5990" t="str">
            <v>IND</v>
          </cell>
          <cell r="B5990">
            <v>2022</v>
          </cell>
          <cell r="C5990" t="str">
            <v>mac_labz</v>
          </cell>
          <cell r="D5990">
            <v>0.83949077129364014</v>
          </cell>
          <cell r="F5990" t="str">
            <v>14 Aug 2024</v>
          </cell>
        </row>
        <row r="5991">
          <cell r="A5991" t="str">
            <v>IND</v>
          </cell>
          <cell r="B5991">
            <v>2019</v>
          </cell>
          <cell r="C5991" t="str">
            <v>mainvz</v>
          </cell>
          <cell r="D5991">
            <v>1.1467815637588501</v>
          </cell>
          <cell r="F5991" t="str">
            <v>14 Aug 2024</v>
          </cell>
        </row>
        <row r="5992">
          <cell r="A5992" t="str">
            <v>IND</v>
          </cell>
          <cell r="B5992">
            <v>2019</v>
          </cell>
          <cell r="C5992" t="str">
            <v>mafdi_</v>
          </cell>
          <cell r="D5992">
            <v>-1.5165126323699951</v>
          </cell>
          <cell r="F5992" t="str">
            <v>14 Aug 2024</v>
          </cell>
        </row>
        <row r="5993">
          <cell r="A5993" t="str">
            <v>IND</v>
          </cell>
          <cell r="B5993">
            <v>2009</v>
          </cell>
          <cell r="C5993" t="str">
            <v>malabz</v>
          </cell>
          <cell r="D5993">
            <v>2.0354986190795898</v>
          </cell>
          <cell r="F5993" t="str">
            <v>14 Aug 2024</v>
          </cell>
        </row>
        <row r="5994">
          <cell r="A5994" t="str">
            <v>IND</v>
          </cell>
          <cell r="B5994">
            <v>2025</v>
          </cell>
          <cell r="C5994" t="str">
            <v>mac_labz</v>
          </cell>
          <cell r="D5994">
            <v>1.0125110149383545</v>
          </cell>
          <cell r="F5994" t="str">
            <v>14 Aug 2024</v>
          </cell>
        </row>
        <row r="5995">
          <cell r="A5995" t="str">
            <v>IND</v>
          </cell>
          <cell r="B5995">
            <v>2014</v>
          </cell>
          <cell r="C5995" t="str">
            <v>mac_labz</v>
          </cell>
          <cell r="D5995">
            <v>1.3593621253967285</v>
          </cell>
          <cell r="F5995" t="str">
            <v>14 Aug 2024</v>
          </cell>
        </row>
        <row r="5996">
          <cell r="A5996" t="str">
            <v>IND</v>
          </cell>
          <cell r="B5996">
            <v>2026</v>
          </cell>
          <cell r="C5996" t="str">
            <v>mar_expz</v>
          </cell>
          <cell r="D5996">
            <v>22.898448944091797</v>
          </cell>
          <cell r="F5996" t="str">
            <v>14 Aug 2024</v>
          </cell>
        </row>
        <row r="5997">
          <cell r="A5997" t="str">
            <v>IND</v>
          </cell>
          <cell r="B5997">
            <v>2020</v>
          </cell>
          <cell r="C5997" t="str">
            <v>mar_expz</v>
          </cell>
          <cell r="D5997">
            <v>19.117761611938477</v>
          </cell>
          <cell r="F5997" t="str">
            <v>14 Aug 2024</v>
          </cell>
        </row>
        <row r="5998">
          <cell r="A5998" t="str">
            <v>IND</v>
          </cell>
          <cell r="B5998">
            <v>2023</v>
          </cell>
          <cell r="C5998" t="str">
            <v>maindfc</v>
          </cell>
          <cell r="D5998">
            <v>8.8315000534057617</v>
          </cell>
          <cell r="F5998" t="str">
            <v>14 Aug 2024</v>
          </cell>
        </row>
        <row r="5999">
          <cell r="A5999" t="str">
            <v>IND</v>
          </cell>
          <cell r="B5999">
            <v>2013</v>
          </cell>
          <cell r="C5999" t="str">
            <v>mar_impz</v>
          </cell>
          <cell r="D5999">
            <v>26.981483459472656</v>
          </cell>
          <cell r="F5999" t="str">
            <v>14 Aug 2024</v>
          </cell>
        </row>
        <row r="6000">
          <cell r="A6000" t="str">
            <v>IND</v>
          </cell>
          <cell r="B6000">
            <v>2023</v>
          </cell>
          <cell r="C6000" t="str">
            <v>mac_labz</v>
          </cell>
          <cell r="D6000">
            <v>0.94932734966278076</v>
          </cell>
          <cell r="F6000" t="str">
            <v>14 Aug 2024</v>
          </cell>
        </row>
        <row r="6001">
          <cell r="A6001" t="str">
            <v>IND</v>
          </cell>
          <cell r="B6001">
            <v>2026</v>
          </cell>
          <cell r="C6001" t="str">
            <v>mar_indfc</v>
          </cell>
          <cell r="D6001">
            <v>31.275449752807617</v>
          </cell>
          <cell r="F6001" t="str">
            <v>14 Aug 2024</v>
          </cell>
        </row>
        <row r="6002">
          <cell r="A6002" t="str">
            <v>IND</v>
          </cell>
          <cell r="B6002">
            <v>2023</v>
          </cell>
          <cell r="C6002" t="str">
            <v>maimpz</v>
          </cell>
          <cell r="D6002">
            <v>10.399999618530273</v>
          </cell>
          <cell r="F6002" t="str">
            <v>14 Aug 2024</v>
          </cell>
        </row>
        <row r="6003">
          <cell r="A6003" t="str">
            <v>IND</v>
          </cell>
          <cell r="B6003">
            <v>2023</v>
          </cell>
          <cell r="C6003" t="str">
            <v>mataxfc</v>
          </cell>
          <cell r="D6003">
            <v>15.35360050201416</v>
          </cell>
          <cell r="F6003" t="str">
            <v>14 Aug 2024</v>
          </cell>
        </row>
        <row r="6004">
          <cell r="A6004" t="str">
            <v>IND</v>
          </cell>
          <cell r="B6004">
            <v>2023</v>
          </cell>
          <cell r="C6004" t="str">
            <v>maexpz</v>
          </cell>
          <cell r="D6004">
            <v>3.0999999046325684</v>
          </cell>
          <cell r="F6004" t="str">
            <v>14 Aug 2024</v>
          </cell>
        </row>
        <row r="6005">
          <cell r="A6005" t="str">
            <v>IND</v>
          </cell>
          <cell r="B6005">
            <v>2011</v>
          </cell>
          <cell r="C6005" t="str">
            <v>macpiz</v>
          </cell>
          <cell r="D6005">
            <v>10.835214614868164</v>
          </cell>
          <cell r="F6005" t="str">
            <v>14 Aug 2024</v>
          </cell>
        </row>
        <row r="6006">
          <cell r="A6006" t="str">
            <v>IND</v>
          </cell>
          <cell r="B6006">
            <v>2021</v>
          </cell>
          <cell r="C6006" t="str">
            <v>mac_labz</v>
          </cell>
          <cell r="D6006">
            <v>0.9658966064453125</v>
          </cell>
          <cell r="F6006" t="str">
            <v>14 Aug 2024</v>
          </cell>
        </row>
        <row r="6007">
          <cell r="A6007" t="str">
            <v>IND</v>
          </cell>
          <cell r="B6007">
            <v>2011</v>
          </cell>
          <cell r="C6007" t="str">
            <v>maimpz</v>
          </cell>
          <cell r="D6007">
            <v>20.411731719970703</v>
          </cell>
          <cell r="F6007" t="str">
            <v>14 Aug 2024</v>
          </cell>
        </row>
        <row r="6008">
          <cell r="A6008" t="str">
            <v>IND</v>
          </cell>
          <cell r="B6008">
            <v>2014</v>
          </cell>
          <cell r="C6008" t="str">
            <v>mar_expz</v>
          </cell>
          <cell r="D6008">
            <v>23.862295150756836</v>
          </cell>
          <cell r="F6008" t="str">
            <v>14 Aug 2024</v>
          </cell>
        </row>
        <row r="6009">
          <cell r="A6009" t="str">
            <v>IND</v>
          </cell>
          <cell r="B6009">
            <v>2022</v>
          </cell>
          <cell r="C6009" t="str">
            <v>mar_indfc</v>
          </cell>
          <cell r="D6009">
            <v>30.220729827880859</v>
          </cell>
          <cell r="F6009" t="str">
            <v>14 Aug 2024</v>
          </cell>
        </row>
        <row r="6010">
          <cell r="A6010" t="str">
            <v>IND</v>
          </cell>
          <cell r="B6010">
            <v>2013</v>
          </cell>
          <cell r="C6010" t="str">
            <v>masrvfc</v>
          </cell>
          <cell r="D6010">
            <v>7.6600022315979004</v>
          </cell>
          <cell r="F6010" t="str">
            <v>14 Aug 2024</v>
          </cell>
        </row>
        <row r="6011">
          <cell r="A6011" t="str">
            <v>IND</v>
          </cell>
          <cell r="B6011">
            <v>2011</v>
          </cell>
          <cell r="C6011" t="str">
            <v>mac_tfpz</v>
          </cell>
          <cell r="D6011">
            <v>2.0058891773223877</v>
          </cell>
          <cell r="F6011" t="str">
            <v>14 Aug 2024</v>
          </cell>
        </row>
        <row r="6012">
          <cell r="A6012" t="str">
            <v>IND</v>
          </cell>
          <cell r="B6012">
            <v>2013</v>
          </cell>
          <cell r="C6012" t="str">
            <v>mar_con</v>
          </cell>
          <cell r="D6012">
            <v>56.699508666992188</v>
          </cell>
          <cell r="F6012" t="str">
            <v>14 Aug 2024</v>
          </cell>
        </row>
        <row r="6013">
          <cell r="A6013" t="str">
            <v>IND</v>
          </cell>
          <cell r="B6013">
            <v>2022</v>
          </cell>
          <cell r="C6013" t="str">
            <v>mainvz</v>
          </cell>
          <cell r="D6013">
            <v>6.624293327331543</v>
          </cell>
          <cell r="F6013" t="str">
            <v>14 Aug 2024</v>
          </cell>
        </row>
        <row r="6014">
          <cell r="A6014" t="str">
            <v>IND</v>
          </cell>
          <cell r="B6014">
            <v>2009</v>
          </cell>
          <cell r="C6014" t="str">
            <v>maconz</v>
          </cell>
          <cell r="D6014">
            <v>5.0007772445678711</v>
          </cell>
          <cell r="F6014" t="str">
            <v>14 Aug 2024</v>
          </cell>
        </row>
        <row r="6015">
          <cell r="A6015" t="str">
            <v>IND</v>
          </cell>
          <cell r="B6015">
            <v>2007</v>
          </cell>
          <cell r="C6015" t="str">
            <v>mafdi_</v>
          </cell>
          <cell r="D6015">
            <v>-1.307475209236145</v>
          </cell>
          <cell r="F6015" t="str">
            <v>14 Aug 2024</v>
          </cell>
        </row>
        <row r="6016">
          <cell r="A6016" t="str">
            <v>IND</v>
          </cell>
          <cell r="B6016">
            <v>2009</v>
          </cell>
          <cell r="C6016" t="str">
            <v>mar_expz</v>
          </cell>
          <cell r="D6016">
            <v>20.306924819946289</v>
          </cell>
          <cell r="F6016" t="str">
            <v>14 Aug 2024</v>
          </cell>
        </row>
        <row r="6017">
          <cell r="A6017" t="str">
            <v>IND</v>
          </cell>
          <cell r="B6017">
            <v>2025</v>
          </cell>
          <cell r="C6017" t="str">
            <v>mapanusatls</v>
          </cell>
          <cell r="D6017">
            <v>84.121368408203125</v>
          </cell>
          <cell r="F6017" t="str">
            <v>14 Aug 2024</v>
          </cell>
        </row>
        <row r="6018">
          <cell r="A6018" t="str">
            <v>IND</v>
          </cell>
          <cell r="B6018">
            <v>2018</v>
          </cell>
          <cell r="C6018" t="str">
            <v>mar_srvfc</v>
          </cell>
          <cell r="D6018">
            <v>54.017322540283203</v>
          </cell>
          <cell r="F6018" t="str">
            <v>14 Aug 2024</v>
          </cell>
        </row>
        <row r="6019">
          <cell r="A6019" t="str">
            <v>IND</v>
          </cell>
          <cell r="B6019">
            <v>2024</v>
          </cell>
          <cell r="C6019" t="str">
            <v>madeficit_</v>
          </cell>
          <cell r="D6019">
            <v>-8.7972145080566406</v>
          </cell>
          <cell r="F6019" t="str">
            <v>14 Aug 2024</v>
          </cell>
        </row>
        <row r="6020">
          <cell r="A6020" t="str">
            <v>IND</v>
          </cell>
          <cell r="B6020">
            <v>2022</v>
          </cell>
          <cell r="C6020" t="str">
            <v>maexpz</v>
          </cell>
          <cell r="D6020">
            <v>13.398774147033691</v>
          </cell>
          <cell r="F6020" t="str">
            <v>14 Aug 2024</v>
          </cell>
        </row>
        <row r="6021">
          <cell r="A6021" t="str">
            <v>IND</v>
          </cell>
          <cell r="B6021">
            <v>2021</v>
          </cell>
          <cell r="C6021" t="str">
            <v>mar_expz</v>
          </cell>
          <cell r="D6021">
            <v>22.587818145751953</v>
          </cell>
          <cell r="F6021" t="str">
            <v>14 Aug 2024</v>
          </cell>
        </row>
        <row r="6022">
          <cell r="A6022" t="str">
            <v>IND</v>
          </cell>
          <cell r="B6022">
            <v>2025</v>
          </cell>
          <cell r="C6022" t="str">
            <v>mar_taxfc</v>
          </cell>
          <cell r="D6022">
            <v>9.2399406433105469</v>
          </cell>
          <cell r="F6022" t="str">
            <v>14 Aug 2024</v>
          </cell>
        </row>
        <row r="6023">
          <cell r="A6023" t="str">
            <v>IND</v>
          </cell>
          <cell r="B6023">
            <v>2011</v>
          </cell>
          <cell r="C6023" t="str">
            <v>mareer</v>
          </cell>
          <cell r="D6023">
            <v>101.85409545898438</v>
          </cell>
          <cell r="F6023" t="str">
            <v>14 Aug 2024</v>
          </cell>
        </row>
        <row r="6024">
          <cell r="A6024" t="str">
            <v>IND</v>
          </cell>
          <cell r="B6024">
            <v>2017</v>
          </cell>
          <cell r="C6024" t="str">
            <v>madebt_</v>
          </cell>
          <cell r="D6024">
            <v>69.574920654296875</v>
          </cell>
          <cell r="F6024" t="str">
            <v>14 Aug 2024</v>
          </cell>
        </row>
        <row r="6025">
          <cell r="A6025" t="str">
            <v>IND</v>
          </cell>
          <cell r="B6025">
            <v>2022</v>
          </cell>
          <cell r="C6025" t="str">
            <v>mar_taxfc</v>
          </cell>
          <cell r="D6025">
            <v>8.5547885894775391</v>
          </cell>
          <cell r="F6025" t="str">
            <v>14 Aug 2024</v>
          </cell>
        </row>
        <row r="6026">
          <cell r="A6026" t="str">
            <v>IND</v>
          </cell>
          <cell r="B6026">
            <v>2018</v>
          </cell>
          <cell r="C6026" t="str">
            <v>macab_</v>
          </cell>
          <cell r="D6026">
            <v>-2.1144673824310303</v>
          </cell>
          <cell r="F6026" t="str">
            <v>14 Aug 2024</v>
          </cell>
        </row>
        <row r="6027">
          <cell r="A6027" t="str">
            <v>IND</v>
          </cell>
          <cell r="B6027">
            <v>2017</v>
          </cell>
          <cell r="C6027" t="str">
            <v>madeficit_</v>
          </cell>
          <cell r="D6027">
            <v>-5.8343768119812012</v>
          </cell>
          <cell r="F6027" t="str">
            <v>14 Aug 2024</v>
          </cell>
        </row>
        <row r="6028">
          <cell r="A6028" t="str">
            <v>IND</v>
          </cell>
          <cell r="B6028">
            <v>2010</v>
          </cell>
          <cell r="C6028" t="str">
            <v>mar_srvfc</v>
          </cell>
          <cell r="D6028">
            <v>48.673683166503906</v>
          </cell>
          <cell r="F6028" t="str">
            <v>14 Aug 2024</v>
          </cell>
        </row>
        <row r="6029">
          <cell r="A6029" t="str">
            <v>IND</v>
          </cell>
          <cell r="B6029">
            <v>2011</v>
          </cell>
          <cell r="C6029" t="str">
            <v>mainvz</v>
          </cell>
          <cell r="D6029">
            <v>12.092949867248535</v>
          </cell>
          <cell r="F6029" t="str">
            <v>14 Aug 2024</v>
          </cell>
        </row>
        <row r="6030">
          <cell r="A6030" t="str">
            <v>IND</v>
          </cell>
          <cell r="B6030">
            <v>2019</v>
          </cell>
          <cell r="C6030" t="str">
            <v>mapanusatls</v>
          </cell>
          <cell r="D6030">
            <v>70.879081726074219</v>
          </cell>
          <cell r="F6030" t="str">
            <v>14 Aug 2024</v>
          </cell>
        </row>
        <row r="6031">
          <cell r="A6031" t="str">
            <v>IND</v>
          </cell>
          <cell r="B6031">
            <v>2017</v>
          </cell>
          <cell r="C6031" t="str">
            <v>macab_</v>
          </cell>
          <cell r="D6031">
            <v>-1.8350340127944946</v>
          </cell>
          <cell r="F6031" t="str">
            <v>14 Aug 2024</v>
          </cell>
        </row>
        <row r="6032">
          <cell r="A6032" t="str">
            <v>IND</v>
          </cell>
          <cell r="B6032">
            <v>2026</v>
          </cell>
          <cell r="C6032" t="str">
            <v>mar_srvfc</v>
          </cell>
          <cell r="D6032">
            <v>55.618751525878906</v>
          </cell>
          <cell r="F6032" t="str">
            <v>14 Aug 2024</v>
          </cell>
        </row>
        <row r="6033">
          <cell r="A6033" t="str">
            <v>IND</v>
          </cell>
          <cell r="B6033">
            <v>2020</v>
          </cell>
          <cell r="C6033" t="str">
            <v>maexpz</v>
          </cell>
          <cell r="D6033">
            <v>-6.9562382698059082</v>
          </cell>
          <cell r="F6033" t="str">
            <v>14 Aug 2024</v>
          </cell>
        </row>
        <row r="6034">
          <cell r="A6034" t="str">
            <v>IND</v>
          </cell>
          <cell r="B6034">
            <v>2007</v>
          </cell>
          <cell r="C6034" t="str">
            <v>maindfc</v>
          </cell>
          <cell r="D6034">
            <v>8.0238723754882813</v>
          </cell>
          <cell r="F6034" t="str">
            <v>14 Aug 2024</v>
          </cell>
        </row>
        <row r="6035">
          <cell r="A6035" t="str">
            <v>IND</v>
          </cell>
          <cell r="B6035">
            <v>2018</v>
          </cell>
          <cell r="C6035" t="str">
            <v>magdpz</v>
          </cell>
          <cell r="D6035">
            <v>6.4538512229919434</v>
          </cell>
          <cell r="F6035" t="str">
            <v>14 Aug 2024</v>
          </cell>
        </row>
        <row r="6036">
          <cell r="A6036" t="str">
            <v>IND</v>
          </cell>
          <cell r="B6036">
            <v>2009</v>
          </cell>
          <cell r="C6036" t="str">
            <v>mapanusatls</v>
          </cell>
          <cell r="D6036">
            <v>47.439998626708984</v>
          </cell>
          <cell r="F6036" t="str">
            <v>14 Aug 2024</v>
          </cell>
        </row>
        <row r="6037">
          <cell r="A6037" t="str">
            <v>IND</v>
          </cell>
          <cell r="B6037">
            <v>2011</v>
          </cell>
          <cell r="C6037" t="str">
            <v>maindfc</v>
          </cell>
          <cell r="D6037">
            <v>3.6264488697052002</v>
          </cell>
          <cell r="F6037" t="str">
            <v>14 Aug 2024</v>
          </cell>
        </row>
        <row r="6038">
          <cell r="A6038" t="str">
            <v>IND</v>
          </cell>
          <cell r="B6038">
            <v>2023</v>
          </cell>
          <cell r="C6038" t="str">
            <v>macab_</v>
          </cell>
          <cell r="D6038">
            <v>-1.123023509979248</v>
          </cell>
          <cell r="F6038" t="str">
            <v>14 Aug 2024</v>
          </cell>
        </row>
        <row r="6039">
          <cell r="A6039" t="str">
            <v>IND</v>
          </cell>
          <cell r="B6039">
            <v>2023</v>
          </cell>
          <cell r="C6039" t="str">
            <v>mafdi_</v>
          </cell>
          <cell r="D6039">
            <v>-0.79843997955322266</v>
          </cell>
          <cell r="F6039" t="str">
            <v>14 Aug 2024</v>
          </cell>
        </row>
        <row r="6040">
          <cell r="A6040" t="str">
            <v>IND</v>
          </cell>
          <cell r="B6040">
            <v>2020</v>
          </cell>
          <cell r="C6040" t="str">
            <v>maimpz</v>
          </cell>
          <cell r="D6040">
            <v>-12.622650146484375</v>
          </cell>
          <cell r="F6040" t="str">
            <v>14 Aug 2024</v>
          </cell>
        </row>
        <row r="6041">
          <cell r="A6041" t="str">
            <v>IND</v>
          </cell>
          <cell r="B6041">
            <v>2013</v>
          </cell>
          <cell r="C6041" t="str">
            <v>mar_taxfc</v>
          </cell>
          <cell r="D6041">
            <v>8.1393394470214844</v>
          </cell>
          <cell r="F6041" t="str">
            <v>14 Aug 2024</v>
          </cell>
        </row>
        <row r="6042">
          <cell r="A6042" t="str">
            <v>IND</v>
          </cell>
          <cell r="B6042">
            <v>2019</v>
          </cell>
          <cell r="C6042" t="str">
            <v>mar_impz</v>
          </cell>
          <cell r="D6042">
            <v>22.854068756103516</v>
          </cell>
          <cell r="F6042" t="str">
            <v>14 Aug 2024</v>
          </cell>
        </row>
        <row r="6043">
          <cell r="A6043" t="str">
            <v>IND</v>
          </cell>
          <cell r="B6043">
            <v>2018</v>
          </cell>
          <cell r="C6043" t="str">
            <v>maimpz</v>
          </cell>
          <cell r="D6043">
            <v>8.8226966857910156</v>
          </cell>
          <cell r="F6043" t="str">
            <v>14 Aug 2024</v>
          </cell>
        </row>
        <row r="6044">
          <cell r="A6044" t="str">
            <v>IND</v>
          </cell>
          <cell r="B6044">
            <v>2012</v>
          </cell>
          <cell r="C6044" t="str">
            <v>maconz</v>
          </cell>
          <cell r="D6044">
            <v>5.4708561897277832</v>
          </cell>
          <cell r="F6044" t="str">
            <v>14 Aug 2024</v>
          </cell>
        </row>
        <row r="6045">
          <cell r="A6045" t="str">
            <v>IND</v>
          </cell>
          <cell r="B6045">
            <v>2024</v>
          </cell>
          <cell r="C6045" t="str">
            <v>magap_</v>
          </cell>
          <cell r="D6045">
            <v>0.61861288547515869</v>
          </cell>
          <cell r="F6045" t="str">
            <v>14 Aug 2024</v>
          </cell>
        </row>
        <row r="6046">
          <cell r="A6046" t="str">
            <v>IND</v>
          </cell>
          <cell r="B6046">
            <v>2017</v>
          </cell>
          <cell r="C6046" t="str">
            <v>mareer</v>
          </cell>
          <cell r="D6046">
            <v>108.64170074462891</v>
          </cell>
          <cell r="F6046" t="str">
            <v>14 Aug 2024</v>
          </cell>
        </row>
        <row r="6047">
          <cell r="A6047" t="str">
            <v>IND</v>
          </cell>
          <cell r="B6047">
            <v>2023</v>
          </cell>
          <cell r="C6047" t="str">
            <v>mapanusatls</v>
          </cell>
          <cell r="D6047">
            <v>81.499740600585938</v>
          </cell>
          <cell r="F6047" t="str">
            <v>14 Aug 2024</v>
          </cell>
        </row>
        <row r="6048">
          <cell r="A6048" t="str">
            <v>IND</v>
          </cell>
          <cell r="B6048">
            <v>2014</v>
          </cell>
          <cell r="C6048" t="str">
            <v>magdpz</v>
          </cell>
          <cell r="D6048">
            <v>7.4102268218994141</v>
          </cell>
          <cell r="F6048" t="str">
            <v>14 Aug 2024</v>
          </cell>
        </row>
        <row r="6049">
          <cell r="A6049" t="str">
            <v>IND</v>
          </cell>
          <cell r="B6049">
            <v>2022</v>
          </cell>
          <cell r="C6049" t="str">
            <v>maimpz</v>
          </cell>
          <cell r="D6049">
            <v>10.589795112609863</v>
          </cell>
          <cell r="F6049" t="str">
            <v>14 Aug 2024</v>
          </cell>
        </row>
        <row r="6050">
          <cell r="A6050" t="str">
            <v>IND</v>
          </cell>
          <cell r="B6050">
            <v>2011</v>
          </cell>
          <cell r="C6050" t="str">
            <v>mar_srvfc</v>
          </cell>
          <cell r="D6050">
            <v>48.970046997070313</v>
          </cell>
          <cell r="F6050" t="str">
            <v>14 Aug 2024</v>
          </cell>
        </row>
        <row r="6051">
          <cell r="A6051" t="str">
            <v>IND</v>
          </cell>
          <cell r="B6051">
            <v>2025</v>
          </cell>
          <cell r="C6051" t="str">
            <v>magap_</v>
          </cell>
          <cell r="D6051">
            <v>0.37090981006622314</v>
          </cell>
          <cell r="F6051" t="str">
            <v>14 Aug 2024</v>
          </cell>
        </row>
        <row r="6052">
          <cell r="A6052" t="str">
            <v>IND</v>
          </cell>
          <cell r="B6052">
            <v>2012</v>
          </cell>
          <cell r="C6052" t="str">
            <v>mac_tfpz</v>
          </cell>
          <cell r="D6052">
            <v>2.0561749935150146</v>
          </cell>
          <cell r="F6052" t="str">
            <v>14 Aug 2024</v>
          </cell>
        </row>
        <row r="6053">
          <cell r="A6053" t="str">
            <v>IND</v>
          </cell>
          <cell r="B6053">
            <v>2026</v>
          </cell>
          <cell r="C6053" t="str">
            <v>mar_taxfc</v>
          </cell>
          <cell r="D6053">
            <v>9.2399396896362305</v>
          </cell>
          <cell r="F6053" t="str">
            <v>14 Aug 2024</v>
          </cell>
        </row>
        <row r="6054">
          <cell r="A6054" t="str">
            <v>IND</v>
          </cell>
          <cell r="B6054">
            <v>2012</v>
          </cell>
          <cell r="C6054" t="str">
            <v>macpiz</v>
          </cell>
          <cell r="D6054">
            <v>9.9045982360839844</v>
          </cell>
          <cell r="F6054" t="str">
            <v>14 Aug 2024</v>
          </cell>
        </row>
        <row r="6055">
          <cell r="A6055" t="str">
            <v>IND</v>
          </cell>
          <cell r="B6055">
            <v>2006</v>
          </cell>
          <cell r="C6055" t="str">
            <v>mar_srvfc</v>
          </cell>
          <cell r="D6055">
            <v>46.779239654541016</v>
          </cell>
          <cell r="F6055" t="str">
            <v>14 Aug 2024</v>
          </cell>
        </row>
        <row r="6056">
          <cell r="A6056" t="str">
            <v>IND</v>
          </cell>
          <cell r="B6056">
            <v>2017</v>
          </cell>
          <cell r="C6056" t="str">
            <v>mafdi_</v>
          </cell>
          <cell r="D6056">
            <v>-1.1421034336090088</v>
          </cell>
          <cell r="F6056" t="str">
            <v>14 Aug 2024</v>
          </cell>
        </row>
        <row r="6057">
          <cell r="A6057" t="str">
            <v>IND</v>
          </cell>
          <cell r="B6057">
            <v>2017</v>
          </cell>
          <cell r="C6057" t="str">
            <v>mapanusatls</v>
          </cell>
          <cell r="D6057">
            <v>64.447410583496094</v>
          </cell>
          <cell r="F6057" t="str">
            <v>14 Aug 2024</v>
          </cell>
        </row>
        <row r="6058">
          <cell r="A6058" t="str">
            <v>IND</v>
          </cell>
          <cell r="B6058">
            <v>2014</v>
          </cell>
          <cell r="C6058" t="str">
            <v>mapanusatls</v>
          </cell>
          <cell r="D6058">
            <v>61.139999389648438</v>
          </cell>
          <cell r="F6058" t="str">
            <v>14 Aug 2024</v>
          </cell>
        </row>
        <row r="6059">
          <cell r="A6059" t="str">
            <v>IND</v>
          </cell>
          <cell r="B6059">
            <v>2006</v>
          </cell>
          <cell r="C6059" t="str">
            <v>maconz</v>
          </cell>
          <cell r="D6059">
            <v>4.9357757568359375</v>
          </cell>
          <cell r="F6059" t="str">
            <v>14 Aug 2024</v>
          </cell>
        </row>
        <row r="6060">
          <cell r="A6060" t="str">
            <v>IND</v>
          </cell>
          <cell r="B6060">
            <v>2005</v>
          </cell>
          <cell r="C6060" t="str">
            <v>malabz</v>
          </cell>
          <cell r="D6060">
            <v>0</v>
          </cell>
          <cell r="F6060" t="str">
            <v>14 Aug 2024</v>
          </cell>
        </row>
        <row r="6061">
          <cell r="A6061" t="str">
            <v>IND</v>
          </cell>
          <cell r="B6061">
            <v>2017</v>
          </cell>
          <cell r="C6061" t="str">
            <v>maimpz</v>
          </cell>
          <cell r="D6061">
            <v>17.41998291015625</v>
          </cell>
          <cell r="F6061" t="str">
            <v>14 Aug 2024</v>
          </cell>
        </row>
        <row r="6062">
          <cell r="A6062" t="str">
            <v>IND</v>
          </cell>
          <cell r="B6062">
            <v>2024</v>
          </cell>
          <cell r="C6062" t="str">
            <v>mafdi_</v>
          </cell>
          <cell r="D6062">
            <v>-1.2007900476455688</v>
          </cell>
          <cell r="F6062" t="str">
            <v>14 Aug 2024</v>
          </cell>
        </row>
        <row r="6063">
          <cell r="A6063" t="str">
            <v>IND</v>
          </cell>
          <cell r="B6063">
            <v>2026</v>
          </cell>
          <cell r="C6063" t="str">
            <v>mac_tfpz</v>
          </cell>
          <cell r="D6063">
            <v>2.8458631038665771</v>
          </cell>
          <cell r="F6063" t="str">
            <v>14 Aug 2024</v>
          </cell>
        </row>
        <row r="6064">
          <cell r="A6064" t="str">
            <v>IND</v>
          </cell>
          <cell r="B6064">
            <v>2006</v>
          </cell>
          <cell r="C6064" t="str">
            <v>mainvz</v>
          </cell>
          <cell r="D6064">
            <v>13.874111175537109</v>
          </cell>
          <cell r="F6064" t="str">
            <v>14 Aug 2024</v>
          </cell>
        </row>
        <row r="6065">
          <cell r="A6065" t="str">
            <v>IND</v>
          </cell>
          <cell r="B6065">
            <v>2008</v>
          </cell>
          <cell r="C6065" t="str">
            <v>mareer</v>
          </cell>
          <cell r="D6065">
            <v>89.285682678222656</v>
          </cell>
          <cell r="F6065" t="str">
            <v>14 Aug 2024</v>
          </cell>
        </row>
        <row r="6066">
          <cell r="A6066" t="str">
            <v>IND</v>
          </cell>
          <cell r="B6066">
            <v>2014</v>
          </cell>
          <cell r="C6066" t="str">
            <v>magap_</v>
          </cell>
          <cell r="D6066">
            <v>-1.700284481048584</v>
          </cell>
          <cell r="F6066" t="str">
            <v>14 Aug 2024</v>
          </cell>
        </row>
        <row r="6067">
          <cell r="A6067" t="str">
            <v>IND</v>
          </cell>
          <cell r="B6067">
            <v>2021</v>
          </cell>
          <cell r="C6067" t="str">
            <v>matfpz</v>
          </cell>
          <cell r="D6067">
            <v>4.1019196510314941</v>
          </cell>
          <cell r="F6067" t="str">
            <v>14 Aug 2024</v>
          </cell>
        </row>
        <row r="6068">
          <cell r="A6068" t="str">
            <v>IND</v>
          </cell>
          <cell r="B6068">
            <v>2025</v>
          </cell>
          <cell r="C6068" t="str">
            <v>masrvfc</v>
          </cell>
          <cell r="D6068">
            <v>7.2702121734619141</v>
          </cell>
          <cell r="F6068" t="str">
            <v>14 Aug 2024</v>
          </cell>
        </row>
        <row r="6069">
          <cell r="A6069" t="str">
            <v>IND</v>
          </cell>
          <cell r="B6069">
            <v>2019</v>
          </cell>
          <cell r="C6069" t="str">
            <v>magovz</v>
          </cell>
          <cell r="D6069">
            <v>3.9486424922943115</v>
          </cell>
          <cell r="F6069" t="str">
            <v>14 Aug 2024</v>
          </cell>
        </row>
        <row r="6070">
          <cell r="A6070" t="str">
            <v>IND</v>
          </cell>
          <cell r="B6070">
            <v>2017</v>
          </cell>
          <cell r="C6070" t="str">
            <v>magovz</v>
          </cell>
          <cell r="D6070">
            <v>11.921171188354492</v>
          </cell>
          <cell r="F6070" t="str">
            <v>14 Aug 2024</v>
          </cell>
        </row>
        <row r="6071">
          <cell r="A6071" t="str">
            <v>IND</v>
          </cell>
          <cell r="B6071">
            <v>2011</v>
          </cell>
          <cell r="C6071" t="str">
            <v>maagrfc</v>
          </cell>
          <cell r="D6071">
            <v>6.3978071212768555</v>
          </cell>
          <cell r="F6071" t="str">
            <v>14 Aug 2024</v>
          </cell>
        </row>
        <row r="6072">
          <cell r="A6072" t="str">
            <v>IND</v>
          </cell>
          <cell r="B6072">
            <v>2014</v>
          </cell>
          <cell r="C6072" t="str">
            <v>maconz</v>
          </cell>
          <cell r="D6072">
            <v>6.3938660621643066</v>
          </cell>
          <cell r="F6072" t="str">
            <v>14 Aug 2024</v>
          </cell>
        </row>
        <row r="6073">
          <cell r="A6073" t="str">
            <v>IND</v>
          </cell>
          <cell r="B6073">
            <v>2019</v>
          </cell>
          <cell r="C6073" t="str">
            <v>maimpz</v>
          </cell>
          <cell r="D6073">
            <v>-0.83895629644393921</v>
          </cell>
          <cell r="F6073" t="str">
            <v>14 Aug 2024</v>
          </cell>
        </row>
        <row r="6074">
          <cell r="A6074" t="str">
            <v>IND</v>
          </cell>
          <cell r="B6074">
            <v>2007</v>
          </cell>
          <cell r="C6074" t="str">
            <v>mac_tfpz</v>
          </cell>
          <cell r="D6074">
            <v>2.0027849674224854</v>
          </cell>
          <cell r="F6074" t="str">
            <v>14 Aug 2024</v>
          </cell>
        </row>
        <row r="6075">
          <cell r="A6075" t="str">
            <v>IND</v>
          </cell>
          <cell r="B6075">
            <v>2016</v>
          </cell>
          <cell r="C6075" t="str">
            <v>masrvfc</v>
          </cell>
          <cell r="D6075">
            <v>8.4630622863769531</v>
          </cell>
          <cell r="F6075" t="str">
            <v>14 Aug 2024</v>
          </cell>
        </row>
        <row r="6076">
          <cell r="A6076" t="str">
            <v>IND</v>
          </cell>
          <cell r="B6076">
            <v>2016</v>
          </cell>
          <cell r="C6076" t="str">
            <v>magap_</v>
          </cell>
          <cell r="D6076">
            <v>1.5840396881103516</v>
          </cell>
          <cell r="F6076" t="str">
            <v>14 Aug 2024</v>
          </cell>
        </row>
        <row r="6077">
          <cell r="A6077" t="str">
            <v>IND</v>
          </cell>
          <cell r="B6077">
            <v>2015</v>
          </cell>
          <cell r="C6077" t="str">
            <v>maindfc</v>
          </cell>
          <cell r="D6077">
            <v>9.5773468017578125</v>
          </cell>
          <cell r="F6077" t="str">
            <v>14 Aug 2024</v>
          </cell>
        </row>
        <row r="6078">
          <cell r="A6078" t="str">
            <v>IND</v>
          </cell>
          <cell r="B6078">
            <v>2007</v>
          </cell>
          <cell r="C6078" t="str">
            <v>madebt_</v>
          </cell>
          <cell r="D6078">
            <v>72.7305908203125</v>
          </cell>
          <cell r="F6078" t="str">
            <v>14 Aug 2024</v>
          </cell>
        </row>
        <row r="6079">
          <cell r="A6079" t="str">
            <v>IND</v>
          </cell>
          <cell r="B6079">
            <v>2011</v>
          </cell>
          <cell r="C6079" t="str">
            <v>mar_impz</v>
          </cell>
          <cell r="D6079">
            <v>31.083469390869141</v>
          </cell>
          <cell r="F6079" t="str">
            <v>14 Aug 2024</v>
          </cell>
        </row>
        <row r="6080">
          <cell r="A6080" t="str">
            <v>IND</v>
          </cell>
          <cell r="B6080">
            <v>2013</v>
          </cell>
          <cell r="C6080" t="str">
            <v>mar_expz</v>
          </cell>
          <cell r="D6080">
            <v>25.182897567749023</v>
          </cell>
          <cell r="F6080" t="str">
            <v>14 Aug 2024</v>
          </cell>
        </row>
        <row r="6081">
          <cell r="A6081" t="str">
            <v>IND</v>
          </cell>
          <cell r="B6081">
            <v>2025</v>
          </cell>
          <cell r="C6081" t="str">
            <v>mataxfc</v>
          </cell>
          <cell r="D6081">
            <v>6.7227458953857422</v>
          </cell>
          <cell r="F6081" t="str">
            <v>14 Aug 2024</v>
          </cell>
        </row>
        <row r="6082">
          <cell r="A6082" t="str">
            <v>IND</v>
          </cell>
          <cell r="B6082">
            <v>2010</v>
          </cell>
          <cell r="C6082" t="str">
            <v>mar_expz</v>
          </cell>
          <cell r="D6082">
            <v>22.362096786499023</v>
          </cell>
          <cell r="F6082" t="str">
            <v>14 Aug 2024</v>
          </cell>
        </row>
        <row r="6083">
          <cell r="A6083" t="str">
            <v>IND</v>
          </cell>
          <cell r="B6083">
            <v>2023</v>
          </cell>
          <cell r="C6083" t="str">
            <v>mar_taxfc</v>
          </cell>
          <cell r="D6083">
            <v>9.2399406433105469</v>
          </cell>
          <cell r="F6083" t="str">
            <v>14 Aug 2024</v>
          </cell>
        </row>
        <row r="6084">
          <cell r="A6084" t="str">
            <v>IND</v>
          </cell>
          <cell r="B6084">
            <v>2021</v>
          </cell>
          <cell r="C6084" t="str">
            <v>mar_agrfc</v>
          </cell>
          <cell r="D6084">
            <v>15.638333320617676</v>
          </cell>
          <cell r="F6084" t="str">
            <v>14 Aug 2024</v>
          </cell>
        </row>
        <row r="6085">
          <cell r="A6085" t="str">
            <v>IND</v>
          </cell>
          <cell r="B6085">
            <v>2017</v>
          </cell>
          <cell r="C6085" t="str">
            <v>mar_agrfc</v>
          </cell>
          <cell r="D6085">
            <v>15.289985656738281</v>
          </cell>
          <cell r="F6085" t="str">
            <v>14 Aug 2024</v>
          </cell>
        </row>
        <row r="6086">
          <cell r="A6086" t="str">
            <v>IND</v>
          </cell>
          <cell r="B6086">
            <v>2006</v>
          </cell>
          <cell r="C6086" t="str">
            <v>magdpz</v>
          </cell>
          <cell r="D6086">
            <v>8.0607328414916992</v>
          </cell>
          <cell r="F6086" t="str">
            <v>14 Aug 2024</v>
          </cell>
        </row>
        <row r="6087">
          <cell r="A6087" t="str">
            <v>IND</v>
          </cell>
          <cell r="B6087">
            <v>2020</v>
          </cell>
          <cell r="C6087" t="str">
            <v>mac_tfpz</v>
          </cell>
          <cell r="D6087">
            <v>-8.147679328918457</v>
          </cell>
          <cell r="F6087" t="str">
            <v>14 Aug 2024</v>
          </cell>
        </row>
        <row r="6088">
          <cell r="A6088" t="str">
            <v>IND</v>
          </cell>
          <cell r="B6088">
            <v>2018</v>
          </cell>
          <cell r="C6088" t="str">
            <v>mainvz</v>
          </cell>
          <cell r="D6088">
            <v>11.203068733215332</v>
          </cell>
          <cell r="F6088" t="str">
            <v>14 Aug 2024</v>
          </cell>
        </row>
        <row r="6089">
          <cell r="A6089" t="str">
            <v>IND</v>
          </cell>
          <cell r="B6089">
            <v>2023</v>
          </cell>
          <cell r="C6089" t="str">
            <v>madeficit_</v>
          </cell>
          <cell r="D6089">
            <v>-8.7972145080566406</v>
          </cell>
          <cell r="F6089" t="str">
            <v>14 Aug 2024</v>
          </cell>
        </row>
        <row r="6090">
          <cell r="A6090" t="str">
            <v>IND</v>
          </cell>
          <cell r="B6090">
            <v>2010</v>
          </cell>
          <cell r="C6090" t="str">
            <v>magap_</v>
          </cell>
          <cell r="D6090">
            <v>1.3045206069946289</v>
          </cell>
          <cell r="F6090" t="str">
            <v>14 Aug 2024</v>
          </cell>
        </row>
        <row r="6091">
          <cell r="A6091" t="str">
            <v>IND</v>
          </cell>
          <cell r="B6091">
            <v>2016</v>
          </cell>
          <cell r="C6091" t="str">
            <v>mar_indfc</v>
          </cell>
          <cell r="D6091">
            <v>31.487138748168945</v>
          </cell>
          <cell r="F6091" t="str">
            <v>14 Aug 2024</v>
          </cell>
        </row>
        <row r="6092">
          <cell r="A6092" t="str">
            <v>IND</v>
          </cell>
          <cell r="B6092">
            <v>2008</v>
          </cell>
          <cell r="C6092" t="str">
            <v>mar_impz</v>
          </cell>
          <cell r="D6092">
            <v>27.99156379699707</v>
          </cell>
          <cell r="F6092" t="str">
            <v>14 Aug 2024</v>
          </cell>
        </row>
        <row r="6093">
          <cell r="A6093" t="str">
            <v>IND</v>
          </cell>
          <cell r="B6093">
            <v>2015</v>
          </cell>
          <cell r="C6093" t="str">
            <v>masrvfc</v>
          </cell>
          <cell r="D6093">
            <v>9.4382410049438477</v>
          </cell>
          <cell r="F6093" t="str">
            <v>14 Aug 2024</v>
          </cell>
        </row>
        <row r="6094">
          <cell r="A6094" t="str">
            <v>IND</v>
          </cell>
          <cell r="B6094">
            <v>2016</v>
          </cell>
          <cell r="C6094" t="str">
            <v>maexpz</v>
          </cell>
          <cell r="D6094">
            <v>4.984257698059082</v>
          </cell>
          <cell r="F6094" t="str">
            <v>14 Aug 2024</v>
          </cell>
        </row>
        <row r="6095">
          <cell r="A6095" t="str">
            <v>IND</v>
          </cell>
          <cell r="B6095">
            <v>2020</v>
          </cell>
          <cell r="C6095" t="str">
            <v>mar_impz</v>
          </cell>
          <cell r="D6095">
            <v>21.193798065185547</v>
          </cell>
          <cell r="F6095" t="str">
            <v>14 Aug 2024</v>
          </cell>
        </row>
        <row r="6096">
          <cell r="A6096" t="str">
            <v>IND</v>
          </cell>
          <cell r="B6096">
            <v>2018</v>
          </cell>
          <cell r="C6096" t="str">
            <v>mar_indfc</v>
          </cell>
          <cell r="D6096">
            <v>31.229825973510742</v>
          </cell>
          <cell r="F6096" t="str">
            <v>14 Aug 2024</v>
          </cell>
        </row>
        <row r="6097">
          <cell r="A6097" t="str">
            <v>IND</v>
          </cell>
          <cell r="B6097">
            <v>2026</v>
          </cell>
          <cell r="C6097" t="str">
            <v>mainvz</v>
          </cell>
          <cell r="D6097">
            <v>7.3643379211425781</v>
          </cell>
          <cell r="F6097" t="str">
            <v>14 Aug 2024</v>
          </cell>
        </row>
        <row r="6098">
          <cell r="A6098" t="str">
            <v>IND</v>
          </cell>
          <cell r="B6098">
            <v>2018</v>
          </cell>
          <cell r="C6098" t="str">
            <v>mareer</v>
          </cell>
          <cell r="D6098">
            <v>102.07356262207031</v>
          </cell>
          <cell r="F6098" t="str">
            <v>14 Aug 2024</v>
          </cell>
        </row>
        <row r="6099">
          <cell r="A6099" t="str">
            <v>IND</v>
          </cell>
          <cell r="B6099">
            <v>2024</v>
          </cell>
          <cell r="C6099" t="str">
            <v>mar_con</v>
          </cell>
          <cell r="D6099">
            <v>55.231288909912109</v>
          </cell>
          <cell r="F6099" t="str">
            <v>14 Aug 2024</v>
          </cell>
        </row>
        <row r="6100">
          <cell r="A6100" t="str">
            <v>IND</v>
          </cell>
          <cell r="B6100">
            <v>2025</v>
          </cell>
          <cell r="C6100" t="str">
            <v>madebt_</v>
          </cell>
          <cell r="D6100">
            <v>83.900039672851563</v>
          </cell>
          <cell r="F6100" t="str">
            <v>14 Aug 2024</v>
          </cell>
        </row>
        <row r="6101">
          <cell r="A6101" t="str">
            <v>IND</v>
          </cell>
          <cell r="B6101">
            <v>2017</v>
          </cell>
          <cell r="C6101" t="str">
            <v>maindfc</v>
          </cell>
          <cell r="D6101">
            <v>5.8605422973632813</v>
          </cell>
          <cell r="F6101" t="str">
            <v>14 Aug 2024</v>
          </cell>
        </row>
        <row r="6102">
          <cell r="A6102" t="str">
            <v>IND</v>
          </cell>
          <cell r="B6102">
            <v>2024</v>
          </cell>
          <cell r="C6102" t="str">
            <v>maindfc</v>
          </cell>
          <cell r="D6102">
            <v>7.6124300956726074</v>
          </cell>
          <cell r="F6102" t="str">
            <v>14 Aug 2024</v>
          </cell>
        </row>
        <row r="6103">
          <cell r="A6103" t="str">
            <v>IND</v>
          </cell>
          <cell r="B6103">
            <v>2012</v>
          </cell>
          <cell r="C6103" t="str">
            <v>macab_</v>
          </cell>
          <cell r="D6103">
            <v>-4.8064603805541992</v>
          </cell>
          <cell r="F6103" t="str">
            <v>14 Aug 2024</v>
          </cell>
        </row>
        <row r="6104">
          <cell r="A6104" t="str">
            <v>IND</v>
          </cell>
          <cell r="B6104">
            <v>2012</v>
          </cell>
          <cell r="C6104" t="str">
            <v>mapanusatls</v>
          </cell>
          <cell r="D6104">
            <v>54.409999847412109</v>
          </cell>
          <cell r="F6104" t="str">
            <v>14 Aug 2024</v>
          </cell>
        </row>
        <row r="6105">
          <cell r="A6105" t="str">
            <v>IND</v>
          </cell>
          <cell r="B6105">
            <v>2018</v>
          </cell>
          <cell r="C6105" t="str">
            <v>magap_</v>
          </cell>
          <cell r="D6105">
            <v>2.0845279693603516</v>
          </cell>
          <cell r="F6105" t="str">
            <v>14 Aug 2024</v>
          </cell>
        </row>
        <row r="6106">
          <cell r="A6106" t="str">
            <v>IND</v>
          </cell>
          <cell r="B6106">
            <v>2008</v>
          </cell>
          <cell r="C6106" t="str">
            <v>masrvfc</v>
          </cell>
          <cell r="D6106">
            <v>6.5199151039123535</v>
          </cell>
          <cell r="F6106" t="str">
            <v>14 Aug 2024</v>
          </cell>
        </row>
        <row r="6107">
          <cell r="A6107" t="str">
            <v>IND</v>
          </cell>
          <cell r="B6107">
            <v>2019</v>
          </cell>
          <cell r="C6107" t="str">
            <v>mareer</v>
          </cell>
          <cell r="D6107">
            <v>105.64633178710938</v>
          </cell>
          <cell r="F6107" t="str">
            <v>14 Aug 2024</v>
          </cell>
        </row>
        <row r="6108">
          <cell r="A6108" t="str">
            <v>IND</v>
          </cell>
          <cell r="B6108">
            <v>2019</v>
          </cell>
          <cell r="C6108" t="str">
            <v>magdpz</v>
          </cell>
          <cell r="D6108">
            <v>3.8714368343353271</v>
          </cell>
          <cell r="F6108" t="str">
            <v>14 Aug 2024</v>
          </cell>
        </row>
        <row r="6109">
          <cell r="A6109" t="str">
            <v>IND</v>
          </cell>
          <cell r="B6109">
            <v>2007</v>
          </cell>
          <cell r="C6109" t="str">
            <v>maexpz</v>
          </cell>
          <cell r="D6109">
            <v>5.8665390014648438</v>
          </cell>
          <cell r="F6109" t="str">
            <v>14 Aug 2024</v>
          </cell>
        </row>
        <row r="6110">
          <cell r="A6110" t="str">
            <v>IND</v>
          </cell>
          <cell r="B6110">
            <v>2007</v>
          </cell>
          <cell r="C6110" t="str">
            <v>malabz</v>
          </cell>
          <cell r="D6110">
            <v>2.1271412372589111</v>
          </cell>
          <cell r="F6110" t="str">
            <v>14 Aug 2024</v>
          </cell>
        </row>
        <row r="6111">
          <cell r="A6111" t="str">
            <v>IND</v>
          </cell>
          <cell r="B6111">
            <v>2005</v>
          </cell>
          <cell r="C6111" t="str">
            <v>madeficit_</v>
          </cell>
          <cell r="D6111">
            <v>-6.5955886840820313</v>
          </cell>
          <cell r="F6111" t="str">
            <v>14 Aug 2024</v>
          </cell>
        </row>
        <row r="6112">
          <cell r="A6112" t="str">
            <v>IND</v>
          </cell>
          <cell r="B6112">
            <v>2005</v>
          </cell>
          <cell r="C6112" t="str">
            <v>macpiz</v>
          </cell>
          <cell r="D6112">
            <v>4.0273704528808594</v>
          </cell>
          <cell r="F6112" t="str">
            <v>14 Aug 2024</v>
          </cell>
        </row>
        <row r="6113">
          <cell r="A6113" t="str">
            <v>IND</v>
          </cell>
          <cell r="B6113">
            <v>2009</v>
          </cell>
          <cell r="C6113" t="str">
            <v>mar_indfc</v>
          </cell>
          <cell r="D6113">
            <v>33.044803619384766</v>
          </cell>
          <cell r="F6113" t="str">
            <v>14 Aug 2024</v>
          </cell>
        </row>
        <row r="6114">
          <cell r="A6114" t="str">
            <v>IND</v>
          </cell>
          <cell r="B6114">
            <v>2009</v>
          </cell>
          <cell r="C6114" t="str">
            <v>mataxfc</v>
          </cell>
          <cell r="D6114">
            <v>23.86859130859375</v>
          </cell>
          <cell r="F6114" t="str">
            <v>14 Aug 2024</v>
          </cell>
        </row>
        <row r="6115">
          <cell r="A6115" t="str">
            <v>IND</v>
          </cell>
          <cell r="B6115">
            <v>2014</v>
          </cell>
          <cell r="C6115" t="str">
            <v>malabz</v>
          </cell>
          <cell r="D6115">
            <v>1.9419459104537964</v>
          </cell>
          <cell r="F6115" t="str">
            <v>14 Aug 2024</v>
          </cell>
        </row>
        <row r="6116">
          <cell r="A6116" t="str">
            <v>IND</v>
          </cell>
          <cell r="B6116">
            <v>2021</v>
          </cell>
          <cell r="C6116" t="str">
            <v>malabz</v>
          </cell>
          <cell r="D6116">
            <v>1.379852294921875</v>
          </cell>
          <cell r="F6116" t="str">
            <v>14 Aug 2024</v>
          </cell>
        </row>
        <row r="6117">
          <cell r="A6117" t="str">
            <v>IND</v>
          </cell>
          <cell r="B6117">
            <v>2007</v>
          </cell>
          <cell r="C6117" t="str">
            <v>mar_indfc</v>
          </cell>
          <cell r="D6117">
            <v>32.5389404296875</v>
          </cell>
          <cell r="F6117" t="str">
            <v>14 Aug 2024</v>
          </cell>
        </row>
        <row r="6118">
          <cell r="A6118" t="str">
            <v>IND</v>
          </cell>
          <cell r="B6118">
            <v>2018</v>
          </cell>
          <cell r="C6118" t="str">
            <v>maexpz</v>
          </cell>
          <cell r="D6118">
            <v>11.931870460510254</v>
          </cell>
          <cell r="F6118" t="str">
            <v>14 Aug 2024</v>
          </cell>
        </row>
        <row r="6119">
          <cell r="A6119" t="str">
            <v>IND</v>
          </cell>
          <cell r="B6119">
            <v>2005</v>
          </cell>
          <cell r="C6119" t="str">
            <v>magdpz</v>
          </cell>
          <cell r="D6119">
            <v>7.9234304428100586</v>
          </cell>
          <cell r="F6119" t="str">
            <v>14 Aug 2024</v>
          </cell>
        </row>
        <row r="6120">
          <cell r="A6120" t="str">
            <v>IND</v>
          </cell>
          <cell r="B6120">
            <v>2025</v>
          </cell>
          <cell r="C6120" t="str">
            <v>mar_srvfc</v>
          </cell>
          <cell r="D6120">
            <v>55.348667144775391</v>
          </cell>
          <cell r="F6120" t="str">
            <v>14 Aug 2024</v>
          </cell>
        </row>
        <row r="6121">
          <cell r="A6121" t="str">
            <v>IND</v>
          </cell>
          <cell r="B6121">
            <v>2013</v>
          </cell>
          <cell r="C6121" t="str">
            <v>mac_tfpz</v>
          </cell>
          <cell r="D6121">
            <v>2.125591516494751</v>
          </cell>
          <cell r="F6121" t="str">
            <v>14 Aug 2024</v>
          </cell>
        </row>
        <row r="6122">
          <cell r="A6122" t="str">
            <v>IND</v>
          </cell>
          <cell r="B6122">
            <v>2011</v>
          </cell>
          <cell r="C6122" t="str">
            <v>mataxfc</v>
          </cell>
          <cell r="D6122">
            <v>5.4735941886901855</v>
          </cell>
          <cell r="F6122" t="str">
            <v>14 Aug 2024</v>
          </cell>
        </row>
        <row r="6123">
          <cell r="A6123" t="str">
            <v>IND</v>
          </cell>
          <cell r="B6123">
            <v>2013</v>
          </cell>
          <cell r="C6123" t="str">
            <v>macab_</v>
          </cell>
          <cell r="D6123">
            <v>-1.7372452020645142</v>
          </cell>
          <cell r="F6123" t="str">
            <v>14 Aug 2024</v>
          </cell>
        </row>
        <row r="6124">
          <cell r="A6124" t="str">
            <v>IND</v>
          </cell>
          <cell r="B6124">
            <v>2023</v>
          </cell>
          <cell r="C6124" t="str">
            <v>magap_</v>
          </cell>
          <cell r="D6124">
            <v>0.9613223671913147</v>
          </cell>
          <cell r="F6124" t="str">
            <v>14 Aug 2024</v>
          </cell>
        </row>
        <row r="6125">
          <cell r="A6125" t="str">
            <v>IND</v>
          </cell>
          <cell r="B6125">
            <v>2026</v>
          </cell>
          <cell r="C6125" t="str">
            <v>masrvfc</v>
          </cell>
          <cell r="D6125">
            <v>7.3327832221984863</v>
          </cell>
          <cell r="F6125" t="str">
            <v>14 Aug 2024</v>
          </cell>
        </row>
        <row r="6126">
          <cell r="A6126" t="str">
            <v>IND</v>
          </cell>
          <cell r="B6126">
            <v>2022</v>
          </cell>
          <cell r="C6126" t="str">
            <v>mar_agrfc</v>
          </cell>
          <cell r="D6126">
            <v>15.34796142578125</v>
          </cell>
          <cell r="F6126" t="str">
            <v>14 Aug 2024</v>
          </cell>
        </row>
        <row r="6127">
          <cell r="A6127" t="str">
            <v>IND</v>
          </cell>
          <cell r="B6127">
            <v>2018</v>
          </cell>
          <cell r="C6127" t="str">
            <v>mar_con</v>
          </cell>
          <cell r="D6127">
            <v>56.102996826171875</v>
          </cell>
          <cell r="F6127" t="str">
            <v>14 Aug 2024</v>
          </cell>
        </row>
        <row r="6128">
          <cell r="A6128" t="str">
            <v>IND</v>
          </cell>
          <cell r="B6128">
            <v>2015</v>
          </cell>
          <cell r="C6128" t="str">
            <v>mac_labz</v>
          </cell>
          <cell r="D6128">
            <v>1.3399373292922974</v>
          </cell>
          <cell r="F6128" t="str">
            <v>14 Aug 2024</v>
          </cell>
        </row>
        <row r="6129">
          <cell r="A6129" t="str">
            <v>IND</v>
          </cell>
          <cell r="B6129">
            <v>2016</v>
          </cell>
          <cell r="C6129" t="str">
            <v>mac_tfpz</v>
          </cell>
          <cell r="D6129">
            <v>2.2388143539428711</v>
          </cell>
          <cell r="F6129" t="str">
            <v>14 Aug 2024</v>
          </cell>
        </row>
        <row r="6130">
          <cell r="A6130" t="str">
            <v>IND</v>
          </cell>
          <cell r="B6130">
            <v>2026</v>
          </cell>
          <cell r="C6130" t="str">
            <v>magdpz</v>
          </cell>
          <cell r="D6130">
            <v>6.8115787506103516</v>
          </cell>
          <cell r="F6130" t="str">
            <v>14 Aug 2024</v>
          </cell>
        </row>
        <row r="6131">
          <cell r="A6131" t="str">
            <v>IND</v>
          </cell>
          <cell r="B6131">
            <v>2016</v>
          </cell>
          <cell r="C6131" t="str">
            <v>magovz</v>
          </cell>
          <cell r="D6131">
            <v>6.0730423927307129</v>
          </cell>
          <cell r="F6131" t="str">
            <v>14 Aug 2024</v>
          </cell>
        </row>
        <row r="6132">
          <cell r="A6132" t="str">
            <v>IND</v>
          </cell>
          <cell r="B6132">
            <v>2008</v>
          </cell>
          <cell r="C6132" t="str">
            <v>magovz</v>
          </cell>
          <cell r="D6132">
            <v>11.364017486572266</v>
          </cell>
          <cell r="F6132" t="str">
            <v>14 Aug 2024</v>
          </cell>
        </row>
        <row r="6133">
          <cell r="A6133" t="str">
            <v>IND</v>
          </cell>
          <cell r="B6133">
            <v>2011</v>
          </cell>
          <cell r="C6133" t="str">
            <v>maconz</v>
          </cell>
          <cell r="D6133">
            <v>7.4219837188720703</v>
          </cell>
          <cell r="F6133" t="str">
            <v>14 Aug 2024</v>
          </cell>
        </row>
        <row r="6134">
          <cell r="A6134" t="str">
            <v>IND</v>
          </cell>
          <cell r="B6134">
            <v>2010</v>
          </cell>
          <cell r="C6134" t="str">
            <v>mapanusatls</v>
          </cell>
          <cell r="D6134">
            <v>45.560001373291016</v>
          </cell>
          <cell r="F6134" t="str">
            <v>14 Aug 2024</v>
          </cell>
        </row>
        <row r="6135">
          <cell r="A6135" t="str">
            <v>IND</v>
          </cell>
          <cell r="B6135">
            <v>2011</v>
          </cell>
          <cell r="C6135" t="str">
            <v>madeficit_</v>
          </cell>
          <cell r="D6135">
            <v>-7.8404331207275391</v>
          </cell>
          <cell r="F6135" t="str">
            <v>14 Aug 2024</v>
          </cell>
        </row>
        <row r="6136">
          <cell r="A6136" t="str">
            <v>IND</v>
          </cell>
          <cell r="B6136">
            <v>2025</v>
          </cell>
          <cell r="C6136" t="str">
            <v>mac_tfpz</v>
          </cell>
          <cell r="D6136">
            <v>2.831721305847168</v>
          </cell>
          <cell r="F6136" t="str">
            <v>14 Aug 2024</v>
          </cell>
        </row>
        <row r="6137">
          <cell r="A6137" t="str">
            <v>IND</v>
          </cell>
          <cell r="B6137">
            <v>2021</v>
          </cell>
          <cell r="C6137" t="str">
            <v>magap_</v>
          </cell>
          <cell r="D6137">
            <v>0.50207197666168213</v>
          </cell>
          <cell r="F6137" t="str">
            <v>14 Aug 2024</v>
          </cell>
        </row>
        <row r="6138">
          <cell r="A6138" t="str">
            <v>IND</v>
          </cell>
          <cell r="B6138">
            <v>2019</v>
          </cell>
          <cell r="C6138" t="str">
            <v>mac_labz</v>
          </cell>
          <cell r="D6138">
            <v>1.2002196311950684</v>
          </cell>
          <cell r="F6138" t="str">
            <v>14 Aug 2024</v>
          </cell>
        </row>
        <row r="6139">
          <cell r="A6139" t="str">
            <v>IND</v>
          </cell>
          <cell r="B6139">
            <v>2026</v>
          </cell>
          <cell r="C6139" t="str">
            <v>mareer</v>
          </cell>
          <cell r="D6139">
            <v>105.27788543701172</v>
          </cell>
          <cell r="F6139" t="str">
            <v>14 Aug 2024</v>
          </cell>
        </row>
        <row r="6140">
          <cell r="A6140" t="str">
            <v>IND</v>
          </cell>
          <cell r="B6140">
            <v>2013</v>
          </cell>
          <cell r="C6140" t="str">
            <v>mar_agrfc</v>
          </cell>
          <cell r="D6140">
            <v>17.754421234130859</v>
          </cell>
          <cell r="F6140" t="str">
            <v>14 Aug 2024</v>
          </cell>
        </row>
        <row r="6141">
          <cell r="A6141" t="str">
            <v>IND</v>
          </cell>
          <cell r="B6141">
            <v>2008</v>
          </cell>
          <cell r="C6141" t="str">
            <v>maexpz</v>
          </cell>
          <cell r="D6141">
            <v>14.778135299682617</v>
          </cell>
          <cell r="F6141" t="str">
            <v>14 Aug 2024</v>
          </cell>
        </row>
        <row r="6142">
          <cell r="A6142" t="str">
            <v>IND</v>
          </cell>
          <cell r="B6142">
            <v>2007</v>
          </cell>
          <cell r="C6142" t="str">
            <v>matfpz</v>
          </cell>
          <cell r="D6142">
            <v>2.0027849674224854</v>
          </cell>
          <cell r="F6142" t="str">
            <v>14 Aug 2024</v>
          </cell>
        </row>
        <row r="6143">
          <cell r="A6143" t="str">
            <v>IND</v>
          </cell>
          <cell r="B6143">
            <v>2015</v>
          </cell>
          <cell r="C6143" t="str">
            <v>maexpz</v>
          </cell>
          <cell r="D6143">
            <v>-5.6470870971679688</v>
          </cell>
          <cell r="F6143" t="str">
            <v>14 Aug 2024</v>
          </cell>
        </row>
        <row r="6144">
          <cell r="A6144" t="str">
            <v>IND</v>
          </cell>
          <cell r="B6144">
            <v>2012</v>
          </cell>
          <cell r="C6144" t="str">
            <v>magap_</v>
          </cell>
          <cell r="D6144">
            <v>-1.909152626991272</v>
          </cell>
          <cell r="F6144" t="str">
            <v>14 Aug 2024</v>
          </cell>
        </row>
        <row r="6145">
          <cell r="A6145" t="str">
            <v>IND</v>
          </cell>
          <cell r="B6145">
            <v>2017</v>
          </cell>
          <cell r="C6145" t="str">
            <v>maconz</v>
          </cell>
          <cell r="D6145">
            <v>6.2388081550598145</v>
          </cell>
          <cell r="F6145" t="str">
            <v>14 Aug 2024</v>
          </cell>
        </row>
        <row r="6146">
          <cell r="A6146" t="str">
            <v>IND</v>
          </cell>
          <cell r="B6146">
            <v>2023</v>
          </cell>
          <cell r="C6146" t="str">
            <v>macpiz</v>
          </cell>
          <cell r="D6146">
            <v>5.5</v>
          </cell>
          <cell r="F6146" t="str">
            <v>14 Aug 2024</v>
          </cell>
        </row>
        <row r="6147">
          <cell r="A6147" t="str">
            <v>IND</v>
          </cell>
          <cell r="B6147">
            <v>2013</v>
          </cell>
          <cell r="C6147" t="str">
            <v>mainvz</v>
          </cell>
          <cell r="D6147">
            <v>1.5618036985397339</v>
          </cell>
          <cell r="F6147" t="str">
            <v>14 Aug 2024</v>
          </cell>
        </row>
        <row r="6148">
          <cell r="A6148" t="str">
            <v>IND</v>
          </cell>
          <cell r="B6148">
            <v>2024</v>
          </cell>
          <cell r="C6148" t="str">
            <v>matfpz</v>
          </cell>
          <cell r="D6148">
            <v>2.9410800933837891</v>
          </cell>
          <cell r="F6148" t="str">
            <v>14 Aug 2024</v>
          </cell>
        </row>
        <row r="6149">
          <cell r="A6149" t="str">
            <v>IND</v>
          </cell>
          <cell r="B6149">
            <v>2023</v>
          </cell>
          <cell r="C6149" t="str">
            <v>masrvfc</v>
          </cell>
          <cell r="D6149">
            <v>7.4023928642272949</v>
          </cell>
          <cell r="F6149" t="str">
            <v>14 Aug 2024</v>
          </cell>
        </row>
        <row r="6150">
          <cell r="A6150" t="str">
            <v>IND</v>
          </cell>
          <cell r="B6150">
            <v>2009</v>
          </cell>
          <cell r="C6150" t="str">
            <v>mac_labz</v>
          </cell>
          <cell r="D6150">
            <v>1.4248489141464233</v>
          </cell>
          <cell r="F6150" t="str">
            <v>14 Aug 2024</v>
          </cell>
        </row>
        <row r="6151">
          <cell r="A6151" t="str">
            <v>IND</v>
          </cell>
          <cell r="B6151">
            <v>2020</v>
          </cell>
          <cell r="C6151" t="str">
            <v>matfpz</v>
          </cell>
          <cell r="D6151">
            <v>-8.147679328918457</v>
          </cell>
          <cell r="F6151" t="str">
            <v>14 Aug 2024</v>
          </cell>
        </row>
        <row r="6152">
          <cell r="A6152" t="str">
            <v>IND</v>
          </cell>
          <cell r="B6152">
            <v>2025</v>
          </cell>
          <cell r="C6152" t="str">
            <v>maexpz</v>
          </cell>
          <cell r="D6152">
            <v>7.1999998092651367</v>
          </cell>
          <cell r="F6152" t="str">
            <v>14 Aug 2024</v>
          </cell>
        </row>
        <row r="6153">
          <cell r="A6153" t="str">
            <v>IND</v>
          </cell>
          <cell r="B6153">
            <v>2007</v>
          </cell>
          <cell r="C6153" t="str">
            <v>magovz</v>
          </cell>
          <cell r="D6153">
            <v>9.4246644973754883</v>
          </cell>
          <cell r="F6153" t="str">
            <v>14 Aug 2024</v>
          </cell>
        </row>
        <row r="6154">
          <cell r="A6154" t="str">
            <v>IND</v>
          </cell>
          <cell r="B6154">
            <v>2005</v>
          </cell>
          <cell r="C6154" t="str">
            <v>mainvz</v>
          </cell>
          <cell r="D6154">
            <v>16.441232681274414</v>
          </cell>
          <cell r="F6154" t="str">
            <v>14 Aug 2024</v>
          </cell>
        </row>
        <row r="6155">
          <cell r="A6155" t="str">
            <v>IND</v>
          </cell>
          <cell r="B6155">
            <v>2017</v>
          </cell>
          <cell r="C6155" t="str">
            <v>mar_indfc</v>
          </cell>
          <cell r="D6155">
            <v>31.377281188964844</v>
          </cell>
          <cell r="F6155" t="str">
            <v>14 Aug 2024</v>
          </cell>
        </row>
        <row r="6156">
          <cell r="A6156" t="str">
            <v>IND</v>
          </cell>
          <cell r="B6156">
            <v>2022</v>
          </cell>
          <cell r="C6156" t="str">
            <v>mar_impz</v>
          </cell>
          <cell r="D6156">
            <v>24.385017395019531</v>
          </cell>
          <cell r="F6156" t="str">
            <v>14 Aug 2024</v>
          </cell>
        </row>
        <row r="6157">
          <cell r="A6157" t="str">
            <v>IND</v>
          </cell>
          <cell r="B6157">
            <v>2022</v>
          </cell>
          <cell r="C6157" t="str">
            <v>magovz</v>
          </cell>
          <cell r="D6157">
            <v>9.0064992904663086</v>
          </cell>
          <cell r="F6157" t="str">
            <v>14 Aug 2024</v>
          </cell>
        </row>
        <row r="6158">
          <cell r="A6158" t="str">
            <v>IND</v>
          </cell>
          <cell r="B6158">
            <v>2021</v>
          </cell>
          <cell r="C6158" t="str">
            <v>mar_con</v>
          </cell>
          <cell r="D6158">
            <v>58.132492065429688</v>
          </cell>
          <cell r="F6158" t="str">
            <v>14 Aug 2024</v>
          </cell>
        </row>
        <row r="6159">
          <cell r="A6159" t="str">
            <v>IND</v>
          </cell>
          <cell r="B6159">
            <v>2012</v>
          </cell>
          <cell r="C6159" t="str">
            <v>mainvz</v>
          </cell>
          <cell r="D6159">
            <v>4.9390769004821777</v>
          </cell>
          <cell r="F6159" t="str">
            <v>14 Aug 2024</v>
          </cell>
        </row>
        <row r="6160">
          <cell r="A6160" t="str">
            <v>IND</v>
          </cell>
          <cell r="B6160">
            <v>2024</v>
          </cell>
          <cell r="C6160" t="str">
            <v>maexpz</v>
          </cell>
          <cell r="D6160">
            <v>4.4729199409484863</v>
          </cell>
          <cell r="F6160" t="str">
            <v>14 Aug 2024</v>
          </cell>
        </row>
        <row r="6161">
          <cell r="A6161" t="str">
            <v>IND</v>
          </cell>
          <cell r="B6161">
            <v>2005</v>
          </cell>
          <cell r="C6161" t="str">
            <v>mar_taxfc</v>
          </cell>
          <cell r="D6161">
            <v>7.2609567642211914</v>
          </cell>
          <cell r="F6161" t="str">
            <v>14 Aug 2024</v>
          </cell>
        </row>
        <row r="6162">
          <cell r="A6162" t="str">
            <v>IND</v>
          </cell>
          <cell r="B6162">
            <v>2021</v>
          </cell>
          <cell r="C6162" t="str">
            <v>maimpz</v>
          </cell>
          <cell r="D6162">
            <v>22.094423294067383</v>
          </cell>
          <cell r="F6162" t="str">
            <v>14 Aug 2024</v>
          </cell>
        </row>
        <row r="6163">
          <cell r="A6163" t="str">
            <v>IND</v>
          </cell>
          <cell r="B6163">
            <v>2021</v>
          </cell>
          <cell r="C6163" t="str">
            <v>mapanusatls</v>
          </cell>
          <cell r="D6163">
            <v>74.512046813964844</v>
          </cell>
          <cell r="F6163" t="str">
            <v>14 Aug 2024</v>
          </cell>
        </row>
        <row r="6164">
          <cell r="A6164" t="str">
            <v>IND</v>
          </cell>
          <cell r="B6164">
            <v>2007</v>
          </cell>
          <cell r="C6164" t="str">
            <v>mareer</v>
          </cell>
          <cell r="D6164">
            <v>101.79187774658203</v>
          </cell>
          <cell r="F6164" t="str">
            <v>14 Aug 2024</v>
          </cell>
        </row>
        <row r="6165">
          <cell r="A6165" t="str">
            <v>IND</v>
          </cell>
          <cell r="B6165">
            <v>2016</v>
          </cell>
          <cell r="C6165" t="str">
            <v>mac_labz</v>
          </cell>
          <cell r="D6165">
            <v>1.3463670015335083</v>
          </cell>
          <cell r="F6165" t="str">
            <v>14 Aug 2024</v>
          </cell>
        </row>
        <row r="6166">
          <cell r="A6166" t="str">
            <v>IND</v>
          </cell>
          <cell r="B6166">
            <v>2021</v>
          </cell>
          <cell r="C6166" t="str">
            <v>mar_indfc</v>
          </cell>
          <cell r="D6166">
            <v>31.576406478881836</v>
          </cell>
          <cell r="F6166" t="str">
            <v>14 Aug 2024</v>
          </cell>
        </row>
        <row r="6167">
          <cell r="A6167" t="str">
            <v>IND</v>
          </cell>
          <cell r="B6167">
            <v>2010</v>
          </cell>
          <cell r="C6167" t="str">
            <v>mar_impz</v>
          </cell>
          <cell r="D6167">
            <v>27.167329788208008</v>
          </cell>
          <cell r="F6167" t="str">
            <v>14 Aug 2024</v>
          </cell>
        </row>
        <row r="6168">
          <cell r="A6168" t="str">
            <v>IND</v>
          </cell>
          <cell r="B6168">
            <v>2015</v>
          </cell>
          <cell r="C6168" t="str">
            <v>malabz</v>
          </cell>
          <cell r="D6168">
            <v>1.914196252822876</v>
          </cell>
          <cell r="F6168" t="str">
            <v>14 Aug 2024</v>
          </cell>
        </row>
        <row r="6169">
          <cell r="A6169" t="str">
            <v>IND</v>
          </cell>
          <cell r="B6169">
            <v>2012</v>
          </cell>
          <cell r="C6169" t="str">
            <v>mar_impz</v>
          </cell>
          <cell r="D6169">
            <v>31.250123977661133</v>
          </cell>
          <cell r="F6169" t="str">
            <v>14 Aug 2024</v>
          </cell>
        </row>
        <row r="6170">
          <cell r="A6170" t="str">
            <v>IND</v>
          </cell>
          <cell r="B6170">
            <v>2014</v>
          </cell>
          <cell r="C6170" t="str">
            <v>maagrfc</v>
          </cell>
          <cell r="D6170">
            <v>-0.21644939482212067</v>
          </cell>
          <cell r="F6170" t="str">
            <v>14 Aug 2024</v>
          </cell>
        </row>
        <row r="6171">
          <cell r="A6171" t="str">
            <v>IND</v>
          </cell>
          <cell r="B6171">
            <v>2017</v>
          </cell>
          <cell r="C6171" t="str">
            <v>mainvz</v>
          </cell>
          <cell r="D6171">
            <v>7.8021435737609863</v>
          </cell>
          <cell r="F6171" t="str">
            <v>14 Aug 2024</v>
          </cell>
        </row>
        <row r="6172">
          <cell r="A6172" t="str">
            <v>IND</v>
          </cell>
          <cell r="B6172">
            <v>2005</v>
          </cell>
          <cell r="C6172" t="str">
            <v>mac_tfpz</v>
          </cell>
          <cell r="D6172">
            <v>2.0490171909332275</v>
          </cell>
          <cell r="F6172" t="str">
            <v>14 Aug 2024</v>
          </cell>
        </row>
        <row r="6173">
          <cell r="A6173" t="str">
            <v>IND</v>
          </cell>
          <cell r="B6173">
            <v>2015</v>
          </cell>
          <cell r="C6173" t="str">
            <v>mar_impz</v>
          </cell>
          <cell r="D6173">
            <v>22.090164184570313</v>
          </cell>
          <cell r="F6173" t="str">
            <v>14 Aug 2024</v>
          </cell>
        </row>
        <row r="6174">
          <cell r="A6174" t="str">
            <v>IND</v>
          </cell>
          <cell r="B6174">
            <v>2009</v>
          </cell>
          <cell r="C6174" t="str">
            <v>macpiz</v>
          </cell>
          <cell r="D6174">
            <v>13.227828979492188</v>
          </cell>
          <cell r="F6174" t="str">
            <v>14 Aug 2024</v>
          </cell>
        </row>
        <row r="6175">
          <cell r="A6175" t="str">
            <v>IND</v>
          </cell>
          <cell r="B6175">
            <v>2008</v>
          </cell>
          <cell r="C6175" t="str">
            <v>mar_con</v>
          </cell>
          <cell r="D6175">
            <v>57.508663177490234</v>
          </cell>
          <cell r="F6175" t="str">
            <v>14 Aug 2024</v>
          </cell>
        </row>
        <row r="6176">
          <cell r="A6176" t="str">
            <v>IND</v>
          </cell>
          <cell r="B6176">
            <v>2017</v>
          </cell>
          <cell r="C6176" t="str">
            <v>matfpz</v>
          </cell>
          <cell r="D6176">
            <v>2.2026424407958984</v>
          </cell>
          <cell r="F6176" t="str">
            <v>14 Aug 2024</v>
          </cell>
        </row>
        <row r="6177">
          <cell r="A6177" t="str">
            <v>IND</v>
          </cell>
          <cell r="B6177">
            <v>2012</v>
          </cell>
          <cell r="C6177" t="str">
            <v>magdpz</v>
          </cell>
          <cell r="D6177">
            <v>5.4563875198364258</v>
          </cell>
          <cell r="F6177" t="str">
            <v>14 Aug 2024</v>
          </cell>
        </row>
        <row r="6178">
          <cell r="A6178" t="str">
            <v>IND</v>
          </cell>
          <cell r="B6178">
            <v>2015</v>
          </cell>
          <cell r="C6178" t="str">
            <v>maagrfc</v>
          </cell>
          <cell r="D6178">
            <v>0.64959836006164551</v>
          </cell>
          <cell r="F6178" t="str">
            <v>14 Aug 2024</v>
          </cell>
        </row>
        <row r="6179">
          <cell r="A6179" t="str">
            <v>IND</v>
          </cell>
          <cell r="B6179">
            <v>2009</v>
          </cell>
          <cell r="C6179" t="str">
            <v>matfpz</v>
          </cell>
          <cell r="D6179">
            <v>1.9666600227355957</v>
          </cell>
          <cell r="F6179" t="str">
            <v>14 Aug 2024</v>
          </cell>
        </row>
        <row r="6180">
          <cell r="A6180" t="str">
            <v>IND</v>
          </cell>
          <cell r="B6180">
            <v>2016</v>
          </cell>
          <cell r="C6180" t="str">
            <v>mar_con</v>
          </cell>
          <cell r="D6180">
            <v>56.062137603759766</v>
          </cell>
          <cell r="F6180" t="str">
            <v>14 Aug 2024</v>
          </cell>
        </row>
        <row r="6181">
          <cell r="A6181" t="str">
            <v>IND</v>
          </cell>
          <cell r="B6181">
            <v>2023</v>
          </cell>
          <cell r="C6181" t="str">
            <v>mar_impz</v>
          </cell>
          <cell r="D6181">
            <v>25.048885345458984</v>
          </cell>
          <cell r="F6181" t="str">
            <v>14 Aug 2024</v>
          </cell>
        </row>
        <row r="6182">
          <cell r="A6182" t="str">
            <v>IND</v>
          </cell>
          <cell r="B6182">
            <v>2026</v>
          </cell>
          <cell r="C6182" t="str">
            <v>macpiz</v>
          </cell>
          <cell r="D6182">
            <v>4</v>
          </cell>
          <cell r="F6182" t="str">
            <v>14 Aug 2024</v>
          </cell>
        </row>
        <row r="6183">
          <cell r="A6183" t="str">
            <v>IND</v>
          </cell>
          <cell r="B6183">
            <v>2007</v>
          </cell>
          <cell r="C6183" t="str">
            <v>mar_taxfc</v>
          </cell>
          <cell r="D6183">
            <v>7.5443763732910156</v>
          </cell>
          <cell r="F6183" t="str">
            <v>14 Aug 2024</v>
          </cell>
        </row>
        <row r="6184">
          <cell r="A6184" t="str">
            <v>IND</v>
          </cell>
          <cell r="B6184">
            <v>2017</v>
          </cell>
          <cell r="C6184" t="str">
            <v>mar_srvfc</v>
          </cell>
          <cell r="D6184">
            <v>53.332733154296875</v>
          </cell>
          <cell r="F6184" t="str">
            <v>14 Aug 2024</v>
          </cell>
        </row>
        <row r="6185">
          <cell r="A6185" t="str">
            <v>IND</v>
          </cell>
          <cell r="B6185">
            <v>2016</v>
          </cell>
          <cell r="C6185" t="str">
            <v>maimpz</v>
          </cell>
          <cell r="D6185">
            <v>4.3818941116333008</v>
          </cell>
          <cell r="F6185" t="str">
            <v>14 Aug 2024</v>
          </cell>
        </row>
        <row r="6186">
          <cell r="A6186" t="str">
            <v>IND</v>
          </cell>
          <cell r="B6186">
            <v>2018</v>
          </cell>
          <cell r="C6186" t="str">
            <v>mar_expz</v>
          </cell>
          <cell r="D6186">
            <v>20.813966751098633</v>
          </cell>
          <cell r="F6186" t="str">
            <v>14 Aug 2024</v>
          </cell>
        </row>
        <row r="6187">
          <cell r="A6187" t="str">
            <v>IND</v>
          </cell>
          <cell r="B6187">
            <v>2005</v>
          </cell>
          <cell r="C6187" t="str">
            <v>magap_</v>
          </cell>
          <cell r="D6187">
            <v>1.0134191513061523</v>
          </cell>
          <cell r="F6187" t="str">
            <v>14 Aug 2024</v>
          </cell>
        </row>
        <row r="6188">
          <cell r="A6188" t="str">
            <v>IND</v>
          </cell>
          <cell r="B6188">
            <v>2016</v>
          </cell>
          <cell r="C6188" t="str">
            <v>mafdi_</v>
          </cell>
          <cell r="D6188">
            <v>-1.5522727966308594</v>
          </cell>
          <cell r="F6188" t="str">
            <v>14 Aug 2024</v>
          </cell>
        </row>
        <row r="6189">
          <cell r="A6189" t="str">
            <v>IND</v>
          </cell>
          <cell r="B6189">
            <v>2021</v>
          </cell>
          <cell r="C6189" t="str">
            <v>maexpz</v>
          </cell>
          <cell r="D6189">
            <v>29.599294662475586</v>
          </cell>
          <cell r="F6189" t="str">
            <v>14 Aug 2024</v>
          </cell>
        </row>
        <row r="6190">
          <cell r="A6190" t="str">
            <v>IND</v>
          </cell>
          <cell r="B6190">
            <v>2020</v>
          </cell>
          <cell r="C6190" t="str">
            <v>maagrfc</v>
          </cell>
          <cell r="D6190">
            <v>4.0056939125061035</v>
          </cell>
          <cell r="F6190" t="str">
            <v>14 Aug 2024</v>
          </cell>
        </row>
        <row r="6191">
          <cell r="A6191" t="str">
            <v>IND</v>
          </cell>
          <cell r="B6191">
            <v>2020</v>
          </cell>
          <cell r="C6191" t="str">
            <v>macab_</v>
          </cell>
          <cell r="D6191">
            <v>0.89736276865005493</v>
          </cell>
          <cell r="F6191" t="str">
            <v>14 Aug 2024</v>
          </cell>
        </row>
        <row r="6192">
          <cell r="A6192" t="str">
            <v>IND</v>
          </cell>
          <cell r="B6192">
            <v>2014</v>
          </cell>
          <cell r="C6192" t="str">
            <v>mataxfc</v>
          </cell>
          <cell r="D6192">
            <v>10.548653602600098</v>
          </cell>
          <cell r="F6192" t="str">
            <v>14 Aug 2024</v>
          </cell>
        </row>
        <row r="6193">
          <cell r="A6193" t="str">
            <v>IND</v>
          </cell>
          <cell r="B6193">
            <v>2026</v>
          </cell>
          <cell r="C6193" t="str">
            <v>mapanusatls</v>
          </cell>
          <cell r="D6193">
            <v>85.388648986816406</v>
          </cell>
          <cell r="F6193" t="str">
            <v>14 Aug 2024</v>
          </cell>
        </row>
        <row r="6194">
          <cell r="A6194" t="str">
            <v>IND</v>
          </cell>
          <cell r="B6194">
            <v>2016</v>
          </cell>
          <cell r="C6194" t="str">
            <v>magdpz</v>
          </cell>
          <cell r="D6194">
            <v>8.2563056945800781</v>
          </cell>
          <cell r="F6194" t="str">
            <v>14 Aug 2024</v>
          </cell>
        </row>
        <row r="6195">
          <cell r="A6195" t="str">
            <v>IND</v>
          </cell>
          <cell r="B6195">
            <v>2014</v>
          </cell>
          <cell r="C6195" t="str">
            <v>madeficit_</v>
          </cell>
          <cell r="D6195">
            <v>-6.7096948623657227</v>
          </cell>
          <cell r="F6195" t="str">
            <v>14 Aug 2024</v>
          </cell>
        </row>
        <row r="6196">
          <cell r="A6196" t="str">
            <v>IND</v>
          </cell>
          <cell r="B6196">
            <v>2009</v>
          </cell>
          <cell r="C6196" t="str">
            <v>mar_taxfc</v>
          </cell>
          <cell r="D6196">
            <v>7.2806143760681152</v>
          </cell>
          <cell r="F6196" t="str">
            <v>14 Aug 2024</v>
          </cell>
        </row>
        <row r="6197">
          <cell r="A6197" t="str">
            <v>IND</v>
          </cell>
          <cell r="B6197">
            <v>2015</v>
          </cell>
          <cell r="C6197" t="str">
            <v>mar_taxfc</v>
          </cell>
          <cell r="D6197">
            <v>8.3647890090942383</v>
          </cell>
          <cell r="F6197" t="str">
            <v>14 Aug 2024</v>
          </cell>
        </row>
        <row r="6198">
          <cell r="A6198" t="str">
            <v>IND</v>
          </cell>
          <cell r="B6198">
            <v>2012</v>
          </cell>
          <cell r="C6198" t="str">
            <v>mar_taxfc</v>
          </cell>
          <cell r="D6198">
            <v>7.8015432357788086</v>
          </cell>
          <cell r="F6198" t="str">
            <v>14 Aug 2024</v>
          </cell>
        </row>
        <row r="6199">
          <cell r="A6199" t="str">
            <v>IND</v>
          </cell>
          <cell r="B6199">
            <v>2014</v>
          </cell>
          <cell r="C6199" t="str">
            <v>mar_srvfc</v>
          </cell>
          <cell r="D6199">
            <v>52.352237701416016</v>
          </cell>
          <cell r="F6199" t="str">
            <v>14 Aug 2024</v>
          </cell>
        </row>
        <row r="6200">
          <cell r="A6200" t="str">
            <v>IND</v>
          </cell>
          <cell r="B6200">
            <v>2011</v>
          </cell>
          <cell r="C6200" t="str">
            <v>magap_</v>
          </cell>
          <cell r="D6200">
            <v>-0.32395988702774048</v>
          </cell>
          <cell r="F6200" t="str">
            <v>14 Aug 2024</v>
          </cell>
        </row>
        <row r="6201">
          <cell r="A6201" t="str">
            <v>IND</v>
          </cell>
          <cell r="B6201">
            <v>2007</v>
          </cell>
          <cell r="C6201" t="str">
            <v>mapanusatls</v>
          </cell>
          <cell r="D6201">
            <v>40.299999237060547</v>
          </cell>
          <cell r="F6201" t="str">
            <v>14 Aug 2024</v>
          </cell>
        </row>
        <row r="6202">
          <cell r="A6202" t="str">
            <v>IND</v>
          </cell>
          <cell r="B6202">
            <v>2022</v>
          </cell>
          <cell r="C6202" t="str">
            <v>mareer</v>
          </cell>
          <cell r="D6202">
            <v>104.47212982177734</v>
          </cell>
          <cell r="F6202" t="str">
            <v>14 Aug 2024</v>
          </cell>
        </row>
        <row r="6203">
          <cell r="A6203" t="str">
            <v>IND</v>
          </cell>
          <cell r="B6203">
            <v>2016</v>
          </cell>
          <cell r="C6203" t="str">
            <v>maagrfc</v>
          </cell>
          <cell r="D6203">
            <v>6.7975606918334961</v>
          </cell>
          <cell r="F6203" t="str">
            <v>14 Aug 2024</v>
          </cell>
        </row>
        <row r="6204">
          <cell r="A6204" t="str">
            <v>IND</v>
          </cell>
          <cell r="B6204">
            <v>2006</v>
          </cell>
          <cell r="C6204" t="str">
            <v>maagrfc</v>
          </cell>
          <cell r="D6204">
            <v>2.938793420791626</v>
          </cell>
          <cell r="F6204" t="str">
            <v>14 Aug 2024</v>
          </cell>
        </row>
        <row r="6205">
          <cell r="A6205" t="str">
            <v>IND</v>
          </cell>
          <cell r="B6205">
            <v>2006</v>
          </cell>
          <cell r="C6205" t="str">
            <v>mar_agrfc</v>
          </cell>
          <cell r="D6205">
            <v>20.874748229980469</v>
          </cell>
          <cell r="F6205" t="str">
            <v>14 Aug 2024</v>
          </cell>
        </row>
        <row r="6206">
          <cell r="A6206" t="str">
            <v>IND</v>
          </cell>
          <cell r="B6206">
            <v>2008</v>
          </cell>
          <cell r="C6206" t="str">
            <v>mar_taxfc</v>
          </cell>
          <cell r="D6206">
            <v>6.2806992530822754</v>
          </cell>
          <cell r="F6206" t="str">
            <v>14 Aug 2024</v>
          </cell>
        </row>
        <row r="6207">
          <cell r="A6207" t="str">
            <v>IND</v>
          </cell>
          <cell r="B6207">
            <v>2011</v>
          </cell>
          <cell r="C6207" t="str">
            <v>matfpz</v>
          </cell>
          <cell r="D6207">
            <v>2.0058891773223877</v>
          </cell>
          <cell r="F6207" t="str">
            <v>14 Aug 2024</v>
          </cell>
        </row>
        <row r="6208">
          <cell r="A6208" t="str">
            <v>IND</v>
          </cell>
          <cell r="B6208">
            <v>2025</v>
          </cell>
          <cell r="C6208" t="str">
            <v>mar_impz</v>
          </cell>
          <cell r="D6208">
            <v>24.738054275512695</v>
          </cell>
          <cell r="F6208" t="str">
            <v>14 Aug 2024</v>
          </cell>
        </row>
        <row r="6209">
          <cell r="A6209" t="str">
            <v>IND</v>
          </cell>
          <cell r="B6209">
            <v>2011</v>
          </cell>
          <cell r="C6209" t="str">
            <v>macab_</v>
          </cell>
          <cell r="D6209">
            <v>-4.2882990837097168</v>
          </cell>
          <cell r="F6209" t="str">
            <v>14 Aug 2024</v>
          </cell>
        </row>
        <row r="6210">
          <cell r="A6210" t="str">
            <v>IND</v>
          </cell>
          <cell r="B6210">
            <v>2005</v>
          </cell>
          <cell r="C6210" t="str">
            <v>mar_con</v>
          </cell>
          <cell r="D6210">
            <v>58.653675079345703</v>
          </cell>
          <cell r="F6210" t="str">
            <v>14 Aug 2024</v>
          </cell>
        </row>
        <row r="6211">
          <cell r="A6211" t="str">
            <v>IND</v>
          </cell>
          <cell r="B6211">
            <v>2009</v>
          </cell>
          <cell r="C6211" t="str">
            <v>madebt_</v>
          </cell>
          <cell r="D6211">
            <v>71.839447021484375</v>
          </cell>
          <cell r="F6211" t="str">
            <v>14 Aug 2024</v>
          </cell>
        </row>
        <row r="6212">
          <cell r="A6212" t="str">
            <v>IND</v>
          </cell>
          <cell r="B6212">
            <v>2006</v>
          </cell>
          <cell r="C6212" t="str">
            <v>madebt_</v>
          </cell>
          <cell r="D6212">
            <v>75.365798950195313</v>
          </cell>
          <cell r="F6212" t="str">
            <v>14 Aug 2024</v>
          </cell>
        </row>
        <row r="6213">
          <cell r="A6213" t="str">
            <v>IND</v>
          </cell>
          <cell r="B6213">
            <v>2009</v>
          </cell>
          <cell r="C6213" t="str">
            <v>macab_</v>
          </cell>
          <cell r="D6213">
            <v>-2.8640275001525879</v>
          </cell>
          <cell r="F6213" t="str">
            <v>14 Aug 2024</v>
          </cell>
        </row>
        <row r="6214">
          <cell r="A6214" t="str">
            <v>IND</v>
          </cell>
          <cell r="B6214">
            <v>2005</v>
          </cell>
          <cell r="C6214" t="str">
            <v>mar_impz</v>
          </cell>
          <cell r="D6214">
            <v>20.521404266357422</v>
          </cell>
          <cell r="F6214" t="str">
            <v>14 Aug 2024</v>
          </cell>
        </row>
        <row r="6215">
          <cell r="A6215" t="str">
            <v>IND</v>
          </cell>
          <cell r="B6215">
            <v>2011</v>
          </cell>
          <cell r="C6215" t="str">
            <v>mar_indfc</v>
          </cell>
          <cell r="D6215">
            <v>32.503280639648438</v>
          </cell>
          <cell r="F6215" t="str">
            <v>14 Aug 2024</v>
          </cell>
        </row>
        <row r="6216">
          <cell r="A6216" t="str">
            <v>IND</v>
          </cell>
          <cell r="B6216">
            <v>2025</v>
          </cell>
          <cell r="C6216" t="str">
            <v>maindfc</v>
          </cell>
          <cell r="D6216">
            <v>7.0999999046325684</v>
          </cell>
          <cell r="F6216" t="str">
            <v>14 Aug 2024</v>
          </cell>
        </row>
        <row r="6217">
          <cell r="A6217" t="str">
            <v>IND</v>
          </cell>
          <cell r="B6217">
            <v>2010</v>
          </cell>
          <cell r="C6217" t="str">
            <v>mainvz</v>
          </cell>
          <cell r="D6217">
            <v>11.046145439147949</v>
          </cell>
          <cell r="F6217" t="str">
            <v>14 Aug 2024</v>
          </cell>
        </row>
        <row r="6218">
          <cell r="A6218" t="str">
            <v>IND</v>
          </cell>
          <cell r="B6218">
            <v>2015</v>
          </cell>
          <cell r="C6218" t="str">
            <v>maconz</v>
          </cell>
          <cell r="D6218">
            <v>7.9281110763549805</v>
          </cell>
          <cell r="F6218" t="str">
            <v>14 Aug 2024</v>
          </cell>
        </row>
        <row r="6219">
          <cell r="A6219" t="str">
            <v>IND</v>
          </cell>
          <cell r="B6219">
            <v>2022</v>
          </cell>
          <cell r="C6219" t="str">
            <v>maconz</v>
          </cell>
          <cell r="D6219">
            <v>6.7706403732299805</v>
          </cell>
          <cell r="F6219" t="str">
            <v>14 Aug 2024</v>
          </cell>
        </row>
        <row r="6220">
          <cell r="A6220" t="str">
            <v>IND</v>
          </cell>
          <cell r="B6220">
            <v>2005</v>
          </cell>
          <cell r="C6220" t="str">
            <v>maimpz</v>
          </cell>
          <cell r="D6220">
            <v>32.269645690917969</v>
          </cell>
          <cell r="F6220" t="str">
            <v>14 Aug 2024</v>
          </cell>
        </row>
        <row r="6221">
          <cell r="A6221" t="str">
            <v>IND</v>
          </cell>
          <cell r="B6221">
            <v>2009</v>
          </cell>
          <cell r="C6221" t="str">
            <v>mar_srvfc</v>
          </cell>
          <cell r="D6221">
            <v>48.761341094970703</v>
          </cell>
          <cell r="F6221" t="str">
            <v>14 Aug 2024</v>
          </cell>
        </row>
        <row r="6222">
          <cell r="A6222" t="str">
            <v>IND</v>
          </cell>
          <cell r="B6222">
            <v>2010</v>
          </cell>
          <cell r="C6222" t="str">
            <v>macab_</v>
          </cell>
          <cell r="D6222">
            <v>-2.7428233623504639</v>
          </cell>
          <cell r="F6222" t="str">
            <v>14 Aug 2024</v>
          </cell>
        </row>
        <row r="6223">
          <cell r="A6223" t="str">
            <v>IND</v>
          </cell>
          <cell r="B6223">
            <v>2015</v>
          </cell>
          <cell r="C6223" t="str">
            <v>magdpz</v>
          </cell>
          <cell r="D6223">
            <v>7.9962539672851563</v>
          </cell>
          <cell r="F6223" t="str">
            <v>14 Aug 2024</v>
          </cell>
        </row>
        <row r="6224">
          <cell r="A6224" t="str">
            <v>IND</v>
          </cell>
          <cell r="B6224">
            <v>2010</v>
          </cell>
          <cell r="C6224" t="str">
            <v>mac_labz</v>
          </cell>
          <cell r="D6224">
            <v>1.4213166236877441</v>
          </cell>
          <cell r="F6224" t="str">
            <v>14 Aug 2024</v>
          </cell>
        </row>
        <row r="6225">
          <cell r="A6225" t="str">
            <v>IND</v>
          </cell>
          <cell r="B6225">
            <v>2014</v>
          </cell>
          <cell r="C6225" t="str">
            <v>macab_</v>
          </cell>
          <cell r="D6225">
            <v>-1.3136718273162842</v>
          </cell>
          <cell r="F6225" t="str">
            <v>14 Aug 2024</v>
          </cell>
        </row>
        <row r="6226">
          <cell r="A6226" t="str">
            <v>IND</v>
          </cell>
          <cell r="B6226">
            <v>2020</v>
          </cell>
          <cell r="C6226" t="str">
            <v>mareer</v>
          </cell>
          <cell r="D6226">
            <v>106.06906127929688</v>
          </cell>
          <cell r="F6226" t="str">
            <v>14 Aug 2024</v>
          </cell>
        </row>
        <row r="6227">
          <cell r="A6227" t="str">
            <v>IND</v>
          </cell>
          <cell r="B6227">
            <v>2019</v>
          </cell>
          <cell r="C6227" t="str">
            <v>magap_</v>
          </cell>
          <cell r="D6227">
            <v>-0.38704341650009155</v>
          </cell>
          <cell r="F6227" t="str">
            <v>14 Aug 2024</v>
          </cell>
        </row>
        <row r="6228">
          <cell r="A6228" t="str">
            <v>IND</v>
          </cell>
          <cell r="B6228">
            <v>2012</v>
          </cell>
          <cell r="C6228" t="str">
            <v>mar_agrfc</v>
          </cell>
          <cell r="D6228">
            <v>17.835702896118164</v>
          </cell>
          <cell r="F6228" t="str">
            <v>14 Aug 2024</v>
          </cell>
        </row>
        <row r="6229">
          <cell r="A6229" t="str">
            <v>IND</v>
          </cell>
          <cell r="B6229">
            <v>2012</v>
          </cell>
          <cell r="C6229" t="str">
            <v>maimpz</v>
          </cell>
          <cell r="D6229">
            <v>6.021796703338623</v>
          </cell>
          <cell r="F6229" t="str">
            <v>14 Aug 2024</v>
          </cell>
        </row>
        <row r="6230">
          <cell r="A6230" t="str">
            <v>IND</v>
          </cell>
          <cell r="B6230">
            <v>2005</v>
          </cell>
          <cell r="C6230" t="str">
            <v>magovz</v>
          </cell>
          <cell r="D6230">
            <v>8.822174072265625</v>
          </cell>
          <cell r="F6230" t="str">
            <v>14 Aug 2024</v>
          </cell>
        </row>
        <row r="6231">
          <cell r="A6231" t="str">
            <v>IND</v>
          </cell>
          <cell r="B6231">
            <v>2013</v>
          </cell>
          <cell r="C6231" t="str">
            <v>matfpz</v>
          </cell>
          <cell r="D6231">
            <v>2.125591516494751</v>
          </cell>
          <cell r="F6231" t="str">
            <v>14 Aug 2024</v>
          </cell>
        </row>
        <row r="6232">
          <cell r="A6232" t="str">
            <v>IND</v>
          </cell>
          <cell r="B6232">
            <v>2019</v>
          </cell>
          <cell r="C6232" t="str">
            <v>mac_tfpz</v>
          </cell>
          <cell r="D6232">
            <v>2.0916321277618408</v>
          </cell>
          <cell r="F6232" t="str">
            <v>14 Aug 2024</v>
          </cell>
        </row>
        <row r="6233">
          <cell r="A6233" t="str">
            <v>IND</v>
          </cell>
          <cell r="B6233">
            <v>2015</v>
          </cell>
          <cell r="C6233" t="str">
            <v>mareer</v>
          </cell>
          <cell r="D6233">
            <v>100</v>
          </cell>
          <cell r="F6233" t="str">
            <v>14 Aug 2024</v>
          </cell>
        </row>
        <row r="6234">
          <cell r="A6234" t="str">
            <v>IND</v>
          </cell>
          <cell r="B6234">
            <v>2006</v>
          </cell>
          <cell r="C6234" t="str">
            <v>mar_expz</v>
          </cell>
          <cell r="D6234">
            <v>21.021987915039063</v>
          </cell>
          <cell r="F6234" t="str">
            <v>14 Aug 2024</v>
          </cell>
        </row>
        <row r="6235">
          <cell r="A6235" t="str">
            <v>IND</v>
          </cell>
          <cell r="B6235">
            <v>2019</v>
          </cell>
          <cell r="C6235" t="str">
            <v>maagrfc</v>
          </cell>
          <cell r="D6235">
            <v>6.1603093147277832</v>
          </cell>
          <cell r="F6235" t="str">
            <v>14 Aug 2024</v>
          </cell>
        </row>
        <row r="6236">
          <cell r="A6236" t="str">
            <v>IND</v>
          </cell>
          <cell r="B6236">
            <v>2022</v>
          </cell>
          <cell r="C6236" t="str">
            <v>macab_</v>
          </cell>
          <cell r="D6236">
            <v>-1.9981342554092407</v>
          </cell>
          <cell r="F6236" t="str">
            <v>14 Aug 2024</v>
          </cell>
        </row>
        <row r="6237">
          <cell r="A6237" t="str">
            <v>IND</v>
          </cell>
          <cell r="B6237">
            <v>2022</v>
          </cell>
          <cell r="C6237" t="str">
            <v>maindfc</v>
          </cell>
          <cell r="D6237">
            <v>2.1073813438415527</v>
          </cell>
          <cell r="F6237" t="str">
            <v>14 Aug 2024</v>
          </cell>
        </row>
        <row r="6238">
          <cell r="A6238" t="str">
            <v>IND</v>
          </cell>
          <cell r="B6238">
            <v>2009</v>
          </cell>
          <cell r="C6238" t="str">
            <v>maimpz</v>
          </cell>
          <cell r="D6238">
            <v>-1.9258161783218384</v>
          </cell>
          <cell r="F6238" t="str">
            <v>14 Aug 2024</v>
          </cell>
        </row>
        <row r="6239">
          <cell r="A6239" t="str">
            <v>IND</v>
          </cell>
          <cell r="B6239">
            <v>2019</v>
          </cell>
          <cell r="C6239" t="str">
            <v>mar_agrfc</v>
          </cell>
          <cell r="D6239">
            <v>15.06732177734375</v>
          </cell>
          <cell r="F6239" t="str">
            <v>14 Aug 2024</v>
          </cell>
        </row>
        <row r="6240">
          <cell r="A6240" t="str">
            <v>IND</v>
          </cell>
          <cell r="B6240">
            <v>2012</v>
          </cell>
          <cell r="C6240" t="str">
            <v>magovz</v>
          </cell>
          <cell r="D6240">
            <v>0.60802578926086426</v>
          </cell>
          <cell r="F6240" t="str">
            <v>14 Aug 2024</v>
          </cell>
        </row>
        <row r="6241">
          <cell r="A6241" t="str">
            <v>IND</v>
          </cell>
          <cell r="B6241">
            <v>2006</v>
          </cell>
          <cell r="C6241" t="str">
            <v>mafdi_</v>
          </cell>
          <cell r="D6241">
            <v>-0.81927198171615601</v>
          </cell>
          <cell r="F6241" t="str">
            <v>14 Aug 2024</v>
          </cell>
        </row>
        <row r="6242">
          <cell r="A6242" t="str">
            <v>IND</v>
          </cell>
          <cell r="B6242">
            <v>2005</v>
          </cell>
          <cell r="C6242" t="str">
            <v>mar_srvfc</v>
          </cell>
          <cell r="D6242">
            <v>47.223304748535156</v>
          </cell>
          <cell r="F6242" t="str">
            <v>14 Aug 2024</v>
          </cell>
        </row>
        <row r="6243">
          <cell r="A6243" t="str">
            <v>IND</v>
          </cell>
          <cell r="B6243">
            <v>2018</v>
          </cell>
          <cell r="C6243" t="str">
            <v>mapanusatls</v>
          </cell>
          <cell r="D6243">
            <v>69.888893127441406</v>
          </cell>
          <cell r="F6243" t="str">
            <v>14 Aug 2024</v>
          </cell>
        </row>
        <row r="6244">
          <cell r="A6244" t="str">
            <v>IND</v>
          </cell>
          <cell r="B6244">
            <v>2015</v>
          </cell>
          <cell r="C6244" t="str">
            <v>mar_agrfc</v>
          </cell>
          <cell r="D6244">
            <v>15.403792381286621</v>
          </cell>
          <cell r="F6244" t="str">
            <v>14 Aug 2024</v>
          </cell>
        </row>
        <row r="6245">
          <cell r="A6245" t="str">
            <v>IND</v>
          </cell>
          <cell r="B6245">
            <v>2008</v>
          </cell>
          <cell r="C6245" t="str">
            <v>mac_tfpz</v>
          </cell>
          <cell r="D6245">
            <v>1.9697611331939697</v>
          </cell>
          <cell r="F6245" t="str">
            <v>14 Aug 2024</v>
          </cell>
        </row>
        <row r="6246">
          <cell r="A6246" t="str">
            <v>IND</v>
          </cell>
          <cell r="B6246">
            <v>2023</v>
          </cell>
          <cell r="C6246" t="str">
            <v>magdpz</v>
          </cell>
          <cell r="D6246">
            <v>7.4740848541259766</v>
          </cell>
          <cell r="F6246" t="str">
            <v>14 Aug 2024</v>
          </cell>
        </row>
        <row r="6247">
          <cell r="A6247" t="str">
            <v>IND</v>
          </cell>
          <cell r="B6247">
            <v>2007</v>
          </cell>
          <cell r="C6247" t="str">
            <v>macab_</v>
          </cell>
          <cell r="D6247">
            <v>-1.2946414947509766</v>
          </cell>
          <cell r="F6247" t="str">
            <v>14 Aug 2024</v>
          </cell>
        </row>
        <row r="6248">
          <cell r="A6248" t="str">
            <v>IND</v>
          </cell>
          <cell r="B6248">
            <v>2015</v>
          </cell>
          <cell r="C6248" t="str">
            <v>mataxfc</v>
          </cell>
          <cell r="D6248">
            <v>7.6123671531677246</v>
          </cell>
          <cell r="F6248" t="str">
            <v>14 Aug 2024</v>
          </cell>
        </row>
        <row r="6249">
          <cell r="A6249" t="str">
            <v>IND</v>
          </cell>
          <cell r="B6249">
            <v>2009</v>
          </cell>
          <cell r="C6249" t="str">
            <v>madeficit_</v>
          </cell>
          <cell r="D6249">
            <v>-9.4977931976318359</v>
          </cell>
          <cell r="F6249" t="str">
            <v>14 Aug 2024</v>
          </cell>
        </row>
        <row r="6250">
          <cell r="A6250" t="str">
            <v>IND</v>
          </cell>
          <cell r="B6250">
            <v>2019</v>
          </cell>
          <cell r="C6250" t="str">
            <v>madeficit_</v>
          </cell>
          <cell r="D6250">
            <v>-7.2088108062744141</v>
          </cell>
          <cell r="F6250" t="str">
            <v>14 Aug 2024</v>
          </cell>
        </row>
        <row r="6251">
          <cell r="A6251" t="str">
            <v>IND</v>
          </cell>
          <cell r="B6251">
            <v>2019</v>
          </cell>
          <cell r="C6251" t="str">
            <v>mar_taxfc</v>
          </cell>
          <cell r="D6251">
            <v>9.8105964660644531</v>
          </cell>
          <cell r="F6251" t="str">
            <v>14 Aug 2024</v>
          </cell>
        </row>
        <row r="6252">
          <cell r="A6252" t="str">
            <v>IND</v>
          </cell>
          <cell r="B6252">
            <v>2018</v>
          </cell>
          <cell r="C6252" t="str">
            <v>masrvfc</v>
          </cell>
          <cell r="D6252">
            <v>7.1719141006469727</v>
          </cell>
          <cell r="F6252" t="str">
            <v>14 Aug 2024</v>
          </cell>
        </row>
        <row r="6253">
          <cell r="A6253" t="str">
            <v>IND</v>
          </cell>
          <cell r="B6253">
            <v>2014</v>
          </cell>
          <cell r="C6253" t="str">
            <v>maindfc</v>
          </cell>
          <cell r="D6253">
            <v>7.0006327629089355</v>
          </cell>
          <cell r="F6253" t="str">
            <v>14 Aug 2024</v>
          </cell>
        </row>
        <row r="6254">
          <cell r="A6254" t="str">
            <v>IND</v>
          </cell>
          <cell r="B6254">
            <v>2026</v>
          </cell>
          <cell r="C6254" t="str">
            <v>madeficit_</v>
          </cell>
          <cell r="D6254">
            <v>-8.9059743881225586</v>
          </cell>
          <cell r="F6254" t="str">
            <v>14 Aug 2024</v>
          </cell>
        </row>
        <row r="6255">
          <cell r="A6255" t="str">
            <v>IND</v>
          </cell>
          <cell r="B6255">
            <v>2005</v>
          </cell>
          <cell r="C6255" t="str">
            <v>mapanusatls</v>
          </cell>
          <cell r="D6255">
            <v>44.099998474121094</v>
          </cell>
          <cell r="F6255" t="str">
            <v>14 Aug 2024</v>
          </cell>
        </row>
        <row r="6256">
          <cell r="A6256" t="str">
            <v>IND</v>
          </cell>
          <cell r="B6256">
            <v>2013</v>
          </cell>
          <cell r="C6256" t="str">
            <v>malabz</v>
          </cell>
          <cell r="D6256">
            <v>1.9745761156082153</v>
          </cell>
          <cell r="F6256" t="str">
            <v>14 Aug 2024</v>
          </cell>
        </row>
        <row r="6257">
          <cell r="A6257" t="str">
            <v>IND</v>
          </cell>
          <cell r="B6257">
            <v>2016</v>
          </cell>
          <cell r="C6257" t="str">
            <v>mar_srvfc</v>
          </cell>
          <cell r="D6257">
            <v>53.276622772216797</v>
          </cell>
          <cell r="F6257" t="str">
            <v>14 Aug 2024</v>
          </cell>
        </row>
        <row r="6258">
          <cell r="A6258" t="str">
            <v>IND</v>
          </cell>
          <cell r="B6258">
            <v>2023</v>
          </cell>
          <cell r="C6258" t="str">
            <v>mar_indfc</v>
          </cell>
          <cell r="D6258">
            <v>30.795570373535156</v>
          </cell>
          <cell r="F6258" t="str">
            <v>14 Aug 2024</v>
          </cell>
        </row>
        <row r="6259">
          <cell r="A6259" t="str">
            <v>IND</v>
          </cell>
          <cell r="B6259">
            <v>2012</v>
          </cell>
          <cell r="C6259" t="str">
            <v>mar_indfc</v>
          </cell>
          <cell r="D6259">
            <v>31.840387344360352</v>
          </cell>
          <cell r="F6259" t="str">
            <v>14 Aug 2024</v>
          </cell>
        </row>
        <row r="6260">
          <cell r="A6260" t="str">
            <v>IND</v>
          </cell>
          <cell r="B6260">
            <v>2005</v>
          </cell>
          <cell r="C6260" t="str">
            <v>masrvfc</v>
          </cell>
          <cell r="D6260">
            <v>9.1176300048828125</v>
          </cell>
          <cell r="F6260" t="str">
            <v>14 Aug 2024</v>
          </cell>
        </row>
        <row r="6261">
          <cell r="A6261" t="str">
            <v>IND</v>
          </cell>
          <cell r="B6261">
            <v>2026</v>
          </cell>
          <cell r="C6261" t="str">
            <v>mafdi_</v>
          </cell>
          <cell r="D6261">
            <v>-1.5033500194549561</v>
          </cell>
          <cell r="F6261" t="str">
            <v>14 Aug 2024</v>
          </cell>
        </row>
        <row r="6262">
          <cell r="A6262" t="str">
            <v>IND</v>
          </cell>
          <cell r="B6262">
            <v>2018</v>
          </cell>
          <cell r="C6262" t="str">
            <v>malabz</v>
          </cell>
          <cell r="D6262">
            <v>1.8025349378585815</v>
          </cell>
          <cell r="F6262" t="str">
            <v>14 Aug 2024</v>
          </cell>
        </row>
        <row r="6263">
          <cell r="A6263" t="str">
            <v>IND</v>
          </cell>
          <cell r="B6263">
            <v>2025</v>
          </cell>
          <cell r="C6263" t="str">
            <v>mafdi_</v>
          </cell>
          <cell r="D6263">
            <v>-1.4020600318908691</v>
          </cell>
          <cell r="F6263" t="str">
            <v>14 Aug 2024</v>
          </cell>
        </row>
        <row r="6264">
          <cell r="A6264" t="str">
            <v>IND</v>
          </cell>
          <cell r="B6264">
            <v>2005</v>
          </cell>
          <cell r="C6264" t="str">
            <v>matfpz</v>
          </cell>
          <cell r="D6264">
            <v>2.0490171909332275</v>
          </cell>
          <cell r="F6264" t="str">
            <v>14 Aug 2024</v>
          </cell>
        </row>
        <row r="6265">
          <cell r="A6265" t="str">
            <v>IND</v>
          </cell>
          <cell r="B6265">
            <v>2022</v>
          </cell>
          <cell r="C6265" t="str">
            <v>masrvfc</v>
          </cell>
          <cell r="D6265">
            <v>10.014779090881348</v>
          </cell>
          <cell r="F6265" t="str">
            <v>14 Aug 2024</v>
          </cell>
        </row>
        <row r="6266">
          <cell r="A6266" t="str">
            <v>IND</v>
          </cell>
          <cell r="B6266">
            <v>2017</v>
          </cell>
          <cell r="C6266" t="str">
            <v>maexpz</v>
          </cell>
          <cell r="D6266">
            <v>4.5647077560424805</v>
          </cell>
          <cell r="F6266" t="str">
            <v>14 Aug 2024</v>
          </cell>
        </row>
        <row r="6267">
          <cell r="A6267" t="str">
            <v>IND</v>
          </cell>
          <cell r="B6267">
            <v>2026</v>
          </cell>
          <cell r="C6267" t="str">
            <v>magap_</v>
          </cell>
          <cell r="D6267">
            <v>0.20715683698654175</v>
          </cell>
          <cell r="F6267" t="str">
            <v>14 Aug 2024</v>
          </cell>
        </row>
        <row r="6268">
          <cell r="A6268" t="str">
            <v>IND</v>
          </cell>
          <cell r="B6268">
            <v>2023</v>
          </cell>
          <cell r="C6268" t="str">
            <v>mainvz</v>
          </cell>
          <cell r="D6268">
            <v>10.836355209350586</v>
          </cell>
          <cell r="F6268" t="str">
            <v>14 Aug 2024</v>
          </cell>
        </row>
        <row r="6269">
          <cell r="A6269" t="str">
            <v>IND</v>
          </cell>
          <cell r="B6269">
            <v>2024</v>
          </cell>
          <cell r="C6269" t="str">
            <v>mar_srvfc</v>
          </cell>
          <cell r="D6269">
            <v>55.066188812255859</v>
          </cell>
          <cell r="F6269" t="str">
            <v>14 Aug 2024</v>
          </cell>
        </row>
        <row r="6270">
          <cell r="A6270" t="str">
            <v>IND</v>
          </cell>
          <cell r="B6270">
            <v>2024</v>
          </cell>
          <cell r="C6270" t="str">
            <v>mataxfc</v>
          </cell>
          <cell r="D6270">
            <v>6.6229643821716309</v>
          </cell>
          <cell r="F6270" t="str">
            <v>14 Aug 2024</v>
          </cell>
        </row>
        <row r="6271">
          <cell r="A6271" t="str">
            <v>IND</v>
          </cell>
          <cell r="B6271">
            <v>2018</v>
          </cell>
          <cell r="C6271" t="str">
            <v>mar_taxfc</v>
          </cell>
          <cell r="D6271">
            <v>9.8879861831665039</v>
          </cell>
          <cell r="F6271" t="str">
            <v>14 Aug 2024</v>
          </cell>
        </row>
        <row r="6272">
          <cell r="A6272" t="str">
            <v>IND</v>
          </cell>
          <cell r="B6272">
            <v>2018</v>
          </cell>
          <cell r="C6272" t="str">
            <v>maconz</v>
          </cell>
          <cell r="D6272">
            <v>7.0895466804504395</v>
          </cell>
          <cell r="F6272" t="str">
            <v>14 Aug 2024</v>
          </cell>
        </row>
        <row r="6273">
          <cell r="A6273" t="str">
            <v>IND</v>
          </cell>
          <cell r="B6273">
            <v>2014</v>
          </cell>
          <cell r="C6273" t="str">
            <v>mar_con</v>
          </cell>
          <cell r="D6273">
            <v>56.162994384765625</v>
          </cell>
          <cell r="F6273" t="str">
            <v>14 Aug 2024</v>
          </cell>
        </row>
        <row r="6274">
          <cell r="A6274" t="str">
            <v>IND</v>
          </cell>
          <cell r="B6274">
            <v>2005</v>
          </cell>
          <cell r="C6274" t="str">
            <v>mataxfc</v>
          </cell>
          <cell r="D6274">
            <v>3.2248609066009521</v>
          </cell>
          <cell r="F6274" t="str">
            <v>14 Aug 2024</v>
          </cell>
        </row>
        <row r="6275">
          <cell r="A6275" t="str">
            <v>IND</v>
          </cell>
          <cell r="B6275">
            <v>2023</v>
          </cell>
          <cell r="C6275" t="str">
            <v>maagrfc</v>
          </cell>
          <cell r="D6275">
            <v>0.66358000040054321</v>
          </cell>
          <cell r="F6275" t="str">
            <v>14 Aug 2024</v>
          </cell>
        </row>
        <row r="6276">
          <cell r="A6276" t="str">
            <v>IND</v>
          </cell>
          <cell r="B6276">
            <v>2020</v>
          </cell>
          <cell r="C6276" t="str">
            <v>maindfc</v>
          </cell>
          <cell r="D6276">
            <v>-0.43988555669784546</v>
          </cell>
          <cell r="F6276" t="str">
            <v>14 Aug 2024</v>
          </cell>
        </row>
        <row r="6277">
          <cell r="A6277" t="str">
            <v>IND</v>
          </cell>
          <cell r="B6277">
            <v>2008</v>
          </cell>
          <cell r="C6277" t="str">
            <v>macpiz</v>
          </cell>
          <cell r="D6277">
            <v>9.7133493423461914</v>
          </cell>
          <cell r="F6277" t="str">
            <v>14 Aug 2024</v>
          </cell>
        </row>
        <row r="6278">
          <cell r="A6278" t="str">
            <v>IND</v>
          </cell>
          <cell r="B6278">
            <v>2021</v>
          </cell>
          <cell r="C6278" t="str">
            <v>mar_impz</v>
          </cell>
          <cell r="D6278">
            <v>23.590612411499023</v>
          </cell>
          <cell r="F6278" t="str">
            <v>14 Aug 2024</v>
          </cell>
        </row>
        <row r="6279">
          <cell r="A6279" t="str">
            <v>IND</v>
          </cell>
          <cell r="B6279">
            <v>2015</v>
          </cell>
          <cell r="C6279" t="str">
            <v>mar_con</v>
          </cell>
          <cell r="D6279">
            <v>56.127555847167969</v>
          </cell>
          <cell r="F6279" t="str">
            <v>14 Aug 2024</v>
          </cell>
        </row>
        <row r="6280">
          <cell r="A6280" t="str">
            <v>IND</v>
          </cell>
          <cell r="B6280">
            <v>2006</v>
          </cell>
          <cell r="C6280" t="str">
            <v>madeficit_</v>
          </cell>
          <cell r="D6280">
            <v>-5.4160304069519043</v>
          </cell>
          <cell r="F6280" t="str">
            <v>14 Aug 2024</v>
          </cell>
        </row>
        <row r="6281">
          <cell r="A6281" t="str">
            <v>IND</v>
          </cell>
          <cell r="B6281">
            <v>2010</v>
          </cell>
          <cell r="C6281" t="str">
            <v>maagrfc</v>
          </cell>
          <cell r="D6281">
            <v>8.791752815246582</v>
          </cell>
          <cell r="F6281" t="str">
            <v>14 Aug 2024</v>
          </cell>
        </row>
        <row r="6282">
          <cell r="A6282" t="str">
            <v>IND</v>
          </cell>
          <cell r="B6282">
            <v>2021</v>
          </cell>
          <cell r="C6282" t="str">
            <v>mar_taxfc</v>
          </cell>
          <cell r="D6282">
            <v>8.2512025833129883</v>
          </cell>
          <cell r="F6282" t="str">
            <v>14 Aug 2024</v>
          </cell>
        </row>
        <row r="6283">
          <cell r="A6283" t="str">
            <v>IND</v>
          </cell>
          <cell r="B6283">
            <v>2005</v>
          </cell>
          <cell r="C6283" t="str">
            <v>mac_labz</v>
          </cell>
          <cell r="D6283">
            <v>0</v>
          </cell>
          <cell r="F6283" t="str">
            <v>14 Aug 2024</v>
          </cell>
        </row>
        <row r="6284">
          <cell r="A6284" t="str">
            <v>IND</v>
          </cell>
          <cell r="B6284">
            <v>2017</v>
          </cell>
          <cell r="C6284" t="str">
            <v>macpiz</v>
          </cell>
          <cell r="D6284">
            <v>3.5871858596801758</v>
          </cell>
          <cell r="F6284" t="str">
            <v>14 Aug 2024</v>
          </cell>
        </row>
        <row r="6285">
          <cell r="A6285" t="str">
            <v>IND</v>
          </cell>
          <cell r="B6285">
            <v>2006</v>
          </cell>
          <cell r="C6285" t="str">
            <v>maimpz</v>
          </cell>
          <cell r="D6285">
            <v>21.504644393920898</v>
          </cell>
          <cell r="F6285" t="str">
            <v>14 Aug 2024</v>
          </cell>
        </row>
        <row r="6286">
          <cell r="A6286" t="str">
            <v>IND</v>
          </cell>
          <cell r="B6286">
            <v>2012</v>
          </cell>
          <cell r="C6286" t="str">
            <v>mar_srvfc</v>
          </cell>
          <cell r="D6286">
            <v>50.323909759521484</v>
          </cell>
          <cell r="F6286" t="str">
            <v>14 Aug 2024</v>
          </cell>
        </row>
        <row r="6287">
          <cell r="A6287" t="str">
            <v>IND</v>
          </cell>
          <cell r="B6287">
            <v>2021</v>
          </cell>
          <cell r="C6287" t="str">
            <v>mafdi_</v>
          </cell>
          <cell r="D6287">
            <v>-1.2184222936630249</v>
          </cell>
          <cell r="F6287" t="str">
            <v>14 Aug 2024</v>
          </cell>
        </row>
        <row r="6288">
          <cell r="A6288" t="str">
            <v>IND</v>
          </cell>
          <cell r="B6288">
            <v>2011</v>
          </cell>
          <cell r="C6288" t="str">
            <v>magdpz</v>
          </cell>
          <cell r="D6288">
            <v>5.2413148880004883</v>
          </cell>
          <cell r="F6288" t="str">
            <v>14 Aug 2024</v>
          </cell>
        </row>
        <row r="6289">
          <cell r="A6289" t="str">
            <v>IND</v>
          </cell>
          <cell r="B6289">
            <v>2015</v>
          </cell>
          <cell r="C6289" t="str">
            <v>magovz</v>
          </cell>
          <cell r="D6289">
            <v>7.4611349105834961</v>
          </cell>
          <cell r="F6289" t="str">
            <v>14 Aug 2024</v>
          </cell>
        </row>
        <row r="6290">
          <cell r="A6290" t="str">
            <v>IND</v>
          </cell>
          <cell r="B6290">
            <v>2021</v>
          </cell>
          <cell r="C6290" t="str">
            <v>mareer</v>
          </cell>
          <cell r="D6290">
            <v>106.47635650634766</v>
          </cell>
          <cell r="F6290" t="str">
            <v>14 Aug 2024</v>
          </cell>
        </row>
        <row r="6291">
          <cell r="A6291" t="str">
            <v>IND</v>
          </cell>
          <cell r="B6291">
            <v>2011</v>
          </cell>
          <cell r="C6291" t="str">
            <v>malabz</v>
          </cell>
          <cell r="D6291">
            <v>2.0242695808410645</v>
          </cell>
          <cell r="F6291" t="str">
            <v>14 Aug 2024</v>
          </cell>
        </row>
        <row r="6292">
          <cell r="A6292" t="str">
            <v>IND</v>
          </cell>
          <cell r="B6292">
            <v>2009</v>
          </cell>
          <cell r="C6292" t="str">
            <v>mainvz</v>
          </cell>
          <cell r="D6292">
            <v>7.6768798828125</v>
          </cell>
          <cell r="F6292" t="str">
            <v>14 Aug 2024</v>
          </cell>
        </row>
        <row r="6293">
          <cell r="A6293" t="str">
            <v>IND</v>
          </cell>
          <cell r="B6293">
            <v>2019</v>
          </cell>
          <cell r="C6293" t="str">
            <v>malabz</v>
          </cell>
          <cell r="D6293">
            <v>1.714599609375</v>
          </cell>
          <cell r="F6293" t="str">
            <v>14 Aug 2024</v>
          </cell>
        </row>
        <row r="6294">
          <cell r="A6294" t="str">
            <v>IND</v>
          </cell>
          <cell r="B6294">
            <v>2018</v>
          </cell>
          <cell r="C6294" t="str">
            <v>mar_agrfc</v>
          </cell>
          <cell r="D6294">
            <v>14.752852439880371</v>
          </cell>
          <cell r="F6294" t="str">
            <v>14 Aug 2024</v>
          </cell>
        </row>
        <row r="6295">
          <cell r="A6295" t="str">
            <v>IND</v>
          </cell>
          <cell r="B6295">
            <v>2020</v>
          </cell>
          <cell r="C6295" t="str">
            <v>madeficit_</v>
          </cell>
          <cell r="D6295">
            <v>-13.097220420837402</v>
          </cell>
          <cell r="F6295" t="str">
            <v>14 Aug 2024</v>
          </cell>
        </row>
        <row r="6296">
          <cell r="A6296" t="str">
            <v>IND</v>
          </cell>
          <cell r="B6296">
            <v>2024</v>
          </cell>
          <cell r="C6296" t="str">
            <v>macpiz</v>
          </cell>
          <cell r="D6296">
            <v>4.6999998092651367</v>
          </cell>
          <cell r="F6296" t="str">
            <v>14 Aug 2024</v>
          </cell>
        </row>
        <row r="6297">
          <cell r="A6297" t="str">
            <v>IND</v>
          </cell>
          <cell r="B6297">
            <v>2026</v>
          </cell>
          <cell r="C6297" t="str">
            <v>madebt_</v>
          </cell>
          <cell r="D6297">
            <v>84.002830505371094</v>
          </cell>
          <cell r="F6297" t="str">
            <v>14 Aug 2024</v>
          </cell>
        </row>
        <row r="6298">
          <cell r="A6298" t="str">
            <v>IND</v>
          </cell>
          <cell r="B6298">
            <v>2022</v>
          </cell>
          <cell r="C6298" t="str">
            <v>madeficit_</v>
          </cell>
          <cell r="D6298">
            <v>-9.5825119018554688</v>
          </cell>
          <cell r="F6298" t="str">
            <v>14 Aug 2024</v>
          </cell>
        </row>
        <row r="6299">
          <cell r="A6299" t="str">
            <v>IND</v>
          </cell>
          <cell r="B6299">
            <v>2025</v>
          </cell>
          <cell r="C6299" t="str">
            <v>mar_agrfc</v>
          </cell>
          <cell r="D6299">
            <v>13.460107803344727</v>
          </cell>
          <cell r="F6299" t="str">
            <v>14 Aug 2024</v>
          </cell>
        </row>
        <row r="6300">
          <cell r="A6300" t="str">
            <v>IND</v>
          </cell>
          <cell r="B6300">
            <v>2007</v>
          </cell>
          <cell r="C6300" t="str">
            <v>mar_agrfc</v>
          </cell>
          <cell r="D6300">
            <v>20.5098876953125</v>
          </cell>
          <cell r="F6300" t="str">
            <v>14 Aug 2024</v>
          </cell>
        </row>
        <row r="6301">
          <cell r="A6301" t="str">
            <v>IND</v>
          </cell>
          <cell r="B6301">
            <v>2005</v>
          </cell>
          <cell r="C6301" t="str">
            <v>maagrfc</v>
          </cell>
          <cell r="D6301">
            <v>4.8093633651733398</v>
          </cell>
          <cell r="F6301" t="str">
            <v>14 Aug 2024</v>
          </cell>
        </row>
        <row r="6302">
          <cell r="A6302" t="str">
            <v>IND</v>
          </cell>
          <cell r="B6302">
            <v>2023</v>
          </cell>
          <cell r="C6302" t="str">
            <v>magovz</v>
          </cell>
          <cell r="D6302">
            <v>3.0690815448760986</v>
          </cell>
          <cell r="F6302" t="str">
            <v>14 Aug 2024</v>
          </cell>
        </row>
        <row r="6303">
          <cell r="A6303" t="str">
            <v>IND</v>
          </cell>
          <cell r="B6303">
            <v>2015</v>
          </cell>
          <cell r="C6303" t="str">
            <v>madebt_</v>
          </cell>
          <cell r="D6303">
            <v>68.532783508300781</v>
          </cell>
          <cell r="F6303" t="str">
            <v>14 Aug 2024</v>
          </cell>
        </row>
        <row r="6304">
          <cell r="A6304" t="str">
            <v>IND</v>
          </cell>
          <cell r="B6304">
            <v>2021</v>
          </cell>
          <cell r="C6304" t="str">
            <v>mainvz</v>
          </cell>
          <cell r="D6304">
            <v>17.521306991577148</v>
          </cell>
          <cell r="F6304" t="str">
            <v>14 Aug 2024</v>
          </cell>
        </row>
        <row r="6305">
          <cell r="A6305" t="str">
            <v>IND</v>
          </cell>
          <cell r="B6305">
            <v>2010</v>
          </cell>
          <cell r="C6305" t="str">
            <v>madeficit_</v>
          </cell>
          <cell r="D6305">
            <v>-6.9950089454650879</v>
          </cell>
          <cell r="F6305" t="str">
            <v>14 Aug 2024</v>
          </cell>
        </row>
        <row r="6306">
          <cell r="A6306" t="str">
            <v>IND</v>
          </cell>
          <cell r="B6306">
            <v>2011</v>
          </cell>
          <cell r="C6306" t="str">
            <v>maexpz</v>
          </cell>
          <cell r="D6306">
            <v>15.492981910705566</v>
          </cell>
          <cell r="F6306" t="str">
            <v>14 Aug 2024</v>
          </cell>
        </row>
        <row r="6307">
          <cell r="A6307" t="str">
            <v>IND</v>
          </cell>
          <cell r="B6307">
            <v>2026</v>
          </cell>
          <cell r="C6307" t="str">
            <v>maconz</v>
          </cell>
          <cell r="D6307">
            <v>6.8000001907348633</v>
          </cell>
          <cell r="F6307" t="str">
            <v>14 Aug 2024</v>
          </cell>
        </row>
        <row r="6308">
          <cell r="A6308" t="str">
            <v>IND</v>
          </cell>
          <cell r="B6308">
            <v>2016</v>
          </cell>
          <cell r="C6308" t="str">
            <v>madebt_</v>
          </cell>
          <cell r="D6308">
            <v>68.767143249511719</v>
          </cell>
          <cell r="F6308" t="str">
            <v>14 Aug 2024</v>
          </cell>
        </row>
        <row r="6309">
          <cell r="A6309" t="str">
            <v>IND</v>
          </cell>
          <cell r="B6309">
            <v>2012</v>
          </cell>
          <cell r="C6309" t="str">
            <v>maagrfc</v>
          </cell>
          <cell r="D6309">
            <v>1.4874622821807861</v>
          </cell>
          <cell r="F6309" t="str">
            <v>14 Aug 2024</v>
          </cell>
        </row>
        <row r="6310">
          <cell r="A6310" t="str">
            <v>IND</v>
          </cell>
          <cell r="B6310">
            <v>2017</v>
          </cell>
          <cell r="C6310" t="str">
            <v>mar_con</v>
          </cell>
          <cell r="D6310">
            <v>55.769962310791016</v>
          </cell>
          <cell r="F6310" t="str">
            <v>14 Aug 2024</v>
          </cell>
        </row>
        <row r="6311">
          <cell r="A6311" t="str">
            <v>IND</v>
          </cell>
          <cell r="B6311">
            <v>2023</v>
          </cell>
          <cell r="C6311" t="str">
            <v>mar_expz</v>
          </cell>
          <cell r="D6311">
            <v>22.967109680175781</v>
          </cell>
          <cell r="F6311" t="str">
            <v>14 Aug 2024</v>
          </cell>
        </row>
        <row r="6312">
          <cell r="A6312" t="str">
            <v>IND</v>
          </cell>
          <cell r="B6312">
            <v>2005</v>
          </cell>
          <cell r="C6312" t="str">
            <v>macab_</v>
          </cell>
          <cell r="D6312">
            <v>-1.2022665739059448</v>
          </cell>
          <cell r="F6312" t="str">
            <v>14 Aug 2024</v>
          </cell>
        </row>
        <row r="6313">
          <cell r="A6313" t="str">
            <v>IND</v>
          </cell>
          <cell r="B6313">
            <v>2010</v>
          </cell>
          <cell r="C6313" t="str">
            <v>mac_tfpz</v>
          </cell>
          <cell r="D6313">
            <v>1.9799666404724121</v>
          </cell>
          <cell r="F6313" t="str">
            <v>14 Aug 2024</v>
          </cell>
        </row>
        <row r="6314">
          <cell r="A6314" t="str">
            <v>LKA</v>
          </cell>
          <cell r="B6314">
            <v>2006</v>
          </cell>
          <cell r="C6314" t="str">
            <v>mar_taxfc</v>
          </cell>
          <cell r="D6314">
            <v>11.484939575195313</v>
          </cell>
          <cell r="F6314" t="str">
            <v>14 Aug 2024</v>
          </cell>
        </row>
        <row r="6315">
          <cell r="A6315" t="str">
            <v>LKA</v>
          </cell>
          <cell r="B6315">
            <v>2021</v>
          </cell>
          <cell r="C6315" t="str">
            <v>mareer</v>
          </cell>
          <cell r="D6315">
            <v>87.399925231933594</v>
          </cell>
          <cell r="F6315" t="str">
            <v>14 Aug 2024</v>
          </cell>
        </row>
        <row r="6316">
          <cell r="A6316" t="str">
            <v>LKA</v>
          </cell>
          <cell r="B6316">
            <v>2020</v>
          </cell>
          <cell r="C6316" t="str">
            <v>mapanusatls</v>
          </cell>
          <cell r="D6316">
            <v>185.5238037109375</v>
          </cell>
          <cell r="F6316" t="str">
            <v>14 Aug 2024</v>
          </cell>
        </row>
        <row r="6317">
          <cell r="A6317" t="str">
            <v>LKA</v>
          </cell>
          <cell r="B6317">
            <v>2006</v>
          </cell>
          <cell r="C6317" t="str">
            <v>maconz</v>
          </cell>
          <cell r="D6317">
            <v>6.5498824119567871</v>
          </cell>
          <cell r="F6317" t="str">
            <v>14 Aug 2024</v>
          </cell>
        </row>
        <row r="6318">
          <cell r="A6318" t="str">
            <v>LKA</v>
          </cell>
          <cell r="B6318">
            <v>2011</v>
          </cell>
          <cell r="C6318" t="str">
            <v>magovz</v>
          </cell>
          <cell r="D6318">
            <v>-2.0986487865447998</v>
          </cell>
          <cell r="F6318" t="str">
            <v>14 Aug 2024</v>
          </cell>
        </row>
        <row r="6319">
          <cell r="A6319" t="str">
            <v>LKA</v>
          </cell>
          <cell r="B6319">
            <v>2018</v>
          </cell>
          <cell r="C6319" t="str">
            <v>mar_con</v>
          </cell>
          <cell r="D6319">
            <v>59.850379943847656</v>
          </cell>
          <cell r="F6319" t="str">
            <v>14 Aug 2024</v>
          </cell>
        </row>
        <row r="6320">
          <cell r="A6320" t="str">
            <v>LKA</v>
          </cell>
          <cell r="B6320">
            <v>2025</v>
          </cell>
          <cell r="C6320" t="str">
            <v>maindfc</v>
          </cell>
          <cell r="D6320">
            <v>2.7000000476837158</v>
          </cell>
          <cell r="F6320" t="str">
            <v>14 Aug 2024</v>
          </cell>
        </row>
        <row r="6321">
          <cell r="A6321" t="str">
            <v>LKA</v>
          </cell>
          <cell r="B6321">
            <v>2006</v>
          </cell>
          <cell r="C6321" t="str">
            <v>mar_srvfc</v>
          </cell>
          <cell r="D6321">
            <v>61.050502777099609</v>
          </cell>
          <cell r="F6321" t="str">
            <v>14 Aug 2024</v>
          </cell>
        </row>
        <row r="6322">
          <cell r="A6322" t="str">
            <v>LKA</v>
          </cell>
          <cell r="B6322">
            <v>2018</v>
          </cell>
          <cell r="C6322" t="str">
            <v>maindfc</v>
          </cell>
          <cell r="D6322">
            <v>-1.0696506500244141</v>
          </cell>
          <cell r="F6322" t="str">
            <v>14 Aug 2024</v>
          </cell>
        </row>
        <row r="6323">
          <cell r="A6323" t="str">
            <v>LKA</v>
          </cell>
          <cell r="B6323">
            <v>2018</v>
          </cell>
          <cell r="C6323" t="str">
            <v>malabz</v>
          </cell>
          <cell r="D6323">
            <v>1.1322383880615234</v>
          </cell>
          <cell r="F6323" t="str">
            <v>14 Aug 2024</v>
          </cell>
        </row>
        <row r="6324">
          <cell r="A6324" t="str">
            <v>LKA</v>
          </cell>
          <cell r="B6324">
            <v>2015</v>
          </cell>
          <cell r="C6324" t="str">
            <v>magap_</v>
          </cell>
          <cell r="D6324">
            <v>17.895156860351563</v>
          </cell>
          <cell r="F6324" t="str">
            <v>14 Aug 2024</v>
          </cell>
        </row>
        <row r="6325">
          <cell r="A6325" t="str">
            <v>LKA</v>
          </cell>
          <cell r="B6325">
            <v>2016</v>
          </cell>
          <cell r="C6325" t="str">
            <v>maagrfc</v>
          </cell>
          <cell r="D6325">
            <v>-4.6664175987243652</v>
          </cell>
          <cell r="F6325" t="str">
            <v>14 Aug 2024</v>
          </cell>
        </row>
        <row r="6326">
          <cell r="A6326" t="str">
            <v>LKA</v>
          </cell>
          <cell r="B6326">
            <v>2013</v>
          </cell>
          <cell r="C6326" t="str">
            <v>madebt_</v>
          </cell>
          <cell r="D6326">
            <v>70.821098327636719</v>
          </cell>
          <cell r="F6326" t="str">
            <v>14 Aug 2024</v>
          </cell>
        </row>
        <row r="6327">
          <cell r="A6327" t="str">
            <v>LKA</v>
          </cell>
          <cell r="B6327">
            <v>2020</v>
          </cell>
          <cell r="C6327" t="str">
            <v>maexpz</v>
          </cell>
          <cell r="D6327">
            <v>-29.558769226074219</v>
          </cell>
          <cell r="F6327" t="str">
            <v>14 Aug 2024</v>
          </cell>
        </row>
        <row r="6328">
          <cell r="A6328" t="str">
            <v>LKA</v>
          </cell>
          <cell r="B6328">
            <v>2014</v>
          </cell>
          <cell r="C6328" t="str">
            <v>mar_impz</v>
          </cell>
          <cell r="D6328">
            <v>27.979972839355469</v>
          </cell>
          <cell r="F6328" t="str">
            <v>14 Aug 2024</v>
          </cell>
        </row>
        <row r="6329">
          <cell r="A6329" t="str">
            <v>LKA</v>
          </cell>
          <cell r="B6329">
            <v>2022</v>
          </cell>
          <cell r="C6329" t="str">
            <v>mar_agrfc</v>
          </cell>
          <cell r="D6329">
            <v>7.9635758399963379</v>
          </cell>
          <cell r="F6329" t="str">
            <v>14 Aug 2024</v>
          </cell>
        </row>
        <row r="6330">
          <cell r="A6330" t="str">
            <v>LKA</v>
          </cell>
          <cell r="B6330">
            <v>2010</v>
          </cell>
          <cell r="C6330" t="str">
            <v>matfpz</v>
          </cell>
          <cell r="D6330">
            <v>2.8417344093322754</v>
          </cell>
          <cell r="F6330" t="str">
            <v>14 Aug 2024</v>
          </cell>
        </row>
        <row r="6331">
          <cell r="A6331" t="str">
            <v>LKA</v>
          </cell>
          <cell r="B6331">
            <v>2013</v>
          </cell>
          <cell r="C6331" t="str">
            <v>macpiz</v>
          </cell>
          <cell r="D6331">
            <v>6.9084739685058594</v>
          </cell>
          <cell r="F6331" t="str">
            <v>14 Aug 2024</v>
          </cell>
        </row>
        <row r="6332">
          <cell r="A6332" t="str">
            <v>LKA</v>
          </cell>
          <cell r="B6332">
            <v>2008</v>
          </cell>
          <cell r="C6332" t="str">
            <v>mainvz</v>
          </cell>
          <cell r="D6332">
            <v>5.2969245910644531</v>
          </cell>
          <cell r="F6332" t="str">
            <v>14 Aug 2024</v>
          </cell>
        </row>
        <row r="6333">
          <cell r="A6333" t="str">
            <v>LKA</v>
          </cell>
          <cell r="B6333">
            <v>2020</v>
          </cell>
          <cell r="C6333" t="str">
            <v>macpiz</v>
          </cell>
          <cell r="D6333">
            <v>4.5999999046325684</v>
          </cell>
          <cell r="F6333" t="str">
            <v>14 Aug 2024</v>
          </cell>
        </row>
        <row r="6334">
          <cell r="A6334" t="str">
            <v>LKA</v>
          </cell>
          <cell r="B6334">
            <v>2026</v>
          </cell>
          <cell r="C6334" t="str">
            <v>mac_tfpz</v>
          </cell>
          <cell r="D6334">
            <v>-1.8593580722808838</v>
          </cell>
          <cell r="F6334" t="str">
            <v>14 Aug 2024</v>
          </cell>
        </row>
        <row r="6335">
          <cell r="A6335" t="str">
            <v>LKA</v>
          </cell>
          <cell r="B6335">
            <v>2021</v>
          </cell>
          <cell r="C6335" t="str">
            <v>maimpz</v>
          </cell>
          <cell r="D6335">
            <v>4.1034717559814453</v>
          </cell>
          <cell r="F6335" t="str">
            <v>14 Aug 2024</v>
          </cell>
        </row>
        <row r="6336">
          <cell r="A6336" t="str">
            <v>LKA</v>
          </cell>
          <cell r="B6336">
            <v>2026</v>
          </cell>
          <cell r="C6336" t="str">
            <v>madeficit_</v>
          </cell>
          <cell r="D6336">
            <v>-11.053271293640137</v>
          </cell>
          <cell r="F6336" t="str">
            <v>14 Aug 2024</v>
          </cell>
        </row>
        <row r="6337">
          <cell r="A6337" t="str">
            <v>LKA</v>
          </cell>
          <cell r="B6337">
            <v>2015</v>
          </cell>
          <cell r="C6337" t="str">
            <v>mar_taxfc</v>
          </cell>
          <cell r="D6337">
            <v>8.7394123077392578</v>
          </cell>
          <cell r="F6337" t="str">
            <v>14 Aug 2024</v>
          </cell>
        </row>
        <row r="6338">
          <cell r="A6338" t="str">
            <v>LKA</v>
          </cell>
          <cell r="B6338">
            <v>2020</v>
          </cell>
          <cell r="C6338" t="str">
            <v>maconz</v>
          </cell>
          <cell r="D6338">
            <v>-5.7638454437255859</v>
          </cell>
          <cell r="F6338" t="str">
            <v>14 Aug 2024</v>
          </cell>
        </row>
        <row r="6339">
          <cell r="A6339" t="str">
            <v>LKA</v>
          </cell>
          <cell r="B6339">
            <v>2024</v>
          </cell>
          <cell r="C6339" t="str">
            <v>magovz</v>
          </cell>
          <cell r="D6339">
            <v>-0.34020829200744629</v>
          </cell>
          <cell r="F6339" t="str">
            <v>14 Aug 2024</v>
          </cell>
        </row>
        <row r="6340">
          <cell r="A6340" t="str">
            <v>LKA</v>
          </cell>
          <cell r="B6340">
            <v>2022</v>
          </cell>
          <cell r="C6340" t="str">
            <v>mar_impz</v>
          </cell>
          <cell r="D6340">
            <v>19.49981689453125</v>
          </cell>
          <cell r="F6340" t="str">
            <v>14 Aug 2024</v>
          </cell>
        </row>
        <row r="6341">
          <cell r="A6341" t="str">
            <v>LKA</v>
          </cell>
          <cell r="B6341">
            <v>2019</v>
          </cell>
          <cell r="C6341" t="str">
            <v>mac_tfpz</v>
          </cell>
          <cell r="D6341">
            <v>1.1348510980606079</v>
          </cell>
          <cell r="F6341" t="str">
            <v>14 Aug 2024</v>
          </cell>
        </row>
        <row r="6342">
          <cell r="A6342" t="str">
            <v>LKA</v>
          </cell>
          <cell r="B6342">
            <v>2011</v>
          </cell>
          <cell r="C6342" t="str">
            <v>mar_indfc</v>
          </cell>
          <cell r="D6342">
            <v>29.851779937744141</v>
          </cell>
          <cell r="F6342" t="str">
            <v>14 Aug 2024</v>
          </cell>
        </row>
        <row r="6343">
          <cell r="A6343" t="str">
            <v>LKA</v>
          </cell>
          <cell r="B6343">
            <v>2015</v>
          </cell>
          <cell r="C6343" t="str">
            <v>maexpz</v>
          </cell>
          <cell r="D6343">
            <v>50.036708831787109</v>
          </cell>
          <cell r="F6343" t="str">
            <v>14 Aug 2024</v>
          </cell>
        </row>
        <row r="6344">
          <cell r="A6344" t="str">
            <v>LKA</v>
          </cell>
          <cell r="B6344">
            <v>2022</v>
          </cell>
          <cell r="C6344" t="str">
            <v>magdpz</v>
          </cell>
          <cell r="D6344">
            <v>-7.3468284606933594</v>
          </cell>
          <cell r="F6344" t="str">
            <v>14 Aug 2024</v>
          </cell>
        </row>
        <row r="6345">
          <cell r="A6345" t="str">
            <v>LKA</v>
          </cell>
          <cell r="B6345">
            <v>2023</v>
          </cell>
          <cell r="C6345" t="str">
            <v>maexpz</v>
          </cell>
          <cell r="D6345">
            <v>1.8470433950424194</v>
          </cell>
          <cell r="F6345" t="str">
            <v>14 Aug 2024</v>
          </cell>
        </row>
        <row r="6346">
          <cell r="A6346" t="str">
            <v>LKA</v>
          </cell>
          <cell r="B6346">
            <v>2022</v>
          </cell>
          <cell r="C6346" t="str">
            <v>mar_taxfc</v>
          </cell>
          <cell r="D6346">
            <v>6.3262782096862793</v>
          </cell>
          <cell r="F6346" t="str">
            <v>14 Aug 2024</v>
          </cell>
        </row>
        <row r="6347">
          <cell r="A6347" t="str">
            <v>LKA</v>
          </cell>
          <cell r="B6347">
            <v>2007</v>
          </cell>
          <cell r="C6347" t="str">
            <v>mainvz</v>
          </cell>
          <cell r="D6347">
            <v>9.143427848815918</v>
          </cell>
          <cell r="F6347" t="str">
            <v>14 Aug 2024</v>
          </cell>
        </row>
        <row r="6348">
          <cell r="A6348" t="str">
            <v>LKA</v>
          </cell>
          <cell r="B6348">
            <v>2012</v>
          </cell>
          <cell r="C6348" t="str">
            <v>madeficit_</v>
          </cell>
          <cell r="D6348">
            <v>-5.5994048118591309</v>
          </cell>
          <cell r="F6348" t="str">
            <v>14 Aug 2024</v>
          </cell>
        </row>
        <row r="6349">
          <cell r="A6349" t="str">
            <v>LKA</v>
          </cell>
          <cell r="B6349">
            <v>2014</v>
          </cell>
          <cell r="C6349" t="str">
            <v>magovz</v>
          </cell>
          <cell r="D6349">
            <v>5.9758944511413574</v>
          </cell>
          <cell r="F6349" t="str">
            <v>14 Aug 2024</v>
          </cell>
        </row>
        <row r="6350">
          <cell r="A6350" t="str">
            <v>LKA</v>
          </cell>
          <cell r="B6350">
            <v>2013</v>
          </cell>
          <cell r="C6350" t="str">
            <v>mapanusatls</v>
          </cell>
          <cell r="D6350">
            <v>129.06900024414063</v>
          </cell>
          <cell r="F6350" t="str">
            <v>14 Aug 2024</v>
          </cell>
        </row>
        <row r="6351">
          <cell r="A6351" t="str">
            <v>LKA</v>
          </cell>
          <cell r="B6351">
            <v>2026</v>
          </cell>
          <cell r="C6351" t="str">
            <v>magovz</v>
          </cell>
          <cell r="D6351">
            <v>1.2564917802810669</v>
          </cell>
          <cell r="F6351" t="str">
            <v>14 Aug 2024</v>
          </cell>
        </row>
        <row r="6352">
          <cell r="A6352" t="str">
            <v>LKA</v>
          </cell>
          <cell r="B6352">
            <v>2015</v>
          </cell>
          <cell r="C6352" t="str">
            <v>magdpz</v>
          </cell>
          <cell r="D6352">
            <v>40.453975677490234</v>
          </cell>
          <cell r="F6352" t="str">
            <v>14 Aug 2024</v>
          </cell>
        </row>
        <row r="6353">
          <cell r="A6353" t="str">
            <v>LKA</v>
          </cell>
          <cell r="B6353">
            <v>2026</v>
          </cell>
          <cell r="C6353" t="str">
            <v>mar_expz</v>
          </cell>
          <cell r="D6353">
            <v>20.525211334228516</v>
          </cell>
          <cell r="F6353" t="str">
            <v>14 Aug 2024</v>
          </cell>
        </row>
        <row r="6354">
          <cell r="A6354" t="str">
            <v>LKA</v>
          </cell>
          <cell r="B6354">
            <v>2018</v>
          </cell>
          <cell r="C6354" t="str">
            <v>maexpz</v>
          </cell>
          <cell r="D6354">
            <v>5.3750581741333008</v>
          </cell>
          <cell r="F6354" t="str">
            <v>14 Aug 2024</v>
          </cell>
        </row>
        <row r="6355">
          <cell r="A6355" t="str">
            <v>LKA</v>
          </cell>
          <cell r="B6355">
            <v>2005</v>
          </cell>
          <cell r="C6355" t="str">
            <v>macpiz</v>
          </cell>
          <cell r="D6355">
            <v>11.639557838439941</v>
          </cell>
          <cell r="F6355" t="str">
            <v>14 Aug 2024</v>
          </cell>
        </row>
        <row r="6356">
          <cell r="A6356" t="str">
            <v>LKA</v>
          </cell>
          <cell r="B6356">
            <v>2011</v>
          </cell>
          <cell r="C6356" t="str">
            <v>mac_labz</v>
          </cell>
          <cell r="D6356">
            <v>0.73748606443405151</v>
          </cell>
          <cell r="F6356" t="str">
            <v>14 Aug 2024</v>
          </cell>
        </row>
        <row r="6357">
          <cell r="A6357" t="str">
            <v>LKA</v>
          </cell>
          <cell r="B6357">
            <v>2023</v>
          </cell>
          <cell r="C6357" t="str">
            <v>mar_srvfc</v>
          </cell>
          <cell r="D6357">
            <v>64.648780822753906</v>
          </cell>
          <cell r="F6357" t="str">
            <v>14 Aug 2024</v>
          </cell>
        </row>
        <row r="6358">
          <cell r="A6358" t="str">
            <v>LKA</v>
          </cell>
          <cell r="B6358">
            <v>2017</v>
          </cell>
          <cell r="C6358" t="str">
            <v>maagrfc</v>
          </cell>
          <cell r="D6358">
            <v>-1.8257492780685425</v>
          </cell>
          <cell r="F6358" t="str">
            <v>14 Aug 2024</v>
          </cell>
        </row>
        <row r="6359">
          <cell r="A6359" t="str">
            <v>LKA</v>
          </cell>
          <cell r="B6359">
            <v>2006</v>
          </cell>
          <cell r="C6359" t="str">
            <v>maindfc</v>
          </cell>
          <cell r="D6359">
            <v>8.1169977188110352</v>
          </cell>
          <cell r="F6359" t="str">
            <v>14 Aug 2024</v>
          </cell>
        </row>
        <row r="6360">
          <cell r="A6360" t="str">
            <v>LKA</v>
          </cell>
          <cell r="B6360">
            <v>2012</v>
          </cell>
          <cell r="C6360" t="str">
            <v>mafdi_</v>
          </cell>
          <cell r="D6360">
            <v>-1.2817978858947754</v>
          </cell>
          <cell r="F6360" t="str">
            <v>14 Aug 2024</v>
          </cell>
        </row>
        <row r="6361">
          <cell r="A6361" t="str">
            <v>LKA</v>
          </cell>
          <cell r="B6361">
            <v>2026</v>
          </cell>
          <cell r="C6361" t="str">
            <v>maconz</v>
          </cell>
          <cell r="D6361">
            <v>3.1400001049041748</v>
          </cell>
          <cell r="F6361" t="str">
            <v>14 Aug 2024</v>
          </cell>
        </row>
        <row r="6362">
          <cell r="A6362" t="str">
            <v>LKA</v>
          </cell>
          <cell r="B6362">
            <v>2021</v>
          </cell>
          <cell r="C6362" t="str">
            <v>maagrfc</v>
          </cell>
          <cell r="D6362">
            <v>1.0097215175628662</v>
          </cell>
          <cell r="F6362" t="str">
            <v>14 Aug 2024</v>
          </cell>
        </row>
        <row r="6363">
          <cell r="A6363" t="str">
            <v>LKA</v>
          </cell>
          <cell r="B6363">
            <v>2011</v>
          </cell>
          <cell r="C6363" t="str">
            <v>madeficit_</v>
          </cell>
          <cell r="D6363">
            <v>-6.2359247207641602</v>
          </cell>
          <cell r="F6363" t="str">
            <v>14 Aug 2024</v>
          </cell>
        </row>
        <row r="6364">
          <cell r="A6364" t="str">
            <v>LKA</v>
          </cell>
          <cell r="B6364">
            <v>2015</v>
          </cell>
          <cell r="C6364" t="str">
            <v>mafdi_</v>
          </cell>
          <cell r="D6364">
            <v>-0.73525124788284302</v>
          </cell>
          <cell r="F6364" t="str">
            <v>14 Aug 2024</v>
          </cell>
        </row>
        <row r="6365">
          <cell r="A6365" t="str">
            <v>LKA</v>
          </cell>
          <cell r="B6365">
            <v>2018</v>
          </cell>
          <cell r="C6365" t="str">
            <v>macab_</v>
          </cell>
          <cell r="D6365">
            <v>-2.9700908660888672</v>
          </cell>
          <cell r="F6365" t="str">
            <v>14 Aug 2024</v>
          </cell>
        </row>
        <row r="6366">
          <cell r="A6366" t="str">
            <v>LKA</v>
          </cell>
          <cell r="B6366">
            <v>2011</v>
          </cell>
          <cell r="C6366" t="str">
            <v>mar_agrfc</v>
          </cell>
          <cell r="D6366">
            <v>9.1133499145507813</v>
          </cell>
          <cell r="F6366" t="str">
            <v>14 Aug 2024</v>
          </cell>
        </row>
        <row r="6367">
          <cell r="A6367" t="str">
            <v>LKA</v>
          </cell>
          <cell r="B6367">
            <v>2007</v>
          </cell>
          <cell r="C6367" t="str">
            <v>mafdi_</v>
          </cell>
          <cell r="D6367">
            <v>-1.69395911693573</v>
          </cell>
          <cell r="F6367" t="str">
            <v>14 Aug 2024</v>
          </cell>
        </row>
        <row r="6368">
          <cell r="A6368" t="str">
            <v>LKA</v>
          </cell>
          <cell r="B6368">
            <v>2023</v>
          </cell>
          <cell r="C6368" t="str">
            <v>mac_labz</v>
          </cell>
          <cell r="D6368">
            <v>0.5570141077041626</v>
          </cell>
          <cell r="F6368" t="str">
            <v>14 Aug 2024</v>
          </cell>
        </row>
        <row r="6369">
          <cell r="A6369" t="str">
            <v>LKA</v>
          </cell>
          <cell r="B6369">
            <v>2014</v>
          </cell>
          <cell r="C6369" t="str">
            <v>mapanusatls</v>
          </cell>
          <cell r="D6369">
            <v>130.564697265625</v>
          </cell>
          <cell r="F6369" t="str">
            <v>14 Aug 2024</v>
          </cell>
        </row>
        <row r="6370">
          <cell r="A6370" t="str">
            <v>LKA</v>
          </cell>
          <cell r="B6370">
            <v>2008</v>
          </cell>
          <cell r="C6370" t="str">
            <v>mar_expz</v>
          </cell>
          <cell r="D6370">
            <v>22.927101135253906</v>
          </cell>
          <cell r="F6370" t="str">
            <v>14 Aug 2024</v>
          </cell>
        </row>
        <row r="6371">
          <cell r="A6371" t="str">
            <v>LKA</v>
          </cell>
          <cell r="B6371">
            <v>2005</v>
          </cell>
          <cell r="C6371" t="str">
            <v>mareer</v>
          </cell>
          <cell r="D6371">
            <v>0</v>
          </cell>
          <cell r="F6371" t="str">
            <v>14 Aug 2024</v>
          </cell>
        </row>
        <row r="6372">
          <cell r="A6372" t="str">
            <v>LKA</v>
          </cell>
          <cell r="B6372">
            <v>2024</v>
          </cell>
          <cell r="C6372" t="str">
            <v>mar_con</v>
          </cell>
          <cell r="D6372">
            <v>59.1014404296875</v>
          </cell>
          <cell r="F6372" t="str">
            <v>14 Aug 2024</v>
          </cell>
        </row>
        <row r="6373">
          <cell r="A6373" t="str">
            <v>LKA</v>
          </cell>
          <cell r="B6373">
            <v>2023</v>
          </cell>
          <cell r="C6373" t="str">
            <v>maimpz</v>
          </cell>
          <cell r="D6373">
            <v>-2.7221822738647461</v>
          </cell>
          <cell r="F6373" t="str">
            <v>14 Aug 2024</v>
          </cell>
        </row>
        <row r="6374">
          <cell r="A6374" t="str">
            <v>LKA</v>
          </cell>
          <cell r="B6374">
            <v>2017</v>
          </cell>
          <cell r="C6374" t="str">
            <v>magovz</v>
          </cell>
          <cell r="D6374">
            <v>5.500330924987793</v>
          </cell>
          <cell r="F6374" t="str">
            <v>14 Aug 2024</v>
          </cell>
        </row>
        <row r="6375">
          <cell r="A6375" t="str">
            <v>LKA</v>
          </cell>
          <cell r="B6375">
            <v>2026</v>
          </cell>
          <cell r="C6375" t="str">
            <v>masrvfc</v>
          </cell>
          <cell r="D6375">
            <v>3.3000199794769287</v>
          </cell>
          <cell r="F6375" t="str">
            <v>14 Aug 2024</v>
          </cell>
        </row>
        <row r="6376">
          <cell r="A6376" t="str">
            <v>LKA</v>
          </cell>
          <cell r="B6376">
            <v>2013</v>
          </cell>
          <cell r="C6376" t="str">
            <v>maindfc</v>
          </cell>
          <cell r="D6376">
            <v>4.1009511947631836</v>
          </cell>
          <cell r="F6376" t="str">
            <v>14 Aug 2024</v>
          </cell>
        </row>
        <row r="6377">
          <cell r="A6377" t="str">
            <v>LKA</v>
          </cell>
          <cell r="B6377">
            <v>2025</v>
          </cell>
          <cell r="C6377" t="str">
            <v>mac_tfpz</v>
          </cell>
          <cell r="D6377">
            <v>-1.827100396156311</v>
          </cell>
          <cell r="F6377" t="str">
            <v>14 Aug 2024</v>
          </cell>
        </row>
        <row r="6378">
          <cell r="A6378" t="str">
            <v>LKA</v>
          </cell>
          <cell r="B6378">
            <v>2007</v>
          </cell>
          <cell r="C6378" t="str">
            <v>mac_labz</v>
          </cell>
          <cell r="D6378">
            <v>0.8216814398765564</v>
          </cell>
          <cell r="F6378" t="str">
            <v>14 Aug 2024</v>
          </cell>
        </row>
        <row r="6379">
          <cell r="A6379" t="str">
            <v>LKA</v>
          </cell>
          <cell r="B6379">
            <v>2008</v>
          </cell>
          <cell r="C6379" t="str">
            <v>magdpz</v>
          </cell>
          <cell r="D6379">
            <v>5.9500880241394043</v>
          </cell>
          <cell r="F6379" t="str">
            <v>14 Aug 2024</v>
          </cell>
        </row>
        <row r="6380">
          <cell r="A6380" t="str">
            <v>LKA</v>
          </cell>
          <cell r="B6380">
            <v>2011</v>
          </cell>
          <cell r="C6380" t="str">
            <v>mar_srvfc</v>
          </cell>
          <cell r="D6380">
            <v>61.034870147705078</v>
          </cell>
          <cell r="F6380" t="str">
            <v>14 Aug 2024</v>
          </cell>
        </row>
        <row r="6381">
          <cell r="A6381" t="str">
            <v>LKA</v>
          </cell>
          <cell r="B6381">
            <v>2024</v>
          </cell>
          <cell r="C6381" t="str">
            <v>madebt_</v>
          </cell>
          <cell r="D6381">
            <v>106.11574554443359</v>
          </cell>
          <cell r="F6381" t="str">
            <v>14 Aug 2024</v>
          </cell>
        </row>
        <row r="6382">
          <cell r="A6382" t="str">
            <v>LKA</v>
          </cell>
          <cell r="B6382">
            <v>2019</v>
          </cell>
          <cell r="C6382" t="str">
            <v>masrvfc</v>
          </cell>
          <cell r="D6382">
            <v>2.9292933940887451</v>
          </cell>
          <cell r="F6382" t="str">
            <v>14 Aug 2024</v>
          </cell>
        </row>
        <row r="6383">
          <cell r="A6383" t="str">
            <v>LKA</v>
          </cell>
          <cell r="B6383">
            <v>2016</v>
          </cell>
          <cell r="C6383" t="str">
            <v>madebt_</v>
          </cell>
          <cell r="D6383">
            <v>80.656219482421875</v>
          </cell>
          <cell r="F6383" t="str">
            <v>14 Aug 2024</v>
          </cell>
        </row>
        <row r="6384">
          <cell r="A6384" t="str">
            <v>LKA</v>
          </cell>
          <cell r="B6384">
            <v>2008</v>
          </cell>
          <cell r="C6384" t="str">
            <v>mapanusatls</v>
          </cell>
          <cell r="D6384">
            <v>108.33380126953125</v>
          </cell>
          <cell r="F6384" t="str">
            <v>14 Aug 2024</v>
          </cell>
        </row>
        <row r="6385">
          <cell r="A6385" t="str">
            <v>LKA</v>
          </cell>
          <cell r="B6385">
            <v>2010</v>
          </cell>
          <cell r="C6385" t="str">
            <v>madeficit_</v>
          </cell>
          <cell r="D6385">
            <v>-6.954195499420166</v>
          </cell>
          <cell r="F6385" t="str">
            <v>14 Aug 2024</v>
          </cell>
        </row>
        <row r="6386">
          <cell r="A6386" t="str">
            <v>LKA</v>
          </cell>
          <cell r="B6386">
            <v>2016</v>
          </cell>
          <cell r="C6386" t="str">
            <v>maexpz</v>
          </cell>
          <cell r="D6386">
            <v>4.874180793762207</v>
          </cell>
          <cell r="F6386" t="str">
            <v>14 Aug 2024</v>
          </cell>
        </row>
        <row r="6387">
          <cell r="A6387" t="str">
            <v>LKA</v>
          </cell>
          <cell r="B6387">
            <v>2005</v>
          </cell>
          <cell r="C6387" t="str">
            <v>mataxfc</v>
          </cell>
          <cell r="D6387">
            <v>5.0645661354064941</v>
          </cell>
          <cell r="F6387" t="str">
            <v>14 Aug 2024</v>
          </cell>
        </row>
        <row r="6388">
          <cell r="A6388" t="str">
            <v>LKA</v>
          </cell>
          <cell r="B6388">
            <v>2015</v>
          </cell>
          <cell r="C6388" t="str">
            <v>mareer</v>
          </cell>
          <cell r="D6388">
            <v>100</v>
          </cell>
          <cell r="F6388" t="str">
            <v>14 Aug 2024</v>
          </cell>
        </row>
        <row r="6389">
          <cell r="A6389" t="str">
            <v>LKA</v>
          </cell>
          <cell r="B6389">
            <v>2014</v>
          </cell>
          <cell r="C6389" t="str">
            <v>macab_</v>
          </cell>
          <cell r="D6389">
            <v>-2.5059082508087158</v>
          </cell>
          <cell r="F6389" t="str">
            <v>14 Aug 2024</v>
          </cell>
        </row>
        <row r="6390">
          <cell r="A6390" t="str">
            <v>LKA</v>
          </cell>
          <cell r="B6390">
            <v>2021</v>
          </cell>
          <cell r="C6390" t="str">
            <v>mac_labz</v>
          </cell>
          <cell r="D6390">
            <v>1.1018586158752441</v>
          </cell>
          <cell r="F6390" t="str">
            <v>14 Aug 2024</v>
          </cell>
        </row>
        <row r="6391">
          <cell r="A6391" t="str">
            <v>LKA</v>
          </cell>
          <cell r="B6391">
            <v>2011</v>
          </cell>
          <cell r="C6391" t="str">
            <v>mar_expz</v>
          </cell>
          <cell r="D6391">
            <v>19.876127243041992</v>
          </cell>
          <cell r="F6391" t="str">
            <v>14 Aug 2024</v>
          </cell>
        </row>
        <row r="6392">
          <cell r="A6392" t="str">
            <v>LKA</v>
          </cell>
          <cell r="B6392">
            <v>2019</v>
          </cell>
          <cell r="C6392" t="str">
            <v>malabz</v>
          </cell>
          <cell r="D6392">
            <v>1.0226317644119263</v>
          </cell>
          <cell r="F6392" t="str">
            <v>14 Aug 2024</v>
          </cell>
        </row>
        <row r="6393">
          <cell r="A6393" t="str">
            <v>LKA</v>
          </cell>
          <cell r="B6393">
            <v>2010</v>
          </cell>
          <cell r="C6393" t="str">
            <v>mapanusatls</v>
          </cell>
          <cell r="D6393">
            <v>113.06449890136719</v>
          </cell>
          <cell r="F6393" t="str">
            <v>14 Aug 2024</v>
          </cell>
        </row>
        <row r="6394">
          <cell r="A6394" t="str">
            <v>LKA</v>
          </cell>
          <cell r="B6394">
            <v>2019</v>
          </cell>
          <cell r="C6394" t="str">
            <v>matfpz</v>
          </cell>
          <cell r="D6394">
            <v>1.1348510980606079</v>
          </cell>
          <cell r="F6394" t="str">
            <v>14 Aug 2024</v>
          </cell>
        </row>
        <row r="6395">
          <cell r="A6395" t="str">
            <v>LKA</v>
          </cell>
          <cell r="B6395">
            <v>2015</v>
          </cell>
          <cell r="C6395" t="str">
            <v>magovz</v>
          </cell>
          <cell r="D6395">
            <v>72.571029663085938</v>
          </cell>
          <cell r="F6395" t="str">
            <v>14 Aug 2024</v>
          </cell>
        </row>
        <row r="6396">
          <cell r="A6396" t="str">
            <v>LKA</v>
          </cell>
          <cell r="B6396">
            <v>2024</v>
          </cell>
          <cell r="C6396" t="str">
            <v>masrvfc</v>
          </cell>
          <cell r="D6396">
            <v>2.1000297069549561</v>
          </cell>
          <cell r="F6396" t="str">
            <v>14 Aug 2024</v>
          </cell>
        </row>
        <row r="6397">
          <cell r="A6397" t="str">
            <v>LKA</v>
          </cell>
          <cell r="B6397">
            <v>2024</v>
          </cell>
          <cell r="C6397" t="str">
            <v>mar_expz</v>
          </cell>
          <cell r="D6397">
            <v>20.484155654907227</v>
          </cell>
          <cell r="F6397" t="str">
            <v>14 Aug 2024</v>
          </cell>
        </row>
        <row r="6398">
          <cell r="A6398" t="str">
            <v>LKA</v>
          </cell>
          <cell r="B6398">
            <v>2006</v>
          </cell>
          <cell r="C6398" t="str">
            <v>madeficit_</v>
          </cell>
          <cell r="D6398">
            <v>-7.0013065338134766</v>
          </cell>
          <cell r="F6398" t="str">
            <v>14 Aug 2024</v>
          </cell>
        </row>
        <row r="6399">
          <cell r="A6399" t="str">
            <v>LKA</v>
          </cell>
          <cell r="B6399">
            <v>2018</v>
          </cell>
          <cell r="C6399" t="str">
            <v>mar_impz</v>
          </cell>
          <cell r="D6399">
            <v>27.848987579345703</v>
          </cell>
          <cell r="F6399" t="str">
            <v>14 Aug 2024</v>
          </cell>
        </row>
        <row r="6400">
          <cell r="A6400" t="str">
            <v>LKA</v>
          </cell>
          <cell r="B6400">
            <v>2011</v>
          </cell>
          <cell r="C6400" t="str">
            <v>maconz</v>
          </cell>
          <cell r="D6400">
            <v>9.8922300338745117</v>
          </cell>
          <cell r="F6400" t="str">
            <v>14 Aug 2024</v>
          </cell>
        </row>
        <row r="6401">
          <cell r="A6401" t="str">
            <v>LKA</v>
          </cell>
          <cell r="B6401">
            <v>2020</v>
          </cell>
          <cell r="C6401" t="str">
            <v>malabz</v>
          </cell>
          <cell r="D6401">
            <v>0.98330932855606079</v>
          </cell>
          <cell r="F6401" t="str">
            <v>14 Aug 2024</v>
          </cell>
        </row>
        <row r="6402">
          <cell r="A6402" t="str">
            <v>LKA</v>
          </cell>
          <cell r="B6402">
            <v>2015</v>
          </cell>
          <cell r="C6402" t="str">
            <v>macab_</v>
          </cell>
          <cell r="D6402">
            <v>-2.2119731903076172</v>
          </cell>
          <cell r="F6402" t="str">
            <v>14 Aug 2024</v>
          </cell>
        </row>
        <row r="6403">
          <cell r="A6403" t="str">
            <v>LKA</v>
          </cell>
          <cell r="B6403">
            <v>2017</v>
          </cell>
          <cell r="C6403" t="str">
            <v>macab_</v>
          </cell>
          <cell r="D6403">
            <v>-2.4440491199493408</v>
          </cell>
          <cell r="F6403" t="str">
            <v>14 Aug 2024</v>
          </cell>
        </row>
        <row r="6404">
          <cell r="A6404" t="str">
            <v>LKA</v>
          </cell>
          <cell r="B6404">
            <v>2015</v>
          </cell>
          <cell r="C6404" t="str">
            <v>masrvfc</v>
          </cell>
          <cell r="D6404">
            <v>35.769916534423828</v>
          </cell>
          <cell r="F6404" t="str">
            <v>14 Aug 2024</v>
          </cell>
        </row>
        <row r="6405">
          <cell r="A6405" t="str">
            <v>LKA</v>
          </cell>
          <cell r="B6405">
            <v>2006</v>
          </cell>
          <cell r="C6405" t="str">
            <v>magap_</v>
          </cell>
          <cell r="D6405">
            <v>0.94105070829391479</v>
          </cell>
          <cell r="F6405" t="str">
            <v>14 Aug 2024</v>
          </cell>
        </row>
        <row r="6406">
          <cell r="A6406" t="str">
            <v>LKA</v>
          </cell>
          <cell r="B6406">
            <v>2011</v>
          </cell>
          <cell r="C6406" t="str">
            <v>maexpz</v>
          </cell>
          <cell r="D6406">
            <v>10.19999885559082</v>
          </cell>
          <cell r="F6406" t="str">
            <v>14 Aug 2024</v>
          </cell>
        </row>
        <row r="6407">
          <cell r="A6407" t="str">
            <v>LKA</v>
          </cell>
          <cell r="B6407">
            <v>2020</v>
          </cell>
          <cell r="C6407" t="str">
            <v>mataxfc</v>
          </cell>
          <cell r="D6407">
            <v>-24.853876113891602</v>
          </cell>
          <cell r="F6407" t="str">
            <v>14 Aug 2024</v>
          </cell>
        </row>
        <row r="6408">
          <cell r="A6408" t="str">
            <v>LKA</v>
          </cell>
          <cell r="B6408">
            <v>2024</v>
          </cell>
          <cell r="C6408" t="str">
            <v>mataxfc</v>
          </cell>
          <cell r="D6408">
            <v>2.1844871044158936</v>
          </cell>
          <cell r="F6408" t="str">
            <v>14 Aug 2024</v>
          </cell>
        </row>
        <row r="6409">
          <cell r="A6409" t="str">
            <v>LKA</v>
          </cell>
          <cell r="B6409">
            <v>2019</v>
          </cell>
          <cell r="C6409" t="str">
            <v>mar_impz</v>
          </cell>
          <cell r="D6409">
            <v>26.932210922241211</v>
          </cell>
          <cell r="F6409" t="str">
            <v>14 Aug 2024</v>
          </cell>
        </row>
        <row r="6410">
          <cell r="A6410" t="str">
            <v>LKA</v>
          </cell>
          <cell r="B6410">
            <v>2012</v>
          </cell>
          <cell r="C6410" t="str">
            <v>mac_labz</v>
          </cell>
          <cell r="D6410">
            <v>0.60713022947311401</v>
          </cell>
          <cell r="F6410" t="str">
            <v>14 Aug 2024</v>
          </cell>
        </row>
        <row r="6411">
          <cell r="A6411" t="str">
            <v>LKA</v>
          </cell>
          <cell r="B6411">
            <v>2023</v>
          </cell>
          <cell r="C6411" t="str">
            <v>magap_</v>
          </cell>
          <cell r="D6411">
            <v>-13.227892875671387</v>
          </cell>
          <cell r="F6411" t="str">
            <v>14 Aug 2024</v>
          </cell>
        </row>
        <row r="6412">
          <cell r="A6412" t="str">
            <v>LKA</v>
          </cell>
          <cell r="B6412">
            <v>2020</v>
          </cell>
          <cell r="C6412" t="str">
            <v>magdpz</v>
          </cell>
          <cell r="D6412">
            <v>-4.6245417594909668</v>
          </cell>
          <cell r="F6412" t="str">
            <v>14 Aug 2024</v>
          </cell>
        </row>
        <row r="6413">
          <cell r="A6413" t="str">
            <v>LKA</v>
          </cell>
          <cell r="B6413">
            <v>2006</v>
          </cell>
          <cell r="C6413" t="str">
            <v>maagrfc</v>
          </cell>
          <cell r="D6413">
            <v>6.3245539665222168</v>
          </cell>
          <cell r="F6413" t="str">
            <v>14 Aug 2024</v>
          </cell>
        </row>
        <row r="6414">
          <cell r="A6414" t="str">
            <v>LKA</v>
          </cell>
          <cell r="B6414">
            <v>2026</v>
          </cell>
          <cell r="C6414" t="str">
            <v>mataxfc</v>
          </cell>
          <cell r="D6414">
            <v>3.0429134368896484</v>
          </cell>
          <cell r="F6414" t="str">
            <v>14 Aug 2024</v>
          </cell>
        </row>
        <row r="6415">
          <cell r="A6415" t="str">
            <v>LKA</v>
          </cell>
          <cell r="B6415">
            <v>2012</v>
          </cell>
          <cell r="C6415" t="str">
            <v>malabz</v>
          </cell>
          <cell r="D6415">
            <v>0.86732888221740723</v>
          </cell>
          <cell r="F6415" t="str">
            <v>14 Aug 2024</v>
          </cell>
        </row>
        <row r="6416">
          <cell r="A6416" t="str">
            <v>LKA</v>
          </cell>
          <cell r="B6416">
            <v>2011</v>
          </cell>
          <cell r="C6416" t="str">
            <v>mar_con</v>
          </cell>
          <cell r="D6416">
            <v>69.390182495117188</v>
          </cell>
          <cell r="F6416" t="str">
            <v>14 Aug 2024</v>
          </cell>
        </row>
        <row r="6417">
          <cell r="A6417" t="str">
            <v>LKA</v>
          </cell>
          <cell r="B6417">
            <v>2013</v>
          </cell>
          <cell r="C6417" t="str">
            <v>magdpz</v>
          </cell>
          <cell r="D6417">
            <v>3.3957288265228271</v>
          </cell>
          <cell r="F6417" t="str">
            <v>14 Aug 2024</v>
          </cell>
        </row>
        <row r="6418">
          <cell r="A6418" t="str">
            <v>LKA</v>
          </cell>
          <cell r="B6418">
            <v>2018</v>
          </cell>
          <cell r="C6418" t="str">
            <v>masrvfc</v>
          </cell>
          <cell r="D6418">
            <v>4.2824339866638184</v>
          </cell>
          <cell r="F6418" t="str">
            <v>14 Aug 2024</v>
          </cell>
        </row>
        <row r="6419">
          <cell r="A6419" t="str">
            <v>LKA</v>
          </cell>
          <cell r="B6419">
            <v>2015</v>
          </cell>
          <cell r="C6419" t="str">
            <v>mataxfc</v>
          </cell>
          <cell r="D6419">
            <v>22.559751510620117</v>
          </cell>
          <cell r="F6419" t="str">
            <v>14 Aug 2024</v>
          </cell>
        </row>
        <row r="6420">
          <cell r="A6420" t="str">
            <v>LKA</v>
          </cell>
          <cell r="B6420">
            <v>2019</v>
          </cell>
          <cell r="C6420" t="str">
            <v>mar_agrfc</v>
          </cell>
          <cell r="D6420">
            <v>7.7896223068237305</v>
          </cell>
          <cell r="F6420" t="str">
            <v>14 Aug 2024</v>
          </cell>
        </row>
        <row r="6421">
          <cell r="A6421" t="str">
            <v>LKA</v>
          </cell>
          <cell r="B6421">
            <v>2021</v>
          </cell>
          <cell r="C6421" t="str">
            <v>mar_con</v>
          </cell>
          <cell r="D6421">
            <v>60.609413146972656</v>
          </cell>
          <cell r="F6421" t="str">
            <v>14 Aug 2024</v>
          </cell>
        </row>
        <row r="6422">
          <cell r="A6422" t="str">
            <v>LKA</v>
          </cell>
          <cell r="B6422">
            <v>2010</v>
          </cell>
          <cell r="C6422" t="str">
            <v>madebt_</v>
          </cell>
          <cell r="D6422">
            <v>71.569732666015625</v>
          </cell>
          <cell r="F6422" t="str">
            <v>14 Aug 2024</v>
          </cell>
        </row>
        <row r="6423">
          <cell r="A6423" t="str">
            <v>LKA</v>
          </cell>
          <cell r="B6423">
            <v>2019</v>
          </cell>
          <cell r="C6423" t="str">
            <v>maagrfc</v>
          </cell>
          <cell r="D6423">
            <v>0.45381009578704834</v>
          </cell>
          <cell r="F6423" t="str">
            <v>14 Aug 2024</v>
          </cell>
        </row>
        <row r="6424">
          <cell r="A6424" t="str">
            <v>LKA</v>
          </cell>
          <cell r="B6424">
            <v>2020</v>
          </cell>
          <cell r="C6424" t="str">
            <v>mar_taxfc</v>
          </cell>
          <cell r="D6424">
            <v>6.4522066116333008</v>
          </cell>
          <cell r="F6424" t="str">
            <v>14 Aug 2024</v>
          </cell>
        </row>
        <row r="6425">
          <cell r="A6425" t="str">
            <v>LKA</v>
          </cell>
          <cell r="B6425">
            <v>2020</v>
          </cell>
          <cell r="C6425" t="str">
            <v>masrvfc</v>
          </cell>
          <cell r="D6425">
            <v>-1.9232679605484009</v>
          </cell>
          <cell r="F6425" t="str">
            <v>14 Aug 2024</v>
          </cell>
        </row>
        <row r="6426">
          <cell r="A6426" t="str">
            <v>LKA</v>
          </cell>
          <cell r="B6426">
            <v>2023</v>
          </cell>
          <cell r="C6426" t="str">
            <v>mar_agrfc</v>
          </cell>
          <cell r="D6426">
            <v>8.3880825042724609</v>
          </cell>
          <cell r="F6426" t="str">
            <v>14 Aug 2024</v>
          </cell>
        </row>
        <row r="6427">
          <cell r="A6427" t="str">
            <v>LKA</v>
          </cell>
          <cell r="B6427">
            <v>2009</v>
          </cell>
          <cell r="C6427" t="str">
            <v>magovz</v>
          </cell>
          <cell r="D6427">
            <v>15.999975204467773</v>
          </cell>
          <cell r="F6427" t="str">
            <v>14 Aug 2024</v>
          </cell>
        </row>
        <row r="6428">
          <cell r="A6428" t="str">
            <v>LKA</v>
          </cell>
          <cell r="B6428">
            <v>2006</v>
          </cell>
          <cell r="C6428" t="str">
            <v>mar_indfc</v>
          </cell>
          <cell r="D6428">
            <v>29.183425903320313</v>
          </cell>
          <cell r="F6428" t="str">
            <v>14 Aug 2024</v>
          </cell>
        </row>
        <row r="6429">
          <cell r="A6429" t="str">
            <v>LKA</v>
          </cell>
          <cell r="B6429">
            <v>2007</v>
          </cell>
          <cell r="C6429" t="str">
            <v>mataxfc</v>
          </cell>
          <cell r="D6429">
            <v>5.9346780776977539</v>
          </cell>
          <cell r="F6429" t="str">
            <v>14 Aug 2024</v>
          </cell>
        </row>
        <row r="6430">
          <cell r="A6430" t="str">
            <v>LKA</v>
          </cell>
          <cell r="B6430">
            <v>2005</v>
          </cell>
          <cell r="C6430" t="str">
            <v>macab_</v>
          </cell>
          <cell r="D6430">
            <v>-2.6640713214874268</v>
          </cell>
          <cell r="F6430" t="str">
            <v>14 Aug 2024</v>
          </cell>
        </row>
        <row r="6431">
          <cell r="A6431" t="str">
            <v>LKA</v>
          </cell>
          <cell r="B6431">
            <v>2006</v>
          </cell>
          <cell r="C6431" t="str">
            <v>maexpz</v>
          </cell>
          <cell r="D6431">
            <v>3.8404617309570313</v>
          </cell>
          <cell r="F6431" t="str">
            <v>14 Aug 2024</v>
          </cell>
        </row>
        <row r="6432">
          <cell r="A6432" t="str">
            <v>LKA</v>
          </cell>
          <cell r="B6432">
            <v>2013</v>
          </cell>
          <cell r="C6432" t="str">
            <v>mareer</v>
          </cell>
          <cell r="D6432">
            <v>117.02773284912109</v>
          </cell>
          <cell r="F6432" t="str">
            <v>14 Aug 2024</v>
          </cell>
        </row>
        <row r="6433">
          <cell r="A6433" t="str">
            <v>LKA</v>
          </cell>
          <cell r="B6433">
            <v>2012</v>
          </cell>
          <cell r="C6433" t="str">
            <v>mataxfc</v>
          </cell>
          <cell r="D6433">
            <v>2.3397235870361328</v>
          </cell>
          <cell r="F6433" t="str">
            <v>14 Aug 2024</v>
          </cell>
        </row>
        <row r="6434">
          <cell r="A6434" t="str">
            <v>LKA</v>
          </cell>
          <cell r="B6434">
            <v>2009</v>
          </cell>
          <cell r="C6434" t="str">
            <v>macab_</v>
          </cell>
          <cell r="D6434">
            <v>-0.51038581132888794</v>
          </cell>
          <cell r="F6434" t="str">
            <v>14 Aug 2024</v>
          </cell>
        </row>
        <row r="6435">
          <cell r="A6435" t="str">
            <v>LKA</v>
          </cell>
          <cell r="B6435">
            <v>2022</v>
          </cell>
          <cell r="C6435" t="str">
            <v>maimpz</v>
          </cell>
          <cell r="D6435">
            <v>-19.875038146972656</v>
          </cell>
          <cell r="F6435" t="str">
            <v>14 Aug 2024</v>
          </cell>
        </row>
        <row r="6436">
          <cell r="A6436" t="str">
            <v>LKA</v>
          </cell>
          <cell r="B6436">
            <v>2020</v>
          </cell>
          <cell r="C6436" t="str">
            <v>madeficit_</v>
          </cell>
          <cell r="D6436">
            <v>-10.658698081970215</v>
          </cell>
          <cell r="F6436" t="str">
            <v>14 Aug 2024</v>
          </cell>
        </row>
        <row r="6437">
          <cell r="A6437" t="str">
            <v>LKA</v>
          </cell>
          <cell r="B6437">
            <v>2026</v>
          </cell>
          <cell r="C6437" t="str">
            <v>madebt_</v>
          </cell>
          <cell r="D6437">
            <v>110.38621520996094</v>
          </cell>
          <cell r="F6437" t="str">
            <v>14 Aug 2024</v>
          </cell>
        </row>
        <row r="6438">
          <cell r="A6438" t="str">
            <v>LKA</v>
          </cell>
          <cell r="B6438">
            <v>2022</v>
          </cell>
          <cell r="C6438" t="str">
            <v>mac_labz</v>
          </cell>
          <cell r="D6438">
            <v>0.4411681592464447</v>
          </cell>
          <cell r="F6438" t="str">
            <v>14 Aug 2024</v>
          </cell>
        </row>
        <row r="6439">
          <cell r="A6439" t="str">
            <v>LKA</v>
          </cell>
          <cell r="B6439">
            <v>2020</v>
          </cell>
          <cell r="C6439" t="str">
            <v>mareer</v>
          </cell>
          <cell r="D6439">
            <v>93.362678527832031</v>
          </cell>
          <cell r="F6439" t="str">
            <v>14 Aug 2024</v>
          </cell>
        </row>
        <row r="6440">
          <cell r="A6440" t="str">
            <v>LKA</v>
          </cell>
          <cell r="B6440">
            <v>2019</v>
          </cell>
          <cell r="C6440" t="str">
            <v>mar_expz</v>
          </cell>
          <cell r="D6440">
            <v>21.083652496337891</v>
          </cell>
          <cell r="F6440" t="str">
            <v>14 Aug 2024</v>
          </cell>
        </row>
        <row r="6441">
          <cell r="A6441" t="str">
            <v>LKA</v>
          </cell>
          <cell r="B6441">
            <v>2018</v>
          </cell>
          <cell r="C6441" t="str">
            <v>mar_taxfc</v>
          </cell>
          <cell r="D6441">
            <v>8.9711036682128906</v>
          </cell>
          <cell r="F6441" t="str">
            <v>14 Aug 2024</v>
          </cell>
        </row>
        <row r="6442">
          <cell r="A6442" t="str">
            <v>LKA</v>
          </cell>
          <cell r="B6442">
            <v>2007</v>
          </cell>
          <cell r="C6442" t="str">
            <v>madebt_</v>
          </cell>
          <cell r="D6442">
            <v>84.997207641601563</v>
          </cell>
          <cell r="F6442" t="str">
            <v>14 Aug 2024</v>
          </cell>
        </row>
        <row r="6443">
          <cell r="A6443" t="str">
            <v>LKA</v>
          </cell>
          <cell r="B6443">
            <v>2017</v>
          </cell>
          <cell r="C6443" t="str">
            <v>mar_agrfc</v>
          </cell>
          <cell r="D6443">
            <v>7.5112972259521484</v>
          </cell>
          <cell r="F6443" t="str">
            <v>14 Aug 2024</v>
          </cell>
        </row>
        <row r="6444">
          <cell r="A6444" t="str">
            <v>LKA</v>
          </cell>
          <cell r="B6444">
            <v>2006</v>
          </cell>
          <cell r="C6444" t="str">
            <v>madebt_</v>
          </cell>
          <cell r="D6444">
            <v>87.884658813476563</v>
          </cell>
          <cell r="F6444" t="str">
            <v>14 Aug 2024</v>
          </cell>
        </row>
        <row r="6445">
          <cell r="A6445" t="str">
            <v>LKA</v>
          </cell>
          <cell r="B6445">
            <v>2017</v>
          </cell>
          <cell r="C6445" t="str">
            <v>mareer</v>
          </cell>
          <cell r="D6445">
            <v>99.607719421386719</v>
          </cell>
          <cell r="F6445" t="str">
            <v>14 Aug 2024</v>
          </cell>
        </row>
        <row r="6446">
          <cell r="A6446" t="str">
            <v>LKA</v>
          </cell>
          <cell r="B6446">
            <v>2024</v>
          </cell>
          <cell r="C6446" t="str">
            <v>mar_taxfc</v>
          </cell>
          <cell r="D6446">
            <v>6.6795539855957031</v>
          </cell>
          <cell r="F6446" t="str">
            <v>14 Aug 2024</v>
          </cell>
        </row>
        <row r="6447">
          <cell r="A6447" t="str">
            <v>LKA</v>
          </cell>
          <cell r="B6447">
            <v>2019</v>
          </cell>
          <cell r="C6447" t="str">
            <v>mainvz</v>
          </cell>
          <cell r="D6447">
            <v>-12.118195533752441</v>
          </cell>
          <cell r="F6447" t="str">
            <v>14 Aug 2024</v>
          </cell>
        </row>
        <row r="6448">
          <cell r="A6448" t="str">
            <v>LKA</v>
          </cell>
          <cell r="B6448">
            <v>2007</v>
          </cell>
          <cell r="C6448" t="str">
            <v>magap_</v>
          </cell>
          <cell r="D6448">
            <v>0.80753940343856812</v>
          </cell>
          <cell r="F6448" t="str">
            <v>14 Aug 2024</v>
          </cell>
        </row>
        <row r="6449">
          <cell r="A6449" t="str">
            <v>LKA</v>
          </cell>
          <cell r="B6449">
            <v>2026</v>
          </cell>
          <cell r="C6449" t="str">
            <v>mar_indfc</v>
          </cell>
          <cell r="D6449">
            <v>27.095693588256836</v>
          </cell>
          <cell r="F6449" t="str">
            <v>14 Aug 2024</v>
          </cell>
        </row>
        <row r="6450">
          <cell r="A6450" t="str">
            <v>LKA</v>
          </cell>
          <cell r="B6450">
            <v>2020</v>
          </cell>
          <cell r="C6450" t="str">
            <v>madebt_</v>
          </cell>
          <cell r="D6450">
            <v>104.99114227294922</v>
          </cell>
          <cell r="F6450" t="str">
            <v>14 Aug 2024</v>
          </cell>
        </row>
        <row r="6451">
          <cell r="A6451" t="str">
            <v>LKA</v>
          </cell>
          <cell r="B6451">
            <v>2026</v>
          </cell>
          <cell r="C6451" t="str">
            <v>mar_taxfc</v>
          </cell>
          <cell r="D6451">
            <v>6.6795558929443359</v>
          </cell>
          <cell r="F6451" t="str">
            <v>14 Aug 2024</v>
          </cell>
        </row>
        <row r="6452">
          <cell r="A6452" t="str">
            <v>LKA</v>
          </cell>
          <cell r="B6452">
            <v>2008</v>
          </cell>
          <cell r="C6452" t="str">
            <v>macab_</v>
          </cell>
          <cell r="D6452">
            <v>-9.5431985855102539</v>
          </cell>
          <cell r="F6452" t="str">
            <v>14 Aug 2024</v>
          </cell>
        </row>
        <row r="6453">
          <cell r="A6453" t="str">
            <v>LKA</v>
          </cell>
          <cell r="B6453">
            <v>2018</v>
          </cell>
          <cell r="C6453" t="str">
            <v>mapanusatls</v>
          </cell>
          <cell r="D6453">
            <v>162.48109436035156</v>
          </cell>
          <cell r="F6453" t="str">
            <v>14 Aug 2024</v>
          </cell>
        </row>
        <row r="6454">
          <cell r="A6454" t="str">
            <v>LKA</v>
          </cell>
          <cell r="B6454">
            <v>2010</v>
          </cell>
          <cell r="C6454" t="str">
            <v>maindfc</v>
          </cell>
          <cell r="D6454">
            <v>8.4442024230957031</v>
          </cell>
          <cell r="F6454" t="str">
            <v>14 Aug 2024</v>
          </cell>
        </row>
        <row r="6455">
          <cell r="A6455" t="str">
            <v>LKA</v>
          </cell>
          <cell r="B6455">
            <v>2013</v>
          </cell>
          <cell r="C6455" t="str">
            <v>mar_expz</v>
          </cell>
          <cell r="D6455">
            <v>18.747503280639648</v>
          </cell>
          <cell r="F6455" t="str">
            <v>14 Aug 2024</v>
          </cell>
        </row>
        <row r="6456">
          <cell r="A6456" t="str">
            <v>LKA</v>
          </cell>
          <cell r="B6456">
            <v>2019</v>
          </cell>
          <cell r="C6456" t="str">
            <v>maexpz</v>
          </cell>
          <cell r="D6456">
            <v>1.7041603326797485</v>
          </cell>
          <cell r="F6456" t="str">
            <v>14 Aug 2024</v>
          </cell>
        </row>
        <row r="6457">
          <cell r="A6457" t="str">
            <v>LKA</v>
          </cell>
          <cell r="B6457">
            <v>2008</v>
          </cell>
          <cell r="C6457" t="str">
            <v>matfpz</v>
          </cell>
          <cell r="D6457">
            <v>2.3635854721069336</v>
          </cell>
          <cell r="F6457" t="str">
            <v>14 Aug 2024</v>
          </cell>
        </row>
        <row r="6458">
          <cell r="A6458" t="str">
            <v>LKA</v>
          </cell>
          <cell r="B6458">
            <v>2026</v>
          </cell>
          <cell r="C6458" t="str">
            <v>mac_labz</v>
          </cell>
          <cell r="D6458">
            <v>0.43859568238258362</v>
          </cell>
          <cell r="F6458" t="str">
            <v>14 Aug 2024</v>
          </cell>
        </row>
        <row r="6459">
          <cell r="A6459" t="str">
            <v>LKA</v>
          </cell>
          <cell r="B6459">
            <v>2024</v>
          </cell>
          <cell r="C6459" t="str">
            <v>mainvz</v>
          </cell>
          <cell r="D6459">
            <v>3.3004896640777588</v>
          </cell>
          <cell r="F6459" t="str">
            <v>14 Aug 2024</v>
          </cell>
        </row>
        <row r="6460">
          <cell r="A6460" t="str">
            <v>LKA</v>
          </cell>
          <cell r="B6460">
            <v>2008</v>
          </cell>
          <cell r="C6460" t="str">
            <v>magovz</v>
          </cell>
          <cell r="D6460">
            <v>9.7770147323608398</v>
          </cell>
          <cell r="F6460" t="str">
            <v>14 Aug 2024</v>
          </cell>
        </row>
        <row r="6461">
          <cell r="A6461" t="str">
            <v>LKA</v>
          </cell>
          <cell r="B6461">
            <v>2020</v>
          </cell>
          <cell r="C6461" t="str">
            <v>mafdi_</v>
          </cell>
          <cell r="D6461">
            <v>-0.49800992012023926</v>
          </cell>
          <cell r="F6461" t="str">
            <v>14 Aug 2024</v>
          </cell>
        </row>
        <row r="6462">
          <cell r="A6462" t="str">
            <v>LKA</v>
          </cell>
          <cell r="B6462">
            <v>2005</v>
          </cell>
          <cell r="C6462" t="str">
            <v>mapanusatls</v>
          </cell>
          <cell r="D6462">
            <v>100.49810028076172</v>
          </cell>
          <cell r="F6462" t="str">
            <v>14 Aug 2024</v>
          </cell>
        </row>
        <row r="6463">
          <cell r="A6463" t="str">
            <v>LKA</v>
          </cell>
          <cell r="B6463">
            <v>2013</v>
          </cell>
          <cell r="C6463" t="str">
            <v>mar_agrfc</v>
          </cell>
          <cell r="D6463">
            <v>8.5712127685546875</v>
          </cell>
          <cell r="F6463" t="str">
            <v>14 Aug 2024</v>
          </cell>
        </row>
        <row r="6464">
          <cell r="A6464" t="str">
            <v>LKA</v>
          </cell>
          <cell r="B6464">
            <v>2024</v>
          </cell>
          <cell r="C6464" t="str">
            <v>macab_</v>
          </cell>
          <cell r="D6464">
            <v>0.69516670703887939</v>
          </cell>
          <cell r="F6464" t="str">
            <v>14 Aug 2024</v>
          </cell>
        </row>
        <row r="6465">
          <cell r="A6465" t="str">
            <v>LKA</v>
          </cell>
          <cell r="B6465">
            <v>2016</v>
          </cell>
          <cell r="C6465" t="str">
            <v>masrvfc</v>
          </cell>
          <cell r="D6465">
            <v>4.7420539855957031</v>
          </cell>
          <cell r="F6465" t="str">
            <v>14 Aug 2024</v>
          </cell>
        </row>
        <row r="6466">
          <cell r="A6466" t="str">
            <v>LKA</v>
          </cell>
          <cell r="B6466">
            <v>2013</v>
          </cell>
          <cell r="C6466" t="str">
            <v>mar_indfc</v>
          </cell>
          <cell r="D6466">
            <v>29.693958282470703</v>
          </cell>
          <cell r="F6466" t="str">
            <v>14 Aug 2024</v>
          </cell>
        </row>
        <row r="6467">
          <cell r="A6467" t="str">
            <v>LKA</v>
          </cell>
          <cell r="B6467">
            <v>2014</v>
          </cell>
          <cell r="C6467" t="str">
            <v>madeficit_</v>
          </cell>
          <cell r="D6467">
            <v>-5.7063536643981934</v>
          </cell>
          <cell r="F6467" t="str">
            <v>14 Aug 2024</v>
          </cell>
        </row>
        <row r="6468">
          <cell r="A6468" t="str">
            <v>LKA</v>
          </cell>
          <cell r="B6468">
            <v>2013</v>
          </cell>
          <cell r="C6468" t="str">
            <v>macab_</v>
          </cell>
          <cell r="D6468">
            <v>-3.4186956882476807</v>
          </cell>
          <cell r="F6468" t="str">
            <v>14 Aug 2024</v>
          </cell>
        </row>
        <row r="6469">
          <cell r="A6469" t="str">
            <v>LKA</v>
          </cell>
          <cell r="B6469">
            <v>2020</v>
          </cell>
          <cell r="C6469" t="str">
            <v>mar_srvfc</v>
          </cell>
          <cell r="D6469">
            <v>60.568225860595703</v>
          </cell>
          <cell r="F6469" t="str">
            <v>14 Aug 2024</v>
          </cell>
        </row>
        <row r="6470">
          <cell r="A6470" t="str">
            <v>LKA</v>
          </cell>
          <cell r="B6470">
            <v>2012</v>
          </cell>
          <cell r="C6470" t="str">
            <v>mar_srvfc</v>
          </cell>
          <cell r="D6470">
            <v>61.765590667724609</v>
          </cell>
          <cell r="F6470" t="str">
            <v>14 Aug 2024</v>
          </cell>
        </row>
        <row r="6471">
          <cell r="A6471" t="str">
            <v>LKA</v>
          </cell>
          <cell r="B6471">
            <v>2012</v>
          </cell>
          <cell r="C6471" t="str">
            <v>matfpz</v>
          </cell>
          <cell r="D6471">
            <v>3.1447134017944336</v>
          </cell>
          <cell r="F6471" t="str">
            <v>14 Aug 2024</v>
          </cell>
        </row>
        <row r="6472">
          <cell r="A6472" t="str">
            <v>LKA</v>
          </cell>
          <cell r="B6472">
            <v>2025</v>
          </cell>
          <cell r="C6472" t="str">
            <v>maconz</v>
          </cell>
          <cell r="D6472">
            <v>2.5999999046325684</v>
          </cell>
          <cell r="F6472" t="str">
            <v>14 Aug 2024</v>
          </cell>
        </row>
        <row r="6473">
          <cell r="A6473" t="str">
            <v>LKA</v>
          </cell>
          <cell r="B6473">
            <v>2008</v>
          </cell>
          <cell r="C6473" t="str">
            <v>madebt_</v>
          </cell>
          <cell r="D6473">
            <v>81.3697509765625</v>
          </cell>
          <cell r="F6473" t="str">
            <v>14 Aug 2024</v>
          </cell>
        </row>
        <row r="6474">
          <cell r="A6474" t="str">
            <v>LKA</v>
          </cell>
          <cell r="B6474">
            <v>2025</v>
          </cell>
          <cell r="C6474" t="str">
            <v>madebt_</v>
          </cell>
          <cell r="D6474">
            <v>108.10977172851563</v>
          </cell>
          <cell r="F6474" t="str">
            <v>14 Aug 2024</v>
          </cell>
        </row>
        <row r="6475">
          <cell r="A6475" t="str">
            <v>LKA</v>
          </cell>
          <cell r="B6475">
            <v>2021</v>
          </cell>
          <cell r="C6475" t="str">
            <v>madeficit_</v>
          </cell>
          <cell r="D6475">
            <v>-11.684552192687988</v>
          </cell>
          <cell r="F6475" t="str">
            <v>14 Aug 2024</v>
          </cell>
        </row>
        <row r="6476">
          <cell r="A6476" t="str">
            <v>LKA</v>
          </cell>
          <cell r="B6476">
            <v>2018</v>
          </cell>
          <cell r="C6476" t="str">
            <v>mar_srvfc</v>
          </cell>
          <cell r="D6476">
            <v>58.448665618896484</v>
          </cell>
          <cell r="F6476" t="str">
            <v>14 Aug 2024</v>
          </cell>
        </row>
        <row r="6477">
          <cell r="A6477" t="str">
            <v>LKA</v>
          </cell>
          <cell r="B6477">
            <v>2013</v>
          </cell>
          <cell r="C6477" t="str">
            <v>magovz</v>
          </cell>
          <cell r="D6477">
            <v>9.3609444797039032E-2</v>
          </cell>
          <cell r="F6477" t="str">
            <v>14 Aug 2024</v>
          </cell>
        </row>
        <row r="6478">
          <cell r="A6478" t="str">
            <v>LKA</v>
          </cell>
          <cell r="B6478">
            <v>2014</v>
          </cell>
          <cell r="C6478" t="str">
            <v>mac_labz</v>
          </cell>
          <cell r="D6478">
            <v>0.46008574962615967</v>
          </cell>
          <cell r="F6478" t="str">
            <v>14 Aug 2024</v>
          </cell>
        </row>
        <row r="6479">
          <cell r="A6479" t="str">
            <v>LKA</v>
          </cell>
          <cell r="B6479">
            <v>2014</v>
          </cell>
          <cell r="C6479" t="str">
            <v>mac_tfpz</v>
          </cell>
          <cell r="D6479">
            <v>3.0818252563476563</v>
          </cell>
          <cell r="F6479" t="str">
            <v>14 Aug 2024</v>
          </cell>
        </row>
        <row r="6480">
          <cell r="A6480" t="str">
            <v>LKA</v>
          </cell>
          <cell r="B6480">
            <v>2021</v>
          </cell>
          <cell r="C6480" t="str">
            <v>magdpz</v>
          </cell>
          <cell r="D6480">
            <v>4.2075634002685547</v>
          </cell>
          <cell r="F6480" t="str">
            <v>14 Aug 2024</v>
          </cell>
        </row>
        <row r="6481">
          <cell r="A6481" t="str">
            <v>LKA</v>
          </cell>
          <cell r="B6481">
            <v>2010</v>
          </cell>
          <cell r="C6481" t="str">
            <v>malabz</v>
          </cell>
          <cell r="D6481">
            <v>1.0138782262802124</v>
          </cell>
          <cell r="F6481" t="str">
            <v>14 Aug 2024</v>
          </cell>
        </row>
        <row r="6482">
          <cell r="A6482" t="str">
            <v>LKA</v>
          </cell>
          <cell r="B6482">
            <v>2016</v>
          </cell>
          <cell r="C6482" t="str">
            <v>mac_tfpz</v>
          </cell>
          <cell r="D6482">
            <v>2.3624446392059326</v>
          </cell>
          <cell r="F6482" t="str">
            <v>14 Aug 2024</v>
          </cell>
        </row>
        <row r="6483">
          <cell r="A6483" t="str">
            <v>LKA</v>
          </cell>
          <cell r="B6483">
            <v>2022</v>
          </cell>
          <cell r="C6483" t="str">
            <v>mainvz</v>
          </cell>
          <cell r="D6483">
            <v>-22.788511276245117</v>
          </cell>
          <cell r="F6483" t="str">
            <v>14 Aug 2024</v>
          </cell>
        </row>
        <row r="6484">
          <cell r="A6484" t="str">
            <v>LKA</v>
          </cell>
          <cell r="B6484">
            <v>2008</v>
          </cell>
          <cell r="C6484" t="str">
            <v>mar_srvfc</v>
          </cell>
          <cell r="D6484">
            <v>61.028228759765625</v>
          </cell>
          <cell r="F6484" t="str">
            <v>14 Aug 2024</v>
          </cell>
        </row>
        <row r="6485">
          <cell r="A6485" t="str">
            <v>LKA</v>
          </cell>
          <cell r="B6485">
            <v>2014</v>
          </cell>
          <cell r="C6485" t="str">
            <v>maexpz</v>
          </cell>
          <cell r="D6485">
            <v>4.2625746726989746</v>
          </cell>
          <cell r="F6485" t="str">
            <v>14 Aug 2024</v>
          </cell>
        </row>
        <row r="6486">
          <cell r="A6486" t="str">
            <v>LKA</v>
          </cell>
          <cell r="B6486">
            <v>2025</v>
          </cell>
          <cell r="C6486" t="str">
            <v>mar_expz</v>
          </cell>
          <cell r="D6486">
            <v>20.522045135498047</v>
          </cell>
          <cell r="F6486" t="str">
            <v>14 Aug 2024</v>
          </cell>
        </row>
        <row r="6487">
          <cell r="A6487" t="str">
            <v>LKA</v>
          </cell>
          <cell r="B6487">
            <v>2011</v>
          </cell>
          <cell r="C6487" t="str">
            <v>mareer</v>
          </cell>
          <cell r="D6487">
            <v>119.83985900878906</v>
          </cell>
          <cell r="F6487" t="str">
            <v>14 Aug 2024</v>
          </cell>
        </row>
        <row r="6488">
          <cell r="A6488" t="str">
            <v>LKA</v>
          </cell>
          <cell r="B6488">
            <v>2008</v>
          </cell>
          <cell r="C6488" t="str">
            <v>mataxfc</v>
          </cell>
          <cell r="D6488">
            <v>6.3355627059936523</v>
          </cell>
          <cell r="F6488" t="str">
            <v>14 Aug 2024</v>
          </cell>
        </row>
        <row r="6489">
          <cell r="A6489" t="str">
            <v>LKA</v>
          </cell>
          <cell r="B6489">
            <v>2016</v>
          </cell>
          <cell r="C6489" t="str">
            <v>mar_taxfc</v>
          </cell>
          <cell r="D6489">
            <v>9.0401420593261719</v>
          </cell>
          <cell r="F6489" t="str">
            <v>14 Aug 2024</v>
          </cell>
        </row>
        <row r="6490">
          <cell r="A6490" t="str">
            <v>LKA</v>
          </cell>
          <cell r="B6490">
            <v>2011</v>
          </cell>
          <cell r="C6490" t="str">
            <v>mainvz</v>
          </cell>
          <cell r="D6490">
            <v>21.626474380493164</v>
          </cell>
          <cell r="F6490" t="str">
            <v>14 Aug 2024</v>
          </cell>
        </row>
        <row r="6491">
          <cell r="A6491" t="str">
            <v>LKA</v>
          </cell>
          <cell r="B6491">
            <v>2022</v>
          </cell>
          <cell r="C6491" t="str">
            <v>mapanusatls</v>
          </cell>
          <cell r="D6491">
            <v>324.55059814453125</v>
          </cell>
          <cell r="F6491" t="str">
            <v>14 Aug 2024</v>
          </cell>
        </row>
        <row r="6492">
          <cell r="A6492" t="str">
            <v>LKA</v>
          </cell>
          <cell r="B6492">
            <v>2012</v>
          </cell>
          <cell r="C6492" t="str">
            <v>maexpz</v>
          </cell>
          <cell r="D6492">
            <v>-0.18148800730705261</v>
          </cell>
          <cell r="F6492" t="str">
            <v>14 Aug 2024</v>
          </cell>
        </row>
        <row r="6493">
          <cell r="A6493" t="str">
            <v>LKA</v>
          </cell>
          <cell r="B6493">
            <v>2011</v>
          </cell>
          <cell r="C6493" t="str">
            <v>magdpz</v>
          </cell>
          <cell r="D6493">
            <v>8.4047327041625977</v>
          </cell>
          <cell r="F6493" t="str">
            <v>14 Aug 2024</v>
          </cell>
        </row>
        <row r="6494">
          <cell r="A6494" t="str">
            <v>LKA</v>
          </cell>
          <cell r="B6494">
            <v>2011</v>
          </cell>
          <cell r="C6494" t="str">
            <v>macpiz</v>
          </cell>
          <cell r="D6494">
            <v>6.7168002128601074</v>
          </cell>
          <cell r="F6494" t="str">
            <v>14 Aug 2024</v>
          </cell>
        </row>
        <row r="6495">
          <cell r="A6495" t="str">
            <v>LKA</v>
          </cell>
          <cell r="B6495">
            <v>2016</v>
          </cell>
          <cell r="C6495" t="str">
            <v>magap_</v>
          </cell>
          <cell r="D6495">
            <v>12.720316886901855</v>
          </cell>
          <cell r="F6495" t="str">
            <v>14 Aug 2024</v>
          </cell>
        </row>
        <row r="6496">
          <cell r="A6496" t="str">
            <v>LKA</v>
          </cell>
          <cell r="B6496">
            <v>2024</v>
          </cell>
          <cell r="C6496" t="str">
            <v>macpiz</v>
          </cell>
          <cell r="D6496">
            <v>7.8477001190185547</v>
          </cell>
          <cell r="F6496" t="str">
            <v>14 Aug 2024</v>
          </cell>
        </row>
        <row r="6497">
          <cell r="A6497" t="str">
            <v>LKA</v>
          </cell>
          <cell r="B6497">
            <v>2011</v>
          </cell>
          <cell r="C6497" t="str">
            <v>mac_tfpz</v>
          </cell>
          <cell r="D6497">
            <v>3.0311622619628906</v>
          </cell>
          <cell r="F6497" t="str">
            <v>14 Aug 2024</v>
          </cell>
        </row>
        <row r="6498">
          <cell r="A6498" t="str">
            <v>LKA</v>
          </cell>
          <cell r="B6498">
            <v>2005</v>
          </cell>
          <cell r="C6498" t="str">
            <v>mar_indfc</v>
          </cell>
          <cell r="D6498">
            <v>29.073064804077148</v>
          </cell>
          <cell r="F6498" t="str">
            <v>14 Aug 2024</v>
          </cell>
        </row>
        <row r="6499">
          <cell r="A6499" t="str">
            <v>LKA</v>
          </cell>
          <cell r="B6499">
            <v>2025</v>
          </cell>
          <cell r="C6499" t="str">
            <v>magovz</v>
          </cell>
          <cell r="D6499">
            <v>0.157634437084198</v>
          </cell>
          <cell r="F6499" t="str">
            <v>14 Aug 2024</v>
          </cell>
        </row>
        <row r="6500">
          <cell r="A6500" t="str">
            <v>LKA</v>
          </cell>
          <cell r="B6500">
            <v>2011</v>
          </cell>
          <cell r="C6500" t="str">
            <v>maagrfc</v>
          </cell>
          <cell r="D6500">
            <v>4.5951628684997559</v>
          </cell>
          <cell r="F6500" t="str">
            <v>14 Aug 2024</v>
          </cell>
        </row>
        <row r="6501">
          <cell r="A6501" t="str">
            <v>LKA</v>
          </cell>
          <cell r="B6501">
            <v>2022</v>
          </cell>
          <cell r="C6501" t="str">
            <v>mar_srvfc</v>
          </cell>
          <cell r="D6501">
            <v>63.109283447265625</v>
          </cell>
          <cell r="F6501" t="str">
            <v>14 Aug 2024</v>
          </cell>
        </row>
        <row r="6502">
          <cell r="A6502" t="str">
            <v>LKA</v>
          </cell>
          <cell r="B6502">
            <v>2010</v>
          </cell>
          <cell r="C6502" t="str">
            <v>mar_srvfc</v>
          </cell>
          <cell r="D6502">
            <v>60.858966827392578</v>
          </cell>
          <cell r="F6502" t="str">
            <v>14 Aug 2024</v>
          </cell>
        </row>
        <row r="6503">
          <cell r="A6503" t="str">
            <v>LKA</v>
          </cell>
          <cell r="B6503">
            <v>2010</v>
          </cell>
          <cell r="C6503" t="str">
            <v>mar_impz</v>
          </cell>
          <cell r="D6503">
            <v>26.811567306518555</v>
          </cell>
          <cell r="F6503" t="str">
            <v>14 Aug 2024</v>
          </cell>
        </row>
        <row r="6504">
          <cell r="A6504" t="str">
            <v>LKA</v>
          </cell>
          <cell r="B6504">
            <v>2014</v>
          </cell>
          <cell r="C6504" t="str">
            <v>matfpz</v>
          </cell>
          <cell r="D6504">
            <v>3.0818252563476563</v>
          </cell>
          <cell r="F6504" t="str">
            <v>14 Aug 2024</v>
          </cell>
        </row>
        <row r="6505">
          <cell r="A6505" t="str">
            <v>LKA</v>
          </cell>
          <cell r="B6505">
            <v>2024</v>
          </cell>
          <cell r="C6505" t="str">
            <v>maexpz</v>
          </cell>
          <cell r="D6505">
            <v>2.5792012214660645</v>
          </cell>
          <cell r="F6505" t="str">
            <v>14 Aug 2024</v>
          </cell>
        </row>
        <row r="6506">
          <cell r="A6506" t="str">
            <v>LKA</v>
          </cell>
          <cell r="B6506">
            <v>2005</v>
          </cell>
          <cell r="C6506" t="str">
            <v>maimpz</v>
          </cell>
          <cell r="D6506">
            <v>2.688157320022583</v>
          </cell>
          <cell r="F6506" t="str">
            <v>14 Aug 2024</v>
          </cell>
        </row>
        <row r="6507">
          <cell r="A6507" t="str">
            <v>LKA</v>
          </cell>
          <cell r="B6507">
            <v>2005</v>
          </cell>
          <cell r="C6507" t="str">
            <v>maindfc</v>
          </cell>
          <cell r="D6507">
            <v>7.9863529205322266</v>
          </cell>
          <cell r="F6507" t="str">
            <v>14 Aug 2024</v>
          </cell>
        </row>
        <row r="6508">
          <cell r="A6508" t="str">
            <v>LKA</v>
          </cell>
          <cell r="B6508">
            <v>2025</v>
          </cell>
          <cell r="C6508" t="str">
            <v>mar_taxfc</v>
          </cell>
          <cell r="D6508">
            <v>6.6795563697814941</v>
          </cell>
          <cell r="F6508" t="str">
            <v>14 Aug 2024</v>
          </cell>
        </row>
        <row r="6509">
          <cell r="A6509" t="str">
            <v>LKA</v>
          </cell>
          <cell r="B6509">
            <v>2010</v>
          </cell>
          <cell r="C6509" t="str">
            <v>mainvz</v>
          </cell>
          <cell r="D6509">
            <v>9.1671257019042969</v>
          </cell>
          <cell r="F6509" t="str">
            <v>14 Aug 2024</v>
          </cell>
        </row>
        <row r="6510">
          <cell r="A6510" t="str">
            <v>LKA</v>
          </cell>
          <cell r="B6510">
            <v>2007</v>
          </cell>
          <cell r="C6510" t="str">
            <v>maindfc</v>
          </cell>
          <cell r="D6510">
            <v>7.6064968109130859</v>
          </cell>
          <cell r="F6510" t="str">
            <v>14 Aug 2024</v>
          </cell>
        </row>
        <row r="6511">
          <cell r="A6511" t="str">
            <v>LKA</v>
          </cell>
          <cell r="B6511">
            <v>2010</v>
          </cell>
          <cell r="C6511" t="str">
            <v>macab_</v>
          </cell>
          <cell r="D6511">
            <v>-1.8952593803405762</v>
          </cell>
          <cell r="F6511" t="str">
            <v>14 Aug 2024</v>
          </cell>
        </row>
        <row r="6512">
          <cell r="A6512" t="str">
            <v>LKA</v>
          </cell>
          <cell r="B6512">
            <v>2024</v>
          </cell>
          <cell r="C6512" t="str">
            <v>mapanusatls</v>
          </cell>
          <cell r="D6512">
            <v>322.70001220703125</v>
          </cell>
          <cell r="F6512" t="str">
            <v>14 Aug 2024</v>
          </cell>
        </row>
        <row r="6513">
          <cell r="A6513" t="str">
            <v>LKA</v>
          </cell>
          <cell r="B6513">
            <v>2010</v>
          </cell>
          <cell r="C6513" t="str">
            <v>mac_tfpz</v>
          </cell>
          <cell r="D6513">
            <v>2.8417344093322754</v>
          </cell>
          <cell r="F6513" t="str">
            <v>14 Aug 2024</v>
          </cell>
        </row>
        <row r="6514">
          <cell r="A6514" t="str">
            <v>LKA</v>
          </cell>
          <cell r="B6514">
            <v>2010</v>
          </cell>
          <cell r="C6514" t="str">
            <v>maagrfc</v>
          </cell>
          <cell r="D6514">
            <v>6.9512777328491211</v>
          </cell>
          <cell r="F6514" t="str">
            <v>14 Aug 2024</v>
          </cell>
        </row>
        <row r="6515">
          <cell r="A6515" t="str">
            <v>LKA</v>
          </cell>
          <cell r="B6515">
            <v>2009</v>
          </cell>
          <cell r="C6515" t="str">
            <v>matfpz</v>
          </cell>
          <cell r="D6515">
            <v>2.6055114269256592</v>
          </cell>
          <cell r="F6515" t="str">
            <v>14 Aug 2024</v>
          </cell>
        </row>
        <row r="6516">
          <cell r="A6516" t="str">
            <v>LKA</v>
          </cell>
          <cell r="B6516">
            <v>2019</v>
          </cell>
          <cell r="C6516" t="str">
            <v>magovz</v>
          </cell>
          <cell r="D6516">
            <v>6.5575432777404785</v>
          </cell>
          <cell r="F6516" t="str">
            <v>14 Aug 2024</v>
          </cell>
        </row>
        <row r="6517">
          <cell r="A6517" t="str">
            <v>LKA</v>
          </cell>
          <cell r="B6517">
            <v>2009</v>
          </cell>
          <cell r="C6517" t="str">
            <v>mataxfc</v>
          </cell>
          <cell r="D6517">
            <v>3.4484636783599854</v>
          </cell>
          <cell r="F6517" t="str">
            <v>14 Aug 2024</v>
          </cell>
        </row>
        <row r="6518">
          <cell r="A6518" t="str">
            <v>LKA</v>
          </cell>
          <cell r="B6518">
            <v>2009</v>
          </cell>
          <cell r="C6518" t="str">
            <v>mar_taxfc</v>
          </cell>
          <cell r="D6518">
            <v>11.416689872741699</v>
          </cell>
          <cell r="F6518" t="str">
            <v>14 Aug 2024</v>
          </cell>
        </row>
        <row r="6519">
          <cell r="A6519" t="str">
            <v>LKA</v>
          </cell>
          <cell r="B6519">
            <v>2012</v>
          </cell>
          <cell r="C6519" t="str">
            <v>mar_agrfc</v>
          </cell>
          <cell r="D6519">
            <v>8.6192312240600586</v>
          </cell>
          <cell r="F6519" t="str">
            <v>14 Aug 2024</v>
          </cell>
        </row>
        <row r="6520">
          <cell r="A6520" t="str">
            <v>LKA</v>
          </cell>
          <cell r="B6520">
            <v>2026</v>
          </cell>
          <cell r="C6520" t="str">
            <v>matfpz</v>
          </cell>
          <cell r="D6520">
            <v>-1.8593580722808838</v>
          </cell>
          <cell r="F6520" t="str">
            <v>14 Aug 2024</v>
          </cell>
        </row>
        <row r="6521">
          <cell r="A6521" t="str">
            <v>LKA</v>
          </cell>
          <cell r="B6521">
            <v>2009</v>
          </cell>
          <cell r="C6521" t="str">
            <v>mar_impz</v>
          </cell>
          <cell r="D6521">
            <v>25.709281921386719</v>
          </cell>
          <cell r="F6521" t="str">
            <v>14 Aug 2024</v>
          </cell>
        </row>
        <row r="6522">
          <cell r="A6522" t="str">
            <v>LKA</v>
          </cell>
          <cell r="B6522">
            <v>2009</v>
          </cell>
          <cell r="C6522" t="str">
            <v>mar_expz</v>
          </cell>
          <cell r="D6522">
            <v>19.418550491333008</v>
          </cell>
          <cell r="F6522" t="str">
            <v>14 Aug 2024</v>
          </cell>
        </row>
        <row r="6523">
          <cell r="A6523" t="str">
            <v>LKA</v>
          </cell>
          <cell r="B6523">
            <v>2016</v>
          </cell>
          <cell r="C6523" t="str">
            <v>maconz</v>
          </cell>
          <cell r="D6523">
            <v>2.8804225921630859</v>
          </cell>
          <cell r="F6523" t="str">
            <v>14 Aug 2024</v>
          </cell>
        </row>
        <row r="6524">
          <cell r="A6524" t="str">
            <v>LKA</v>
          </cell>
          <cell r="B6524">
            <v>2013</v>
          </cell>
          <cell r="C6524" t="str">
            <v>matfpz</v>
          </cell>
          <cell r="D6524">
            <v>3.1648604869842529</v>
          </cell>
          <cell r="F6524" t="str">
            <v>14 Aug 2024</v>
          </cell>
        </row>
        <row r="6525">
          <cell r="A6525" t="str">
            <v>LKA</v>
          </cell>
          <cell r="B6525">
            <v>2009</v>
          </cell>
          <cell r="C6525" t="str">
            <v>madeficit_</v>
          </cell>
          <cell r="D6525">
            <v>-9.851750373840332</v>
          </cell>
          <cell r="F6525" t="str">
            <v>14 Aug 2024</v>
          </cell>
        </row>
        <row r="6526">
          <cell r="A6526" t="str">
            <v>LKA</v>
          </cell>
          <cell r="B6526">
            <v>2022</v>
          </cell>
          <cell r="C6526" t="str">
            <v>mataxfc</v>
          </cell>
          <cell r="D6526">
            <v>-12.437738418579102</v>
          </cell>
          <cell r="F6526" t="str">
            <v>14 Aug 2024</v>
          </cell>
        </row>
        <row r="6527">
          <cell r="A6527" t="str">
            <v>LKA</v>
          </cell>
          <cell r="B6527">
            <v>2007</v>
          </cell>
          <cell r="C6527" t="str">
            <v>matfpz</v>
          </cell>
          <cell r="D6527">
            <v>2.1230716705322266</v>
          </cell>
          <cell r="F6527" t="str">
            <v>14 Aug 2024</v>
          </cell>
        </row>
        <row r="6528">
          <cell r="A6528" t="str">
            <v>LKA</v>
          </cell>
          <cell r="B6528">
            <v>2009</v>
          </cell>
          <cell r="C6528" t="str">
            <v>maagrfc</v>
          </cell>
          <cell r="D6528">
            <v>3.2179427146911621</v>
          </cell>
          <cell r="F6528" t="str">
            <v>14 Aug 2024</v>
          </cell>
        </row>
        <row r="6529">
          <cell r="A6529" t="str">
            <v>LKA</v>
          </cell>
          <cell r="B6529">
            <v>2015</v>
          </cell>
          <cell r="C6529" t="str">
            <v>mar_srvfc</v>
          </cell>
          <cell r="D6529">
            <v>58.948310852050781</v>
          </cell>
          <cell r="F6529" t="str">
            <v>14 Aug 2024</v>
          </cell>
        </row>
        <row r="6530">
          <cell r="A6530" t="str">
            <v>LKA</v>
          </cell>
          <cell r="B6530">
            <v>2018</v>
          </cell>
          <cell r="C6530" t="str">
            <v>mafdi_</v>
          </cell>
          <cell r="D6530">
            <v>-1.6330708265304565</v>
          </cell>
          <cell r="F6530" t="str">
            <v>14 Aug 2024</v>
          </cell>
        </row>
        <row r="6531">
          <cell r="A6531" t="str">
            <v>LKA</v>
          </cell>
          <cell r="B6531">
            <v>2008</v>
          </cell>
          <cell r="C6531" t="str">
            <v>masrvfc</v>
          </cell>
          <cell r="D6531">
            <v>5.6493873596191406</v>
          </cell>
          <cell r="F6531" t="str">
            <v>14 Aug 2024</v>
          </cell>
        </row>
        <row r="6532">
          <cell r="A6532" t="str">
            <v>LKA</v>
          </cell>
          <cell r="B6532">
            <v>2022</v>
          </cell>
          <cell r="C6532" t="str">
            <v>mar_con</v>
          </cell>
          <cell r="D6532">
            <v>59.526592254638672</v>
          </cell>
          <cell r="F6532" t="str">
            <v>14 Aug 2024</v>
          </cell>
        </row>
        <row r="6533">
          <cell r="A6533" t="str">
            <v>LKA</v>
          </cell>
          <cell r="B6533">
            <v>2010</v>
          </cell>
          <cell r="C6533" t="str">
            <v>mareer</v>
          </cell>
          <cell r="D6533">
            <v>116.4755859375</v>
          </cell>
          <cell r="F6533" t="str">
            <v>14 Aug 2024</v>
          </cell>
        </row>
        <row r="6534">
          <cell r="A6534" t="str">
            <v>LKA</v>
          </cell>
          <cell r="B6534">
            <v>2008</v>
          </cell>
          <cell r="C6534" t="str">
            <v>magap_</v>
          </cell>
          <cell r="D6534">
            <v>-0.46594348549842834</v>
          </cell>
          <cell r="F6534" t="str">
            <v>14 Aug 2024</v>
          </cell>
        </row>
        <row r="6535">
          <cell r="A6535" t="str">
            <v>LKA</v>
          </cell>
          <cell r="B6535">
            <v>2008</v>
          </cell>
          <cell r="C6535" t="str">
            <v>madeficit_</v>
          </cell>
          <cell r="D6535">
            <v>-7.0203204154968262</v>
          </cell>
          <cell r="F6535" t="str">
            <v>14 Aug 2024</v>
          </cell>
        </row>
        <row r="6536">
          <cell r="A6536" t="str">
            <v>LKA</v>
          </cell>
          <cell r="B6536">
            <v>2026</v>
          </cell>
          <cell r="C6536" t="str">
            <v>mar_impz</v>
          </cell>
          <cell r="D6536">
            <v>19.140697479248047</v>
          </cell>
          <cell r="F6536" t="str">
            <v>14 Aug 2024</v>
          </cell>
        </row>
        <row r="6537">
          <cell r="A6537" t="str">
            <v>LKA</v>
          </cell>
          <cell r="B6537">
            <v>2016</v>
          </cell>
          <cell r="C6537" t="str">
            <v>malabz</v>
          </cell>
          <cell r="D6537">
            <v>0.70739012956619263</v>
          </cell>
          <cell r="F6537" t="str">
            <v>14 Aug 2024</v>
          </cell>
        </row>
        <row r="6538">
          <cell r="A6538" t="str">
            <v>LKA</v>
          </cell>
          <cell r="B6538">
            <v>2020</v>
          </cell>
          <cell r="C6538" t="str">
            <v>maimpz</v>
          </cell>
          <cell r="D6538">
            <v>-20.06782341003418</v>
          </cell>
          <cell r="F6538" t="str">
            <v>14 Aug 2024</v>
          </cell>
        </row>
        <row r="6539">
          <cell r="A6539" t="str">
            <v>LKA</v>
          </cell>
          <cell r="B6539">
            <v>2008</v>
          </cell>
          <cell r="C6539" t="str">
            <v>macpiz</v>
          </cell>
          <cell r="D6539">
            <v>22.564393997192383</v>
          </cell>
          <cell r="F6539" t="str">
            <v>14 Aug 2024</v>
          </cell>
        </row>
        <row r="6540">
          <cell r="A6540" t="str">
            <v>LKA</v>
          </cell>
          <cell r="B6540">
            <v>2008</v>
          </cell>
          <cell r="C6540" t="str">
            <v>mac_tfpz</v>
          </cell>
          <cell r="D6540">
            <v>2.3635854721069336</v>
          </cell>
          <cell r="F6540" t="str">
            <v>14 Aug 2024</v>
          </cell>
        </row>
        <row r="6541">
          <cell r="A6541" t="str">
            <v>LKA</v>
          </cell>
          <cell r="B6541">
            <v>2008</v>
          </cell>
          <cell r="C6541" t="str">
            <v>maimpz</v>
          </cell>
          <cell r="D6541">
            <v>4.0118393898010254</v>
          </cell>
          <cell r="F6541" t="str">
            <v>14 Aug 2024</v>
          </cell>
        </row>
        <row r="6542">
          <cell r="A6542" t="str">
            <v>LKA</v>
          </cell>
          <cell r="B6542">
            <v>2024</v>
          </cell>
          <cell r="C6542" t="str">
            <v>mac_tfpz</v>
          </cell>
          <cell r="D6542">
            <v>-1.7889399528503418</v>
          </cell>
          <cell r="F6542" t="str">
            <v>14 Aug 2024</v>
          </cell>
        </row>
        <row r="6543">
          <cell r="A6543" t="str">
            <v>LKA</v>
          </cell>
          <cell r="B6543">
            <v>2006</v>
          </cell>
          <cell r="C6543" t="str">
            <v>mar_agrfc</v>
          </cell>
          <cell r="D6543">
            <v>9.7660694122314453</v>
          </cell>
          <cell r="F6543" t="str">
            <v>14 Aug 2024</v>
          </cell>
        </row>
        <row r="6544">
          <cell r="A6544" t="str">
            <v>LKA</v>
          </cell>
          <cell r="B6544">
            <v>2025</v>
          </cell>
          <cell r="C6544" t="str">
            <v>malabz</v>
          </cell>
          <cell r="D6544">
            <v>0.67843908071517944</v>
          </cell>
          <cell r="F6544" t="str">
            <v>14 Aug 2024</v>
          </cell>
        </row>
        <row r="6545">
          <cell r="A6545" t="str">
            <v>LKA</v>
          </cell>
          <cell r="B6545">
            <v>2012</v>
          </cell>
          <cell r="C6545" t="str">
            <v>mac_tfpz</v>
          </cell>
          <cell r="D6545">
            <v>3.1447134017944336</v>
          </cell>
          <cell r="F6545" t="str">
            <v>14 Aug 2024</v>
          </cell>
        </row>
        <row r="6546">
          <cell r="A6546" t="str">
            <v>LKA</v>
          </cell>
          <cell r="B6546">
            <v>2006</v>
          </cell>
          <cell r="C6546" t="str">
            <v>masrvfc</v>
          </cell>
          <cell r="D6546">
            <v>7.7376523017883301</v>
          </cell>
          <cell r="F6546" t="str">
            <v>14 Aug 2024</v>
          </cell>
        </row>
        <row r="6547">
          <cell r="A6547" t="str">
            <v>LKA</v>
          </cell>
          <cell r="B6547">
            <v>2024</v>
          </cell>
          <cell r="C6547" t="str">
            <v>mac_labz</v>
          </cell>
          <cell r="D6547">
            <v>0.52108514308929443</v>
          </cell>
          <cell r="F6547" t="str">
            <v>14 Aug 2024</v>
          </cell>
        </row>
        <row r="6548">
          <cell r="A6548" t="str">
            <v>LKA</v>
          </cell>
          <cell r="B6548">
            <v>2024</v>
          </cell>
          <cell r="C6548" t="str">
            <v>mareer</v>
          </cell>
          <cell r="D6548">
            <v>92.469108581542969</v>
          </cell>
          <cell r="F6548" t="str">
            <v>14 Aug 2024</v>
          </cell>
        </row>
        <row r="6549">
          <cell r="A6549" t="str">
            <v>LKA</v>
          </cell>
          <cell r="B6549">
            <v>2023</v>
          </cell>
          <cell r="C6549" t="str">
            <v>mac_tfpz</v>
          </cell>
          <cell r="D6549">
            <v>-2.3171484470367432</v>
          </cell>
          <cell r="F6549" t="str">
            <v>14 Aug 2024</v>
          </cell>
        </row>
        <row r="6550">
          <cell r="A6550" t="str">
            <v>LKA</v>
          </cell>
          <cell r="B6550">
            <v>2015</v>
          </cell>
          <cell r="C6550" t="str">
            <v>mapanusatls</v>
          </cell>
          <cell r="D6550">
            <v>135.85690307617188</v>
          </cell>
          <cell r="F6550" t="str">
            <v>14 Aug 2024</v>
          </cell>
        </row>
        <row r="6551">
          <cell r="A6551" t="str">
            <v>LKA</v>
          </cell>
          <cell r="B6551">
            <v>2023</v>
          </cell>
          <cell r="C6551" t="str">
            <v>masrvfc</v>
          </cell>
          <cell r="D6551">
            <v>-0.24613305926322937</v>
          </cell>
          <cell r="F6551" t="str">
            <v>14 Aug 2024</v>
          </cell>
        </row>
        <row r="6552">
          <cell r="A6552" t="str">
            <v>LKA</v>
          </cell>
          <cell r="B6552">
            <v>2022</v>
          </cell>
          <cell r="C6552" t="str">
            <v>maexpz</v>
          </cell>
          <cell r="D6552">
            <v>10.222339630126953</v>
          </cell>
          <cell r="F6552" t="str">
            <v>14 Aug 2024</v>
          </cell>
        </row>
        <row r="6553">
          <cell r="A6553" t="str">
            <v>LKA</v>
          </cell>
          <cell r="B6553">
            <v>2009</v>
          </cell>
          <cell r="C6553" t="str">
            <v>madebt_</v>
          </cell>
          <cell r="D6553">
            <v>86.063529968261719</v>
          </cell>
          <cell r="F6553" t="str">
            <v>14 Aug 2024</v>
          </cell>
        </row>
        <row r="6554">
          <cell r="A6554" t="str">
            <v>LKA</v>
          </cell>
          <cell r="B6554">
            <v>2005</v>
          </cell>
          <cell r="C6554" t="str">
            <v>madebt_</v>
          </cell>
          <cell r="D6554">
            <v>90.605400085449219</v>
          </cell>
          <cell r="F6554" t="str">
            <v>14 Aug 2024</v>
          </cell>
        </row>
        <row r="6555">
          <cell r="A6555" t="str">
            <v>LKA</v>
          </cell>
          <cell r="B6555">
            <v>2017</v>
          </cell>
          <cell r="C6555" t="str">
            <v>mar_taxfc</v>
          </cell>
          <cell r="D6555">
            <v>9.2349262237548828</v>
          </cell>
          <cell r="F6555" t="str">
            <v>14 Aug 2024</v>
          </cell>
        </row>
        <row r="6556">
          <cell r="A6556" t="str">
            <v>LKA</v>
          </cell>
          <cell r="B6556">
            <v>2021</v>
          </cell>
          <cell r="C6556" t="str">
            <v>mac_tfpz</v>
          </cell>
          <cell r="D6556">
            <v>-4.1632180213928223</v>
          </cell>
          <cell r="F6556" t="str">
            <v>14 Aug 2024</v>
          </cell>
        </row>
        <row r="6557">
          <cell r="A6557" t="str">
            <v>LKA</v>
          </cell>
          <cell r="B6557">
            <v>2022</v>
          </cell>
          <cell r="C6557" t="str">
            <v>macab_</v>
          </cell>
          <cell r="D6557">
            <v>-1.9547452926635742</v>
          </cell>
          <cell r="F6557" t="str">
            <v>14 Aug 2024</v>
          </cell>
        </row>
        <row r="6558">
          <cell r="A6558" t="str">
            <v>LKA</v>
          </cell>
          <cell r="B6558">
            <v>2009</v>
          </cell>
          <cell r="C6558" t="str">
            <v>masrvfc</v>
          </cell>
          <cell r="D6558">
            <v>3.2822208404541016</v>
          </cell>
          <cell r="F6558" t="str">
            <v>14 Aug 2024</v>
          </cell>
        </row>
        <row r="6559">
          <cell r="A6559" t="str">
            <v>LKA</v>
          </cell>
          <cell r="B6559">
            <v>2026</v>
          </cell>
          <cell r="C6559" t="str">
            <v>magdpz</v>
          </cell>
          <cell r="D6559">
            <v>3.0429253578186035</v>
          </cell>
          <cell r="F6559" t="str">
            <v>14 Aug 2024</v>
          </cell>
        </row>
        <row r="6560">
          <cell r="A6560" t="str">
            <v>LKA</v>
          </cell>
          <cell r="B6560">
            <v>2009</v>
          </cell>
          <cell r="C6560" t="str">
            <v>maexpz</v>
          </cell>
          <cell r="D6560">
            <v>-12.305723190307617</v>
          </cell>
          <cell r="F6560" t="str">
            <v>14 Aug 2024</v>
          </cell>
        </row>
        <row r="6561">
          <cell r="A6561" t="str">
            <v>LKA</v>
          </cell>
          <cell r="B6561">
            <v>2012</v>
          </cell>
          <cell r="C6561" t="str">
            <v>mar_impz</v>
          </cell>
          <cell r="D6561">
            <v>28.144491195678711</v>
          </cell>
          <cell r="F6561" t="str">
            <v>14 Aug 2024</v>
          </cell>
        </row>
        <row r="6562">
          <cell r="A6562" t="str">
            <v>LKA</v>
          </cell>
          <cell r="B6562">
            <v>2018</v>
          </cell>
          <cell r="C6562" t="str">
            <v>mar_indfc</v>
          </cell>
          <cell r="D6562">
            <v>33.768489837646484</v>
          </cell>
          <cell r="F6562" t="str">
            <v>14 Aug 2024</v>
          </cell>
        </row>
        <row r="6563">
          <cell r="A6563" t="str">
            <v>LKA</v>
          </cell>
          <cell r="B6563">
            <v>2023</v>
          </cell>
          <cell r="C6563" t="str">
            <v>mar_taxfc</v>
          </cell>
          <cell r="D6563">
            <v>6.6795554161071777</v>
          </cell>
          <cell r="F6563" t="str">
            <v>14 Aug 2024</v>
          </cell>
        </row>
        <row r="6564">
          <cell r="A6564" t="str">
            <v>LKA</v>
          </cell>
          <cell r="B6564">
            <v>2022</v>
          </cell>
          <cell r="C6564" t="str">
            <v>maagrfc</v>
          </cell>
          <cell r="D6564">
            <v>-4.1769590377807617</v>
          </cell>
          <cell r="F6564" t="str">
            <v>14 Aug 2024</v>
          </cell>
        </row>
        <row r="6565">
          <cell r="A6565" t="str">
            <v>LKA</v>
          </cell>
          <cell r="B6565">
            <v>2018</v>
          </cell>
          <cell r="C6565" t="str">
            <v>maimpz</v>
          </cell>
          <cell r="D6565">
            <v>3.2624270915985107</v>
          </cell>
          <cell r="F6565" t="str">
            <v>14 Aug 2024</v>
          </cell>
        </row>
        <row r="6566">
          <cell r="A6566" t="str">
            <v>LKA</v>
          </cell>
          <cell r="B6566">
            <v>2015</v>
          </cell>
          <cell r="C6566" t="str">
            <v>mac_labz</v>
          </cell>
          <cell r="D6566">
            <v>0.47442144155502319</v>
          </cell>
          <cell r="F6566" t="str">
            <v>14 Aug 2024</v>
          </cell>
        </row>
        <row r="6567">
          <cell r="A6567" t="str">
            <v>LKA</v>
          </cell>
          <cell r="B6567">
            <v>2023</v>
          </cell>
          <cell r="C6567" t="str">
            <v>mar_impz</v>
          </cell>
          <cell r="D6567">
            <v>19.415164947509766</v>
          </cell>
          <cell r="F6567" t="str">
            <v>14 Aug 2024</v>
          </cell>
        </row>
        <row r="6568">
          <cell r="A6568" t="str">
            <v>LKA</v>
          </cell>
          <cell r="B6568">
            <v>2005</v>
          </cell>
          <cell r="C6568" t="str">
            <v>mainvz</v>
          </cell>
          <cell r="D6568">
            <v>9.8117971420288086</v>
          </cell>
          <cell r="F6568" t="str">
            <v>14 Aug 2024</v>
          </cell>
        </row>
        <row r="6569">
          <cell r="A6569" t="str">
            <v>LKA</v>
          </cell>
          <cell r="B6569">
            <v>2011</v>
          </cell>
          <cell r="C6569" t="str">
            <v>malabz</v>
          </cell>
          <cell r="D6569">
            <v>1.0535515546798706</v>
          </cell>
          <cell r="F6569" t="str">
            <v>14 Aug 2024</v>
          </cell>
        </row>
        <row r="6570">
          <cell r="A6570" t="str">
            <v>LKA</v>
          </cell>
          <cell r="B6570">
            <v>2018</v>
          </cell>
          <cell r="C6570" t="str">
            <v>madeficit_</v>
          </cell>
          <cell r="D6570">
            <v>-4.9555830955505371</v>
          </cell>
          <cell r="F6570" t="str">
            <v>14 Aug 2024</v>
          </cell>
        </row>
        <row r="6571">
          <cell r="A6571" t="str">
            <v>LKA</v>
          </cell>
          <cell r="B6571">
            <v>2021</v>
          </cell>
          <cell r="C6571" t="str">
            <v>masrvfc</v>
          </cell>
          <cell r="D6571">
            <v>3.4076604843139648</v>
          </cell>
          <cell r="F6571" t="str">
            <v>14 Aug 2024</v>
          </cell>
        </row>
        <row r="6572">
          <cell r="A6572" t="str">
            <v>LKA</v>
          </cell>
          <cell r="B6572">
            <v>2005</v>
          </cell>
          <cell r="C6572" t="str">
            <v>mac_tfpz</v>
          </cell>
          <cell r="D6572">
            <v>1.6205465793609619</v>
          </cell>
          <cell r="F6572" t="str">
            <v>14 Aug 2024</v>
          </cell>
        </row>
        <row r="6573">
          <cell r="A6573" t="str">
            <v>LKA</v>
          </cell>
          <cell r="B6573">
            <v>2016</v>
          </cell>
          <cell r="C6573" t="str">
            <v>mar_indfc</v>
          </cell>
          <cell r="D6573">
            <v>32.933189392089844</v>
          </cell>
          <cell r="F6573" t="str">
            <v>14 Aug 2024</v>
          </cell>
        </row>
        <row r="6574">
          <cell r="A6574" t="str">
            <v>LKA</v>
          </cell>
          <cell r="B6574">
            <v>2024</v>
          </cell>
          <cell r="C6574" t="str">
            <v>mar_srvfc</v>
          </cell>
          <cell r="D6574">
            <v>64.5953369140625</v>
          </cell>
          <cell r="F6574" t="str">
            <v>14 Aug 2024</v>
          </cell>
        </row>
        <row r="6575">
          <cell r="A6575" t="str">
            <v>LKA</v>
          </cell>
          <cell r="B6575">
            <v>2013</v>
          </cell>
          <cell r="C6575" t="str">
            <v>malabz</v>
          </cell>
          <cell r="D6575">
            <v>0.65129208564758301</v>
          </cell>
          <cell r="F6575" t="str">
            <v>14 Aug 2024</v>
          </cell>
        </row>
        <row r="6576">
          <cell r="A6576" t="str">
            <v>LKA</v>
          </cell>
          <cell r="B6576">
            <v>2011</v>
          </cell>
          <cell r="C6576" t="str">
            <v>mar_impz</v>
          </cell>
          <cell r="D6576">
            <v>30.569789886474609</v>
          </cell>
          <cell r="F6576" t="str">
            <v>14 Aug 2024</v>
          </cell>
        </row>
        <row r="6577">
          <cell r="A6577" t="str">
            <v>LKA</v>
          </cell>
          <cell r="B6577">
            <v>2021</v>
          </cell>
          <cell r="C6577" t="str">
            <v>mar_srvfc</v>
          </cell>
          <cell r="D6577">
            <v>60.253822326660156</v>
          </cell>
          <cell r="F6577" t="str">
            <v>14 Aug 2024</v>
          </cell>
        </row>
        <row r="6578">
          <cell r="A6578" t="str">
            <v>LKA</v>
          </cell>
          <cell r="B6578">
            <v>2012</v>
          </cell>
          <cell r="C6578" t="str">
            <v>mar_expz</v>
          </cell>
          <cell r="D6578">
            <v>18.177774429321289</v>
          </cell>
          <cell r="F6578" t="str">
            <v>14 Aug 2024</v>
          </cell>
        </row>
        <row r="6579">
          <cell r="A6579" t="str">
            <v>LKA</v>
          </cell>
          <cell r="B6579">
            <v>2022</v>
          </cell>
          <cell r="C6579" t="str">
            <v>mar_indfc</v>
          </cell>
          <cell r="D6579">
            <v>28.927139282226563</v>
          </cell>
          <cell r="F6579" t="str">
            <v>14 Aug 2024</v>
          </cell>
        </row>
        <row r="6580">
          <cell r="A6580" t="str">
            <v>LKA</v>
          </cell>
          <cell r="B6580">
            <v>2020</v>
          </cell>
          <cell r="C6580" t="str">
            <v>mar_indfc</v>
          </cell>
          <cell r="D6580">
            <v>31.478452682495117</v>
          </cell>
          <cell r="F6580" t="str">
            <v>14 Aug 2024</v>
          </cell>
        </row>
        <row r="6581">
          <cell r="A6581" t="str">
            <v>LKA</v>
          </cell>
          <cell r="B6581">
            <v>2020</v>
          </cell>
          <cell r="C6581" t="str">
            <v>macab_</v>
          </cell>
          <cell r="D6581">
            <v>-1.4081823825836182</v>
          </cell>
          <cell r="F6581" t="str">
            <v>14 Aug 2024</v>
          </cell>
        </row>
        <row r="6582">
          <cell r="A6582" t="str">
            <v>LKA</v>
          </cell>
          <cell r="B6582">
            <v>2024</v>
          </cell>
          <cell r="C6582" t="str">
            <v>madeficit_</v>
          </cell>
          <cell r="D6582">
            <v>-10.222696304321289</v>
          </cell>
          <cell r="F6582" t="str">
            <v>14 Aug 2024</v>
          </cell>
        </row>
        <row r="6583">
          <cell r="A6583" t="str">
            <v>LKA</v>
          </cell>
          <cell r="B6583">
            <v>2019</v>
          </cell>
          <cell r="C6583" t="str">
            <v>madebt_</v>
          </cell>
          <cell r="D6583">
            <v>88.965721130371094</v>
          </cell>
          <cell r="F6583" t="str">
            <v>14 Aug 2024</v>
          </cell>
        </row>
        <row r="6584">
          <cell r="A6584" t="str">
            <v>LKA</v>
          </cell>
          <cell r="B6584">
            <v>2023</v>
          </cell>
          <cell r="C6584" t="str">
            <v>macab_</v>
          </cell>
          <cell r="D6584">
            <v>1.6107378005981445</v>
          </cell>
          <cell r="F6584" t="str">
            <v>14 Aug 2024</v>
          </cell>
        </row>
        <row r="6585">
          <cell r="A6585" t="str">
            <v>LKA</v>
          </cell>
          <cell r="B6585">
            <v>2021</v>
          </cell>
          <cell r="C6585" t="str">
            <v>mar_indfc</v>
          </cell>
          <cell r="D6585">
            <v>32.017616271972656</v>
          </cell>
          <cell r="F6585" t="str">
            <v>14 Aug 2024</v>
          </cell>
        </row>
        <row r="6586">
          <cell r="A6586" t="str">
            <v>LKA</v>
          </cell>
          <cell r="B6586">
            <v>2017</v>
          </cell>
          <cell r="C6586" t="str">
            <v>mapanusatls</v>
          </cell>
          <cell r="D6586">
            <v>152.45750427246094</v>
          </cell>
          <cell r="F6586" t="str">
            <v>14 Aug 2024</v>
          </cell>
        </row>
        <row r="6587">
          <cell r="A6587" t="str">
            <v>LKA</v>
          </cell>
          <cell r="B6587">
            <v>2021</v>
          </cell>
          <cell r="C6587" t="str">
            <v>mar_impz</v>
          </cell>
          <cell r="D6587">
            <v>22.548776626586914</v>
          </cell>
          <cell r="F6587" t="str">
            <v>14 Aug 2024</v>
          </cell>
        </row>
        <row r="6588">
          <cell r="A6588" t="str">
            <v>LKA</v>
          </cell>
          <cell r="B6588">
            <v>2022</v>
          </cell>
          <cell r="C6588" t="str">
            <v>mareer</v>
          </cell>
          <cell r="D6588">
            <v>81.343032836914063</v>
          </cell>
          <cell r="F6588" t="str">
            <v>14 Aug 2024</v>
          </cell>
        </row>
        <row r="6589">
          <cell r="A6589" t="str">
            <v>LKA</v>
          </cell>
          <cell r="B6589">
            <v>2023</v>
          </cell>
          <cell r="C6589" t="str">
            <v>mainvz</v>
          </cell>
          <cell r="D6589">
            <v>-9.0731420516967773</v>
          </cell>
          <cell r="F6589" t="str">
            <v>14 Aug 2024</v>
          </cell>
        </row>
        <row r="6590">
          <cell r="A6590" t="str">
            <v>LKA</v>
          </cell>
          <cell r="B6590">
            <v>2021</v>
          </cell>
          <cell r="C6590" t="str">
            <v>mar_expz</v>
          </cell>
          <cell r="D6590">
            <v>16.454673767089844</v>
          </cell>
          <cell r="F6590" t="str">
            <v>14 Aug 2024</v>
          </cell>
        </row>
        <row r="6591">
          <cell r="A6591" t="str">
            <v>LKA</v>
          </cell>
          <cell r="B6591">
            <v>2005</v>
          </cell>
          <cell r="C6591" t="str">
            <v>magap_</v>
          </cell>
          <cell r="D6591">
            <v>-0.3868274986743927</v>
          </cell>
          <cell r="F6591" t="str">
            <v>14 Aug 2024</v>
          </cell>
        </row>
        <row r="6592">
          <cell r="A6592" t="str">
            <v>LKA</v>
          </cell>
          <cell r="B6592">
            <v>2017</v>
          </cell>
          <cell r="C6592" t="str">
            <v>malabz</v>
          </cell>
          <cell r="D6592">
            <v>0.71803075075149536</v>
          </cell>
          <cell r="F6592" t="str">
            <v>14 Aug 2024</v>
          </cell>
        </row>
        <row r="6593">
          <cell r="A6593" t="str">
            <v>LKA</v>
          </cell>
          <cell r="B6593">
            <v>2010</v>
          </cell>
          <cell r="C6593" t="str">
            <v>mar_expz</v>
          </cell>
          <cell r="D6593">
            <v>19.552326202392578</v>
          </cell>
          <cell r="F6593" t="str">
            <v>14 Aug 2024</v>
          </cell>
        </row>
        <row r="6594">
          <cell r="A6594" t="str">
            <v>LKA</v>
          </cell>
          <cell r="B6594">
            <v>2021</v>
          </cell>
          <cell r="C6594" t="str">
            <v>mafdi_</v>
          </cell>
          <cell r="D6594">
            <v>-0.66718578338623047</v>
          </cell>
          <cell r="F6594" t="str">
            <v>14 Aug 2024</v>
          </cell>
        </row>
        <row r="6595">
          <cell r="A6595" t="str">
            <v>LKA</v>
          </cell>
          <cell r="B6595">
            <v>2008</v>
          </cell>
          <cell r="C6595" t="str">
            <v>maconz</v>
          </cell>
          <cell r="D6595">
            <v>7.5111689567565918</v>
          </cell>
          <cell r="F6595" t="str">
            <v>14 Aug 2024</v>
          </cell>
        </row>
        <row r="6596">
          <cell r="A6596" t="str">
            <v>LKA</v>
          </cell>
          <cell r="B6596">
            <v>2021</v>
          </cell>
          <cell r="C6596" t="str">
            <v>magovz</v>
          </cell>
          <cell r="D6596">
            <v>-2.8127989768981934</v>
          </cell>
          <cell r="F6596" t="str">
            <v>14 Aug 2024</v>
          </cell>
        </row>
        <row r="6597">
          <cell r="A6597" t="str">
            <v>LKA</v>
          </cell>
          <cell r="B6597">
            <v>2016</v>
          </cell>
          <cell r="C6597" t="str">
            <v>mafdi_</v>
          </cell>
          <cell r="D6597">
            <v>-0.74989640712738037</v>
          </cell>
          <cell r="F6597" t="str">
            <v>14 Aug 2024</v>
          </cell>
        </row>
        <row r="6598">
          <cell r="A6598" t="str">
            <v>LKA</v>
          </cell>
          <cell r="B6598">
            <v>2007</v>
          </cell>
          <cell r="C6598" t="str">
            <v>madeficit_</v>
          </cell>
          <cell r="D6598">
            <v>-6.8752293586730957</v>
          </cell>
          <cell r="F6598" t="str">
            <v>14 Aug 2024</v>
          </cell>
        </row>
        <row r="6599">
          <cell r="A6599" t="str">
            <v>LKA</v>
          </cell>
          <cell r="B6599">
            <v>2021</v>
          </cell>
          <cell r="C6599" t="str">
            <v>madebt_</v>
          </cell>
          <cell r="D6599">
            <v>110.34047698974609</v>
          </cell>
          <cell r="F6599" t="str">
            <v>14 Aug 2024</v>
          </cell>
        </row>
        <row r="6600">
          <cell r="A6600" t="str">
            <v>LKA</v>
          </cell>
          <cell r="B6600">
            <v>2017</v>
          </cell>
          <cell r="C6600" t="str">
            <v>mafdi_</v>
          </cell>
          <cell r="D6600">
            <v>-1.3807415962219238</v>
          </cell>
          <cell r="F6600" t="str">
            <v>14 Aug 2024</v>
          </cell>
        </row>
        <row r="6601">
          <cell r="A6601" t="str">
            <v>LKA</v>
          </cell>
          <cell r="B6601">
            <v>2013</v>
          </cell>
          <cell r="C6601" t="str">
            <v>mainvz</v>
          </cell>
          <cell r="D6601">
            <v>5.0481915473937988</v>
          </cell>
          <cell r="F6601" t="str">
            <v>14 Aug 2024</v>
          </cell>
        </row>
        <row r="6602">
          <cell r="A6602" t="str">
            <v>LKA</v>
          </cell>
          <cell r="B6602">
            <v>2012</v>
          </cell>
          <cell r="C6602" t="str">
            <v>maagrfc</v>
          </cell>
          <cell r="D6602">
            <v>3.9458272457122803</v>
          </cell>
          <cell r="F6602" t="str">
            <v>14 Aug 2024</v>
          </cell>
        </row>
        <row r="6603">
          <cell r="A6603" t="str">
            <v>LKA</v>
          </cell>
          <cell r="B6603">
            <v>2012</v>
          </cell>
          <cell r="C6603" t="str">
            <v>macpiz</v>
          </cell>
          <cell r="D6603">
            <v>7.5428609848022461</v>
          </cell>
          <cell r="F6603" t="str">
            <v>14 Aug 2024</v>
          </cell>
        </row>
        <row r="6604">
          <cell r="A6604" t="str">
            <v>LKA</v>
          </cell>
          <cell r="B6604">
            <v>2020</v>
          </cell>
          <cell r="C6604" t="str">
            <v>mac_tfpz</v>
          </cell>
          <cell r="D6604">
            <v>-4.8811159133911133</v>
          </cell>
          <cell r="F6604" t="str">
            <v>14 Aug 2024</v>
          </cell>
        </row>
        <row r="6605">
          <cell r="A6605" t="str">
            <v>LKA</v>
          </cell>
          <cell r="B6605">
            <v>2009</v>
          </cell>
          <cell r="C6605" t="str">
            <v>macpiz</v>
          </cell>
          <cell r="D6605">
            <v>3.4649765491485596</v>
          </cell>
          <cell r="F6605" t="str">
            <v>14 Aug 2024</v>
          </cell>
        </row>
        <row r="6606">
          <cell r="A6606" t="str">
            <v>LKA</v>
          </cell>
          <cell r="B6606">
            <v>2011</v>
          </cell>
          <cell r="C6606" t="str">
            <v>maimpz</v>
          </cell>
          <cell r="D6606">
            <v>23.600000381469727</v>
          </cell>
          <cell r="F6606" t="str">
            <v>14 Aug 2024</v>
          </cell>
        </row>
        <row r="6607">
          <cell r="A6607" t="str">
            <v>LKA</v>
          </cell>
          <cell r="B6607">
            <v>2008</v>
          </cell>
          <cell r="C6607" t="str">
            <v>mar_impz</v>
          </cell>
          <cell r="D6607">
            <v>29.441328048706055</v>
          </cell>
          <cell r="F6607" t="str">
            <v>14 Aug 2024</v>
          </cell>
        </row>
        <row r="6608">
          <cell r="A6608" t="str">
            <v>LKA</v>
          </cell>
          <cell r="B6608">
            <v>2014</v>
          </cell>
          <cell r="C6608" t="str">
            <v>maimpz</v>
          </cell>
          <cell r="D6608">
            <v>9.5666399002075195</v>
          </cell>
          <cell r="F6608" t="str">
            <v>14 Aug 2024</v>
          </cell>
        </row>
        <row r="6609">
          <cell r="A6609" t="str">
            <v>LKA</v>
          </cell>
          <cell r="B6609">
            <v>2023</v>
          </cell>
          <cell r="C6609" t="str">
            <v>mar_con</v>
          </cell>
          <cell r="D6609">
            <v>58.977062225341797</v>
          </cell>
          <cell r="F6609" t="str">
            <v>14 Aug 2024</v>
          </cell>
        </row>
        <row r="6610">
          <cell r="A6610" t="str">
            <v>LKA</v>
          </cell>
          <cell r="B6610">
            <v>2018</v>
          </cell>
          <cell r="C6610" t="str">
            <v>mac_labz</v>
          </cell>
          <cell r="D6610">
            <v>0.79256689548492432</v>
          </cell>
          <cell r="F6610" t="str">
            <v>14 Aug 2024</v>
          </cell>
        </row>
        <row r="6611">
          <cell r="A6611" t="str">
            <v>LKA</v>
          </cell>
          <cell r="B6611">
            <v>2015</v>
          </cell>
          <cell r="C6611" t="str">
            <v>mar_impz</v>
          </cell>
          <cell r="D6611">
            <v>27.024587631225586</v>
          </cell>
          <cell r="F6611" t="str">
            <v>14 Aug 2024</v>
          </cell>
        </row>
        <row r="6612">
          <cell r="A6612" t="str">
            <v>LKA</v>
          </cell>
          <cell r="B6612">
            <v>2005</v>
          </cell>
          <cell r="C6612" t="str">
            <v>maconz</v>
          </cell>
          <cell r="D6612">
            <v>1.6510854959487915</v>
          </cell>
          <cell r="F6612" t="str">
            <v>14 Aug 2024</v>
          </cell>
        </row>
        <row r="6613">
          <cell r="A6613" t="str">
            <v>LKA</v>
          </cell>
          <cell r="B6613">
            <v>2026</v>
          </cell>
          <cell r="C6613" t="str">
            <v>mafdi_</v>
          </cell>
          <cell r="D6613">
            <v>-0.89401000738143921</v>
          </cell>
          <cell r="F6613" t="str">
            <v>14 Aug 2024</v>
          </cell>
        </row>
        <row r="6614">
          <cell r="A6614" t="str">
            <v>LKA</v>
          </cell>
          <cell r="B6614">
            <v>2020</v>
          </cell>
          <cell r="C6614" t="str">
            <v>mar_agrfc</v>
          </cell>
          <cell r="D6614">
            <v>7.9533224105834961</v>
          </cell>
          <cell r="F6614" t="str">
            <v>14 Aug 2024</v>
          </cell>
        </row>
        <row r="6615">
          <cell r="A6615" t="str">
            <v>LKA</v>
          </cell>
          <cell r="B6615">
            <v>2014</v>
          </cell>
          <cell r="C6615" t="str">
            <v>maindfc</v>
          </cell>
          <cell r="D6615">
            <v>4.7016158103942871</v>
          </cell>
          <cell r="F6615" t="str">
            <v>14 Aug 2024</v>
          </cell>
        </row>
        <row r="6616">
          <cell r="A6616" t="str">
            <v>LKA</v>
          </cell>
          <cell r="B6616">
            <v>2021</v>
          </cell>
          <cell r="C6616" t="str">
            <v>maconz</v>
          </cell>
          <cell r="D6616">
            <v>2.6433522701263428</v>
          </cell>
          <cell r="F6616" t="str">
            <v>14 Aug 2024</v>
          </cell>
        </row>
        <row r="6617">
          <cell r="A6617" t="str">
            <v>LKA</v>
          </cell>
          <cell r="B6617">
            <v>2017</v>
          </cell>
          <cell r="C6617" t="str">
            <v>macpiz</v>
          </cell>
          <cell r="D6617">
            <v>6.5806198120117188</v>
          </cell>
          <cell r="F6617" t="str">
            <v>14 Aug 2024</v>
          </cell>
        </row>
        <row r="6618">
          <cell r="A6618" t="str">
            <v>LKA</v>
          </cell>
          <cell r="B6618">
            <v>2023</v>
          </cell>
          <cell r="C6618" t="str">
            <v>maindfc</v>
          </cell>
          <cell r="D6618">
            <v>-9.2330904006958008</v>
          </cell>
          <cell r="F6618" t="str">
            <v>14 Aug 2024</v>
          </cell>
        </row>
        <row r="6619">
          <cell r="A6619" t="str">
            <v>LKA</v>
          </cell>
          <cell r="B6619">
            <v>2023</v>
          </cell>
          <cell r="C6619" t="str">
            <v>mataxfc</v>
          </cell>
          <cell r="D6619">
            <v>2.8162901401519775</v>
          </cell>
          <cell r="F6619" t="str">
            <v>14 Aug 2024</v>
          </cell>
        </row>
        <row r="6620">
          <cell r="A6620" t="str">
            <v>LKA</v>
          </cell>
          <cell r="B6620">
            <v>2019</v>
          </cell>
          <cell r="C6620" t="str">
            <v>mar_srvfc</v>
          </cell>
          <cell r="D6620">
            <v>59.941165924072266</v>
          </cell>
          <cell r="F6620" t="str">
            <v>14 Aug 2024</v>
          </cell>
        </row>
        <row r="6621">
          <cell r="A6621" t="str">
            <v>LKA</v>
          </cell>
          <cell r="B6621">
            <v>2005</v>
          </cell>
          <cell r="C6621" t="str">
            <v>mafdi_</v>
          </cell>
          <cell r="D6621">
            <v>-0.95877069234848022</v>
          </cell>
          <cell r="F6621" t="str">
            <v>14 Aug 2024</v>
          </cell>
        </row>
        <row r="6622">
          <cell r="A6622" t="str">
            <v>LKA</v>
          </cell>
          <cell r="B6622">
            <v>2019</v>
          </cell>
          <cell r="C6622" t="str">
            <v>maconz</v>
          </cell>
          <cell r="D6622">
            <v>3.8250308036804199</v>
          </cell>
          <cell r="F6622" t="str">
            <v>14 Aug 2024</v>
          </cell>
        </row>
        <row r="6623">
          <cell r="A6623" t="str">
            <v>LKA</v>
          </cell>
          <cell r="B6623">
            <v>2020</v>
          </cell>
          <cell r="C6623" t="str">
            <v>mar_expz</v>
          </cell>
          <cell r="D6623">
            <v>15.571703910827637</v>
          </cell>
          <cell r="F6623" t="str">
            <v>14 Aug 2024</v>
          </cell>
        </row>
        <row r="6624">
          <cell r="A6624" t="str">
            <v>LKA</v>
          </cell>
          <cell r="B6624">
            <v>2022</v>
          </cell>
          <cell r="C6624" t="str">
            <v>mac_tfpz</v>
          </cell>
          <cell r="D6624">
            <v>-3.8509190082550049</v>
          </cell>
          <cell r="F6624" t="str">
            <v>14 Aug 2024</v>
          </cell>
        </row>
        <row r="6625">
          <cell r="A6625" t="str">
            <v>LKA</v>
          </cell>
          <cell r="B6625">
            <v>2005</v>
          </cell>
          <cell r="C6625" t="str">
            <v>magovz</v>
          </cell>
          <cell r="D6625">
            <v>12.008063316345215</v>
          </cell>
          <cell r="F6625" t="str">
            <v>14 Aug 2024</v>
          </cell>
        </row>
        <row r="6626">
          <cell r="A6626" t="str">
            <v>LKA</v>
          </cell>
          <cell r="B6626">
            <v>2014</v>
          </cell>
          <cell r="C6626" t="str">
            <v>maconz</v>
          </cell>
          <cell r="D6626">
            <v>3.6587610244750977</v>
          </cell>
          <cell r="F6626" t="str">
            <v>14 Aug 2024</v>
          </cell>
        </row>
        <row r="6627">
          <cell r="A6627" t="str">
            <v>LKA</v>
          </cell>
          <cell r="B6627">
            <v>2005</v>
          </cell>
          <cell r="C6627" t="str">
            <v>malabz</v>
          </cell>
          <cell r="D6627">
            <v>0</v>
          </cell>
          <cell r="F6627" t="str">
            <v>14 Aug 2024</v>
          </cell>
        </row>
        <row r="6628">
          <cell r="A6628" t="str">
            <v>LKA</v>
          </cell>
          <cell r="B6628">
            <v>2017</v>
          </cell>
          <cell r="C6628" t="str">
            <v>mar_srvfc</v>
          </cell>
          <cell r="D6628">
            <v>57.482032775878906</v>
          </cell>
          <cell r="F6628" t="str">
            <v>14 Aug 2024</v>
          </cell>
        </row>
        <row r="6629">
          <cell r="A6629" t="str">
            <v>LKA</v>
          </cell>
          <cell r="B6629">
            <v>2021</v>
          </cell>
          <cell r="C6629" t="str">
            <v>mapanusatls</v>
          </cell>
          <cell r="D6629">
            <v>198.88241577148438</v>
          </cell>
          <cell r="F6629" t="str">
            <v>14 Aug 2024</v>
          </cell>
        </row>
        <row r="6630">
          <cell r="A6630" t="str">
            <v>LKA</v>
          </cell>
          <cell r="B6630">
            <v>2019</v>
          </cell>
          <cell r="C6630" t="str">
            <v>mar_con</v>
          </cell>
          <cell r="D6630">
            <v>62.276985168457031</v>
          </cell>
          <cell r="F6630" t="str">
            <v>14 Aug 2024</v>
          </cell>
        </row>
        <row r="6631">
          <cell r="A6631" t="str">
            <v>LKA</v>
          </cell>
          <cell r="B6631">
            <v>2005</v>
          </cell>
          <cell r="C6631" t="str">
            <v>mar_expz</v>
          </cell>
          <cell r="D6631">
            <v>24.964826583862305</v>
          </cell>
          <cell r="F6631" t="str">
            <v>14 Aug 2024</v>
          </cell>
        </row>
        <row r="6632">
          <cell r="A6632" t="str">
            <v>LKA</v>
          </cell>
          <cell r="B6632">
            <v>2008</v>
          </cell>
          <cell r="C6632" t="str">
            <v>mafdi_</v>
          </cell>
          <cell r="D6632">
            <v>-1.6959846019744873</v>
          </cell>
          <cell r="F6632" t="str">
            <v>14 Aug 2024</v>
          </cell>
        </row>
        <row r="6633">
          <cell r="A6633" t="str">
            <v>LKA</v>
          </cell>
          <cell r="B6633">
            <v>2023</v>
          </cell>
          <cell r="C6633" t="str">
            <v>magovz</v>
          </cell>
          <cell r="D6633">
            <v>-2.70979905128479</v>
          </cell>
          <cell r="F6633" t="str">
            <v>14 Aug 2024</v>
          </cell>
        </row>
        <row r="6634">
          <cell r="A6634" t="str">
            <v>LKA</v>
          </cell>
          <cell r="B6634">
            <v>2009</v>
          </cell>
          <cell r="C6634" t="str">
            <v>magap_</v>
          </cell>
          <cell r="D6634">
            <v>-4.0234546661376953</v>
          </cell>
          <cell r="F6634" t="str">
            <v>14 Aug 2024</v>
          </cell>
        </row>
        <row r="6635">
          <cell r="A6635" t="str">
            <v>LKA</v>
          </cell>
          <cell r="B6635">
            <v>2019</v>
          </cell>
          <cell r="C6635" t="str">
            <v>maindfc</v>
          </cell>
          <cell r="D6635">
            <v>-4.0897297859191895</v>
          </cell>
          <cell r="F6635" t="str">
            <v>14 Aug 2024</v>
          </cell>
        </row>
        <row r="6636">
          <cell r="A6636" t="str">
            <v>LKA</v>
          </cell>
          <cell r="B6636">
            <v>2007</v>
          </cell>
          <cell r="C6636" t="str">
            <v>maagrfc</v>
          </cell>
          <cell r="D6636">
            <v>3.3922150135040283</v>
          </cell>
          <cell r="F6636" t="str">
            <v>14 Aug 2024</v>
          </cell>
        </row>
        <row r="6637">
          <cell r="A6637" t="str">
            <v>LKA</v>
          </cell>
          <cell r="B6637">
            <v>2005</v>
          </cell>
          <cell r="C6637" t="str">
            <v>mar_taxfc</v>
          </cell>
          <cell r="D6637">
            <v>11.526199340820313</v>
          </cell>
          <cell r="F6637" t="str">
            <v>14 Aug 2024</v>
          </cell>
        </row>
        <row r="6638">
          <cell r="A6638" t="str">
            <v>LKA</v>
          </cell>
          <cell r="B6638">
            <v>2020</v>
          </cell>
          <cell r="C6638" t="str">
            <v>mainvz</v>
          </cell>
          <cell r="D6638">
            <v>-7.8802390098571777</v>
          </cell>
          <cell r="F6638" t="str">
            <v>14 Aug 2024</v>
          </cell>
        </row>
        <row r="6639">
          <cell r="A6639" t="str">
            <v>LKA</v>
          </cell>
          <cell r="B6639">
            <v>2005</v>
          </cell>
          <cell r="C6639" t="str">
            <v>masrvfc</v>
          </cell>
          <cell r="D6639">
            <v>6.3976354598999023</v>
          </cell>
          <cell r="F6639" t="str">
            <v>14 Aug 2024</v>
          </cell>
        </row>
        <row r="6640">
          <cell r="A6640" t="str">
            <v>LKA</v>
          </cell>
          <cell r="B6640">
            <v>2006</v>
          </cell>
          <cell r="C6640" t="str">
            <v>mac_tfpz</v>
          </cell>
          <cell r="D6640">
            <v>1.8780076503753662</v>
          </cell>
          <cell r="F6640" t="str">
            <v>14 Aug 2024</v>
          </cell>
        </row>
        <row r="6641">
          <cell r="A6641" t="str">
            <v>LKA</v>
          </cell>
          <cell r="B6641">
            <v>2019</v>
          </cell>
          <cell r="C6641" t="str">
            <v>macpiz</v>
          </cell>
          <cell r="D6641">
            <v>4.3000001907348633</v>
          </cell>
          <cell r="F6641" t="str">
            <v>14 Aug 2024</v>
          </cell>
        </row>
        <row r="6642">
          <cell r="A6642" t="str">
            <v>LKA</v>
          </cell>
          <cell r="B6642">
            <v>2009</v>
          </cell>
          <cell r="C6642" t="str">
            <v>mar_indfc</v>
          </cell>
          <cell r="D6642">
            <v>29.568794250488281</v>
          </cell>
          <cell r="F6642" t="str">
            <v>14 Aug 2024</v>
          </cell>
        </row>
        <row r="6643">
          <cell r="A6643" t="str">
            <v>LKA</v>
          </cell>
          <cell r="B6643">
            <v>2009</v>
          </cell>
          <cell r="C6643" t="str">
            <v>mac_labz</v>
          </cell>
          <cell r="D6643">
            <v>0.73815125226974487</v>
          </cell>
          <cell r="F6643" t="str">
            <v>14 Aug 2024</v>
          </cell>
        </row>
        <row r="6644">
          <cell r="A6644" t="str">
            <v>LKA</v>
          </cell>
          <cell r="B6644">
            <v>2026</v>
          </cell>
          <cell r="C6644" t="str">
            <v>mareer</v>
          </cell>
          <cell r="D6644">
            <v>87.743934631347656</v>
          </cell>
          <cell r="F6644" t="str">
            <v>14 Aug 2024</v>
          </cell>
        </row>
        <row r="6645">
          <cell r="A6645" t="str">
            <v>LKA</v>
          </cell>
          <cell r="B6645">
            <v>2024</v>
          </cell>
          <cell r="C6645" t="str">
            <v>matfpz</v>
          </cell>
          <cell r="D6645">
            <v>-1.7889399528503418</v>
          </cell>
          <cell r="F6645" t="str">
            <v>14 Aug 2024</v>
          </cell>
        </row>
        <row r="6646">
          <cell r="A6646" t="str">
            <v>LKA</v>
          </cell>
          <cell r="B6646">
            <v>2025</v>
          </cell>
          <cell r="C6646" t="str">
            <v>maexpz</v>
          </cell>
          <cell r="D6646">
            <v>2.6603233814239502</v>
          </cell>
          <cell r="F6646" t="str">
            <v>14 Aug 2024</v>
          </cell>
        </row>
        <row r="6647">
          <cell r="A6647" t="str">
            <v>LKA</v>
          </cell>
          <cell r="B6647">
            <v>2006</v>
          </cell>
          <cell r="C6647" t="str">
            <v>malabz</v>
          </cell>
          <cell r="D6647">
            <v>1.1309850215911865</v>
          </cell>
          <cell r="F6647" t="str">
            <v>14 Aug 2024</v>
          </cell>
        </row>
        <row r="6648">
          <cell r="A6648" t="str">
            <v>LKA</v>
          </cell>
          <cell r="B6648">
            <v>2011</v>
          </cell>
          <cell r="C6648" t="str">
            <v>magap_</v>
          </cell>
          <cell r="D6648">
            <v>-2.5714747905731201</v>
          </cell>
          <cell r="F6648" t="str">
            <v>14 Aug 2024</v>
          </cell>
        </row>
        <row r="6649">
          <cell r="A6649" t="str">
            <v>LKA</v>
          </cell>
          <cell r="B6649">
            <v>2009</v>
          </cell>
          <cell r="C6649" t="str">
            <v>malabz</v>
          </cell>
          <cell r="D6649">
            <v>1.0545017719268799</v>
          </cell>
          <cell r="F6649" t="str">
            <v>14 Aug 2024</v>
          </cell>
        </row>
        <row r="6650">
          <cell r="A6650" t="str">
            <v>LKA</v>
          </cell>
          <cell r="B6650">
            <v>2019</v>
          </cell>
          <cell r="C6650" t="str">
            <v>mac_labz</v>
          </cell>
          <cell r="D6650">
            <v>0.71584218740463257</v>
          </cell>
          <cell r="F6650" t="str">
            <v>14 Aug 2024</v>
          </cell>
        </row>
        <row r="6651">
          <cell r="A6651" t="str">
            <v>LKA</v>
          </cell>
          <cell r="B6651">
            <v>2016</v>
          </cell>
          <cell r="C6651" t="str">
            <v>macab_</v>
          </cell>
          <cell r="D6651">
            <v>-1.9807491302490234</v>
          </cell>
          <cell r="F6651" t="str">
            <v>14 Aug 2024</v>
          </cell>
        </row>
        <row r="6652">
          <cell r="A6652" t="str">
            <v>LKA</v>
          </cell>
          <cell r="B6652">
            <v>2015</v>
          </cell>
          <cell r="C6652" t="str">
            <v>mac_tfpz</v>
          </cell>
          <cell r="D6652">
            <v>2.8405187129974365</v>
          </cell>
          <cell r="F6652" t="str">
            <v>14 Aug 2024</v>
          </cell>
        </row>
        <row r="6653">
          <cell r="A6653" t="str">
            <v>LKA</v>
          </cell>
          <cell r="B6653">
            <v>2015</v>
          </cell>
          <cell r="C6653" t="str">
            <v>maimpz</v>
          </cell>
          <cell r="D6653">
            <v>35.658123016357422</v>
          </cell>
          <cell r="F6653" t="str">
            <v>14 Aug 2024</v>
          </cell>
        </row>
        <row r="6654">
          <cell r="A6654" t="str">
            <v>LKA</v>
          </cell>
          <cell r="B6654">
            <v>2016</v>
          </cell>
          <cell r="C6654" t="str">
            <v>matfpz</v>
          </cell>
          <cell r="D6654">
            <v>2.3624446392059326</v>
          </cell>
          <cell r="F6654" t="str">
            <v>14 Aug 2024</v>
          </cell>
        </row>
        <row r="6655">
          <cell r="A6655" t="str">
            <v>LKA</v>
          </cell>
          <cell r="B6655">
            <v>2022</v>
          </cell>
          <cell r="C6655" t="str">
            <v>macpiz</v>
          </cell>
          <cell r="D6655">
            <v>46.400001525878906</v>
          </cell>
          <cell r="F6655" t="str">
            <v>14 Aug 2024</v>
          </cell>
        </row>
        <row r="6656">
          <cell r="A6656" t="str">
            <v>LKA</v>
          </cell>
          <cell r="B6656">
            <v>2019</v>
          </cell>
          <cell r="C6656" t="str">
            <v>mar_taxfc</v>
          </cell>
          <cell r="D6656">
            <v>8.3338947296142578</v>
          </cell>
          <cell r="F6656" t="str">
            <v>14 Aug 2024</v>
          </cell>
        </row>
        <row r="6657">
          <cell r="A6657" t="str">
            <v>LKA</v>
          </cell>
          <cell r="B6657">
            <v>2018</v>
          </cell>
          <cell r="C6657" t="str">
            <v>magovz</v>
          </cell>
          <cell r="D6657">
            <v>18.702785491943359</v>
          </cell>
          <cell r="F6657" t="str">
            <v>14 Aug 2024</v>
          </cell>
        </row>
        <row r="6658">
          <cell r="A6658" t="str">
            <v>LKA</v>
          </cell>
          <cell r="B6658">
            <v>2026</v>
          </cell>
          <cell r="C6658" t="str">
            <v>mar_agrfc</v>
          </cell>
          <cell r="D6658">
            <v>8.1293821334838867</v>
          </cell>
          <cell r="F6658" t="str">
            <v>14 Aug 2024</v>
          </cell>
        </row>
        <row r="6659">
          <cell r="A6659" t="str">
            <v>LKA</v>
          </cell>
          <cell r="B6659">
            <v>2017</v>
          </cell>
          <cell r="C6659" t="str">
            <v>masrvfc</v>
          </cell>
          <cell r="D6659">
            <v>3.6490380764007568</v>
          </cell>
          <cell r="F6659" t="str">
            <v>14 Aug 2024</v>
          </cell>
        </row>
        <row r="6660">
          <cell r="A6660" t="str">
            <v>LKA</v>
          </cell>
          <cell r="B6660">
            <v>2018</v>
          </cell>
          <cell r="C6660" t="str">
            <v>magap_</v>
          </cell>
          <cell r="D6660">
            <v>2.5106587409973145</v>
          </cell>
          <cell r="F6660" t="str">
            <v>14 Aug 2024</v>
          </cell>
        </row>
        <row r="6661">
          <cell r="A6661" t="str">
            <v>LKA</v>
          </cell>
          <cell r="B6661">
            <v>2025</v>
          </cell>
          <cell r="C6661" t="str">
            <v>mainvz</v>
          </cell>
          <cell r="D6661">
            <v>3.1292333602905273</v>
          </cell>
          <cell r="F6661" t="str">
            <v>14 Aug 2024</v>
          </cell>
        </row>
        <row r="6662">
          <cell r="A6662" t="str">
            <v>LKA</v>
          </cell>
          <cell r="B6662">
            <v>2006</v>
          </cell>
          <cell r="C6662" t="str">
            <v>magovz</v>
          </cell>
          <cell r="D6662">
            <v>9.5827436447143555</v>
          </cell>
          <cell r="F6662" t="str">
            <v>14 Aug 2024</v>
          </cell>
        </row>
        <row r="6663">
          <cell r="A6663" t="str">
            <v>LKA</v>
          </cell>
          <cell r="B6663">
            <v>2016</v>
          </cell>
          <cell r="C6663" t="str">
            <v>mar_impz</v>
          </cell>
          <cell r="D6663">
            <v>27.522491455078125</v>
          </cell>
          <cell r="F6663" t="str">
            <v>14 Aug 2024</v>
          </cell>
        </row>
        <row r="6664">
          <cell r="A6664" t="str">
            <v>LKA</v>
          </cell>
          <cell r="B6664">
            <v>2017</v>
          </cell>
          <cell r="C6664" t="str">
            <v>matfpz</v>
          </cell>
          <cell r="D6664">
            <v>1.8436561822891235</v>
          </cell>
          <cell r="F6664" t="str">
            <v>14 Aug 2024</v>
          </cell>
        </row>
        <row r="6665">
          <cell r="A6665" t="str">
            <v>LKA</v>
          </cell>
          <cell r="B6665">
            <v>2024</v>
          </cell>
          <cell r="C6665" t="str">
            <v>mafdi_</v>
          </cell>
          <cell r="D6665">
            <v>-0.79509997367858887</v>
          </cell>
          <cell r="F6665" t="str">
            <v>14 Aug 2024</v>
          </cell>
        </row>
        <row r="6666">
          <cell r="A6666" t="str">
            <v>LKA</v>
          </cell>
          <cell r="B6666">
            <v>2010</v>
          </cell>
          <cell r="C6666" t="str">
            <v>magap_</v>
          </cell>
          <cell r="D6666">
            <v>-3.2998557090759277</v>
          </cell>
          <cell r="F6666" t="str">
            <v>14 Aug 2024</v>
          </cell>
        </row>
        <row r="6667">
          <cell r="A6667" t="str">
            <v>LKA</v>
          </cell>
          <cell r="B6667">
            <v>2014</v>
          </cell>
          <cell r="C6667" t="str">
            <v>maagrfc</v>
          </cell>
          <cell r="D6667">
            <v>4.5807738304138184</v>
          </cell>
          <cell r="F6667" t="str">
            <v>14 Aug 2024</v>
          </cell>
        </row>
        <row r="6668">
          <cell r="A6668" t="str">
            <v>LKA</v>
          </cell>
          <cell r="B6668">
            <v>2007</v>
          </cell>
          <cell r="C6668" t="str">
            <v>macab_</v>
          </cell>
          <cell r="D6668">
            <v>-4.3310332298278809</v>
          </cell>
          <cell r="F6668" t="str">
            <v>14 Aug 2024</v>
          </cell>
        </row>
        <row r="6669">
          <cell r="A6669" t="str">
            <v>LKA</v>
          </cell>
          <cell r="B6669">
            <v>2017</v>
          </cell>
          <cell r="C6669" t="str">
            <v>maindfc</v>
          </cell>
          <cell r="D6669">
            <v>12.961669921875</v>
          </cell>
          <cell r="F6669" t="str">
            <v>14 Aug 2024</v>
          </cell>
        </row>
        <row r="6670">
          <cell r="A6670" t="str">
            <v>LKA</v>
          </cell>
          <cell r="B6670">
            <v>2017</v>
          </cell>
          <cell r="C6670" t="str">
            <v>magdpz</v>
          </cell>
          <cell r="D6670">
            <v>6.4606800079345703</v>
          </cell>
          <cell r="F6670" t="str">
            <v>14 Aug 2024</v>
          </cell>
        </row>
        <row r="6671">
          <cell r="A6671" t="str">
            <v>LKA</v>
          </cell>
          <cell r="B6671">
            <v>2022</v>
          </cell>
          <cell r="C6671" t="str">
            <v>matfpz</v>
          </cell>
          <cell r="D6671">
            <v>-3.8509190082550049</v>
          </cell>
          <cell r="F6671" t="str">
            <v>14 Aug 2024</v>
          </cell>
        </row>
        <row r="6672">
          <cell r="A6672" t="str">
            <v>LKA</v>
          </cell>
          <cell r="B6672">
            <v>2017</v>
          </cell>
          <cell r="C6672" t="str">
            <v>maconz</v>
          </cell>
          <cell r="D6672">
            <v>-0.60509681701660156</v>
          </cell>
          <cell r="F6672" t="str">
            <v>14 Aug 2024</v>
          </cell>
        </row>
        <row r="6673">
          <cell r="A6673" t="str">
            <v>LKA</v>
          </cell>
          <cell r="B6673">
            <v>2007</v>
          </cell>
          <cell r="C6673" t="str">
            <v>magdpz</v>
          </cell>
          <cell r="D6673">
            <v>6.7968258857727051</v>
          </cell>
          <cell r="F6673" t="str">
            <v>14 Aug 2024</v>
          </cell>
        </row>
        <row r="6674">
          <cell r="A6674" t="str">
            <v>LKA</v>
          </cell>
          <cell r="B6674">
            <v>2015</v>
          </cell>
          <cell r="C6674" t="str">
            <v>madeficit_</v>
          </cell>
          <cell r="D6674">
            <v>-7.1712965965270996</v>
          </cell>
          <cell r="F6674" t="str">
            <v>14 Aug 2024</v>
          </cell>
        </row>
        <row r="6675">
          <cell r="A6675" t="str">
            <v>LKA</v>
          </cell>
          <cell r="B6675">
            <v>2007</v>
          </cell>
          <cell r="C6675" t="str">
            <v>magovz</v>
          </cell>
          <cell r="D6675">
            <v>7.4066743850708008</v>
          </cell>
          <cell r="F6675" t="str">
            <v>14 Aug 2024</v>
          </cell>
        </row>
        <row r="6676">
          <cell r="A6676" t="str">
            <v>LKA</v>
          </cell>
          <cell r="B6676">
            <v>2007</v>
          </cell>
          <cell r="C6676" t="str">
            <v>maimpz</v>
          </cell>
          <cell r="D6676">
            <v>3.7332279682159424</v>
          </cell>
          <cell r="F6676" t="str">
            <v>14 Aug 2024</v>
          </cell>
        </row>
        <row r="6677">
          <cell r="A6677" t="str">
            <v>LKA</v>
          </cell>
          <cell r="B6677">
            <v>2006</v>
          </cell>
          <cell r="C6677" t="str">
            <v>mar_impz</v>
          </cell>
          <cell r="D6677">
            <v>30.87567138671875</v>
          </cell>
          <cell r="F6677" t="str">
            <v>14 Aug 2024</v>
          </cell>
        </row>
        <row r="6678">
          <cell r="A6678" t="str">
            <v>LKA</v>
          </cell>
          <cell r="B6678">
            <v>2021</v>
          </cell>
          <cell r="C6678" t="str">
            <v>mainvz</v>
          </cell>
          <cell r="D6678">
            <v>6.2910103797912598</v>
          </cell>
          <cell r="F6678" t="str">
            <v>14 Aug 2024</v>
          </cell>
        </row>
        <row r="6679">
          <cell r="A6679" t="str">
            <v>LKA</v>
          </cell>
          <cell r="B6679">
            <v>2024</v>
          </cell>
          <cell r="C6679" t="str">
            <v>mar_agrfc</v>
          </cell>
          <cell r="D6679">
            <v>8.3318939208984375</v>
          </cell>
          <cell r="F6679" t="str">
            <v>14 Aug 2024</v>
          </cell>
        </row>
        <row r="6680">
          <cell r="A6680" t="str">
            <v>LKA</v>
          </cell>
          <cell r="B6680">
            <v>2008</v>
          </cell>
          <cell r="C6680" t="str">
            <v>malabz</v>
          </cell>
          <cell r="D6680">
            <v>1.1345672607421875</v>
          </cell>
          <cell r="F6680" t="str">
            <v>14 Aug 2024</v>
          </cell>
        </row>
        <row r="6681">
          <cell r="A6681" t="str">
            <v>LKA</v>
          </cell>
          <cell r="B6681">
            <v>2025</v>
          </cell>
          <cell r="C6681" t="str">
            <v>macab_</v>
          </cell>
          <cell r="D6681">
            <v>-0.20899888873100281</v>
          </cell>
          <cell r="F6681" t="str">
            <v>14 Aug 2024</v>
          </cell>
        </row>
        <row r="6682">
          <cell r="A6682" t="str">
            <v>LKA</v>
          </cell>
          <cell r="B6682">
            <v>2016</v>
          </cell>
          <cell r="C6682" t="str">
            <v>mar_con</v>
          </cell>
          <cell r="D6682">
            <v>62.621971130371094</v>
          </cell>
          <cell r="F6682" t="str">
            <v>14 Aug 2024</v>
          </cell>
        </row>
        <row r="6683">
          <cell r="A6683" t="str">
            <v>LKA</v>
          </cell>
          <cell r="B6683">
            <v>2016</v>
          </cell>
          <cell r="C6683" t="str">
            <v>maimpz</v>
          </cell>
          <cell r="D6683">
            <v>6.9891138076782227</v>
          </cell>
          <cell r="F6683" t="str">
            <v>14 Aug 2024</v>
          </cell>
        </row>
        <row r="6684">
          <cell r="A6684" t="str">
            <v>LKA</v>
          </cell>
          <cell r="B6684">
            <v>2016</v>
          </cell>
          <cell r="C6684" t="str">
            <v>mar_srvfc</v>
          </cell>
          <cell r="D6684">
            <v>58.936042785644531</v>
          </cell>
          <cell r="F6684" t="str">
            <v>14 Aug 2024</v>
          </cell>
        </row>
        <row r="6685">
          <cell r="A6685" t="str">
            <v>LKA</v>
          </cell>
          <cell r="B6685">
            <v>2026</v>
          </cell>
          <cell r="C6685" t="str">
            <v>malabz</v>
          </cell>
          <cell r="D6685">
            <v>0.62656527757644653</v>
          </cell>
          <cell r="F6685" t="str">
            <v>14 Aug 2024</v>
          </cell>
        </row>
        <row r="6686">
          <cell r="A6686" t="str">
            <v>LKA</v>
          </cell>
          <cell r="B6686">
            <v>2007</v>
          </cell>
          <cell r="C6686" t="str">
            <v>mar_indfc</v>
          </cell>
          <cell r="D6686">
            <v>29.377439498901367</v>
          </cell>
          <cell r="F6686" t="str">
            <v>14 Aug 2024</v>
          </cell>
        </row>
        <row r="6687">
          <cell r="A6687" t="str">
            <v>LKA</v>
          </cell>
          <cell r="B6687">
            <v>2007</v>
          </cell>
          <cell r="C6687" t="str">
            <v>mar_agrfc</v>
          </cell>
          <cell r="D6687">
            <v>9.4459762573242188</v>
          </cell>
          <cell r="F6687" t="str">
            <v>14 Aug 2024</v>
          </cell>
        </row>
        <row r="6688">
          <cell r="A6688" t="str">
            <v>LKA</v>
          </cell>
          <cell r="B6688">
            <v>2017</v>
          </cell>
          <cell r="C6688" t="str">
            <v>mataxfc</v>
          </cell>
          <cell r="D6688">
            <v>8.5606164932250977</v>
          </cell>
          <cell r="F6688" t="str">
            <v>14 Aug 2024</v>
          </cell>
        </row>
        <row r="6689">
          <cell r="A6689" t="str">
            <v>LKA</v>
          </cell>
          <cell r="B6689">
            <v>2026</v>
          </cell>
          <cell r="C6689" t="str">
            <v>mar_srvfc</v>
          </cell>
          <cell r="D6689">
            <v>64.774925231933594</v>
          </cell>
          <cell r="F6689" t="str">
            <v>14 Aug 2024</v>
          </cell>
        </row>
        <row r="6690">
          <cell r="A6690" t="str">
            <v>LKA</v>
          </cell>
          <cell r="B6690">
            <v>2011</v>
          </cell>
          <cell r="C6690" t="str">
            <v>mafdi_</v>
          </cell>
          <cell r="D6690">
            <v>-1.372158408164978</v>
          </cell>
          <cell r="F6690" t="str">
            <v>14 Aug 2024</v>
          </cell>
        </row>
        <row r="6691">
          <cell r="A6691" t="str">
            <v>LKA</v>
          </cell>
          <cell r="B6691">
            <v>2026</v>
          </cell>
          <cell r="C6691" t="str">
            <v>mainvz</v>
          </cell>
          <cell r="D6691">
            <v>3.9046125411987305</v>
          </cell>
          <cell r="F6691" t="str">
            <v>14 Aug 2024</v>
          </cell>
        </row>
        <row r="6692">
          <cell r="A6692" t="str">
            <v>LKA</v>
          </cell>
          <cell r="B6692">
            <v>2009</v>
          </cell>
          <cell r="C6692" t="str">
            <v>maindfc</v>
          </cell>
          <cell r="D6692">
            <v>4.2120556831359863</v>
          </cell>
          <cell r="F6692" t="str">
            <v>14 Aug 2024</v>
          </cell>
        </row>
        <row r="6693">
          <cell r="A6693" t="str">
            <v>LKA</v>
          </cell>
          <cell r="B6693">
            <v>2006</v>
          </cell>
          <cell r="C6693" t="str">
            <v>matfpz</v>
          </cell>
          <cell r="D6693">
            <v>1.8780076503753662</v>
          </cell>
          <cell r="F6693" t="str">
            <v>14 Aug 2024</v>
          </cell>
        </row>
        <row r="6694">
          <cell r="A6694" t="str">
            <v>LKA</v>
          </cell>
          <cell r="B6694">
            <v>2021</v>
          </cell>
          <cell r="C6694" t="str">
            <v>malabz</v>
          </cell>
          <cell r="D6694">
            <v>1.574083685874939</v>
          </cell>
          <cell r="F6694" t="str">
            <v>14 Aug 2024</v>
          </cell>
        </row>
        <row r="6695">
          <cell r="A6695" t="str">
            <v>LKA</v>
          </cell>
          <cell r="B6695">
            <v>2006</v>
          </cell>
          <cell r="C6695" t="str">
            <v>macpiz</v>
          </cell>
          <cell r="D6695">
            <v>10.020188331604004</v>
          </cell>
          <cell r="F6695" t="str">
            <v>14 Aug 2024</v>
          </cell>
        </row>
        <row r="6696">
          <cell r="A6696" t="str">
            <v>LKA</v>
          </cell>
          <cell r="B6696">
            <v>2025</v>
          </cell>
          <cell r="C6696" t="str">
            <v>madeficit_</v>
          </cell>
          <cell r="D6696">
            <v>-10.823940277099609</v>
          </cell>
          <cell r="F6696" t="str">
            <v>14 Aug 2024</v>
          </cell>
        </row>
        <row r="6697">
          <cell r="A6697" t="str">
            <v>LKA</v>
          </cell>
          <cell r="B6697">
            <v>2010</v>
          </cell>
          <cell r="C6697" t="str">
            <v>mar_indfc</v>
          </cell>
          <cell r="D6697">
            <v>29.67759895324707</v>
          </cell>
          <cell r="F6697" t="str">
            <v>14 Aug 2024</v>
          </cell>
        </row>
        <row r="6698">
          <cell r="A6698" t="str">
            <v>LKA</v>
          </cell>
          <cell r="B6698">
            <v>2006</v>
          </cell>
          <cell r="C6698" t="str">
            <v>mapanusatls</v>
          </cell>
          <cell r="D6698">
            <v>103.91439819335938</v>
          </cell>
          <cell r="F6698" t="str">
            <v>14 Aug 2024</v>
          </cell>
        </row>
        <row r="6699">
          <cell r="A6699" t="str">
            <v>LKA</v>
          </cell>
          <cell r="B6699">
            <v>2007</v>
          </cell>
          <cell r="C6699" t="str">
            <v>macpiz</v>
          </cell>
          <cell r="D6699">
            <v>15.842205047607422</v>
          </cell>
          <cell r="F6699" t="str">
            <v>14 Aug 2024</v>
          </cell>
        </row>
        <row r="6700">
          <cell r="A6700" t="str">
            <v>LKA</v>
          </cell>
          <cell r="B6700">
            <v>2023</v>
          </cell>
          <cell r="C6700" t="str">
            <v>matfpz</v>
          </cell>
          <cell r="D6700">
            <v>-2.3171484470367432</v>
          </cell>
          <cell r="F6700" t="str">
            <v>14 Aug 2024</v>
          </cell>
        </row>
        <row r="6701">
          <cell r="A6701" t="str">
            <v>LKA</v>
          </cell>
          <cell r="B6701">
            <v>2013</v>
          </cell>
          <cell r="C6701" t="str">
            <v>maimpz</v>
          </cell>
          <cell r="D6701">
            <v>-1.5297907590866089</v>
          </cell>
          <cell r="F6701" t="str">
            <v>14 Aug 2024</v>
          </cell>
        </row>
        <row r="6702">
          <cell r="A6702" t="str">
            <v>LKA</v>
          </cell>
          <cell r="B6702">
            <v>2011</v>
          </cell>
          <cell r="C6702" t="str">
            <v>maindfc</v>
          </cell>
          <cell r="D6702">
            <v>9.2505731582641602</v>
          </cell>
          <cell r="F6702" t="str">
            <v>14 Aug 2024</v>
          </cell>
        </row>
        <row r="6703">
          <cell r="A6703" t="str">
            <v>LKA</v>
          </cell>
          <cell r="B6703">
            <v>2022</v>
          </cell>
          <cell r="C6703" t="str">
            <v>mar_expz</v>
          </cell>
          <cell r="D6703">
            <v>19.574857711791992</v>
          </cell>
          <cell r="F6703" t="str">
            <v>14 Aug 2024</v>
          </cell>
        </row>
        <row r="6704">
          <cell r="A6704" t="str">
            <v>LKA</v>
          </cell>
          <cell r="B6704">
            <v>2013</v>
          </cell>
          <cell r="C6704" t="str">
            <v>mar_srvfc</v>
          </cell>
          <cell r="D6704">
            <v>61.734828948974609</v>
          </cell>
          <cell r="F6704" t="str">
            <v>14 Aug 2024</v>
          </cell>
        </row>
        <row r="6705">
          <cell r="A6705" t="str">
            <v>LKA</v>
          </cell>
          <cell r="B6705">
            <v>2014</v>
          </cell>
          <cell r="C6705" t="str">
            <v>magap_</v>
          </cell>
          <cell r="D6705">
            <v>-9.8993930816650391</v>
          </cell>
          <cell r="F6705" t="str">
            <v>14 Aug 2024</v>
          </cell>
        </row>
        <row r="6706">
          <cell r="A6706" t="str">
            <v>LKA</v>
          </cell>
          <cell r="B6706">
            <v>2026</v>
          </cell>
          <cell r="C6706" t="str">
            <v>mapanusatls</v>
          </cell>
          <cell r="D6706">
            <v>360.6719970703125</v>
          </cell>
          <cell r="F6706" t="str">
            <v>14 Aug 2024</v>
          </cell>
        </row>
        <row r="6707">
          <cell r="A6707" t="str">
            <v>LKA</v>
          </cell>
          <cell r="B6707">
            <v>2013</v>
          </cell>
          <cell r="C6707" t="str">
            <v>maconz</v>
          </cell>
          <cell r="D6707">
            <v>7.7945594787597656</v>
          </cell>
          <cell r="F6707" t="str">
            <v>14 Aug 2024</v>
          </cell>
        </row>
        <row r="6708">
          <cell r="A6708" t="str">
            <v>LKA</v>
          </cell>
          <cell r="B6708">
            <v>2022</v>
          </cell>
          <cell r="C6708" t="str">
            <v>magovz</v>
          </cell>
          <cell r="D6708">
            <v>1.3871538639068604</v>
          </cell>
          <cell r="F6708" t="str">
            <v>14 Aug 2024</v>
          </cell>
        </row>
        <row r="6709">
          <cell r="A6709" t="str">
            <v>LKA</v>
          </cell>
          <cell r="B6709">
            <v>2010</v>
          </cell>
          <cell r="C6709" t="str">
            <v>mar_taxfc</v>
          </cell>
          <cell r="D6709">
            <v>11.385075569152832</v>
          </cell>
          <cell r="F6709" t="str">
            <v>14 Aug 2024</v>
          </cell>
        </row>
        <row r="6710">
          <cell r="A6710" t="str">
            <v>LKA</v>
          </cell>
          <cell r="B6710">
            <v>2017</v>
          </cell>
          <cell r="C6710" t="str">
            <v>madebt_</v>
          </cell>
          <cell r="D6710">
            <v>78.565864562988281</v>
          </cell>
          <cell r="F6710" t="str">
            <v>14 Aug 2024</v>
          </cell>
        </row>
        <row r="6711">
          <cell r="A6711" t="str">
            <v>LKA</v>
          </cell>
          <cell r="B6711">
            <v>2018</v>
          </cell>
          <cell r="C6711" t="str">
            <v>mar_expz</v>
          </cell>
          <cell r="D6711">
            <v>20.684667587280273</v>
          </cell>
          <cell r="F6711" t="str">
            <v>14 Aug 2024</v>
          </cell>
        </row>
        <row r="6712">
          <cell r="A6712" t="str">
            <v>LKA</v>
          </cell>
          <cell r="B6712">
            <v>2009</v>
          </cell>
          <cell r="C6712" t="str">
            <v>mar_con</v>
          </cell>
          <cell r="D6712">
            <v>67.735382080078125</v>
          </cell>
          <cell r="F6712" t="str">
            <v>14 Aug 2024</v>
          </cell>
        </row>
        <row r="6713">
          <cell r="A6713" t="str">
            <v>LKA</v>
          </cell>
          <cell r="B6713">
            <v>2012</v>
          </cell>
          <cell r="C6713" t="str">
            <v>mar_taxfc</v>
          </cell>
          <cell r="D6713">
            <v>10.402420043945313</v>
          </cell>
          <cell r="F6713" t="str">
            <v>14 Aug 2024</v>
          </cell>
        </row>
        <row r="6714">
          <cell r="A6714" t="str">
            <v>LKA</v>
          </cell>
          <cell r="B6714">
            <v>2023</v>
          </cell>
          <cell r="C6714" t="str">
            <v>mapanusatls</v>
          </cell>
          <cell r="D6714">
            <v>327.53298950195313</v>
          </cell>
          <cell r="F6714" t="str">
            <v>14 Aug 2024</v>
          </cell>
        </row>
        <row r="6715">
          <cell r="A6715" t="str">
            <v>LKA</v>
          </cell>
          <cell r="B6715">
            <v>2012</v>
          </cell>
          <cell r="C6715" t="str">
            <v>magap_</v>
          </cell>
          <cell r="D6715">
            <v>-2.1001265048980713</v>
          </cell>
          <cell r="F6715" t="str">
            <v>14 Aug 2024</v>
          </cell>
        </row>
        <row r="6716">
          <cell r="A6716" t="str">
            <v>LKA</v>
          </cell>
          <cell r="B6716">
            <v>2025</v>
          </cell>
          <cell r="C6716" t="str">
            <v>mar_indfc</v>
          </cell>
          <cell r="D6716">
            <v>27.133329391479492</v>
          </cell>
          <cell r="F6716" t="str">
            <v>14 Aug 2024</v>
          </cell>
        </row>
        <row r="6717">
          <cell r="A6717" t="str">
            <v>LKA</v>
          </cell>
          <cell r="B6717">
            <v>2005</v>
          </cell>
          <cell r="C6717" t="str">
            <v>mar_impz</v>
          </cell>
          <cell r="D6717">
            <v>31.086769104003906</v>
          </cell>
          <cell r="F6717" t="str">
            <v>14 Aug 2024</v>
          </cell>
        </row>
        <row r="6718">
          <cell r="A6718" t="str">
            <v>LKA</v>
          </cell>
          <cell r="B6718">
            <v>2015</v>
          </cell>
          <cell r="C6718" t="str">
            <v>mar_agrfc</v>
          </cell>
          <cell r="D6718">
            <v>8.9350509643554688</v>
          </cell>
          <cell r="F6718" t="str">
            <v>14 Aug 2024</v>
          </cell>
        </row>
        <row r="6719">
          <cell r="A6719" t="str">
            <v>LKA</v>
          </cell>
          <cell r="B6719">
            <v>2007</v>
          </cell>
          <cell r="C6719" t="str">
            <v>mac_tfpz</v>
          </cell>
          <cell r="D6719">
            <v>2.1230716705322266</v>
          </cell>
          <cell r="F6719" t="str">
            <v>14 Aug 2024</v>
          </cell>
        </row>
        <row r="6720">
          <cell r="A6720" t="str">
            <v>LKA</v>
          </cell>
          <cell r="B6720">
            <v>2007</v>
          </cell>
          <cell r="C6720" t="str">
            <v>mapanusatls</v>
          </cell>
          <cell r="D6720">
            <v>110.62319946289063</v>
          </cell>
          <cell r="F6720" t="str">
            <v>14 Aug 2024</v>
          </cell>
        </row>
        <row r="6721">
          <cell r="A6721" t="str">
            <v>LKA</v>
          </cell>
          <cell r="B6721">
            <v>2007</v>
          </cell>
          <cell r="C6721" t="str">
            <v>maexpz</v>
          </cell>
          <cell r="D6721">
            <v>7.3272871971130371</v>
          </cell>
          <cell r="F6721" t="str">
            <v>14 Aug 2024</v>
          </cell>
        </row>
        <row r="6722">
          <cell r="A6722" t="str">
            <v>LKA</v>
          </cell>
          <cell r="B6722">
            <v>2010</v>
          </cell>
          <cell r="C6722" t="str">
            <v>mafdi_</v>
          </cell>
          <cell r="D6722">
            <v>-0.76695156097412109</v>
          </cell>
          <cell r="F6722" t="str">
            <v>14 Aug 2024</v>
          </cell>
        </row>
        <row r="6723">
          <cell r="A6723" t="str">
            <v>LKA</v>
          </cell>
          <cell r="B6723">
            <v>2013</v>
          </cell>
          <cell r="C6723" t="str">
            <v>magap_</v>
          </cell>
          <cell r="D6723">
            <v>-6.9412789344787598</v>
          </cell>
          <cell r="F6723" t="str">
            <v>14 Aug 2024</v>
          </cell>
        </row>
        <row r="6724">
          <cell r="A6724" t="str">
            <v>LKA</v>
          </cell>
          <cell r="B6724">
            <v>2018</v>
          </cell>
          <cell r="C6724" t="str">
            <v>madebt_</v>
          </cell>
          <cell r="D6724">
            <v>85.84228515625</v>
          </cell>
          <cell r="F6724" t="str">
            <v>14 Aug 2024</v>
          </cell>
        </row>
        <row r="6725">
          <cell r="A6725" t="str">
            <v>LKA</v>
          </cell>
          <cell r="B6725">
            <v>2024</v>
          </cell>
          <cell r="C6725" t="str">
            <v>maimpz</v>
          </cell>
          <cell r="D6725">
            <v>2.2775809764862061</v>
          </cell>
          <cell r="F6725" t="str">
            <v>14 Aug 2024</v>
          </cell>
        </row>
        <row r="6726">
          <cell r="A6726" t="str">
            <v>LKA</v>
          </cell>
          <cell r="B6726">
            <v>2022</v>
          </cell>
          <cell r="C6726" t="str">
            <v>madeficit_</v>
          </cell>
          <cell r="D6726">
            <v>-10.222696304321289</v>
          </cell>
          <cell r="F6726" t="str">
            <v>14 Aug 2024</v>
          </cell>
        </row>
        <row r="6727">
          <cell r="A6727" t="str">
            <v>LKA</v>
          </cell>
          <cell r="B6727">
            <v>2013</v>
          </cell>
          <cell r="C6727" t="str">
            <v>mar_taxfc</v>
          </cell>
          <cell r="D6727">
            <v>9.9462099075317383</v>
          </cell>
          <cell r="F6727" t="str">
            <v>14 Aug 2024</v>
          </cell>
        </row>
        <row r="6728">
          <cell r="A6728" t="str">
            <v>LKA</v>
          </cell>
          <cell r="B6728">
            <v>2021</v>
          </cell>
          <cell r="C6728" t="str">
            <v>magap_</v>
          </cell>
          <cell r="D6728">
            <v>-4.920051097869873</v>
          </cell>
          <cell r="F6728" t="str">
            <v>14 Aug 2024</v>
          </cell>
        </row>
        <row r="6729">
          <cell r="A6729" t="str">
            <v>LKA</v>
          </cell>
          <cell r="B6729">
            <v>2017</v>
          </cell>
          <cell r="C6729" t="str">
            <v>madeficit_</v>
          </cell>
          <cell r="D6729">
            <v>-5.0981941223144531</v>
          </cell>
          <cell r="F6729" t="str">
            <v>14 Aug 2024</v>
          </cell>
        </row>
        <row r="6730">
          <cell r="A6730" t="str">
            <v>LKA</v>
          </cell>
          <cell r="B6730">
            <v>2009</v>
          </cell>
          <cell r="C6730" t="str">
            <v>mafdi_</v>
          </cell>
          <cell r="D6730">
            <v>-0.91284650564193726</v>
          </cell>
          <cell r="F6730" t="str">
            <v>14 Aug 2024</v>
          </cell>
        </row>
        <row r="6731">
          <cell r="A6731" t="str">
            <v>LKA</v>
          </cell>
          <cell r="B6731">
            <v>2024</v>
          </cell>
          <cell r="C6731" t="str">
            <v>magdpz</v>
          </cell>
          <cell r="D6731">
            <v>2.1845052242279053</v>
          </cell>
          <cell r="F6731" t="str">
            <v>14 Aug 2024</v>
          </cell>
        </row>
        <row r="6732">
          <cell r="A6732" t="str">
            <v>LKA</v>
          </cell>
          <cell r="B6732">
            <v>2005</v>
          </cell>
          <cell r="C6732" t="str">
            <v>mar_agrfc</v>
          </cell>
          <cell r="D6732">
            <v>9.8931541442871094</v>
          </cell>
          <cell r="F6732" t="str">
            <v>14 Aug 2024</v>
          </cell>
        </row>
        <row r="6733">
          <cell r="A6733" t="str">
            <v>LKA</v>
          </cell>
          <cell r="B6733">
            <v>2007</v>
          </cell>
          <cell r="C6733" t="str">
            <v>mareer</v>
          </cell>
          <cell r="D6733">
            <v>81.108283996582031</v>
          </cell>
          <cell r="F6733" t="str">
            <v>14 Aug 2024</v>
          </cell>
        </row>
        <row r="6734">
          <cell r="A6734" t="str">
            <v>LKA</v>
          </cell>
          <cell r="B6734">
            <v>2019</v>
          </cell>
          <cell r="C6734" t="str">
            <v>mar_indfc</v>
          </cell>
          <cell r="D6734">
            <v>32.269210815429688</v>
          </cell>
          <cell r="F6734" t="str">
            <v>14 Aug 2024</v>
          </cell>
        </row>
        <row r="6735">
          <cell r="A6735" t="str">
            <v>LKA</v>
          </cell>
          <cell r="B6735">
            <v>2006</v>
          </cell>
          <cell r="C6735" t="str">
            <v>mar_con</v>
          </cell>
          <cell r="D6735">
            <v>70.355033874511719</v>
          </cell>
          <cell r="F6735" t="str">
            <v>14 Aug 2024</v>
          </cell>
        </row>
        <row r="6736">
          <cell r="A6736" t="str">
            <v>LKA</v>
          </cell>
          <cell r="B6736">
            <v>2010</v>
          </cell>
          <cell r="C6736" t="str">
            <v>mataxfc</v>
          </cell>
          <cell r="D6736">
            <v>7.7474236488342285</v>
          </cell>
          <cell r="F6736" t="str">
            <v>14 Aug 2024</v>
          </cell>
        </row>
        <row r="6737">
          <cell r="A6737" t="str">
            <v>LKA</v>
          </cell>
          <cell r="B6737">
            <v>2020</v>
          </cell>
          <cell r="C6737" t="str">
            <v>magap_</v>
          </cell>
          <cell r="D6737">
            <v>-9.1288843154907227</v>
          </cell>
          <cell r="F6737" t="str">
            <v>14 Aug 2024</v>
          </cell>
        </row>
        <row r="6738">
          <cell r="A6738" t="str">
            <v>LKA</v>
          </cell>
          <cell r="B6738">
            <v>2015</v>
          </cell>
          <cell r="C6738" t="str">
            <v>malabz</v>
          </cell>
          <cell r="D6738">
            <v>0.67774492502212524</v>
          </cell>
          <cell r="F6738" t="str">
            <v>14 Aug 2024</v>
          </cell>
        </row>
        <row r="6739">
          <cell r="A6739" t="str">
            <v>LKA</v>
          </cell>
          <cell r="B6739">
            <v>2006</v>
          </cell>
          <cell r="C6739" t="str">
            <v>mafdi_</v>
          </cell>
          <cell r="D6739">
            <v>-1.5926554203033447</v>
          </cell>
          <cell r="F6739" t="str">
            <v>14 Aug 2024</v>
          </cell>
        </row>
        <row r="6740">
          <cell r="A6740" t="str">
            <v>LKA</v>
          </cell>
          <cell r="B6740">
            <v>2008</v>
          </cell>
          <cell r="C6740" t="str">
            <v>mac_labz</v>
          </cell>
          <cell r="D6740">
            <v>0.79419702291488647</v>
          </cell>
          <cell r="F6740" t="str">
            <v>14 Aug 2024</v>
          </cell>
        </row>
        <row r="6741">
          <cell r="A6741" t="str">
            <v>LKA</v>
          </cell>
          <cell r="B6741">
            <v>2015</v>
          </cell>
          <cell r="C6741" t="str">
            <v>mar_con</v>
          </cell>
          <cell r="D6741">
            <v>63.944747924804688</v>
          </cell>
          <cell r="F6741" t="str">
            <v>14 Aug 2024</v>
          </cell>
        </row>
        <row r="6742">
          <cell r="A6742" t="str">
            <v>LKA</v>
          </cell>
          <cell r="B6742">
            <v>2010</v>
          </cell>
          <cell r="C6742" t="str">
            <v>magovz</v>
          </cell>
          <cell r="D6742">
            <v>1.5877782106399536</v>
          </cell>
          <cell r="F6742" t="str">
            <v>14 Aug 2024</v>
          </cell>
        </row>
        <row r="6743">
          <cell r="A6743" t="str">
            <v>LKA</v>
          </cell>
          <cell r="B6743">
            <v>2018</v>
          </cell>
          <cell r="C6743" t="str">
            <v>mar_agrfc</v>
          </cell>
          <cell r="D6743">
            <v>7.7828450202941895</v>
          </cell>
          <cell r="F6743" t="str">
            <v>14 Aug 2024</v>
          </cell>
        </row>
        <row r="6744">
          <cell r="A6744" t="str">
            <v>LKA</v>
          </cell>
          <cell r="B6744">
            <v>2017</v>
          </cell>
          <cell r="C6744" t="str">
            <v>mar_indfc</v>
          </cell>
          <cell r="D6744">
            <v>35.006668090820313</v>
          </cell>
          <cell r="F6744" t="str">
            <v>14 Aug 2024</v>
          </cell>
        </row>
        <row r="6745">
          <cell r="A6745" t="str">
            <v>LKA</v>
          </cell>
          <cell r="B6745">
            <v>2011</v>
          </cell>
          <cell r="C6745" t="str">
            <v>mapanusatls</v>
          </cell>
          <cell r="D6745">
            <v>110.56520080566406</v>
          </cell>
          <cell r="F6745" t="str">
            <v>14 Aug 2024</v>
          </cell>
        </row>
        <row r="6746">
          <cell r="A6746" t="str">
            <v>LKA</v>
          </cell>
          <cell r="B6746">
            <v>2010</v>
          </cell>
          <cell r="C6746" t="str">
            <v>maexpz</v>
          </cell>
          <cell r="D6746">
            <v>8.7600946426391602</v>
          </cell>
          <cell r="F6746" t="str">
            <v>14 Aug 2024</v>
          </cell>
        </row>
        <row r="6747">
          <cell r="A6747" t="str">
            <v>LKA</v>
          </cell>
          <cell r="B6747">
            <v>2025</v>
          </cell>
          <cell r="C6747" t="str">
            <v>mataxfc</v>
          </cell>
          <cell r="D6747">
            <v>2.4708266258239746</v>
          </cell>
          <cell r="F6747" t="str">
            <v>14 Aug 2024</v>
          </cell>
        </row>
        <row r="6748">
          <cell r="A6748" t="str">
            <v>LKA</v>
          </cell>
          <cell r="B6748">
            <v>2021</v>
          </cell>
          <cell r="C6748" t="str">
            <v>mar_taxfc</v>
          </cell>
          <cell r="D6748">
            <v>6.7188034057617188</v>
          </cell>
          <cell r="F6748" t="str">
            <v>14 Aug 2024</v>
          </cell>
        </row>
        <row r="6749">
          <cell r="A6749" t="str">
            <v>LKA</v>
          </cell>
          <cell r="B6749">
            <v>2019</v>
          </cell>
          <cell r="C6749" t="str">
            <v>maimpz</v>
          </cell>
          <cell r="D6749">
            <v>-3.5051777362823486</v>
          </cell>
          <cell r="F6749" t="str">
            <v>14 Aug 2024</v>
          </cell>
        </row>
        <row r="6750">
          <cell r="A6750" t="str">
            <v>LKA</v>
          </cell>
          <cell r="B6750">
            <v>2008</v>
          </cell>
          <cell r="C6750" t="str">
            <v>maexpz</v>
          </cell>
          <cell r="D6750">
            <v>0.3901999294757843</v>
          </cell>
          <cell r="F6750" t="str">
            <v>14 Aug 2024</v>
          </cell>
        </row>
        <row r="6751">
          <cell r="A6751" t="str">
            <v>LKA</v>
          </cell>
          <cell r="B6751">
            <v>2008</v>
          </cell>
          <cell r="C6751" t="str">
            <v>maagrfc</v>
          </cell>
          <cell r="D6751">
            <v>7.5326337814331055</v>
          </cell>
          <cell r="F6751" t="str">
            <v>14 Aug 2024</v>
          </cell>
        </row>
        <row r="6752">
          <cell r="A6752" t="str">
            <v>LKA</v>
          </cell>
          <cell r="B6752">
            <v>2011</v>
          </cell>
          <cell r="C6752" t="str">
            <v>masrvfc</v>
          </cell>
          <cell r="D6752">
            <v>8.9270401000976563</v>
          </cell>
          <cell r="F6752" t="str">
            <v>14 Aug 2024</v>
          </cell>
        </row>
        <row r="6753">
          <cell r="A6753" t="str">
            <v>LKA</v>
          </cell>
          <cell r="B6753">
            <v>2014</v>
          </cell>
          <cell r="C6753" t="str">
            <v>masrvfc</v>
          </cell>
          <cell r="D6753">
            <v>4.8314495086669922</v>
          </cell>
          <cell r="F6753" t="str">
            <v>14 Aug 2024</v>
          </cell>
        </row>
        <row r="6754">
          <cell r="A6754" t="str">
            <v>LKA</v>
          </cell>
          <cell r="B6754">
            <v>2019</v>
          </cell>
          <cell r="C6754" t="str">
            <v>mafdi_</v>
          </cell>
          <cell r="D6754">
            <v>-0.6896175742149353</v>
          </cell>
          <cell r="F6754" t="str">
            <v>14 Aug 2024</v>
          </cell>
        </row>
        <row r="6755">
          <cell r="A6755" t="str">
            <v>LKA</v>
          </cell>
          <cell r="B6755">
            <v>2007</v>
          </cell>
          <cell r="C6755" t="str">
            <v>mar_taxfc</v>
          </cell>
          <cell r="D6755">
            <v>11.381670951843262</v>
          </cell>
          <cell r="F6755" t="str">
            <v>14 Aug 2024</v>
          </cell>
        </row>
        <row r="6756">
          <cell r="A6756" t="str">
            <v>LKA</v>
          </cell>
          <cell r="B6756">
            <v>2016</v>
          </cell>
          <cell r="C6756" t="str">
            <v>magovz</v>
          </cell>
          <cell r="D6756">
            <v>0.1203279048204422</v>
          </cell>
          <cell r="F6756" t="str">
            <v>14 Aug 2024</v>
          </cell>
        </row>
        <row r="6757">
          <cell r="A6757" t="str">
            <v>LKA</v>
          </cell>
          <cell r="B6757">
            <v>2006</v>
          </cell>
          <cell r="C6757" t="str">
            <v>maimpz</v>
          </cell>
          <cell r="D6757">
            <v>6.9371585845947266</v>
          </cell>
          <cell r="F6757" t="str">
            <v>14 Aug 2024</v>
          </cell>
        </row>
        <row r="6758">
          <cell r="A6758" t="str">
            <v>LKA</v>
          </cell>
          <cell r="B6758">
            <v>2007</v>
          </cell>
          <cell r="C6758" t="str">
            <v>mar_impz</v>
          </cell>
          <cell r="D6758">
            <v>29.989963531494141</v>
          </cell>
          <cell r="F6758" t="str">
            <v>14 Aug 2024</v>
          </cell>
        </row>
        <row r="6759">
          <cell r="A6759" t="str">
            <v>LKA</v>
          </cell>
          <cell r="B6759">
            <v>2011</v>
          </cell>
          <cell r="C6759" t="str">
            <v>mar_taxfc</v>
          </cell>
          <cell r="D6759">
            <v>11.171377182006836</v>
          </cell>
          <cell r="F6759" t="str">
            <v>14 Aug 2024</v>
          </cell>
        </row>
        <row r="6760">
          <cell r="A6760" t="str">
            <v>LKA</v>
          </cell>
          <cell r="B6760">
            <v>2023</v>
          </cell>
          <cell r="C6760" t="str">
            <v>mareer</v>
          </cell>
          <cell r="D6760">
            <v>87.489974975585938</v>
          </cell>
          <cell r="F6760" t="str">
            <v>14 Aug 2024</v>
          </cell>
        </row>
        <row r="6761">
          <cell r="A6761" t="str">
            <v>LKA</v>
          </cell>
          <cell r="B6761">
            <v>2021</v>
          </cell>
          <cell r="C6761" t="str">
            <v>mar_agrfc</v>
          </cell>
          <cell r="D6761">
            <v>7.7285637855529785</v>
          </cell>
          <cell r="F6761" t="str">
            <v>14 Aug 2024</v>
          </cell>
        </row>
        <row r="6762">
          <cell r="A6762" t="str">
            <v>LKA</v>
          </cell>
          <cell r="B6762">
            <v>2018</v>
          </cell>
          <cell r="C6762" t="str">
            <v>maagrfc</v>
          </cell>
          <cell r="D6762">
            <v>6.2654619216918945</v>
          </cell>
          <cell r="F6762" t="str">
            <v>14 Aug 2024</v>
          </cell>
        </row>
        <row r="6763">
          <cell r="A6763" t="str">
            <v>LKA</v>
          </cell>
          <cell r="B6763">
            <v>2016</v>
          </cell>
          <cell r="C6763" t="str">
            <v>mareer</v>
          </cell>
          <cell r="D6763">
            <v>99.128715515136719</v>
          </cell>
          <cell r="F6763" t="str">
            <v>14 Aug 2024</v>
          </cell>
        </row>
        <row r="6764">
          <cell r="A6764" t="str">
            <v>LKA</v>
          </cell>
          <cell r="B6764">
            <v>2015</v>
          </cell>
          <cell r="C6764" t="str">
            <v>mar_indfc</v>
          </cell>
          <cell r="D6764">
            <v>32.11663818359375</v>
          </cell>
          <cell r="F6764" t="str">
            <v>14 Aug 2024</v>
          </cell>
        </row>
        <row r="6765">
          <cell r="A6765" t="str">
            <v>LKA</v>
          </cell>
          <cell r="B6765">
            <v>2026</v>
          </cell>
          <cell r="C6765" t="str">
            <v>macpiz</v>
          </cell>
          <cell r="D6765">
            <v>5.6217098236083984</v>
          </cell>
          <cell r="F6765" t="str">
            <v>14 Aug 2024</v>
          </cell>
        </row>
        <row r="6766">
          <cell r="A6766" t="str">
            <v>LKA</v>
          </cell>
          <cell r="B6766">
            <v>2006</v>
          </cell>
          <cell r="C6766" t="str">
            <v>mareer</v>
          </cell>
          <cell r="D6766">
            <v>81.481475830078125</v>
          </cell>
          <cell r="F6766" t="str">
            <v>14 Aug 2024</v>
          </cell>
        </row>
        <row r="6767">
          <cell r="A6767" t="str">
            <v>LKA</v>
          </cell>
          <cell r="B6767">
            <v>2021</v>
          </cell>
          <cell r="C6767" t="str">
            <v>macab_</v>
          </cell>
          <cell r="D6767">
            <v>-3.7065539360046387</v>
          </cell>
          <cell r="F6767" t="str">
            <v>14 Aug 2024</v>
          </cell>
        </row>
        <row r="6768">
          <cell r="A6768" t="str">
            <v>LKA</v>
          </cell>
          <cell r="B6768">
            <v>2010</v>
          </cell>
          <cell r="C6768" t="str">
            <v>mar_agrfc</v>
          </cell>
          <cell r="D6768">
            <v>9.4634323120117188</v>
          </cell>
          <cell r="F6768" t="str">
            <v>14 Aug 2024</v>
          </cell>
        </row>
        <row r="6769">
          <cell r="A6769" t="str">
            <v>LKA</v>
          </cell>
          <cell r="B6769">
            <v>2024</v>
          </cell>
          <cell r="C6769" t="str">
            <v>magap_</v>
          </cell>
          <cell r="D6769">
            <v>-10.971506118774414</v>
          </cell>
          <cell r="F6769" t="str">
            <v>14 Aug 2024</v>
          </cell>
        </row>
        <row r="6770">
          <cell r="A6770" t="str">
            <v>LKA</v>
          </cell>
          <cell r="B6770">
            <v>2017</v>
          </cell>
          <cell r="C6770" t="str">
            <v>mac_labz</v>
          </cell>
          <cell r="D6770">
            <v>0.50262153148651123</v>
          </cell>
          <cell r="F6770" t="str">
            <v>14 Aug 2024</v>
          </cell>
        </row>
        <row r="6771">
          <cell r="A6771" t="str">
            <v>LKA</v>
          </cell>
          <cell r="B6771">
            <v>2018</v>
          </cell>
          <cell r="C6771" t="str">
            <v>mareer</v>
          </cell>
          <cell r="D6771">
            <v>95.901092529296875</v>
          </cell>
          <cell r="F6771" t="str">
            <v>14 Aug 2024</v>
          </cell>
        </row>
        <row r="6772">
          <cell r="A6772" t="str">
            <v>LKA</v>
          </cell>
          <cell r="B6772">
            <v>2026</v>
          </cell>
          <cell r="C6772" t="str">
            <v>maindfc</v>
          </cell>
          <cell r="D6772">
            <v>2.9000000953674316</v>
          </cell>
          <cell r="F6772" t="str">
            <v>14 Aug 2024</v>
          </cell>
        </row>
        <row r="6773">
          <cell r="A6773" t="str">
            <v>LKA</v>
          </cell>
          <cell r="B6773">
            <v>2007</v>
          </cell>
          <cell r="C6773" t="str">
            <v>mar_expz</v>
          </cell>
          <cell r="D6773">
            <v>24.196868896484375</v>
          </cell>
          <cell r="F6773" t="str">
            <v>14 Aug 2024</v>
          </cell>
        </row>
        <row r="6774">
          <cell r="A6774" t="str">
            <v>LKA</v>
          </cell>
          <cell r="B6774">
            <v>2018</v>
          </cell>
          <cell r="C6774" t="str">
            <v>mac_tfpz</v>
          </cell>
          <cell r="D6774">
            <v>1.4067867994308472</v>
          </cell>
          <cell r="F6774" t="str">
            <v>14 Aug 2024</v>
          </cell>
        </row>
        <row r="6775">
          <cell r="A6775" t="str">
            <v>LKA</v>
          </cell>
          <cell r="B6775">
            <v>2006</v>
          </cell>
          <cell r="C6775" t="str">
            <v>magdpz</v>
          </cell>
          <cell r="D6775">
            <v>7.6682920455932617</v>
          </cell>
          <cell r="F6775" t="str">
            <v>14 Aug 2024</v>
          </cell>
        </row>
        <row r="6776">
          <cell r="A6776" t="str">
            <v>LKA</v>
          </cell>
          <cell r="B6776">
            <v>2026</v>
          </cell>
          <cell r="C6776" t="str">
            <v>magap_</v>
          </cell>
          <cell r="D6776">
            <v>-5.2291078567504883</v>
          </cell>
          <cell r="F6776" t="str">
            <v>14 Aug 2024</v>
          </cell>
        </row>
        <row r="6777">
          <cell r="A6777" t="str">
            <v>LKA</v>
          </cell>
          <cell r="B6777">
            <v>2018</v>
          </cell>
          <cell r="C6777" t="str">
            <v>mataxfc</v>
          </cell>
          <cell r="D6777">
            <v>-0.37206423282623291</v>
          </cell>
          <cell r="F6777" t="str">
            <v>14 Aug 2024</v>
          </cell>
        </row>
        <row r="6778">
          <cell r="A6778" t="str">
            <v>LKA</v>
          </cell>
          <cell r="B6778">
            <v>2009</v>
          </cell>
          <cell r="C6778" t="str">
            <v>maconz</v>
          </cell>
          <cell r="D6778">
            <v>0.93799686431884766</v>
          </cell>
          <cell r="F6778" t="str">
            <v>14 Aug 2024</v>
          </cell>
        </row>
        <row r="6779">
          <cell r="A6779" t="str">
            <v>LKA</v>
          </cell>
          <cell r="B6779">
            <v>2015</v>
          </cell>
          <cell r="C6779" t="str">
            <v>maindfc</v>
          </cell>
          <cell r="D6779">
            <v>53.979408264160156</v>
          </cell>
          <cell r="F6779" t="str">
            <v>14 Aug 2024</v>
          </cell>
        </row>
        <row r="6780">
          <cell r="A6780" t="str">
            <v>LKA</v>
          </cell>
          <cell r="B6780">
            <v>2012</v>
          </cell>
          <cell r="C6780" t="str">
            <v>mar_con</v>
          </cell>
          <cell r="D6780">
            <v>65.007484436035156</v>
          </cell>
          <cell r="F6780" t="str">
            <v>14 Aug 2024</v>
          </cell>
        </row>
        <row r="6781">
          <cell r="A6781" t="str">
            <v>LKA</v>
          </cell>
          <cell r="B6781">
            <v>2020</v>
          </cell>
          <cell r="C6781" t="str">
            <v>maagrfc</v>
          </cell>
          <cell r="D6781">
            <v>-0.89889353513717651</v>
          </cell>
          <cell r="F6781" t="str">
            <v>14 Aug 2024</v>
          </cell>
        </row>
        <row r="6782">
          <cell r="A6782" t="str">
            <v>LKA</v>
          </cell>
          <cell r="B6782">
            <v>2014</v>
          </cell>
          <cell r="C6782" t="str">
            <v>mar_taxfc</v>
          </cell>
          <cell r="D6782">
            <v>10.144848823547363</v>
          </cell>
          <cell r="F6782" t="str">
            <v>14 Aug 2024</v>
          </cell>
        </row>
        <row r="6783">
          <cell r="A6783" t="str">
            <v>LKA</v>
          </cell>
          <cell r="B6783">
            <v>2016</v>
          </cell>
          <cell r="C6783" t="str">
            <v>mapanusatls</v>
          </cell>
          <cell r="D6783">
            <v>145.58169555664063</v>
          </cell>
          <cell r="F6783" t="str">
            <v>14 Aug 2024</v>
          </cell>
        </row>
        <row r="6784">
          <cell r="A6784" t="str">
            <v>LKA</v>
          </cell>
          <cell r="B6784">
            <v>2007</v>
          </cell>
          <cell r="C6784" t="str">
            <v>mar_srvfc</v>
          </cell>
          <cell r="D6784">
            <v>61.176582336425781</v>
          </cell>
          <cell r="F6784" t="str">
            <v>14 Aug 2024</v>
          </cell>
        </row>
        <row r="6785">
          <cell r="A6785" t="str">
            <v>LKA</v>
          </cell>
          <cell r="B6785">
            <v>2012</v>
          </cell>
          <cell r="C6785" t="str">
            <v>maimpz</v>
          </cell>
          <cell r="D6785">
            <v>0.48543685674667358</v>
          </cell>
          <cell r="F6785" t="str">
            <v>14 Aug 2024</v>
          </cell>
        </row>
        <row r="6786">
          <cell r="A6786" t="str">
            <v>LKA</v>
          </cell>
          <cell r="B6786">
            <v>2017</v>
          </cell>
          <cell r="C6786" t="str">
            <v>mainvz</v>
          </cell>
          <cell r="D6786">
            <v>12.933538436889648</v>
          </cell>
          <cell r="F6786" t="str">
            <v>14 Aug 2024</v>
          </cell>
        </row>
        <row r="6787">
          <cell r="A6787" t="str">
            <v>LKA</v>
          </cell>
          <cell r="B6787">
            <v>2009</v>
          </cell>
          <cell r="C6787" t="str">
            <v>mac_tfpz</v>
          </cell>
          <cell r="D6787">
            <v>2.6055114269256592</v>
          </cell>
          <cell r="F6787" t="str">
            <v>14 Aug 2024</v>
          </cell>
        </row>
        <row r="6788">
          <cell r="A6788" t="str">
            <v>LKA</v>
          </cell>
          <cell r="B6788">
            <v>2020</v>
          </cell>
          <cell r="C6788" t="str">
            <v>mac_labz</v>
          </cell>
          <cell r="D6788">
            <v>0.68831652402877808</v>
          </cell>
          <cell r="F6788" t="str">
            <v>14 Aug 2024</v>
          </cell>
        </row>
        <row r="6789">
          <cell r="A6789" t="str">
            <v>LKA</v>
          </cell>
          <cell r="B6789">
            <v>2024</v>
          </cell>
          <cell r="C6789" t="str">
            <v>malabz</v>
          </cell>
          <cell r="D6789">
            <v>0.74440735578536987</v>
          </cell>
          <cell r="F6789" t="str">
            <v>14 Aug 2024</v>
          </cell>
        </row>
        <row r="6790">
          <cell r="A6790" t="str">
            <v>LKA</v>
          </cell>
          <cell r="B6790">
            <v>2022</v>
          </cell>
          <cell r="C6790" t="str">
            <v>masrvfc</v>
          </cell>
          <cell r="D6790">
            <v>-2.5976829528808594</v>
          </cell>
          <cell r="F6790" t="str">
            <v>14 Aug 2024</v>
          </cell>
        </row>
        <row r="6791">
          <cell r="A6791" t="str">
            <v>LKA</v>
          </cell>
          <cell r="B6791">
            <v>2025</v>
          </cell>
          <cell r="C6791" t="str">
            <v>mar_con</v>
          </cell>
          <cell r="D6791">
            <v>59.175960540771484</v>
          </cell>
          <cell r="F6791" t="str">
            <v>14 Aug 2024</v>
          </cell>
        </row>
        <row r="6792">
          <cell r="A6792" t="str">
            <v>LKA</v>
          </cell>
          <cell r="B6792">
            <v>2005</v>
          </cell>
          <cell r="C6792" t="str">
            <v>maagrfc</v>
          </cell>
          <cell r="D6792">
            <v>1.8165831565856934</v>
          </cell>
          <cell r="F6792" t="str">
            <v>14 Aug 2024</v>
          </cell>
        </row>
        <row r="6793">
          <cell r="A6793" t="str">
            <v>LKA</v>
          </cell>
          <cell r="B6793">
            <v>2016</v>
          </cell>
          <cell r="C6793" t="str">
            <v>macpiz</v>
          </cell>
          <cell r="D6793">
            <v>3.9879000186920166</v>
          </cell>
          <cell r="F6793" t="str">
            <v>14 Aug 2024</v>
          </cell>
        </row>
        <row r="6794">
          <cell r="A6794" t="str">
            <v>LKA</v>
          </cell>
          <cell r="B6794">
            <v>2022</v>
          </cell>
          <cell r="C6794" t="str">
            <v>maconz</v>
          </cell>
          <cell r="D6794">
            <v>-9.0021295547485352</v>
          </cell>
          <cell r="F6794" t="str">
            <v>14 Aug 2024</v>
          </cell>
        </row>
        <row r="6795">
          <cell r="A6795" t="str">
            <v>LKA</v>
          </cell>
          <cell r="B6795">
            <v>2016</v>
          </cell>
          <cell r="C6795" t="str">
            <v>madeficit_</v>
          </cell>
          <cell r="D6795">
            <v>-4.9974637031555176</v>
          </cell>
          <cell r="F6795" t="str">
            <v>14 Aug 2024</v>
          </cell>
        </row>
        <row r="6796">
          <cell r="A6796" t="str">
            <v>LKA</v>
          </cell>
          <cell r="B6796">
            <v>2019</v>
          </cell>
          <cell r="C6796" t="str">
            <v>macab_</v>
          </cell>
          <cell r="D6796">
            <v>-2.0755958557128906</v>
          </cell>
          <cell r="F6796" t="str">
            <v>14 Aug 2024</v>
          </cell>
        </row>
        <row r="6797">
          <cell r="A6797" t="str">
            <v>LKA</v>
          </cell>
          <cell r="B6797">
            <v>2014</v>
          </cell>
          <cell r="C6797" t="str">
            <v>mar_indfc</v>
          </cell>
          <cell r="D6797">
            <v>29.674179077148438</v>
          </cell>
          <cell r="F6797" t="str">
            <v>14 Aug 2024</v>
          </cell>
        </row>
        <row r="6798">
          <cell r="A6798" t="str">
            <v>LKA</v>
          </cell>
          <cell r="B6798">
            <v>2025</v>
          </cell>
          <cell r="C6798" t="str">
            <v>masrvfc</v>
          </cell>
          <cell r="D6798">
            <v>2.4999403953552246</v>
          </cell>
          <cell r="F6798" t="str">
            <v>14 Aug 2024</v>
          </cell>
        </row>
        <row r="6799">
          <cell r="A6799" t="str">
            <v>LKA</v>
          </cell>
          <cell r="B6799">
            <v>2026</v>
          </cell>
          <cell r="C6799" t="str">
            <v>maagrfc</v>
          </cell>
          <cell r="D6799">
            <v>1.5</v>
          </cell>
          <cell r="F6799" t="str">
            <v>14 Aug 2024</v>
          </cell>
        </row>
        <row r="6800">
          <cell r="A6800" t="str">
            <v>LKA</v>
          </cell>
          <cell r="B6800">
            <v>2018</v>
          </cell>
          <cell r="C6800" t="str">
            <v>magdpz</v>
          </cell>
          <cell r="D6800">
            <v>2.3101024627685547</v>
          </cell>
          <cell r="F6800" t="str">
            <v>14 Aug 2024</v>
          </cell>
        </row>
        <row r="6801">
          <cell r="A6801" t="str">
            <v>LKA</v>
          </cell>
          <cell r="B6801">
            <v>2015</v>
          </cell>
          <cell r="C6801" t="str">
            <v>macpiz</v>
          </cell>
          <cell r="D6801">
            <v>0.89999997615814209</v>
          </cell>
          <cell r="F6801" t="str">
            <v>14 Aug 2024</v>
          </cell>
        </row>
        <row r="6802">
          <cell r="A6802" t="str">
            <v>LKA</v>
          </cell>
          <cell r="B6802">
            <v>2014</v>
          </cell>
          <cell r="C6802" t="str">
            <v>mafdi_</v>
          </cell>
          <cell r="D6802">
            <v>-1.0421332120895386</v>
          </cell>
          <cell r="F6802" t="str">
            <v>14 Aug 2024</v>
          </cell>
        </row>
        <row r="6803">
          <cell r="A6803" t="str">
            <v>LKA</v>
          </cell>
          <cell r="B6803">
            <v>2021</v>
          </cell>
          <cell r="C6803" t="str">
            <v>maindfc</v>
          </cell>
          <cell r="D6803">
            <v>5.7276463508605957</v>
          </cell>
          <cell r="F6803" t="str">
            <v>14 Aug 2024</v>
          </cell>
        </row>
        <row r="6804">
          <cell r="A6804" t="str">
            <v>LKA</v>
          </cell>
          <cell r="B6804">
            <v>2006</v>
          </cell>
          <cell r="C6804" t="str">
            <v>mac_labz</v>
          </cell>
          <cell r="D6804">
            <v>0.79168951511383057</v>
          </cell>
          <cell r="F6804" t="str">
            <v>14 Aug 2024</v>
          </cell>
        </row>
        <row r="6805">
          <cell r="A6805" t="str">
            <v>LKA</v>
          </cell>
          <cell r="B6805">
            <v>2012</v>
          </cell>
          <cell r="C6805" t="str">
            <v>maindfc</v>
          </cell>
          <cell r="D6805">
            <v>9.0336790084838867</v>
          </cell>
          <cell r="F6805" t="str">
            <v>14 Aug 2024</v>
          </cell>
        </row>
        <row r="6806">
          <cell r="A6806" t="str">
            <v>LKA</v>
          </cell>
          <cell r="B6806">
            <v>2013</v>
          </cell>
          <cell r="C6806" t="str">
            <v>mac_labz</v>
          </cell>
          <cell r="D6806">
            <v>0.45590445399284363</v>
          </cell>
          <cell r="F6806" t="str">
            <v>14 Aug 2024</v>
          </cell>
        </row>
        <row r="6807">
          <cell r="A6807" t="str">
            <v>LKA</v>
          </cell>
          <cell r="B6807">
            <v>2012</v>
          </cell>
          <cell r="C6807" t="str">
            <v>madebt_</v>
          </cell>
          <cell r="D6807">
            <v>68.732765197753906</v>
          </cell>
          <cell r="F6807" t="str">
            <v>14 Aug 2024</v>
          </cell>
        </row>
        <row r="6808">
          <cell r="A6808" t="str">
            <v>LKA</v>
          </cell>
          <cell r="B6808">
            <v>2014</v>
          </cell>
          <cell r="C6808" t="str">
            <v>mataxfc</v>
          </cell>
          <cell r="D6808">
            <v>6.8638358116149902</v>
          </cell>
          <cell r="F6808" t="str">
            <v>14 Aug 2024</v>
          </cell>
        </row>
        <row r="6809">
          <cell r="A6809" t="str">
            <v>LKA</v>
          </cell>
          <cell r="B6809">
            <v>2023</v>
          </cell>
          <cell r="C6809" t="str">
            <v>maagrfc</v>
          </cell>
          <cell r="D6809">
            <v>2.5692653656005859</v>
          </cell>
          <cell r="F6809" t="str">
            <v>14 Aug 2024</v>
          </cell>
        </row>
        <row r="6810">
          <cell r="A6810" t="str">
            <v>LKA</v>
          </cell>
          <cell r="B6810">
            <v>2024</v>
          </cell>
          <cell r="C6810" t="str">
            <v>maindfc</v>
          </cell>
          <cell r="D6810">
            <v>2.5999999046325684</v>
          </cell>
          <cell r="F6810" t="str">
            <v>14 Aug 2024</v>
          </cell>
        </row>
        <row r="6811">
          <cell r="A6811" t="str">
            <v>LKA</v>
          </cell>
          <cell r="B6811">
            <v>2006</v>
          </cell>
          <cell r="C6811" t="str">
            <v>mataxfc</v>
          </cell>
          <cell r="D6811">
            <v>7.3225765228271484</v>
          </cell>
          <cell r="F6811" t="str">
            <v>14 Aug 2024</v>
          </cell>
        </row>
        <row r="6812">
          <cell r="A6812" t="str">
            <v>LKA</v>
          </cell>
          <cell r="B6812">
            <v>2019</v>
          </cell>
          <cell r="C6812" t="str">
            <v>magdpz</v>
          </cell>
          <cell r="D6812">
            <v>-0.22048036754131317</v>
          </cell>
          <cell r="F6812" t="str">
            <v>14 Aug 2024</v>
          </cell>
        </row>
        <row r="6813">
          <cell r="A6813" t="str">
            <v>LKA</v>
          </cell>
          <cell r="B6813">
            <v>2017</v>
          </cell>
          <cell r="C6813" t="str">
            <v>magap_</v>
          </cell>
          <cell r="D6813">
            <v>9.5156583786010742</v>
          </cell>
          <cell r="F6813" t="str">
            <v>14 Aug 2024</v>
          </cell>
        </row>
        <row r="6814">
          <cell r="A6814" t="str">
            <v>LKA</v>
          </cell>
          <cell r="B6814">
            <v>2014</v>
          </cell>
          <cell r="C6814" t="str">
            <v>madebt_</v>
          </cell>
          <cell r="D6814">
            <v>72.258964538574219</v>
          </cell>
          <cell r="F6814" t="str">
            <v>14 Aug 2024</v>
          </cell>
        </row>
        <row r="6815">
          <cell r="A6815" t="str">
            <v>LKA</v>
          </cell>
          <cell r="B6815">
            <v>2021</v>
          </cell>
          <cell r="C6815" t="str">
            <v>matfpz</v>
          </cell>
          <cell r="D6815">
            <v>-4.1632180213928223</v>
          </cell>
          <cell r="F6815" t="str">
            <v>14 Aug 2024</v>
          </cell>
        </row>
        <row r="6816">
          <cell r="A6816" t="str">
            <v>LKA</v>
          </cell>
          <cell r="B6816">
            <v>2018</v>
          </cell>
          <cell r="C6816" t="str">
            <v>maconz</v>
          </cell>
          <cell r="D6816">
            <v>4.7330713272094727</v>
          </cell>
          <cell r="F6816" t="str">
            <v>14 Aug 2024</v>
          </cell>
        </row>
        <row r="6817">
          <cell r="A6817" t="str">
            <v>LKA</v>
          </cell>
          <cell r="B6817">
            <v>2021</v>
          </cell>
          <cell r="C6817" t="str">
            <v>mataxfc</v>
          </cell>
          <cell r="D6817">
            <v>8.2422008514404297</v>
          </cell>
          <cell r="F6817" t="str">
            <v>14 Aug 2024</v>
          </cell>
        </row>
        <row r="6818">
          <cell r="A6818" t="str">
            <v>LKA</v>
          </cell>
          <cell r="B6818">
            <v>2012</v>
          </cell>
          <cell r="C6818" t="str">
            <v>maconz</v>
          </cell>
          <cell r="D6818">
            <v>2.2509846687316895</v>
          </cell>
          <cell r="F6818" t="str">
            <v>14 Aug 2024</v>
          </cell>
        </row>
        <row r="6819">
          <cell r="A6819" t="str">
            <v>LKA</v>
          </cell>
          <cell r="B6819">
            <v>2005</v>
          </cell>
          <cell r="C6819" t="str">
            <v>mac_labz</v>
          </cell>
          <cell r="D6819">
            <v>0</v>
          </cell>
          <cell r="F6819" t="str">
            <v>14 Aug 2024</v>
          </cell>
        </row>
        <row r="6820">
          <cell r="A6820" t="str">
            <v>LKA</v>
          </cell>
          <cell r="B6820">
            <v>2018</v>
          </cell>
          <cell r="C6820" t="str">
            <v>matfpz</v>
          </cell>
          <cell r="D6820">
            <v>1.4067867994308472</v>
          </cell>
          <cell r="F6820" t="str">
            <v>14 Aug 2024</v>
          </cell>
        </row>
        <row r="6821">
          <cell r="A6821" t="str">
            <v>LKA</v>
          </cell>
          <cell r="B6821">
            <v>2008</v>
          </cell>
          <cell r="C6821" t="str">
            <v>maindfc</v>
          </cell>
          <cell r="D6821">
            <v>5.9180850982666016</v>
          </cell>
          <cell r="F6821" t="str">
            <v>14 Aug 2024</v>
          </cell>
        </row>
        <row r="6822">
          <cell r="A6822" t="str">
            <v>LKA</v>
          </cell>
          <cell r="B6822">
            <v>2025</v>
          </cell>
          <cell r="C6822" t="str">
            <v>mapanusatls</v>
          </cell>
          <cell r="D6822">
            <v>346.79998779296875</v>
          </cell>
          <cell r="F6822" t="str">
            <v>14 Aug 2024</v>
          </cell>
        </row>
        <row r="6823">
          <cell r="A6823" t="str">
            <v>LKA</v>
          </cell>
          <cell r="B6823">
            <v>2024</v>
          </cell>
          <cell r="C6823" t="str">
            <v>mar_impz</v>
          </cell>
          <cell r="D6823">
            <v>19.432849884033203</v>
          </cell>
          <cell r="F6823" t="str">
            <v>14 Aug 2024</v>
          </cell>
        </row>
        <row r="6824">
          <cell r="A6824" t="str">
            <v>LKA</v>
          </cell>
          <cell r="B6824">
            <v>2011</v>
          </cell>
          <cell r="C6824" t="str">
            <v>matfpz</v>
          </cell>
          <cell r="D6824">
            <v>3.0311622619628906</v>
          </cell>
          <cell r="F6824" t="str">
            <v>14 Aug 2024</v>
          </cell>
        </row>
        <row r="6825">
          <cell r="A6825" t="str">
            <v>LKA</v>
          </cell>
          <cell r="B6825">
            <v>2025</v>
          </cell>
          <cell r="C6825" t="str">
            <v>mar_agrfc</v>
          </cell>
          <cell r="D6825">
            <v>8.2529582977294922</v>
          </cell>
          <cell r="F6825" t="str">
            <v>14 Aug 2024</v>
          </cell>
        </row>
        <row r="6826">
          <cell r="A6826" t="str">
            <v>LKA</v>
          </cell>
          <cell r="B6826">
            <v>2025</v>
          </cell>
          <cell r="C6826" t="str">
            <v>mafdi_</v>
          </cell>
          <cell r="D6826">
            <v>-0.80000001192092896</v>
          </cell>
          <cell r="F6826" t="str">
            <v>14 Aug 2024</v>
          </cell>
        </row>
        <row r="6827">
          <cell r="A6827" t="str">
            <v>LKA</v>
          </cell>
          <cell r="B6827">
            <v>2013</v>
          </cell>
          <cell r="C6827" t="str">
            <v>mataxfc</v>
          </cell>
          <cell r="D6827">
            <v>-0.72859716415405273</v>
          </cell>
          <cell r="F6827" t="str">
            <v>14 Aug 2024</v>
          </cell>
        </row>
        <row r="6828">
          <cell r="A6828" t="str">
            <v>LKA</v>
          </cell>
          <cell r="B6828">
            <v>2009</v>
          </cell>
          <cell r="C6828" t="str">
            <v>maimpz</v>
          </cell>
          <cell r="D6828">
            <v>-9.5859031677246094</v>
          </cell>
          <cell r="F6828" t="str">
            <v>14 Aug 2024</v>
          </cell>
        </row>
        <row r="6829">
          <cell r="A6829" t="str">
            <v>LKA</v>
          </cell>
          <cell r="B6829">
            <v>2019</v>
          </cell>
          <cell r="C6829" t="str">
            <v>mapanusatls</v>
          </cell>
          <cell r="D6829">
            <v>178.77760314941406</v>
          </cell>
          <cell r="F6829" t="str">
            <v>14 Aug 2024</v>
          </cell>
        </row>
        <row r="6830">
          <cell r="A6830" t="str">
            <v>LKA</v>
          </cell>
          <cell r="B6830">
            <v>2010</v>
          </cell>
          <cell r="C6830" t="str">
            <v>mac_labz</v>
          </cell>
          <cell r="D6830">
            <v>0.70971477031707764</v>
          </cell>
          <cell r="F6830" t="str">
            <v>14 Aug 2024</v>
          </cell>
        </row>
        <row r="6831">
          <cell r="A6831" t="str">
            <v>LKA</v>
          </cell>
          <cell r="B6831">
            <v>2020</v>
          </cell>
          <cell r="C6831" t="str">
            <v>magovz</v>
          </cell>
          <cell r="D6831">
            <v>8.6539294570684433E-3</v>
          </cell>
          <cell r="F6831" t="str">
            <v>14 Aug 2024</v>
          </cell>
        </row>
        <row r="6832">
          <cell r="A6832" t="str">
            <v>LKA</v>
          </cell>
          <cell r="B6832">
            <v>2011</v>
          </cell>
          <cell r="C6832" t="str">
            <v>madebt_</v>
          </cell>
          <cell r="D6832">
            <v>71.108039855957031</v>
          </cell>
          <cell r="F6832" t="str">
            <v>14 Aug 2024</v>
          </cell>
        </row>
        <row r="6833">
          <cell r="A6833" t="str">
            <v>LKA</v>
          </cell>
          <cell r="B6833">
            <v>2021</v>
          </cell>
          <cell r="C6833" t="str">
            <v>macpiz</v>
          </cell>
          <cell r="D6833">
            <v>5.9591197967529297</v>
          </cell>
          <cell r="F6833" t="str">
            <v>14 Aug 2024</v>
          </cell>
        </row>
        <row r="6834">
          <cell r="A6834" t="str">
            <v>LKA</v>
          </cell>
          <cell r="B6834">
            <v>2025</v>
          </cell>
          <cell r="C6834" t="str">
            <v>mar_impz</v>
          </cell>
          <cell r="D6834">
            <v>19.277164459228516</v>
          </cell>
          <cell r="F6834" t="str">
            <v>14 Aug 2024</v>
          </cell>
        </row>
        <row r="6835">
          <cell r="A6835" t="str">
            <v>LKA</v>
          </cell>
          <cell r="B6835">
            <v>2023</v>
          </cell>
          <cell r="C6835" t="str">
            <v>maconz</v>
          </cell>
          <cell r="D6835">
            <v>-3.2000000476837158</v>
          </cell>
          <cell r="F6835" t="str">
            <v>14 Aug 2024</v>
          </cell>
        </row>
        <row r="6836">
          <cell r="A6836" t="str">
            <v>LKA</v>
          </cell>
          <cell r="B6836">
            <v>2009</v>
          </cell>
          <cell r="C6836" t="str">
            <v>mapanusatls</v>
          </cell>
          <cell r="D6836">
            <v>114.94480133056641</v>
          </cell>
          <cell r="F6836" t="str">
            <v>14 Aug 2024</v>
          </cell>
        </row>
        <row r="6837">
          <cell r="A6837" t="str">
            <v>LKA</v>
          </cell>
          <cell r="B6837">
            <v>2023</v>
          </cell>
          <cell r="C6837" t="str">
            <v>mar_expz</v>
          </cell>
          <cell r="D6837">
            <v>20.405338287353516</v>
          </cell>
          <cell r="F6837" t="str">
            <v>14 Aug 2024</v>
          </cell>
        </row>
        <row r="6838">
          <cell r="A6838" t="str">
            <v>LKA</v>
          </cell>
          <cell r="B6838">
            <v>2010</v>
          </cell>
          <cell r="C6838" t="str">
            <v>macpiz</v>
          </cell>
          <cell r="D6838">
            <v>6.2176632881164551</v>
          </cell>
          <cell r="F6838" t="str">
            <v>14 Aug 2024</v>
          </cell>
        </row>
        <row r="6839">
          <cell r="A6839" t="str">
            <v>LKA</v>
          </cell>
          <cell r="B6839">
            <v>2008</v>
          </cell>
          <cell r="C6839" t="str">
            <v>mar_con</v>
          </cell>
          <cell r="D6839">
            <v>69.480751037597656</v>
          </cell>
          <cell r="F6839" t="str">
            <v>14 Aug 2024</v>
          </cell>
        </row>
        <row r="6840">
          <cell r="A6840" t="str">
            <v>LKA</v>
          </cell>
          <cell r="B6840">
            <v>2024</v>
          </cell>
          <cell r="C6840" t="str">
            <v>maconz</v>
          </cell>
          <cell r="D6840">
            <v>2.4000000953674316</v>
          </cell>
          <cell r="F6840" t="str">
            <v>14 Aug 2024</v>
          </cell>
        </row>
        <row r="6841">
          <cell r="A6841" t="str">
            <v>LKA</v>
          </cell>
          <cell r="B6841">
            <v>2009</v>
          </cell>
          <cell r="C6841" t="str">
            <v>magdpz</v>
          </cell>
          <cell r="D6841">
            <v>3.5389120578765869</v>
          </cell>
          <cell r="F6841" t="str">
            <v>14 Aug 2024</v>
          </cell>
        </row>
        <row r="6842">
          <cell r="A6842" t="str">
            <v>LKA</v>
          </cell>
          <cell r="B6842">
            <v>2023</v>
          </cell>
          <cell r="C6842" t="str">
            <v>magdpz</v>
          </cell>
          <cell r="D6842">
            <v>-2.2980489730834961</v>
          </cell>
          <cell r="F6842" t="str">
            <v>14 Aug 2024</v>
          </cell>
        </row>
        <row r="6843">
          <cell r="A6843" t="str">
            <v>LKA</v>
          </cell>
          <cell r="B6843">
            <v>2005</v>
          </cell>
          <cell r="C6843" t="str">
            <v>matfpz</v>
          </cell>
          <cell r="D6843">
            <v>1.6205465793609619</v>
          </cell>
          <cell r="F6843" t="str">
            <v>14 Aug 2024</v>
          </cell>
        </row>
        <row r="6844">
          <cell r="A6844" t="str">
            <v>LKA</v>
          </cell>
          <cell r="B6844">
            <v>2020</v>
          </cell>
          <cell r="C6844" t="str">
            <v>matfpz</v>
          </cell>
          <cell r="D6844">
            <v>-4.8811159133911133</v>
          </cell>
          <cell r="F6844" t="str">
            <v>14 Aug 2024</v>
          </cell>
        </row>
        <row r="6845">
          <cell r="A6845" t="str">
            <v>LKA</v>
          </cell>
          <cell r="B6845">
            <v>2009</v>
          </cell>
          <cell r="C6845" t="str">
            <v>mar_srvfc</v>
          </cell>
          <cell r="D6845">
            <v>60.870853424072266</v>
          </cell>
          <cell r="F6845" t="str">
            <v>14 Aug 2024</v>
          </cell>
        </row>
        <row r="6846">
          <cell r="A6846" t="str">
            <v>LKA</v>
          </cell>
          <cell r="B6846">
            <v>2012</v>
          </cell>
          <cell r="C6846" t="str">
            <v>magdpz</v>
          </cell>
          <cell r="D6846">
            <v>9.1445760726928711</v>
          </cell>
          <cell r="F6846" t="str">
            <v>14 Aug 2024</v>
          </cell>
        </row>
        <row r="6847">
          <cell r="A6847" t="str">
            <v>LKA</v>
          </cell>
          <cell r="B6847">
            <v>2016</v>
          </cell>
          <cell r="C6847" t="str">
            <v>mac_labz</v>
          </cell>
          <cell r="D6847">
            <v>0.49517309665679932</v>
          </cell>
          <cell r="F6847" t="str">
            <v>14 Aug 2024</v>
          </cell>
        </row>
        <row r="6848">
          <cell r="A6848" t="str">
            <v>LKA</v>
          </cell>
          <cell r="B6848">
            <v>2006</v>
          </cell>
          <cell r="C6848" t="str">
            <v>macab_</v>
          </cell>
          <cell r="D6848">
            <v>-5.2970643043518066</v>
          </cell>
          <cell r="F6848" t="str">
            <v>14 Aug 2024</v>
          </cell>
        </row>
        <row r="6849">
          <cell r="A6849" t="str">
            <v>LKA</v>
          </cell>
          <cell r="B6849">
            <v>2026</v>
          </cell>
          <cell r="C6849" t="str">
            <v>maexpz</v>
          </cell>
          <cell r="D6849">
            <v>3.0588243007659912</v>
          </cell>
          <cell r="F6849" t="str">
            <v>14 Aug 2024</v>
          </cell>
        </row>
        <row r="6850">
          <cell r="A6850" t="str">
            <v>LKA</v>
          </cell>
          <cell r="B6850">
            <v>2011</v>
          </cell>
          <cell r="C6850" t="str">
            <v>macab_</v>
          </cell>
          <cell r="D6850">
            <v>-7.0687785148620605</v>
          </cell>
          <cell r="F6850" t="str">
            <v>14 Aug 2024</v>
          </cell>
        </row>
        <row r="6851">
          <cell r="A6851" t="str">
            <v>LKA</v>
          </cell>
          <cell r="B6851">
            <v>2016</v>
          </cell>
          <cell r="C6851" t="str">
            <v>mar_agrfc</v>
          </cell>
          <cell r="D6851">
            <v>8.1307659149169922</v>
          </cell>
          <cell r="F6851" t="str">
            <v>14 Aug 2024</v>
          </cell>
        </row>
        <row r="6852">
          <cell r="A6852" t="str">
            <v>LKA</v>
          </cell>
          <cell r="B6852">
            <v>2025</v>
          </cell>
          <cell r="C6852" t="str">
            <v>mareer</v>
          </cell>
          <cell r="D6852">
            <v>89.062919616699219</v>
          </cell>
          <cell r="F6852" t="str">
            <v>14 Aug 2024</v>
          </cell>
        </row>
        <row r="6853">
          <cell r="A6853" t="str">
            <v>LKA</v>
          </cell>
          <cell r="B6853">
            <v>2020</v>
          </cell>
          <cell r="C6853" t="str">
            <v>maindfc</v>
          </cell>
          <cell r="D6853">
            <v>-5.3171439170837402</v>
          </cell>
          <cell r="F6853" t="str">
            <v>14 Aug 2024</v>
          </cell>
        </row>
        <row r="6854">
          <cell r="A6854" t="str">
            <v>LKA</v>
          </cell>
          <cell r="B6854">
            <v>2016</v>
          </cell>
          <cell r="C6854" t="str">
            <v>mar_expz</v>
          </cell>
          <cell r="D6854">
            <v>19.859409332275391</v>
          </cell>
          <cell r="F6854" t="str">
            <v>14 Aug 2024</v>
          </cell>
        </row>
        <row r="6855">
          <cell r="A6855" t="str">
            <v>LKA</v>
          </cell>
          <cell r="B6855">
            <v>2012</v>
          </cell>
          <cell r="C6855" t="str">
            <v>mar_indfc</v>
          </cell>
          <cell r="D6855">
            <v>29.615177154541016</v>
          </cell>
          <cell r="F6855" t="str">
            <v>14 Aug 2024</v>
          </cell>
        </row>
        <row r="6856">
          <cell r="A6856" t="str">
            <v>LKA</v>
          </cell>
          <cell r="B6856">
            <v>2014</v>
          </cell>
          <cell r="C6856" t="str">
            <v>magdpz</v>
          </cell>
          <cell r="D6856">
            <v>4.960700511932373</v>
          </cell>
          <cell r="F6856" t="str">
            <v>14 Aug 2024</v>
          </cell>
        </row>
        <row r="6857">
          <cell r="A6857" t="str">
            <v>LKA</v>
          </cell>
          <cell r="B6857">
            <v>2007</v>
          </cell>
          <cell r="C6857" t="str">
            <v>masrvfc</v>
          </cell>
          <cell r="D6857">
            <v>7.1166009902954102</v>
          </cell>
          <cell r="F6857" t="str">
            <v>14 Aug 2024</v>
          </cell>
        </row>
        <row r="6858">
          <cell r="A6858" t="str">
            <v>LKA</v>
          </cell>
          <cell r="B6858">
            <v>2023</v>
          </cell>
          <cell r="C6858" t="str">
            <v>madebt_</v>
          </cell>
          <cell r="D6858">
            <v>105.67750549316406</v>
          </cell>
          <cell r="F6858" t="str">
            <v>14 Aug 2024</v>
          </cell>
        </row>
        <row r="6859">
          <cell r="A6859" t="str">
            <v>LKA</v>
          </cell>
          <cell r="B6859">
            <v>2014</v>
          </cell>
          <cell r="C6859" t="str">
            <v>mar_con</v>
          </cell>
          <cell r="D6859">
            <v>66.932479858398438</v>
          </cell>
          <cell r="F6859" t="str">
            <v>14 Aug 2024</v>
          </cell>
        </row>
        <row r="6860">
          <cell r="A6860" t="str">
            <v>LKA</v>
          </cell>
          <cell r="B6860">
            <v>2022</v>
          </cell>
          <cell r="C6860" t="str">
            <v>malabz</v>
          </cell>
          <cell r="D6860">
            <v>0.63024020195007324</v>
          </cell>
          <cell r="F6860" t="str">
            <v>14 Aug 2024</v>
          </cell>
        </row>
        <row r="6861">
          <cell r="A6861" t="str">
            <v>LKA</v>
          </cell>
          <cell r="B6861">
            <v>2024</v>
          </cell>
          <cell r="C6861" t="str">
            <v>mar_indfc</v>
          </cell>
          <cell r="D6861">
            <v>27.072771072387695</v>
          </cell>
          <cell r="F6861" t="str">
            <v>14 Aug 2024</v>
          </cell>
        </row>
        <row r="6862">
          <cell r="A6862" t="str">
            <v>LKA</v>
          </cell>
          <cell r="B6862">
            <v>2007</v>
          </cell>
          <cell r="C6862" t="str">
            <v>maconz</v>
          </cell>
          <cell r="D6862">
            <v>3.9382555484771729</v>
          </cell>
          <cell r="F6862" t="str">
            <v>14 Aug 2024</v>
          </cell>
        </row>
        <row r="6863">
          <cell r="A6863" t="str">
            <v>LKA</v>
          </cell>
          <cell r="B6863">
            <v>2015</v>
          </cell>
          <cell r="C6863" t="str">
            <v>mainvz</v>
          </cell>
          <cell r="D6863">
            <v>52.715320587158203</v>
          </cell>
          <cell r="F6863" t="str">
            <v>14 Aug 2024</v>
          </cell>
        </row>
        <row r="6864">
          <cell r="A6864" t="str">
            <v>LKA</v>
          </cell>
          <cell r="B6864">
            <v>2023</v>
          </cell>
          <cell r="C6864" t="str">
            <v>mafdi_</v>
          </cell>
          <cell r="D6864">
            <v>-0.69774997234344482</v>
          </cell>
          <cell r="F6864" t="str">
            <v>14 Aug 2024</v>
          </cell>
        </row>
        <row r="6865">
          <cell r="A6865" t="str">
            <v>LKA</v>
          </cell>
          <cell r="B6865">
            <v>2022</v>
          </cell>
          <cell r="C6865" t="str">
            <v>magap_</v>
          </cell>
          <cell r="D6865">
            <v>-11.546897888183594</v>
          </cell>
          <cell r="F6865" t="str">
            <v>14 Aug 2024</v>
          </cell>
        </row>
        <row r="6866">
          <cell r="A6866" t="str">
            <v>LKA</v>
          </cell>
          <cell r="B6866">
            <v>2025</v>
          </cell>
          <cell r="C6866" t="str">
            <v>matfpz</v>
          </cell>
          <cell r="D6866">
            <v>-1.827100396156311</v>
          </cell>
          <cell r="F6866" t="str">
            <v>14 Aug 2024</v>
          </cell>
        </row>
        <row r="6867">
          <cell r="A6867" t="str">
            <v>LKA</v>
          </cell>
          <cell r="B6867">
            <v>2014</v>
          </cell>
          <cell r="C6867" t="str">
            <v>mar_agrfc</v>
          </cell>
          <cell r="D6867">
            <v>8.5556163787841797</v>
          </cell>
          <cell r="F6867" t="str">
            <v>14 Aug 2024</v>
          </cell>
        </row>
        <row r="6868">
          <cell r="A6868" t="str">
            <v>LKA</v>
          </cell>
          <cell r="B6868">
            <v>2013</v>
          </cell>
          <cell r="C6868" t="str">
            <v>mar_con</v>
          </cell>
          <cell r="D6868">
            <v>67.773139953613281</v>
          </cell>
          <cell r="F6868" t="str">
            <v>14 Aug 2024</v>
          </cell>
        </row>
        <row r="6869">
          <cell r="A6869" t="str">
            <v>LKA</v>
          </cell>
          <cell r="B6869">
            <v>2023</v>
          </cell>
          <cell r="C6869" t="str">
            <v>macpiz</v>
          </cell>
          <cell r="D6869">
            <v>17.401060104370117</v>
          </cell>
          <cell r="F6869" t="str">
            <v>14 Aug 2024</v>
          </cell>
        </row>
        <row r="6870">
          <cell r="A6870" t="str">
            <v>LKA</v>
          </cell>
          <cell r="B6870">
            <v>2013</v>
          </cell>
          <cell r="C6870" t="str">
            <v>mar_impz</v>
          </cell>
          <cell r="D6870">
            <v>26.803756713867188</v>
          </cell>
          <cell r="F6870" t="str">
            <v>14 Aug 2024</v>
          </cell>
        </row>
        <row r="6871">
          <cell r="A6871" t="str">
            <v>LKA</v>
          </cell>
          <cell r="B6871">
            <v>2013</v>
          </cell>
          <cell r="C6871" t="str">
            <v>masrvfc</v>
          </cell>
          <cell r="D6871">
            <v>3.773047924041748</v>
          </cell>
          <cell r="F6871" t="str">
            <v>14 Aug 2024</v>
          </cell>
        </row>
        <row r="6872">
          <cell r="A6872" t="str">
            <v>LKA</v>
          </cell>
          <cell r="B6872">
            <v>2013</v>
          </cell>
          <cell r="C6872" t="str">
            <v>madeficit_</v>
          </cell>
          <cell r="D6872">
            <v>-5.3803505897521973</v>
          </cell>
          <cell r="F6872" t="str">
            <v>14 Aug 2024</v>
          </cell>
        </row>
        <row r="6873">
          <cell r="A6873" t="str">
            <v>LKA</v>
          </cell>
          <cell r="B6873">
            <v>2025</v>
          </cell>
          <cell r="C6873" t="str">
            <v>maimpz</v>
          </cell>
          <cell r="D6873">
            <v>1.6498503684997559</v>
          </cell>
          <cell r="F6873" t="str">
            <v>14 Aug 2024</v>
          </cell>
        </row>
        <row r="6874">
          <cell r="A6874" t="str">
            <v>LKA</v>
          </cell>
          <cell r="B6874">
            <v>2010</v>
          </cell>
          <cell r="C6874" t="str">
            <v>magdpz</v>
          </cell>
          <cell r="D6874">
            <v>8.0159673690795898</v>
          </cell>
          <cell r="F6874" t="str">
            <v>14 Aug 2024</v>
          </cell>
        </row>
        <row r="6875">
          <cell r="A6875" t="str">
            <v>LKA</v>
          </cell>
          <cell r="B6875">
            <v>2023</v>
          </cell>
          <cell r="C6875" t="str">
            <v>mar_indfc</v>
          </cell>
          <cell r="D6875">
            <v>26.963134765625</v>
          </cell>
          <cell r="F6875" t="str">
            <v>14 Aug 2024</v>
          </cell>
        </row>
        <row r="6876">
          <cell r="A6876" t="str">
            <v>LKA</v>
          </cell>
          <cell r="B6876">
            <v>2017</v>
          </cell>
          <cell r="C6876" t="str">
            <v>mar_impz</v>
          </cell>
          <cell r="D6876">
            <v>27.592153549194336</v>
          </cell>
          <cell r="F6876" t="str">
            <v>14 Aug 2024</v>
          </cell>
        </row>
        <row r="6877">
          <cell r="A6877" t="str">
            <v>LKA</v>
          </cell>
          <cell r="B6877">
            <v>2019</v>
          </cell>
          <cell r="C6877" t="str">
            <v>madeficit_</v>
          </cell>
          <cell r="D6877">
            <v>-9.0446672439575195</v>
          </cell>
          <cell r="F6877" t="str">
            <v>14 Aug 2024</v>
          </cell>
        </row>
        <row r="6878">
          <cell r="A6878" t="str">
            <v>LKA</v>
          </cell>
          <cell r="B6878">
            <v>2012</v>
          </cell>
          <cell r="C6878" t="str">
            <v>mareer</v>
          </cell>
          <cell r="D6878">
            <v>112.97471618652344</v>
          </cell>
          <cell r="F6878" t="str">
            <v>14 Aug 2024</v>
          </cell>
        </row>
        <row r="6879">
          <cell r="A6879" t="str">
            <v>LKA</v>
          </cell>
          <cell r="B6879">
            <v>2017</v>
          </cell>
          <cell r="C6879" t="str">
            <v>maexpz</v>
          </cell>
          <cell r="D6879">
            <v>7.6594400405883789</v>
          </cell>
          <cell r="F6879" t="str">
            <v>14 Aug 2024</v>
          </cell>
        </row>
        <row r="6880">
          <cell r="A6880" t="str">
            <v>LKA</v>
          </cell>
          <cell r="B6880">
            <v>2005</v>
          </cell>
          <cell r="C6880" t="str">
            <v>mar_srvfc</v>
          </cell>
          <cell r="D6880">
            <v>61.033779144287109</v>
          </cell>
          <cell r="F6880" t="str">
            <v>14 Aug 2024</v>
          </cell>
        </row>
        <row r="6881">
          <cell r="A6881" t="str">
            <v>LKA</v>
          </cell>
          <cell r="B6881">
            <v>2005</v>
          </cell>
          <cell r="C6881" t="str">
            <v>maexpz</v>
          </cell>
          <cell r="D6881">
            <v>6.6461658477783203</v>
          </cell>
          <cell r="F6881" t="str">
            <v>14 Aug 2024</v>
          </cell>
        </row>
        <row r="6882">
          <cell r="A6882" t="str">
            <v>LKA</v>
          </cell>
          <cell r="B6882">
            <v>2026</v>
          </cell>
          <cell r="C6882" t="str">
            <v>macab_</v>
          </cell>
          <cell r="D6882">
            <v>-0.44165295362472534</v>
          </cell>
          <cell r="F6882" t="str">
            <v>14 Aug 2024</v>
          </cell>
        </row>
        <row r="6883">
          <cell r="A6883" t="str">
            <v>LKA</v>
          </cell>
          <cell r="B6883">
            <v>2015</v>
          </cell>
          <cell r="C6883" t="str">
            <v>madebt_</v>
          </cell>
          <cell r="D6883">
            <v>74.342521667480469</v>
          </cell>
          <cell r="F6883" t="str">
            <v>14 Aug 2024</v>
          </cell>
        </row>
        <row r="6884">
          <cell r="A6884" t="str">
            <v>LKA</v>
          </cell>
          <cell r="B6884">
            <v>2012</v>
          </cell>
          <cell r="C6884" t="str">
            <v>masrvfc</v>
          </cell>
          <cell r="D6884">
            <v>11.220571517944336</v>
          </cell>
          <cell r="F6884" t="str">
            <v>14 Aug 2024</v>
          </cell>
        </row>
        <row r="6885">
          <cell r="A6885" t="str">
            <v>LKA</v>
          </cell>
          <cell r="B6885">
            <v>2012</v>
          </cell>
          <cell r="C6885" t="str">
            <v>macab_</v>
          </cell>
          <cell r="D6885">
            <v>-5.8173947334289551</v>
          </cell>
          <cell r="F6885" t="str">
            <v>14 Aug 2024</v>
          </cell>
        </row>
        <row r="6886">
          <cell r="A6886" t="str">
            <v>LKA</v>
          </cell>
          <cell r="B6886">
            <v>2016</v>
          </cell>
          <cell r="C6886" t="str">
            <v>magdpz</v>
          </cell>
          <cell r="D6886">
            <v>5.0535898208618164</v>
          </cell>
          <cell r="F6886" t="str">
            <v>14 Aug 2024</v>
          </cell>
        </row>
        <row r="6887">
          <cell r="A6887" t="str">
            <v>LKA</v>
          </cell>
          <cell r="B6887">
            <v>2013</v>
          </cell>
          <cell r="C6887" t="str">
            <v>maagrfc</v>
          </cell>
          <cell r="D6887">
            <v>3.246335506439209</v>
          </cell>
          <cell r="F6887" t="str">
            <v>14 Aug 2024</v>
          </cell>
        </row>
        <row r="6888">
          <cell r="A6888" t="str">
            <v>LKA</v>
          </cell>
          <cell r="B6888">
            <v>2008</v>
          </cell>
          <cell r="C6888" t="str">
            <v>mar_indfc</v>
          </cell>
          <cell r="D6888">
            <v>29.380731582641602</v>
          </cell>
          <cell r="F6888" t="str">
            <v>14 Aug 2024</v>
          </cell>
        </row>
        <row r="6889">
          <cell r="A6889" t="str">
            <v>LKA</v>
          </cell>
          <cell r="B6889">
            <v>2015</v>
          </cell>
          <cell r="C6889" t="str">
            <v>maconz</v>
          </cell>
          <cell r="D6889">
            <v>34.184391021728516</v>
          </cell>
          <cell r="F6889" t="str">
            <v>14 Aug 2024</v>
          </cell>
        </row>
        <row r="6890">
          <cell r="A6890" t="str">
            <v>LKA</v>
          </cell>
          <cell r="B6890">
            <v>2009</v>
          </cell>
          <cell r="C6890" t="str">
            <v>mareer</v>
          </cell>
          <cell r="D6890">
            <v>92.060722351074219</v>
          </cell>
          <cell r="F6890" t="str">
            <v>14 Aug 2024</v>
          </cell>
        </row>
        <row r="6891">
          <cell r="A6891" t="str">
            <v>LKA</v>
          </cell>
          <cell r="B6891">
            <v>2009</v>
          </cell>
          <cell r="C6891" t="str">
            <v>mainvz</v>
          </cell>
          <cell r="D6891">
            <v>1.3440393209457397</v>
          </cell>
          <cell r="F6891" t="str">
            <v>14 Aug 2024</v>
          </cell>
        </row>
        <row r="6892">
          <cell r="A6892" t="str">
            <v>LKA</v>
          </cell>
          <cell r="B6892">
            <v>2010</v>
          </cell>
          <cell r="C6892" t="str">
            <v>maimpz</v>
          </cell>
          <cell r="D6892">
            <v>12.647152900695801</v>
          </cell>
          <cell r="F6892" t="str">
            <v>14 Aug 2024</v>
          </cell>
        </row>
        <row r="6893">
          <cell r="A6893" t="str">
            <v>LKA</v>
          </cell>
          <cell r="B6893">
            <v>2014</v>
          </cell>
          <cell r="C6893" t="str">
            <v>mar_srvfc</v>
          </cell>
          <cell r="D6893">
            <v>61.770206451416016</v>
          </cell>
          <cell r="F6893" t="str">
            <v>14 Aug 2024</v>
          </cell>
        </row>
        <row r="6894">
          <cell r="A6894" t="str">
            <v>LKA</v>
          </cell>
          <cell r="B6894">
            <v>2020</v>
          </cell>
          <cell r="C6894" t="str">
            <v>mar_impz</v>
          </cell>
          <cell r="D6894">
            <v>22.571323394775391</v>
          </cell>
          <cell r="F6894" t="str">
            <v>14 Aug 2024</v>
          </cell>
        </row>
        <row r="6895">
          <cell r="A6895" t="str">
            <v>LKA</v>
          </cell>
          <cell r="B6895">
            <v>2019</v>
          </cell>
          <cell r="C6895" t="str">
            <v>mareer</v>
          </cell>
          <cell r="D6895">
            <v>91.763038635253906</v>
          </cell>
          <cell r="F6895" t="str">
            <v>14 Aug 2024</v>
          </cell>
        </row>
        <row r="6896">
          <cell r="A6896" t="str">
            <v>LKA</v>
          </cell>
          <cell r="B6896">
            <v>2015</v>
          </cell>
          <cell r="C6896" t="str">
            <v>matfpz</v>
          </cell>
          <cell r="D6896">
            <v>2.8405187129974365</v>
          </cell>
          <cell r="F6896" t="str">
            <v>14 Aug 2024</v>
          </cell>
        </row>
        <row r="6897">
          <cell r="A6897" t="str">
            <v>LKA</v>
          </cell>
          <cell r="B6897">
            <v>2025</v>
          </cell>
          <cell r="C6897" t="str">
            <v>mac_labz</v>
          </cell>
          <cell r="D6897">
            <v>0.47490736842155457</v>
          </cell>
          <cell r="F6897" t="str">
            <v>14 Aug 2024</v>
          </cell>
        </row>
        <row r="6898">
          <cell r="A6898" t="str">
            <v>LKA</v>
          </cell>
          <cell r="B6898">
            <v>2010</v>
          </cell>
          <cell r="C6898" t="str">
            <v>masrvfc</v>
          </cell>
          <cell r="D6898">
            <v>8.0255336761474609</v>
          </cell>
          <cell r="F6898" t="str">
            <v>14 Aug 2024</v>
          </cell>
        </row>
        <row r="6899">
          <cell r="A6899" t="str">
            <v>LKA</v>
          </cell>
          <cell r="B6899">
            <v>2024</v>
          </cell>
          <cell r="C6899" t="str">
            <v>maagrfc</v>
          </cell>
          <cell r="D6899">
            <v>1.5</v>
          </cell>
          <cell r="F6899" t="str">
            <v>14 Aug 2024</v>
          </cell>
        </row>
        <row r="6900">
          <cell r="A6900" t="str">
            <v>LKA</v>
          </cell>
          <cell r="B6900">
            <v>2018</v>
          </cell>
          <cell r="C6900" t="str">
            <v>macpiz</v>
          </cell>
          <cell r="D6900">
            <v>4.270209789276123</v>
          </cell>
          <cell r="F6900" t="str">
            <v>14 Aug 2024</v>
          </cell>
        </row>
        <row r="6901">
          <cell r="A6901" t="str">
            <v>LKA</v>
          </cell>
          <cell r="B6901">
            <v>2026</v>
          </cell>
          <cell r="C6901" t="str">
            <v>mar_con</v>
          </cell>
          <cell r="D6901">
            <v>59.231712341308594</v>
          </cell>
          <cell r="F6901" t="str">
            <v>14 Aug 2024</v>
          </cell>
        </row>
        <row r="6902">
          <cell r="A6902" t="str">
            <v>LKA</v>
          </cell>
          <cell r="B6902">
            <v>2017</v>
          </cell>
          <cell r="C6902" t="str">
            <v>mar_con</v>
          </cell>
          <cell r="D6902">
            <v>58.46575927734375</v>
          </cell>
          <cell r="F6902" t="str">
            <v>14 Aug 2024</v>
          </cell>
        </row>
        <row r="6903">
          <cell r="A6903" t="str">
            <v>LKA</v>
          </cell>
          <cell r="B6903">
            <v>2023</v>
          </cell>
          <cell r="C6903" t="str">
            <v>malabz</v>
          </cell>
          <cell r="D6903">
            <v>0.7957344651222229</v>
          </cell>
          <cell r="F6903" t="str">
            <v>14 Aug 2024</v>
          </cell>
        </row>
        <row r="6904">
          <cell r="A6904" t="str">
            <v>LKA</v>
          </cell>
          <cell r="B6904">
            <v>2025</v>
          </cell>
          <cell r="C6904" t="str">
            <v>magdpz</v>
          </cell>
          <cell r="D6904">
            <v>2.4707906246185303</v>
          </cell>
          <cell r="F6904" t="str">
            <v>14 Aug 2024</v>
          </cell>
        </row>
        <row r="6905">
          <cell r="A6905" t="str">
            <v>LKA</v>
          </cell>
          <cell r="B6905">
            <v>2013</v>
          </cell>
          <cell r="C6905" t="str">
            <v>mac_tfpz</v>
          </cell>
          <cell r="D6905">
            <v>3.1648604869842529</v>
          </cell>
          <cell r="F6905" t="str">
            <v>14 Aug 2024</v>
          </cell>
        </row>
        <row r="6906">
          <cell r="A6906" t="str">
            <v>LKA</v>
          </cell>
          <cell r="B6906">
            <v>2022</v>
          </cell>
          <cell r="C6906" t="str">
            <v>madebt_</v>
          </cell>
          <cell r="D6906">
            <v>119.15674591064453</v>
          </cell>
          <cell r="F6906" t="str">
            <v>14 Aug 2024</v>
          </cell>
        </row>
        <row r="6907">
          <cell r="A6907" t="str">
            <v>LKA</v>
          </cell>
          <cell r="B6907">
            <v>2011</v>
          </cell>
          <cell r="C6907" t="str">
            <v>mataxfc</v>
          </cell>
          <cell r="D6907">
            <v>6.5744428634643555</v>
          </cell>
          <cell r="F6907" t="str">
            <v>14 Aug 2024</v>
          </cell>
        </row>
        <row r="6908">
          <cell r="A6908" t="str">
            <v>LKA</v>
          </cell>
          <cell r="B6908">
            <v>2022</v>
          </cell>
          <cell r="C6908" t="str">
            <v>mafdi_</v>
          </cell>
          <cell r="D6908">
            <v>-1.2111411094665527</v>
          </cell>
          <cell r="F6908" t="str">
            <v>14 Aug 2024</v>
          </cell>
        </row>
        <row r="6909">
          <cell r="A6909" t="str">
            <v>LKA</v>
          </cell>
          <cell r="B6909">
            <v>2014</v>
          </cell>
          <cell r="C6909" t="str">
            <v>malabz</v>
          </cell>
          <cell r="D6909">
            <v>0.65726536512374878</v>
          </cell>
          <cell r="F6909" t="str">
            <v>14 Aug 2024</v>
          </cell>
        </row>
        <row r="6910">
          <cell r="A6910" t="str">
            <v>LKA</v>
          </cell>
          <cell r="B6910">
            <v>2020</v>
          </cell>
          <cell r="C6910" t="str">
            <v>mar_con</v>
          </cell>
          <cell r="D6910">
            <v>61.533058166503906</v>
          </cell>
          <cell r="F6910" t="str">
            <v>14 Aug 2024</v>
          </cell>
        </row>
        <row r="6911">
          <cell r="A6911" t="str">
            <v>LKA</v>
          </cell>
          <cell r="B6911">
            <v>2010</v>
          </cell>
          <cell r="C6911" t="str">
            <v>maconz</v>
          </cell>
          <cell r="D6911">
            <v>9.1570186614990234</v>
          </cell>
          <cell r="F6911" t="str">
            <v>14 Aug 2024</v>
          </cell>
        </row>
        <row r="6912">
          <cell r="A6912" t="str">
            <v>LKA</v>
          </cell>
          <cell r="B6912">
            <v>2005</v>
          </cell>
          <cell r="C6912" t="str">
            <v>mar_con</v>
          </cell>
          <cell r="D6912">
            <v>71.093521118164063</v>
          </cell>
          <cell r="F6912" t="str">
            <v>14 Aug 2024</v>
          </cell>
        </row>
        <row r="6913">
          <cell r="A6913" t="str">
            <v>LKA</v>
          </cell>
          <cell r="B6913">
            <v>2008</v>
          </cell>
          <cell r="C6913" t="str">
            <v>mareer</v>
          </cell>
          <cell r="D6913">
            <v>93.323997497558594</v>
          </cell>
          <cell r="F6913" t="str">
            <v>14 Aug 2024</v>
          </cell>
        </row>
        <row r="6914">
          <cell r="A6914" t="str">
            <v>LKA</v>
          </cell>
          <cell r="B6914">
            <v>2014</v>
          </cell>
          <cell r="C6914" t="str">
            <v>mareer</v>
          </cell>
          <cell r="D6914">
            <v>119.84483337402344</v>
          </cell>
          <cell r="F6914" t="str">
            <v>14 Aug 2024</v>
          </cell>
        </row>
        <row r="6915">
          <cell r="A6915" t="str">
            <v>LKA</v>
          </cell>
          <cell r="B6915">
            <v>2013</v>
          </cell>
          <cell r="C6915" t="str">
            <v>maexpz</v>
          </cell>
          <cell r="D6915">
            <v>6.6363635063171387</v>
          </cell>
          <cell r="F6915" t="str">
            <v>14 Aug 2024</v>
          </cell>
        </row>
        <row r="6916">
          <cell r="A6916" t="str">
            <v>LKA</v>
          </cell>
          <cell r="B6916">
            <v>2005</v>
          </cell>
          <cell r="C6916" t="str">
            <v>madeficit_</v>
          </cell>
          <cell r="D6916">
            <v>-7.0271635055541992</v>
          </cell>
          <cell r="F6916" t="str">
            <v>14 Aug 2024</v>
          </cell>
        </row>
        <row r="6917">
          <cell r="A6917" t="str">
            <v>LKA</v>
          </cell>
          <cell r="B6917">
            <v>2016</v>
          </cell>
          <cell r="C6917" t="str">
            <v>mataxfc</v>
          </cell>
          <cell r="D6917">
            <v>8.3688554763793945</v>
          </cell>
          <cell r="F6917" t="str">
            <v>14 Aug 2024</v>
          </cell>
        </row>
        <row r="6918">
          <cell r="A6918" t="str">
            <v>LKA</v>
          </cell>
          <cell r="B6918">
            <v>2017</v>
          </cell>
          <cell r="C6918" t="str">
            <v>mar_expz</v>
          </cell>
          <cell r="D6918">
            <v>20.083028793334961</v>
          </cell>
          <cell r="F6918" t="str">
            <v>14 Aug 2024</v>
          </cell>
        </row>
        <row r="6919">
          <cell r="A6919" t="str">
            <v>LKA</v>
          </cell>
          <cell r="B6919">
            <v>2005</v>
          </cell>
          <cell r="C6919" t="str">
            <v>magdpz</v>
          </cell>
          <cell r="D6919">
            <v>6.2417478561401367</v>
          </cell>
          <cell r="F6919" t="str">
            <v>14 Aug 2024</v>
          </cell>
        </row>
        <row r="6920">
          <cell r="A6920" t="str">
            <v>LKA</v>
          </cell>
          <cell r="B6920">
            <v>2023</v>
          </cell>
          <cell r="C6920" t="str">
            <v>madeficit_</v>
          </cell>
          <cell r="D6920">
            <v>-10.222696304321289</v>
          </cell>
          <cell r="F6920" t="str">
            <v>14 Aug 2024</v>
          </cell>
        </row>
        <row r="6921">
          <cell r="A6921" t="str">
            <v>LKA</v>
          </cell>
          <cell r="B6921">
            <v>2007</v>
          </cell>
          <cell r="C6921" t="str">
            <v>mar_con</v>
          </cell>
          <cell r="D6921">
            <v>68.471878051757813</v>
          </cell>
          <cell r="F6921" t="str">
            <v>14 Aug 2024</v>
          </cell>
        </row>
        <row r="6922">
          <cell r="A6922" t="str">
            <v>LKA</v>
          </cell>
          <cell r="B6922">
            <v>2017</v>
          </cell>
          <cell r="C6922" t="str">
            <v>mac_tfpz</v>
          </cell>
          <cell r="D6922">
            <v>1.8436561822891235</v>
          </cell>
          <cell r="F6922" t="str">
            <v>14 Aug 2024</v>
          </cell>
        </row>
        <row r="6923">
          <cell r="A6923" t="str">
            <v>LKA</v>
          </cell>
          <cell r="B6923">
            <v>2014</v>
          </cell>
          <cell r="C6923" t="str">
            <v>mar_expz</v>
          </cell>
          <cell r="D6923">
            <v>18.622808456420898</v>
          </cell>
          <cell r="F6923" t="str">
            <v>14 Aug 2024</v>
          </cell>
        </row>
        <row r="6924">
          <cell r="A6924" t="str">
            <v>LKA</v>
          </cell>
          <cell r="B6924">
            <v>2009</v>
          </cell>
          <cell r="C6924" t="str">
            <v>mar_agrfc</v>
          </cell>
          <cell r="D6924">
            <v>9.5603532791137695</v>
          </cell>
          <cell r="F6924" t="str">
            <v>14 Aug 2024</v>
          </cell>
        </row>
        <row r="6925">
          <cell r="A6925" t="str">
            <v>LKA</v>
          </cell>
          <cell r="B6925">
            <v>2014</v>
          </cell>
          <cell r="C6925" t="str">
            <v>mainvz</v>
          </cell>
          <cell r="D6925">
            <v>-2.7658021450042725</v>
          </cell>
          <cell r="F6925" t="str">
            <v>14 Aug 2024</v>
          </cell>
        </row>
        <row r="6926">
          <cell r="A6926" t="str">
            <v>LKA</v>
          </cell>
          <cell r="B6926">
            <v>2025</v>
          </cell>
          <cell r="C6926" t="str">
            <v>mar_srvfc</v>
          </cell>
          <cell r="D6926">
            <v>64.613716125488281</v>
          </cell>
          <cell r="F6926" t="str">
            <v>14 Aug 2024</v>
          </cell>
        </row>
        <row r="6927">
          <cell r="A6927" t="str">
            <v>LKA</v>
          </cell>
          <cell r="B6927">
            <v>2016</v>
          </cell>
          <cell r="C6927" t="str">
            <v>maindfc</v>
          </cell>
          <cell r="D6927">
            <v>7.4274301528930664</v>
          </cell>
          <cell r="F6927" t="str">
            <v>14 Aug 2024</v>
          </cell>
        </row>
        <row r="6928">
          <cell r="A6928" t="str">
            <v>LKA</v>
          </cell>
          <cell r="B6928">
            <v>2006</v>
          </cell>
          <cell r="C6928" t="str">
            <v>mar_expz</v>
          </cell>
          <cell r="D6928">
            <v>24.077276229858398</v>
          </cell>
          <cell r="F6928" t="str">
            <v>14 Aug 2024</v>
          </cell>
        </row>
        <row r="6929">
          <cell r="A6929" t="str">
            <v>LKA</v>
          </cell>
          <cell r="B6929">
            <v>2025</v>
          </cell>
          <cell r="C6929" t="str">
            <v>magap_</v>
          </cell>
          <cell r="D6929">
            <v>-8.4005317687988281</v>
          </cell>
          <cell r="F6929" t="str">
            <v>14 Aug 2024</v>
          </cell>
        </row>
        <row r="6930">
          <cell r="A6930" t="str">
            <v>LKA</v>
          </cell>
          <cell r="B6930">
            <v>2019</v>
          </cell>
          <cell r="C6930" t="str">
            <v>mataxfc</v>
          </cell>
          <cell r="D6930">
            <v>-6.76251220703125</v>
          </cell>
          <cell r="F6930" t="str">
            <v>14 Aug 2024</v>
          </cell>
        </row>
        <row r="6931">
          <cell r="A6931" t="str">
            <v>LKA</v>
          </cell>
          <cell r="B6931">
            <v>2025</v>
          </cell>
          <cell r="C6931" t="str">
            <v>maagrfc</v>
          </cell>
          <cell r="D6931">
            <v>1.5</v>
          </cell>
          <cell r="F6931" t="str">
            <v>14 Aug 2024</v>
          </cell>
        </row>
        <row r="6932">
          <cell r="A6932" t="str">
            <v>LKA</v>
          </cell>
          <cell r="B6932">
            <v>2013</v>
          </cell>
          <cell r="C6932" t="str">
            <v>mafdi_</v>
          </cell>
          <cell r="D6932">
            <v>-1.1666113138198853</v>
          </cell>
          <cell r="F6932" t="str">
            <v>14 Aug 2024</v>
          </cell>
        </row>
        <row r="6933">
          <cell r="A6933" t="str">
            <v>LKA</v>
          </cell>
          <cell r="B6933">
            <v>2008</v>
          </cell>
          <cell r="C6933" t="str">
            <v>mar_agrfc</v>
          </cell>
          <cell r="D6933">
            <v>9.5910396575927734</v>
          </cell>
          <cell r="F6933" t="str">
            <v>14 Aug 2024</v>
          </cell>
        </row>
        <row r="6934">
          <cell r="A6934" t="str">
            <v>LKA</v>
          </cell>
          <cell r="B6934">
            <v>2021</v>
          </cell>
          <cell r="C6934" t="str">
            <v>maexpz</v>
          </cell>
          <cell r="D6934">
            <v>10.116497039794922</v>
          </cell>
          <cell r="F6934" t="str">
            <v>14 Aug 2024</v>
          </cell>
        </row>
        <row r="6935">
          <cell r="A6935" t="str">
            <v>LKA</v>
          </cell>
          <cell r="B6935">
            <v>2025</v>
          </cell>
          <cell r="C6935" t="str">
            <v>macpiz</v>
          </cell>
          <cell r="D6935">
            <v>6.4460501670837402</v>
          </cell>
          <cell r="F6935" t="str">
            <v>14 Aug 2024</v>
          </cell>
        </row>
        <row r="6936">
          <cell r="A6936" t="str">
            <v>LKA</v>
          </cell>
          <cell r="B6936">
            <v>2012</v>
          </cell>
          <cell r="C6936" t="str">
            <v>magovz</v>
          </cell>
          <cell r="D6936">
            <v>6.0465054512023926</v>
          </cell>
          <cell r="F6936" t="str">
            <v>14 Aug 2024</v>
          </cell>
        </row>
        <row r="6937">
          <cell r="A6937" t="str">
            <v>LKA</v>
          </cell>
          <cell r="B6937">
            <v>2018</v>
          </cell>
          <cell r="C6937" t="str">
            <v>mainvz</v>
          </cell>
          <cell r="D6937">
            <v>-0.18891327083110809</v>
          </cell>
          <cell r="F6937" t="str">
            <v>14 Aug 2024</v>
          </cell>
        </row>
        <row r="6938">
          <cell r="A6938" t="str">
            <v>LKA</v>
          </cell>
          <cell r="B6938">
            <v>2015</v>
          </cell>
          <cell r="C6938" t="str">
            <v>maagrfc</v>
          </cell>
          <cell r="D6938">
            <v>48.578838348388672</v>
          </cell>
          <cell r="F6938" t="str">
            <v>14 Aug 2024</v>
          </cell>
        </row>
        <row r="6939">
          <cell r="A6939" t="str">
            <v>LKA</v>
          </cell>
          <cell r="B6939">
            <v>2010</v>
          </cell>
          <cell r="C6939" t="str">
            <v>mar_con</v>
          </cell>
          <cell r="D6939">
            <v>68.450920104980469</v>
          </cell>
          <cell r="F6939" t="str">
            <v>14 Aug 2024</v>
          </cell>
        </row>
        <row r="6940">
          <cell r="A6940" t="str">
            <v>LKA</v>
          </cell>
          <cell r="B6940">
            <v>2022</v>
          </cell>
          <cell r="C6940" t="str">
            <v>maindfc</v>
          </cell>
          <cell r="D6940">
            <v>-15.981072425842285</v>
          </cell>
          <cell r="F6940" t="str">
            <v>14 Aug 2024</v>
          </cell>
        </row>
        <row r="6941">
          <cell r="A6941" t="str">
            <v>LKA</v>
          </cell>
          <cell r="B6941">
            <v>2026</v>
          </cell>
          <cell r="C6941" t="str">
            <v>maimpz</v>
          </cell>
          <cell r="D6941">
            <v>2.3134610652923584</v>
          </cell>
          <cell r="F6941" t="str">
            <v>14 Aug 2024</v>
          </cell>
        </row>
        <row r="6942">
          <cell r="A6942" t="str">
            <v>LKA</v>
          </cell>
          <cell r="B6942">
            <v>2006</v>
          </cell>
          <cell r="C6942" t="str">
            <v>mainvz</v>
          </cell>
          <cell r="D6942">
            <v>12.870814323425293</v>
          </cell>
          <cell r="F6942" t="str">
            <v>14 Aug 2024</v>
          </cell>
        </row>
        <row r="6943">
          <cell r="A6943" t="str">
            <v>LKA</v>
          </cell>
          <cell r="B6943">
            <v>2016</v>
          </cell>
          <cell r="C6943" t="str">
            <v>mainvz</v>
          </cell>
          <cell r="D6943">
            <v>15.143939018249512</v>
          </cell>
          <cell r="F6943" t="str">
            <v>14 Aug 2024</v>
          </cell>
        </row>
        <row r="6944">
          <cell r="A6944" t="str">
            <v>LKA</v>
          </cell>
          <cell r="B6944">
            <v>2012</v>
          </cell>
          <cell r="C6944" t="str">
            <v>mainvz</v>
          </cell>
          <cell r="D6944">
            <v>11.473546981811523</v>
          </cell>
          <cell r="F6944" t="str">
            <v>14 Aug 2024</v>
          </cell>
        </row>
        <row r="6945">
          <cell r="A6945" t="str">
            <v>LKA</v>
          </cell>
          <cell r="B6945">
            <v>2019</v>
          </cell>
          <cell r="C6945" t="str">
            <v>magap_</v>
          </cell>
          <cell r="D6945">
            <v>-5.1089210510253906</v>
          </cell>
          <cell r="F6945" t="str">
            <v>14 Aug 2024</v>
          </cell>
        </row>
        <row r="6946">
          <cell r="A6946" t="str">
            <v>LKA</v>
          </cell>
          <cell r="B6946">
            <v>2015</v>
          </cell>
          <cell r="C6946" t="str">
            <v>mar_expz</v>
          </cell>
          <cell r="D6946">
            <v>19.893383026123047</v>
          </cell>
          <cell r="F6946" t="str">
            <v>14 Aug 2024</v>
          </cell>
        </row>
        <row r="6947">
          <cell r="A6947" t="str">
            <v>LKA</v>
          </cell>
          <cell r="B6947">
            <v>2014</v>
          </cell>
          <cell r="C6947" t="str">
            <v>macpiz</v>
          </cell>
          <cell r="D6947">
            <v>3.2808101177215576</v>
          </cell>
          <cell r="F6947" t="str">
            <v>14 Aug 2024</v>
          </cell>
        </row>
        <row r="6948">
          <cell r="A6948" t="str">
            <v>LKA</v>
          </cell>
          <cell r="B6948">
            <v>2007</v>
          </cell>
          <cell r="C6948" t="str">
            <v>malabz</v>
          </cell>
          <cell r="D6948">
            <v>1.1738306283950806</v>
          </cell>
          <cell r="F6948" t="str">
            <v>14 Aug 2024</v>
          </cell>
        </row>
        <row r="6949">
          <cell r="A6949" t="str">
            <v>LKA</v>
          </cell>
          <cell r="B6949">
            <v>2017</v>
          </cell>
          <cell r="C6949" t="str">
            <v>maimpz</v>
          </cell>
          <cell r="D6949">
            <v>6.7301387786865234</v>
          </cell>
          <cell r="F6949" t="str">
            <v>14 Aug 2024</v>
          </cell>
        </row>
        <row r="6950">
          <cell r="A6950" t="str">
            <v>LKA</v>
          </cell>
          <cell r="B6950">
            <v>2012</v>
          </cell>
          <cell r="C6950" t="str">
            <v>mapanusatls</v>
          </cell>
          <cell r="D6950">
            <v>127.60340118408203</v>
          </cell>
          <cell r="F6950" t="str">
            <v>14 Aug 2024</v>
          </cell>
        </row>
        <row r="6951">
          <cell r="A6951" t="str">
            <v>LKA</v>
          </cell>
          <cell r="B6951">
            <v>2008</v>
          </cell>
          <cell r="C6951" t="str">
            <v>mar_taxfc</v>
          </cell>
          <cell r="D6951">
            <v>11.427812576293945</v>
          </cell>
          <cell r="F6951" t="str">
            <v>14 Aug 2024</v>
          </cell>
        </row>
        <row r="6952">
          <cell r="A6952" t="str">
            <v>MDV</v>
          </cell>
          <cell r="B6952">
            <v>2022</v>
          </cell>
          <cell r="C6952" t="str">
            <v>mar_srvfc</v>
          </cell>
          <cell r="D6952">
            <v>84.832084655761719</v>
          </cell>
          <cell r="F6952" t="str">
            <v>14 Aug 2024</v>
          </cell>
        </row>
        <row r="6953">
          <cell r="A6953" t="str">
            <v>MDV</v>
          </cell>
          <cell r="B6953">
            <v>2015</v>
          </cell>
          <cell r="C6953" t="str">
            <v>mataxfc</v>
          </cell>
          <cell r="D6953">
            <v>-4.5739021301269531</v>
          </cell>
          <cell r="F6953" t="str">
            <v>14 Aug 2024</v>
          </cell>
        </row>
        <row r="6954">
          <cell r="A6954" t="str">
            <v>MDV</v>
          </cell>
          <cell r="B6954">
            <v>2006</v>
          </cell>
          <cell r="C6954" t="str">
            <v>mac_tfpz</v>
          </cell>
          <cell r="D6954">
            <v>0.72948986291885376</v>
          </cell>
          <cell r="F6954" t="str">
            <v>14 Aug 2024</v>
          </cell>
        </row>
        <row r="6955">
          <cell r="A6955" t="str">
            <v>MDV</v>
          </cell>
          <cell r="B6955">
            <v>2026</v>
          </cell>
          <cell r="C6955" t="str">
            <v>mac_tfpz</v>
          </cell>
          <cell r="D6955">
            <v>-0.14350642263889313</v>
          </cell>
          <cell r="F6955" t="str">
            <v>14 Aug 2024</v>
          </cell>
        </row>
        <row r="6956">
          <cell r="A6956" t="str">
            <v>MDV</v>
          </cell>
          <cell r="B6956">
            <v>2024</v>
          </cell>
          <cell r="C6956" t="str">
            <v>mac_labz</v>
          </cell>
          <cell r="D6956">
            <v>-0.67118102312088013</v>
          </cell>
          <cell r="F6956" t="str">
            <v>14 Aug 2024</v>
          </cell>
        </row>
        <row r="6957">
          <cell r="A6957" t="str">
            <v>MDV</v>
          </cell>
          <cell r="B6957">
            <v>2023</v>
          </cell>
          <cell r="C6957" t="str">
            <v>maindfc</v>
          </cell>
          <cell r="D6957">
            <v>8.5408401489257813</v>
          </cell>
          <cell r="F6957" t="str">
            <v>14 Aug 2024</v>
          </cell>
        </row>
        <row r="6958">
          <cell r="A6958" t="str">
            <v>MDV</v>
          </cell>
          <cell r="B6958">
            <v>2005</v>
          </cell>
          <cell r="C6958" t="str">
            <v>madebt_</v>
          </cell>
          <cell r="D6958">
            <v>43.195869445800781</v>
          </cell>
          <cell r="F6958" t="str">
            <v>14 Aug 2024</v>
          </cell>
        </row>
        <row r="6959">
          <cell r="A6959" t="str">
            <v>MDV</v>
          </cell>
          <cell r="B6959">
            <v>2012</v>
          </cell>
          <cell r="C6959" t="str">
            <v>mac_tfpz</v>
          </cell>
          <cell r="D6959">
            <v>-6.5828196704387665E-2</v>
          </cell>
          <cell r="F6959" t="str">
            <v>14 Aug 2024</v>
          </cell>
        </row>
        <row r="6960">
          <cell r="A6960" t="str">
            <v>MDV</v>
          </cell>
          <cell r="B6960">
            <v>2006</v>
          </cell>
          <cell r="C6960" t="str">
            <v>mar_taxfc</v>
          </cell>
          <cell r="D6960">
            <v>14.582396507263184</v>
          </cell>
          <cell r="F6960" t="str">
            <v>14 Aug 2024</v>
          </cell>
        </row>
        <row r="6961">
          <cell r="A6961" t="str">
            <v>MDV</v>
          </cell>
          <cell r="B6961">
            <v>2014</v>
          </cell>
          <cell r="C6961" t="str">
            <v>maindfc</v>
          </cell>
          <cell r="D6961">
            <v>17.716205596923828</v>
          </cell>
          <cell r="F6961" t="str">
            <v>14 Aug 2024</v>
          </cell>
        </row>
        <row r="6962">
          <cell r="A6962" t="str">
            <v>MDV</v>
          </cell>
          <cell r="B6962">
            <v>2025</v>
          </cell>
          <cell r="C6962" t="str">
            <v>maindfc</v>
          </cell>
          <cell r="D6962">
            <v>5.9295401573181152</v>
          </cell>
          <cell r="F6962" t="str">
            <v>14 Aug 2024</v>
          </cell>
        </row>
        <row r="6963">
          <cell r="A6963" t="str">
            <v>MDV</v>
          </cell>
          <cell r="B6963">
            <v>2007</v>
          </cell>
          <cell r="C6963" t="str">
            <v>mac_tfpz</v>
          </cell>
          <cell r="D6963">
            <v>0.45039659738540649</v>
          </cell>
          <cell r="F6963" t="str">
            <v>14 Aug 2024</v>
          </cell>
        </row>
        <row r="6964">
          <cell r="A6964" t="str">
            <v>MDV</v>
          </cell>
          <cell r="B6964">
            <v>2021</v>
          </cell>
          <cell r="C6964" t="str">
            <v>magdpz</v>
          </cell>
          <cell r="D6964">
            <v>37.687191009521484</v>
          </cell>
          <cell r="F6964" t="str">
            <v>14 Aug 2024</v>
          </cell>
        </row>
        <row r="6965">
          <cell r="A6965" t="str">
            <v>MDV</v>
          </cell>
          <cell r="B6965">
            <v>2016</v>
          </cell>
          <cell r="C6965" t="str">
            <v>macpiz</v>
          </cell>
          <cell r="D6965">
            <v>0.49709147214889526</v>
          </cell>
          <cell r="F6965" t="str">
            <v>14 Aug 2024</v>
          </cell>
        </row>
        <row r="6966">
          <cell r="A6966" t="str">
            <v>MDV</v>
          </cell>
          <cell r="B6966">
            <v>2018</v>
          </cell>
          <cell r="C6966" t="str">
            <v>mapanusatls</v>
          </cell>
          <cell r="D6966">
            <v>15.409999847412109</v>
          </cell>
          <cell r="F6966" t="str">
            <v>14 Aug 2024</v>
          </cell>
        </row>
        <row r="6967">
          <cell r="A6967" t="str">
            <v>MDV</v>
          </cell>
          <cell r="B6967">
            <v>2006</v>
          </cell>
          <cell r="C6967" t="str">
            <v>mafdi_</v>
          </cell>
          <cell r="D6967"/>
          <cell r="F6967" t="str">
            <v>14 Aug 2024</v>
          </cell>
        </row>
        <row r="6968">
          <cell r="A6968" t="str">
            <v>MDV</v>
          </cell>
          <cell r="B6968">
            <v>2008</v>
          </cell>
          <cell r="C6968" t="str">
            <v>macab_</v>
          </cell>
          <cell r="D6968">
            <v>-26.927608489990234</v>
          </cell>
          <cell r="F6968" t="str">
            <v>14 Aug 2024</v>
          </cell>
        </row>
        <row r="6969">
          <cell r="A6969" t="str">
            <v>MDV</v>
          </cell>
          <cell r="B6969">
            <v>2011</v>
          </cell>
          <cell r="C6969" t="str">
            <v>maindfc</v>
          </cell>
          <cell r="D6969">
            <v>15.937663078308105</v>
          </cell>
          <cell r="F6969" t="str">
            <v>14 Aug 2024</v>
          </cell>
        </row>
        <row r="6970">
          <cell r="A6970" t="str">
            <v>MDV</v>
          </cell>
          <cell r="B6970">
            <v>2009</v>
          </cell>
          <cell r="C6970" t="str">
            <v>mac_labz</v>
          </cell>
          <cell r="D6970">
            <v>3.9605250358581543</v>
          </cell>
          <cell r="F6970" t="str">
            <v>14 Aug 2024</v>
          </cell>
        </row>
        <row r="6971">
          <cell r="A6971" t="str">
            <v>MDV</v>
          </cell>
          <cell r="B6971">
            <v>2010</v>
          </cell>
          <cell r="C6971" t="str">
            <v>malabz</v>
          </cell>
          <cell r="D6971">
            <v>5.257805347442627</v>
          </cell>
          <cell r="F6971" t="str">
            <v>14 Aug 2024</v>
          </cell>
        </row>
        <row r="6972">
          <cell r="A6972" t="str">
            <v>MDV</v>
          </cell>
          <cell r="B6972">
            <v>2008</v>
          </cell>
          <cell r="C6972" t="str">
            <v>mar_con</v>
          </cell>
          <cell r="D6972">
            <v>33.971664428710938</v>
          </cell>
          <cell r="F6972" t="str">
            <v>14 Aug 2024</v>
          </cell>
        </row>
        <row r="6973">
          <cell r="A6973" t="str">
            <v>MDV</v>
          </cell>
          <cell r="B6973">
            <v>2024</v>
          </cell>
          <cell r="C6973" t="str">
            <v>magovz</v>
          </cell>
          <cell r="D6973">
            <v>104623.4375</v>
          </cell>
          <cell r="F6973" t="str">
            <v>14 Aug 2024</v>
          </cell>
        </row>
        <row r="6974">
          <cell r="A6974" t="str">
            <v>MDV</v>
          </cell>
          <cell r="B6974">
            <v>2012</v>
          </cell>
          <cell r="C6974" t="str">
            <v>magdpz</v>
          </cell>
          <cell r="D6974">
            <v>2.3637475967407227</v>
          </cell>
          <cell r="F6974" t="str">
            <v>14 Aug 2024</v>
          </cell>
        </row>
        <row r="6975">
          <cell r="A6975" t="str">
            <v>MDV</v>
          </cell>
          <cell r="B6975">
            <v>2014</v>
          </cell>
          <cell r="C6975" t="str">
            <v>magap_</v>
          </cell>
          <cell r="D6975">
            <v>0.13246333599090576</v>
          </cell>
          <cell r="F6975" t="str">
            <v>14 Aug 2024</v>
          </cell>
        </row>
        <row r="6976">
          <cell r="A6976" t="str">
            <v>MDV</v>
          </cell>
          <cell r="B6976">
            <v>2011</v>
          </cell>
          <cell r="C6976" t="str">
            <v>magap_</v>
          </cell>
          <cell r="D6976">
            <v>-1.0429971218109131</v>
          </cell>
          <cell r="F6976" t="str">
            <v>14 Aug 2024</v>
          </cell>
        </row>
        <row r="6977">
          <cell r="A6977" t="str">
            <v>MDV</v>
          </cell>
          <cell r="B6977">
            <v>2010</v>
          </cell>
          <cell r="C6977" t="str">
            <v>madebt_</v>
          </cell>
          <cell r="D6977">
            <v>52.747661590576172</v>
          </cell>
          <cell r="F6977" t="str">
            <v>14 Aug 2024</v>
          </cell>
        </row>
        <row r="6978">
          <cell r="A6978" t="str">
            <v>MDV</v>
          </cell>
          <cell r="B6978">
            <v>2022</v>
          </cell>
          <cell r="C6978" t="str">
            <v>maconz</v>
          </cell>
          <cell r="D6978">
            <v>9.0780982971191406</v>
          </cell>
          <cell r="F6978" t="str">
            <v>14 Aug 2024</v>
          </cell>
        </row>
        <row r="6979">
          <cell r="A6979" t="str">
            <v>MDV</v>
          </cell>
          <cell r="B6979">
            <v>2014</v>
          </cell>
          <cell r="C6979" t="str">
            <v>mapanusatls</v>
          </cell>
          <cell r="D6979">
            <v>15.399999618530273</v>
          </cell>
          <cell r="F6979" t="str">
            <v>14 Aug 2024</v>
          </cell>
        </row>
        <row r="6980">
          <cell r="A6980" t="str">
            <v>MDV</v>
          </cell>
          <cell r="B6980">
            <v>2023</v>
          </cell>
          <cell r="C6980" t="str">
            <v>mar_expz</v>
          </cell>
          <cell r="D6980">
            <v>78.2489013671875</v>
          </cell>
          <cell r="F6980" t="str">
            <v>14 Aug 2024</v>
          </cell>
        </row>
        <row r="6981">
          <cell r="A6981" t="str">
            <v>MDV</v>
          </cell>
          <cell r="B6981">
            <v>2010</v>
          </cell>
          <cell r="C6981" t="str">
            <v>mar_expz</v>
          </cell>
          <cell r="D6981">
            <v>75.747634887695313</v>
          </cell>
          <cell r="F6981" t="str">
            <v>14 Aug 2024</v>
          </cell>
        </row>
        <row r="6982">
          <cell r="A6982" t="str">
            <v>MDV</v>
          </cell>
          <cell r="B6982">
            <v>2020</v>
          </cell>
          <cell r="C6982" t="str">
            <v>masrvfc</v>
          </cell>
          <cell r="D6982">
            <v>-31.699508666992188</v>
          </cell>
          <cell r="F6982" t="str">
            <v>14 Aug 2024</v>
          </cell>
        </row>
        <row r="6983">
          <cell r="A6983" t="str">
            <v>MDV</v>
          </cell>
          <cell r="B6983">
            <v>2007</v>
          </cell>
          <cell r="C6983" t="str">
            <v>macab_</v>
          </cell>
          <cell r="D6983">
            <v>-14.392120361328125</v>
          </cell>
          <cell r="F6983" t="str">
            <v>14 Aug 2024</v>
          </cell>
        </row>
        <row r="6984">
          <cell r="A6984" t="str">
            <v>MDV</v>
          </cell>
          <cell r="B6984">
            <v>2012</v>
          </cell>
          <cell r="C6984" t="str">
            <v>mafdi_</v>
          </cell>
          <cell r="D6984">
            <v>-7.8990480441866922</v>
          </cell>
          <cell r="F6984" t="str">
            <v>14 Aug 2024</v>
          </cell>
        </row>
        <row r="6985">
          <cell r="A6985" t="str">
            <v>MDV</v>
          </cell>
          <cell r="B6985">
            <v>2014</v>
          </cell>
          <cell r="C6985" t="str">
            <v>mafdi_</v>
          </cell>
          <cell r="D6985">
            <v>-9.0282147645454938</v>
          </cell>
          <cell r="F6985" t="str">
            <v>14 Aug 2024</v>
          </cell>
        </row>
        <row r="6986">
          <cell r="A6986" t="str">
            <v>MDV</v>
          </cell>
          <cell r="B6986">
            <v>2006</v>
          </cell>
          <cell r="C6986" t="str">
            <v>magap_</v>
          </cell>
          <cell r="D6986">
            <v>6.9327588081359863</v>
          </cell>
          <cell r="F6986" t="str">
            <v>14 Aug 2024</v>
          </cell>
        </row>
        <row r="6987">
          <cell r="A6987" t="str">
            <v>MDV</v>
          </cell>
          <cell r="B6987">
            <v>2016</v>
          </cell>
          <cell r="C6987" t="str">
            <v>madebt_</v>
          </cell>
          <cell r="D6987">
            <v>63.962375640869141</v>
          </cell>
          <cell r="F6987" t="str">
            <v>14 Aug 2024</v>
          </cell>
        </row>
        <row r="6988">
          <cell r="A6988" t="str">
            <v>MDV</v>
          </cell>
          <cell r="B6988">
            <v>2006</v>
          </cell>
          <cell r="C6988" t="str">
            <v>maagrfc</v>
          </cell>
          <cell r="D6988">
            <v>1.7370748519897461</v>
          </cell>
          <cell r="F6988" t="str">
            <v>14 Aug 2024</v>
          </cell>
        </row>
        <row r="6989">
          <cell r="A6989" t="str">
            <v>MDV</v>
          </cell>
          <cell r="B6989">
            <v>2009</v>
          </cell>
          <cell r="C6989" t="str">
            <v>maindfc</v>
          </cell>
          <cell r="D6989">
            <v>-26.728073120117188</v>
          </cell>
          <cell r="F6989" t="str">
            <v>14 Aug 2024</v>
          </cell>
        </row>
        <row r="6990">
          <cell r="A6990" t="str">
            <v>MDV</v>
          </cell>
          <cell r="B6990">
            <v>2015</v>
          </cell>
          <cell r="C6990" t="str">
            <v>mar_srvfc</v>
          </cell>
          <cell r="D6990">
            <v>81.310417175292969</v>
          </cell>
          <cell r="F6990" t="str">
            <v>14 Aug 2024</v>
          </cell>
        </row>
        <row r="6991">
          <cell r="A6991" t="str">
            <v>MDV</v>
          </cell>
          <cell r="B6991">
            <v>2007</v>
          </cell>
          <cell r="C6991" t="str">
            <v>maexpz</v>
          </cell>
          <cell r="D6991">
            <v>7.7138724327087402</v>
          </cell>
          <cell r="F6991" t="str">
            <v>14 Aug 2024</v>
          </cell>
        </row>
        <row r="6992">
          <cell r="A6992" t="str">
            <v>MDV</v>
          </cell>
          <cell r="B6992">
            <v>2021</v>
          </cell>
          <cell r="C6992" t="str">
            <v>macab_</v>
          </cell>
          <cell r="D6992">
            <v>-8.6696624755859375</v>
          </cell>
          <cell r="F6992" t="str">
            <v>14 Aug 2024</v>
          </cell>
        </row>
        <row r="6993">
          <cell r="A6993" t="str">
            <v>MDV</v>
          </cell>
          <cell r="B6993">
            <v>2014</v>
          </cell>
          <cell r="C6993" t="str">
            <v>maexpz</v>
          </cell>
          <cell r="D6993">
            <v>7.329627513885498</v>
          </cell>
          <cell r="F6993" t="str">
            <v>14 Aug 2024</v>
          </cell>
        </row>
        <row r="6994">
          <cell r="A6994" t="str">
            <v>MDV</v>
          </cell>
          <cell r="B6994">
            <v>2022</v>
          </cell>
          <cell r="C6994" t="str">
            <v>maindfc</v>
          </cell>
          <cell r="D6994">
            <v>25.20142936706543</v>
          </cell>
          <cell r="F6994" t="str">
            <v>14 Aug 2024</v>
          </cell>
        </row>
        <row r="6995">
          <cell r="A6995" t="str">
            <v>MDV</v>
          </cell>
          <cell r="B6995">
            <v>2015</v>
          </cell>
          <cell r="C6995" t="str">
            <v>maexpz</v>
          </cell>
          <cell r="D6995">
            <v>-11.68040657043457</v>
          </cell>
          <cell r="F6995" t="str">
            <v>14 Aug 2024</v>
          </cell>
        </row>
        <row r="6996">
          <cell r="A6996" t="str">
            <v>MDV</v>
          </cell>
          <cell r="B6996">
            <v>2005</v>
          </cell>
          <cell r="C6996" t="str">
            <v>mar_srvfc</v>
          </cell>
          <cell r="D6996">
            <v>71.904006958007813</v>
          </cell>
          <cell r="F6996" t="str">
            <v>14 Aug 2024</v>
          </cell>
        </row>
        <row r="6997">
          <cell r="A6997" t="str">
            <v>MDV</v>
          </cell>
          <cell r="B6997">
            <v>2007</v>
          </cell>
          <cell r="C6997" t="str">
            <v>madeficit_</v>
          </cell>
          <cell r="D6997">
            <v>-3.348064661026001</v>
          </cell>
          <cell r="F6997" t="str">
            <v>14 Aug 2024</v>
          </cell>
        </row>
        <row r="6998">
          <cell r="A6998" t="str">
            <v>MDV</v>
          </cell>
          <cell r="B6998">
            <v>2017</v>
          </cell>
          <cell r="C6998" t="str">
            <v>mac_labz</v>
          </cell>
          <cell r="D6998">
            <v>3.0853912830352783</v>
          </cell>
          <cell r="F6998" t="str">
            <v>14 Aug 2024</v>
          </cell>
        </row>
        <row r="6999">
          <cell r="A6999" t="str">
            <v>MDV</v>
          </cell>
          <cell r="B6999">
            <v>2022</v>
          </cell>
          <cell r="C6999" t="str">
            <v>maexpz</v>
          </cell>
          <cell r="D6999">
            <v>27.870000839233398</v>
          </cell>
          <cell r="F6999" t="str">
            <v>14 Aug 2024</v>
          </cell>
        </row>
        <row r="7000">
          <cell r="A7000" t="str">
            <v>MDV</v>
          </cell>
          <cell r="B7000">
            <v>2022</v>
          </cell>
          <cell r="C7000" t="str">
            <v>mainvz</v>
          </cell>
          <cell r="D7000">
            <v>30.437484741210938</v>
          </cell>
          <cell r="F7000" t="str">
            <v>14 Aug 2024</v>
          </cell>
        </row>
        <row r="7001">
          <cell r="A7001" t="str">
            <v>MDV</v>
          </cell>
          <cell r="B7001">
            <v>2025</v>
          </cell>
          <cell r="C7001" t="str">
            <v>mar_agrfc</v>
          </cell>
          <cell r="D7001">
            <v>1.6596173867583275E-2</v>
          </cell>
          <cell r="F7001" t="str">
            <v>14 Aug 2024</v>
          </cell>
        </row>
        <row r="7002">
          <cell r="A7002" t="str">
            <v>MDV</v>
          </cell>
          <cell r="B7002">
            <v>2016</v>
          </cell>
          <cell r="C7002" t="str">
            <v>mar_taxfc</v>
          </cell>
          <cell r="D7002">
            <v>14.313807487487793</v>
          </cell>
          <cell r="F7002" t="str">
            <v>14 Aug 2024</v>
          </cell>
        </row>
        <row r="7003">
          <cell r="A7003" t="str">
            <v>MDV</v>
          </cell>
          <cell r="B7003">
            <v>2009</v>
          </cell>
          <cell r="C7003" t="str">
            <v>mainvz</v>
          </cell>
          <cell r="D7003">
            <v>-7.2288365364074707</v>
          </cell>
          <cell r="F7003" t="str">
            <v>14 Aug 2024</v>
          </cell>
        </row>
        <row r="7004">
          <cell r="A7004" t="str">
            <v>MDV</v>
          </cell>
          <cell r="B7004">
            <v>2013</v>
          </cell>
          <cell r="C7004" t="str">
            <v>mar_impz</v>
          </cell>
          <cell r="D7004">
            <v>81.426895141601563</v>
          </cell>
          <cell r="F7004" t="str">
            <v>14 Aug 2024</v>
          </cell>
        </row>
        <row r="7005">
          <cell r="A7005" t="str">
            <v>MDV</v>
          </cell>
          <cell r="B7005">
            <v>2024</v>
          </cell>
          <cell r="C7005" t="str">
            <v>maimpz</v>
          </cell>
          <cell r="D7005">
            <v>-6.288790225982666</v>
          </cell>
          <cell r="F7005" t="str">
            <v>14 Aug 2024</v>
          </cell>
        </row>
        <row r="7006">
          <cell r="A7006" t="str">
            <v>MDV</v>
          </cell>
          <cell r="B7006">
            <v>2024</v>
          </cell>
          <cell r="C7006" t="str">
            <v>malabz</v>
          </cell>
          <cell r="D7006">
            <v>-0.95882999897003174</v>
          </cell>
          <cell r="F7006" t="str">
            <v>14 Aug 2024</v>
          </cell>
        </row>
        <row r="7007">
          <cell r="A7007" t="str">
            <v>MDV</v>
          </cell>
          <cell r="B7007">
            <v>2008</v>
          </cell>
          <cell r="C7007" t="str">
            <v>mar_agrfc</v>
          </cell>
          <cell r="D7007">
            <v>8.5301132202148438</v>
          </cell>
          <cell r="F7007" t="str">
            <v>14 Aug 2024</v>
          </cell>
        </row>
        <row r="7008">
          <cell r="A7008" t="str">
            <v>MDV</v>
          </cell>
          <cell r="B7008">
            <v>2018</v>
          </cell>
          <cell r="C7008" t="str">
            <v>mafdi_</v>
          </cell>
          <cell r="D7008">
            <v>-10.665063740389989</v>
          </cell>
          <cell r="F7008" t="str">
            <v>14 Aug 2024</v>
          </cell>
        </row>
        <row r="7009">
          <cell r="A7009" t="str">
            <v>MDV</v>
          </cell>
          <cell r="B7009">
            <v>2024</v>
          </cell>
          <cell r="C7009" t="str">
            <v>mar_srvfc</v>
          </cell>
          <cell r="D7009">
            <v>99.941497802734375</v>
          </cell>
          <cell r="F7009" t="str">
            <v>14 Aug 2024</v>
          </cell>
        </row>
        <row r="7010">
          <cell r="A7010" t="str">
            <v>MDV</v>
          </cell>
          <cell r="B7010">
            <v>2024</v>
          </cell>
          <cell r="C7010" t="str">
            <v>mataxfc</v>
          </cell>
          <cell r="D7010">
            <v>4.6171913146972656</v>
          </cell>
          <cell r="F7010" t="str">
            <v>14 Aug 2024</v>
          </cell>
        </row>
        <row r="7011">
          <cell r="A7011" t="str">
            <v>MDV</v>
          </cell>
          <cell r="B7011">
            <v>2008</v>
          </cell>
          <cell r="C7011" t="str">
            <v>mapanusatls</v>
          </cell>
          <cell r="D7011">
            <v>12.800000190734863</v>
          </cell>
          <cell r="F7011" t="str">
            <v>14 Aug 2024</v>
          </cell>
        </row>
        <row r="7012">
          <cell r="A7012" t="str">
            <v>MDV</v>
          </cell>
          <cell r="B7012">
            <v>2012</v>
          </cell>
          <cell r="C7012" t="str">
            <v>mac_labz</v>
          </cell>
          <cell r="D7012">
            <v>3.1536960601806641</v>
          </cell>
          <cell r="F7012" t="str">
            <v>14 Aug 2024</v>
          </cell>
        </row>
        <row r="7013">
          <cell r="A7013" t="str">
            <v>MDV</v>
          </cell>
          <cell r="B7013">
            <v>2005</v>
          </cell>
          <cell r="C7013" t="str">
            <v>magap_</v>
          </cell>
          <cell r="D7013">
            <v>-8.7011690139770508</v>
          </cell>
          <cell r="F7013" t="str">
            <v>14 Aug 2024</v>
          </cell>
        </row>
        <row r="7014">
          <cell r="A7014" t="str">
            <v>MDV</v>
          </cell>
          <cell r="B7014">
            <v>2026</v>
          </cell>
          <cell r="C7014" t="str">
            <v>magdpz</v>
          </cell>
          <cell r="D7014">
            <v>12.174905776977539</v>
          </cell>
          <cell r="F7014" t="str">
            <v>14 Aug 2024</v>
          </cell>
        </row>
        <row r="7015">
          <cell r="A7015" t="str">
            <v>MDV</v>
          </cell>
          <cell r="B7015">
            <v>2005</v>
          </cell>
          <cell r="C7015" t="str">
            <v>mac_labz</v>
          </cell>
          <cell r="D7015">
            <v>0</v>
          </cell>
          <cell r="F7015" t="str">
            <v>14 Aug 2024</v>
          </cell>
        </row>
        <row r="7016">
          <cell r="A7016" t="str">
            <v>MDV</v>
          </cell>
          <cell r="B7016">
            <v>2018</v>
          </cell>
          <cell r="C7016" t="str">
            <v>macpiz</v>
          </cell>
          <cell r="D7016">
            <v>-0.13306039571762085</v>
          </cell>
          <cell r="F7016" t="str">
            <v>14 Aug 2024</v>
          </cell>
        </row>
        <row r="7017">
          <cell r="A7017" t="str">
            <v>MDV</v>
          </cell>
          <cell r="B7017">
            <v>2017</v>
          </cell>
          <cell r="C7017" t="str">
            <v>madeficit_</v>
          </cell>
          <cell r="D7017">
            <v>-3.0210685729980469</v>
          </cell>
          <cell r="F7017" t="str">
            <v>14 Aug 2024</v>
          </cell>
        </row>
        <row r="7018">
          <cell r="A7018" t="str">
            <v>MDV</v>
          </cell>
          <cell r="B7018">
            <v>2018</v>
          </cell>
          <cell r="C7018" t="str">
            <v>masrvfc</v>
          </cell>
          <cell r="D7018">
            <v>7.7334733009338379</v>
          </cell>
          <cell r="F7018" t="str">
            <v>14 Aug 2024</v>
          </cell>
        </row>
        <row r="7019">
          <cell r="A7019" t="str">
            <v>MDV</v>
          </cell>
          <cell r="B7019">
            <v>2019</v>
          </cell>
          <cell r="C7019" t="str">
            <v>mar_agrfc</v>
          </cell>
          <cell r="D7019">
            <v>5.1241955757141113</v>
          </cell>
          <cell r="F7019" t="str">
            <v>14 Aug 2024</v>
          </cell>
        </row>
        <row r="7020">
          <cell r="A7020" t="str">
            <v>MDV</v>
          </cell>
          <cell r="B7020">
            <v>2013</v>
          </cell>
          <cell r="C7020" t="str">
            <v>magap_</v>
          </cell>
          <cell r="D7020">
            <v>-2.0147762298583984</v>
          </cell>
          <cell r="F7020" t="str">
            <v>14 Aug 2024</v>
          </cell>
        </row>
        <row r="7021">
          <cell r="A7021" t="str">
            <v>MDV</v>
          </cell>
          <cell r="B7021">
            <v>2010</v>
          </cell>
          <cell r="C7021" t="str">
            <v>maimpz</v>
          </cell>
          <cell r="D7021">
            <v>7.2651124000549316</v>
          </cell>
          <cell r="F7021" t="str">
            <v>14 Aug 2024</v>
          </cell>
        </row>
        <row r="7022">
          <cell r="A7022" t="str">
            <v>MDV</v>
          </cell>
          <cell r="B7022">
            <v>2017</v>
          </cell>
          <cell r="C7022" t="str">
            <v>maagrfc</v>
          </cell>
          <cell r="D7022">
            <v>8.2434349060058594</v>
          </cell>
          <cell r="F7022" t="str">
            <v>14 Aug 2024</v>
          </cell>
        </row>
        <row r="7023">
          <cell r="A7023" t="str">
            <v>MDV</v>
          </cell>
          <cell r="B7023">
            <v>2010</v>
          </cell>
          <cell r="C7023" t="str">
            <v>maexpz</v>
          </cell>
          <cell r="D7023">
            <v>7.2651124000549316</v>
          </cell>
          <cell r="F7023" t="str">
            <v>14 Aug 2024</v>
          </cell>
        </row>
        <row r="7024">
          <cell r="A7024" t="str">
            <v>MDV</v>
          </cell>
          <cell r="B7024">
            <v>2015</v>
          </cell>
          <cell r="C7024" t="str">
            <v>maagrfc</v>
          </cell>
          <cell r="D7024">
            <v>-0.52201652526855469</v>
          </cell>
          <cell r="F7024" t="str">
            <v>14 Aug 2024</v>
          </cell>
        </row>
        <row r="7025">
          <cell r="A7025" t="str">
            <v>MDV</v>
          </cell>
          <cell r="B7025">
            <v>2015</v>
          </cell>
          <cell r="C7025" t="str">
            <v>mar_impz</v>
          </cell>
          <cell r="D7025">
            <v>78.772506713867188</v>
          </cell>
          <cell r="F7025" t="str">
            <v>14 Aug 2024</v>
          </cell>
        </row>
        <row r="7026">
          <cell r="A7026" t="str">
            <v>MDV</v>
          </cell>
          <cell r="B7026">
            <v>2023</v>
          </cell>
          <cell r="C7026" t="str">
            <v>magap_</v>
          </cell>
          <cell r="D7026">
            <v>-1.2710443735122681</v>
          </cell>
          <cell r="F7026" t="str">
            <v>14 Aug 2024</v>
          </cell>
        </row>
        <row r="7027">
          <cell r="A7027" t="str">
            <v>MDV</v>
          </cell>
          <cell r="B7027">
            <v>2013</v>
          </cell>
          <cell r="C7027" t="str">
            <v>masrvfc</v>
          </cell>
          <cell r="D7027">
            <v>8.6760091781616211</v>
          </cell>
          <cell r="F7027" t="str">
            <v>14 Aug 2024</v>
          </cell>
        </row>
        <row r="7028">
          <cell r="A7028" t="str">
            <v>MDV</v>
          </cell>
          <cell r="B7028">
            <v>2024</v>
          </cell>
          <cell r="C7028" t="str">
            <v>mafdi_</v>
          </cell>
          <cell r="D7028">
            <v>-57677.526066054779</v>
          </cell>
          <cell r="F7028" t="str">
            <v>14 Aug 2024</v>
          </cell>
        </row>
        <row r="7029">
          <cell r="A7029" t="str">
            <v>MDV</v>
          </cell>
          <cell r="B7029">
            <v>2013</v>
          </cell>
          <cell r="C7029" t="str">
            <v>magdpz</v>
          </cell>
          <cell r="D7029">
            <v>6.9632463455200195</v>
          </cell>
          <cell r="F7029" t="str">
            <v>14 Aug 2024</v>
          </cell>
        </row>
        <row r="7030">
          <cell r="A7030" t="str">
            <v>MDV</v>
          </cell>
          <cell r="B7030">
            <v>2015</v>
          </cell>
          <cell r="C7030" t="str">
            <v>macpiz</v>
          </cell>
          <cell r="D7030">
            <v>0.96102511882781982</v>
          </cell>
          <cell r="F7030" t="str">
            <v>14 Aug 2024</v>
          </cell>
        </row>
        <row r="7031">
          <cell r="A7031" t="str">
            <v>MDV</v>
          </cell>
          <cell r="B7031">
            <v>2016</v>
          </cell>
          <cell r="C7031" t="str">
            <v>mar_agrfc</v>
          </cell>
          <cell r="D7031">
            <v>6.1413841247558594</v>
          </cell>
          <cell r="F7031" t="str">
            <v>14 Aug 2024</v>
          </cell>
        </row>
        <row r="7032">
          <cell r="A7032" t="str">
            <v>MDV</v>
          </cell>
          <cell r="B7032">
            <v>2022</v>
          </cell>
          <cell r="C7032" t="str">
            <v>malabz</v>
          </cell>
          <cell r="D7032">
            <v>0.17372669279575348</v>
          </cell>
          <cell r="F7032" t="str">
            <v>14 Aug 2024</v>
          </cell>
        </row>
        <row r="7033">
          <cell r="A7033" t="str">
            <v>MDV</v>
          </cell>
          <cell r="B7033">
            <v>2013</v>
          </cell>
          <cell r="C7033" t="str">
            <v>macpiz</v>
          </cell>
          <cell r="D7033">
            <v>3.803056001663208</v>
          </cell>
          <cell r="F7033" t="str">
            <v>14 Aug 2024</v>
          </cell>
        </row>
        <row r="7034">
          <cell r="A7034" t="str">
            <v>MDV</v>
          </cell>
          <cell r="B7034">
            <v>2025</v>
          </cell>
          <cell r="C7034" t="str">
            <v>macpiz</v>
          </cell>
          <cell r="D7034">
            <v>116.90052032470703</v>
          </cell>
          <cell r="F7034" t="str">
            <v>14 Aug 2024</v>
          </cell>
        </row>
        <row r="7035">
          <cell r="A7035" t="str">
            <v>MDV</v>
          </cell>
          <cell r="B7035">
            <v>2016</v>
          </cell>
          <cell r="C7035" t="str">
            <v>mareer</v>
          </cell>
          <cell r="D7035">
            <v>100.62300109863281</v>
          </cell>
          <cell r="F7035" t="str">
            <v>14 Aug 2024</v>
          </cell>
        </row>
        <row r="7036">
          <cell r="A7036" t="str">
            <v>MDV</v>
          </cell>
          <cell r="B7036">
            <v>2014</v>
          </cell>
          <cell r="C7036" t="str">
            <v>madebt_</v>
          </cell>
          <cell r="D7036">
            <v>57.109615325927734</v>
          </cell>
          <cell r="F7036" t="str">
            <v>14 Aug 2024</v>
          </cell>
        </row>
        <row r="7037">
          <cell r="A7037" t="str">
            <v>MDV</v>
          </cell>
          <cell r="B7037">
            <v>2017</v>
          </cell>
          <cell r="C7037" t="str">
            <v>mataxfc</v>
          </cell>
          <cell r="D7037">
            <v>7.674964427947998</v>
          </cell>
          <cell r="F7037" t="str">
            <v>14 Aug 2024</v>
          </cell>
        </row>
        <row r="7038">
          <cell r="A7038" t="str">
            <v>MDV</v>
          </cell>
          <cell r="B7038">
            <v>2011</v>
          </cell>
          <cell r="C7038" t="str">
            <v>matfpz</v>
          </cell>
          <cell r="D7038">
            <v>-0.13525150716304779</v>
          </cell>
          <cell r="F7038" t="str">
            <v>14 Aug 2024</v>
          </cell>
        </row>
        <row r="7039">
          <cell r="A7039" t="str">
            <v>MDV</v>
          </cell>
          <cell r="B7039">
            <v>2014</v>
          </cell>
          <cell r="C7039" t="str">
            <v>maimpz</v>
          </cell>
          <cell r="D7039">
            <v>7.329627513885498</v>
          </cell>
          <cell r="F7039" t="str">
            <v>14 Aug 2024</v>
          </cell>
        </row>
        <row r="7040">
          <cell r="A7040" t="str">
            <v>MDV</v>
          </cell>
          <cell r="B7040">
            <v>2017</v>
          </cell>
          <cell r="C7040" t="str">
            <v>mar_impz</v>
          </cell>
          <cell r="D7040">
            <v>81.944808959960938</v>
          </cell>
          <cell r="F7040" t="str">
            <v>14 Aug 2024</v>
          </cell>
        </row>
        <row r="7041">
          <cell r="A7041" t="str">
            <v>MDV</v>
          </cell>
          <cell r="B7041">
            <v>2016</v>
          </cell>
          <cell r="C7041" t="str">
            <v>masrvfc</v>
          </cell>
          <cell r="D7041">
            <v>7.2118496894836426</v>
          </cell>
          <cell r="F7041" t="str">
            <v>14 Aug 2024</v>
          </cell>
        </row>
        <row r="7042">
          <cell r="A7042" t="str">
            <v>MDV</v>
          </cell>
          <cell r="B7042">
            <v>2013</v>
          </cell>
          <cell r="C7042" t="str">
            <v>maconz</v>
          </cell>
          <cell r="D7042">
            <v>7.2810764312744141</v>
          </cell>
          <cell r="F7042" t="str">
            <v>14 Aug 2024</v>
          </cell>
        </row>
        <row r="7043">
          <cell r="A7043" t="str">
            <v>MDV</v>
          </cell>
          <cell r="B7043">
            <v>2024</v>
          </cell>
          <cell r="C7043" t="str">
            <v>masrvfc</v>
          </cell>
          <cell r="D7043">
            <v>31743.87109375</v>
          </cell>
          <cell r="F7043" t="str">
            <v>14 Aug 2024</v>
          </cell>
        </row>
        <row r="7044">
          <cell r="A7044" t="str">
            <v>MDV</v>
          </cell>
          <cell r="B7044">
            <v>2020</v>
          </cell>
          <cell r="C7044" t="str">
            <v>mar_indfc</v>
          </cell>
          <cell r="D7044">
            <v>12.834795951843262</v>
          </cell>
          <cell r="F7044" t="str">
            <v>14 Aug 2024</v>
          </cell>
        </row>
        <row r="7045">
          <cell r="A7045" t="str">
            <v>MDV</v>
          </cell>
          <cell r="B7045">
            <v>2023</v>
          </cell>
          <cell r="C7045" t="str">
            <v>magdpz</v>
          </cell>
          <cell r="D7045">
            <v>4.0336298942565918</v>
          </cell>
          <cell r="F7045" t="str">
            <v>14 Aug 2024</v>
          </cell>
        </row>
        <row r="7046">
          <cell r="A7046" t="str">
            <v>MDV</v>
          </cell>
          <cell r="B7046">
            <v>2009</v>
          </cell>
          <cell r="C7046" t="str">
            <v>mafdi_</v>
          </cell>
          <cell r="D7046"/>
          <cell r="F7046" t="str">
            <v>14 Aug 2024</v>
          </cell>
        </row>
        <row r="7047">
          <cell r="A7047" t="str">
            <v>MDV</v>
          </cell>
          <cell r="B7047">
            <v>2015</v>
          </cell>
          <cell r="C7047" t="str">
            <v>masrvfc</v>
          </cell>
          <cell r="D7047">
            <v>3.8900468349456787</v>
          </cell>
          <cell r="F7047" t="str">
            <v>14 Aug 2024</v>
          </cell>
        </row>
        <row r="7048">
          <cell r="A7048" t="str">
            <v>MDV</v>
          </cell>
          <cell r="B7048">
            <v>2022</v>
          </cell>
          <cell r="C7048" t="str">
            <v>mar_impz</v>
          </cell>
          <cell r="D7048">
            <v>94.0853271484375</v>
          </cell>
          <cell r="F7048" t="str">
            <v>14 Aug 2024</v>
          </cell>
        </row>
        <row r="7049">
          <cell r="A7049" t="str">
            <v>MDV</v>
          </cell>
          <cell r="B7049">
            <v>2021</v>
          </cell>
          <cell r="C7049" t="str">
            <v>mafdi_</v>
          </cell>
          <cell r="D7049">
            <v>-12.248612864728459</v>
          </cell>
          <cell r="F7049" t="str">
            <v>14 Aug 2024</v>
          </cell>
        </row>
        <row r="7050">
          <cell r="A7050" t="str">
            <v>MDV</v>
          </cell>
          <cell r="B7050">
            <v>2015</v>
          </cell>
          <cell r="C7050" t="str">
            <v>magdpz</v>
          </cell>
          <cell r="D7050">
            <v>3.9717156887054443</v>
          </cell>
          <cell r="F7050" t="str">
            <v>14 Aug 2024</v>
          </cell>
        </row>
        <row r="7051">
          <cell r="A7051" t="str">
            <v>MDV</v>
          </cell>
          <cell r="B7051">
            <v>2026</v>
          </cell>
          <cell r="C7051" t="str">
            <v>mar_indfc</v>
          </cell>
          <cell r="D7051">
            <v>3.458680585026741E-2</v>
          </cell>
          <cell r="F7051" t="str">
            <v>14 Aug 2024</v>
          </cell>
        </row>
        <row r="7052">
          <cell r="A7052" t="str">
            <v>MDV</v>
          </cell>
          <cell r="B7052">
            <v>2012</v>
          </cell>
          <cell r="C7052" t="str">
            <v>malabz</v>
          </cell>
          <cell r="D7052">
            <v>4.5052800178527832</v>
          </cell>
          <cell r="F7052" t="str">
            <v>14 Aug 2024</v>
          </cell>
        </row>
        <row r="7053">
          <cell r="A7053" t="str">
            <v>MDV</v>
          </cell>
          <cell r="B7053">
            <v>2009</v>
          </cell>
          <cell r="C7053" t="str">
            <v>maconz</v>
          </cell>
          <cell r="D7053">
            <v>-7.2288365364074707</v>
          </cell>
          <cell r="F7053" t="str">
            <v>14 Aug 2024</v>
          </cell>
        </row>
        <row r="7054">
          <cell r="A7054" t="str">
            <v>MDV</v>
          </cell>
          <cell r="B7054">
            <v>2012</v>
          </cell>
          <cell r="C7054" t="str">
            <v>mar_srvfc</v>
          </cell>
          <cell r="D7054">
            <v>81.370330810546875</v>
          </cell>
          <cell r="F7054" t="str">
            <v>14 Aug 2024</v>
          </cell>
        </row>
        <row r="7055">
          <cell r="A7055" t="str">
            <v>MDV</v>
          </cell>
          <cell r="B7055">
            <v>2021</v>
          </cell>
          <cell r="C7055" t="str">
            <v>mar_taxfc</v>
          </cell>
          <cell r="D7055">
            <v>12.595145225524902</v>
          </cell>
          <cell r="F7055" t="str">
            <v>14 Aug 2024</v>
          </cell>
        </row>
        <row r="7056">
          <cell r="A7056" t="str">
            <v>MDV</v>
          </cell>
          <cell r="B7056">
            <v>2011</v>
          </cell>
          <cell r="C7056" t="str">
            <v>macpiz</v>
          </cell>
          <cell r="D7056">
            <v>11.270949363708496</v>
          </cell>
          <cell r="F7056" t="str">
            <v>14 Aug 2024</v>
          </cell>
        </row>
        <row r="7057">
          <cell r="A7057" t="str">
            <v>MDV</v>
          </cell>
          <cell r="B7057">
            <v>2013</v>
          </cell>
          <cell r="C7057" t="str">
            <v>mapanusatls</v>
          </cell>
          <cell r="D7057">
            <v>15.409999847412109</v>
          </cell>
          <cell r="F7057" t="str">
            <v>14 Aug 2024</v>
          </cell>
        </row>
        <row r="7058">
          <cell r="A7058" t="str">
            <v>MDV</v>
          </cell>
          <cell r="B7058">
            <v>2013</v>
          </cell>
          <cell r="C7058" t="str">
            <v>maexpz</v>
          </cell>
          <cell r="D7058">
            <v>7.2810764312744141</v>
          </cell>
          <cell r="F7058" t="str">
            <v>14 Aug 2024</v>
          </cell>
        </row>
        <row r="7059">
          <cell r="A7059" t="str">
            <v>MDV</v>
          </cell>
          <cell r="B7059">
            <v>2021</v>
          </cell>
          <cell r="C7059" t="str">
            <v>mar_expz</v>
          </cell>
          <cell r="D7059">
            <v>76.400283813476563</v>
          </cell>
          <cell r="F7059" t="str">
            <v>14 Aug 2024</v>
          </cell>
        </row>
        <row r="7060">
          <cell r="A7060" t="str">
            <v>MDV</v>
          </cell>
          <cell r="B7060">
            <v>2009</v>
          </cell>
          <cell r="C7060" t="str">
            <v>madeficit_</v>
          </cell>
          <cell r="D7060">
            <v>-16.51844596862793</v>
          </cell>
          <cell r="F7060" t="str">
            <v>14 Aug 2024</v>
          </cell>
        </row>
        <row r="7061">
          <cell r="A7061" t="str">
            <v>MDV</v>
          </cell>
          <cell r="B7061">
            <v>2021</v>
          </cell>
          <cell r="C7061" t="str">
            <v>maindfc</v>
          </cell>
          <cell r="D7061">
            <v>-4.5840549468994141</v>
          </cell>
          <cell r="F7061" t="str">
            <v>14 Aug 2024</v>
          </cell>
        </row>
        <row r="7062">
          <cell r="A7062" t="str">
            <v>MDV</v>
          </cell>
          <cell r="B7062">
            <v>2006</v>
          </cell>
          <cell r="C7062" t="str">
            <v>mar_indfc</v>
          </cell>
          <cell r="D7062">
            <v>11.650376319885254</v>
          </cell>
          <cell r="F7062" t="str">
            <v>14 Aug 2024</v>
          </cell>
        </row>
        <row r="7063">
          <cell r="A7063" t="str">
            <v>MDV</v>
          </cell>
          <cell r="B7063">
            <v>2011</v>
          </cell>
          <cell r="C7063" t="str">
            <v>mac_labz</v>
          </cell>
          <cell r="D7063">
            <v>3.4156820774078369</v>
          </cell>
          <cell r="F7063" t="str">
            <v>14 Aug 2024</v>
          </cell>
        </row>
        <row r="7064">
          <cell r="A7064" t="str">
            <v>MDV</v>
          </cell>
          <cell r="B7064">
            <v>2007</v>
          </cell>
          <cell r="C7064" t="str">
            <v>malabz</v>
          </cell>
          <cell r="D7064">
            <v>6.0633382797241211</v>
          </cell>
          <cell r="F7064" t="str">
            <v>14 Aug 2024</v>
          </cell>
        </row>
        <row r="7065">
          <cell r="A7065" t="str">
            <v>MDV</v>
          </cell>
          <cell r="B7065">
            <v>2021</v>
          </cell>
          <cell r="C7065" t="str">
            <v>mainvz</v>
          </cell>
          <cell r="D7065">
            <v>10.21522045135498</v>
          </cell>
          <cell r="F7065" t="str">
            <v>14 Aug 2024</v>
          </cell>
        </row>
        <row r="7066">
          <cell r="A7066" t="str">
            <v>MDV</v>
          </cell>
          <cell r="B7066">
            <v>2016</v>
          </cell>
          <cell r="C7066" t="str">
            <v>maexpz</v>
          </cell>
          <cell r="D7066">
            <v>9.5350255966186523</v>
          </cell>
          <cell r="F7066" t="str">
            <v>14 Aug 2024</v>
          </cell>
        </row>
        <row r="7067">
          <cell r="A7067" t="str">
            <v>MDV</v>
          </cell>
          <cell r="B7067">
            <v>2016</v>
          </cell>
          <cell r="C7067" t="str">
            <v>matfpz</v>
          </cell>
          <cell r="D7067">
            <v>0.36442351341247559</v>
          </cell>
          <cell r="F7067" t="str">
            <v>14 Aug 2024</v>
          </cell>
        </row>
        <row r="7068">
          <cell r="A7068" t="str">
            <v>MDV</v>
          </cell>
          <cell r="B7068">
            <v>2022</v>
          </cell>
          <cell r="C7068" t="str">
            <v>matfpz</v>
          </cell>
          <cell r="D7068">
            <v>0.1418316662311554</v>
          </cell>
          <cell r="F7068" t="str">
            <v>14 Aug 2024</v>
          </cell>
        </row>
        <row r="7069">
          <cell r="A7069" t="str">
            <v>MDV</v>
          </cell>
          <cell r="B7069">
            <v>2012</v>
          </cell>
          <cell r="C7069" t="str">
            <v>mareer</v>
          </cell>
          <cell r="D7069">
            <v>82.387748718261719</v>
          </cell>
          <cell r="F7069" t="str">
            <v>14 Aug 2024</v>
          </cell>
        </row>
        <row r="7070">
          <cell r="A7070" t="str">
            <v>MDV</v>
          </cell>
          <cell r="B7070">
            <v>2005</v>
          </cell>
          <cell r="C7070" t="str">
            <v>matfpz</v>
          </cell>
          <cell r="D7070">
            <v>0.92890793085098267</v>
          </cell>
          <cell r="F7070" t="str">
            <v>14 Aug 2024</v>
          </cell>
        </row>
        <row r="7071">
          <cell r="A7071" t="str">
            <v>MDV</v>
          </cell>
          <cell r="B7071">
            <v>2010</v>
          </cell>
          <cell r="C7071" t="str">
            <v>magdpz</v>
          </cell>
          <cell r="D7071">
            <v>6.8354716300964355</v>
          </cell>
          <cell r="F7071" t="str">
            <v>14 Aug 2024</v>
          </cell>
        </row>
        <row r="7072">
          <cell r="A7072" t="str">
            <v>MDV</v>
          </cell>
          <cell r="B7072">
            <v>2016</v>
          </cell>
          <cell r="C7072" t="str">
            <v>macab_</v>
          </cell>
          <cell r="D7072">
            <v>-23.382694244384766</v>
          </cell>
          <cell r="F7072" t="str">
            <v>14 Aug 2024</v>
          </cell>
        </row>
        <row r="7073">
          <cell r="A7073" t="str">
            <v>MDV</v>
          </cell>
          <cell r="B7073">
            <v>2024</v>
          </cell>
          <cell r="C7073" t="str">
            <v>macpiz</v>
          </cell>
          <cell r="D7073">
            <v>109.7657470703125</v>
          </cell>
          <cell r="F7073" t="str">
            <v>14 Aug 2024</v>
          </cell>
        </row>
        <row r="7074">
          <cell r="A7074" t="str">
            <v>MDV</v>
          </cell>
          <cell r="B7074">
            <v>2023</v>
          </cell>
          <cell r="C7074" t="str">
            <v>macpiz</v>
          </cell>
          <cell r="D7074">
            <v>2.9000000953674316</v>
          </cell>
          <cell r="F7074" t="str">
            <v>14 Aug 2024</v>
          </cell>
        </row>
        <row r="7075">
          <cell r="A7075" t="str">
            <v>MDV</v>
          </cell>
          <cell r="B7075">
            <v>2005</v>
          </cell>
          <cell r="C7075" t="str">
            <v>mainvz</v>
          </cell>
          <cell r="D7075">
            <v>-13.129290580749512</v>
          </cell>
          <cell r="F7075" t="str">
            <v>14 Aug 2024</v>
          </cell>
        </row>
        <row r="7076">
          <cell r="A7076" t="str">
            <v>MDV</v>
          </cell>
          <cell r="B7076">
            <v>2011</v>
          </cell>
          <cell r="C7076" t="str">
            <v>madeficit_</v>
          </cell>
          <cell r="D7076">
            <v>-6.9869766235351563</v>
          </cell>
          <cell r="F7076" t="str">
            <v>14 Aug 2024</v>
          </cell>
        </row>
        <row r="7077">
          <cell r="A7077" t="str">
            <v>MDV</v>
          </cell>
          <cell r="B7077">
            <v>2026</v>
          </cell>
          <cell r="C7077" t="str">
            <v>macpiz</v>
          </cell>
          <cell r="D7077">
            <v>122.74553680419922</v>
          </cell>
          <cell r="F7077" t="str">
            <v>14 Aug 2024</v>
          </cell>
        </row>
        <row r="7078">
          <cell r="A7078" t="str">
            <v>MDV</v>
          </cell>
          <cell r="B7078">
            <v>2024</v>
          </cell>
          <cell r="C7078" t="str">
            <v>maconz</v>
          </cell>
          <cell r="D7078">
            <v>5.9439001083374023</v>
          </cell>
          <cell r="F7078" t="str">
            <v>14 Aug 2024</v>
          </cell>
        </row>
        <row r="7079">
          <cell r="A7079" t="str">
            <v>MDV</v>
          </cell>
          <cell r="B7079">
            <v>2012</v>
          </cell>
          <cell r="C7079" t="str">
            <v>madebt_</v>
          </cell>
          <cell r="D7079">
            <v>57.123199462890625</v>
          </cell>
          <cell r="F7079" t="str">
            <v>14 Aug 2024</v>
          </cell>
        </row>
        <row r="7080">
          <cell r="A7080" t="str">
            <v>MDV</v>
          </cell>
          <cell r="B7080">
            <v>2017</v>
          </cell>
          <cell r="C7080" t="str">
            <v>matfpz</v>
          </cell>
          <cell r="D7080">
            <v>0.42597439885139465</v>
          </cell>
          <cell r="F7080" t="str">
            <v>14 Aug 2024</v>
          </cell>
        </row>
        <row r="7081">
          <cell r="A7081" t="str">
            <v>MDV</v>
          </cell>
          <cell r="B7081">
            <v>2008</v>
          </cell>
          <cell r="C7081" t="str">
            <v>maagrfc</v>
          </cell>
          <cell r="D7081">
            <v>-5.9319972991943359</v>
          </cell>
          <cell r="F7081" t="str">
            <v>14 Aug 2024</v>
          </cell>
        </row>
        <row r="7082">
          <cell r="A7082" t="str">
            <v>MDV</v>
          </cell>
          <cell r="B7082">
            <v>2024</v>
          </cell>
          <cell r="C7082" t="str">
            <v>maexpz</v>
          </cell>
          <cell r="D7082">
            <v>1.0294100046157837</v>
          </cell>
          <cell r="F7082" t="str">
            <v>14 Aug 2024</v>
          </cell>
        </row>
        <row r="7083">
          <cell r="A7083" t="str">
            <v>MDV</v>
          </cell>
          <cell r="B7083">
            <v>2010</v>
          </cell>
          <cell r="C7083" t="str">
            <v>mac_tfpz</v>
          </cell>
          <cell r="D7083">
            <v>-0.15028645098209381</v>
          </cell>
          <cell r="F7083" t="str">
            <v>14 Aug 2024</v>
          </cell>
        </row>
        <row r="7084">
          <cell r="A7084" t="str">
            <v>MDV</v>
          </cell>
          <cell r="B7084">
            <v>2016</v>
          </cell>
          <cell r="C7084" t="str">
            <v>mac_tfpz</v>
          </cell>
          <cell r="D7084">
            <v>0.36442351341247559</v>
          </cell>
          <cell r="F7084" t="str">
            <v>14 Aug 2024</v>
          </cell>
        </row>
        <row r="7085">
          <cell r="A7085" t="str">
            <v>MDV</v>
          </cell>
          <cell r="B7085">
            <v>2013</v>
          </cell>
          <cell r="C7085" t="str">
            <v>madeficit_</v>
          </cell>
          <cell r="D7085">
            <v>-3.4868371486663818</v>
          </cell>
          <cell r="F7085" t="str">
            <v>14 Aug 2024</v>
          </cell>
        </row>
        <row r="7086">
          <cell r="A7086" t="str">
            <v>MDV</v>
          </cell>
          <cell r="B7086">
            <v>2022</v>
          </cell>
          <cell r="C7086" t="str">
            <v>mar_expz</v>
          </cell>
          <cell r="D7086">
            <v>85.765861511230469</v>
          </cell>
          <cell r="F7086" t="str">
            <v>14 Aug 2024</v>
          </cell>
        </row>
        <row r="7087">
          <cell r="A7087" t="str">
            <v>MDV</v>
          </cell>
          <cell r="B7087">
            <v>2020</v>
          </cell>
          <cell r="C7087" t="str">
            <v>mar_impz</v>
          </cell>
          <cell r="D7087">
            <v>70.012107849121094</v>
          </cell>
          <cell r="F7087" t="str">
            <v>14 Aug 2024</v>
          </cell>
        </row>
        <row r="7088">
          <cell r="A7088" t="str">
            <v>MDV</v>
          </cell>
          <cell r="B7088">
            <v>2007</v>
          </cell>
          <cell r="C7088" t="str">
            <v>matfpz</v>
          </cell>
          <cell r="D7088">
            <v>0.45039659738540649</v>
          </cell>
          <cell r="F7088" t="str">
            <v>14 Aug 2024</v>
          </cell>
        </row>
        <row r="7089">
          <cell r="A7089" t="str">
            <v>MDV</v>
          </cell>
          <cell r="B7089">
            <v>2022</v>
          </cell>
          <cell r="C7089" t="str">
            <v>mar_agrfc</v>
          </cell>
          <cell r="D7089">
            <v>5.1964993476867676</v>
          </cell>
          <cell r="F7089" t="str">
            <v>14 Aug 2024</v>
          </cell>
        </row>
        <row r="7090">
          <cell r="A7090" t="str">
            <v>MDV</v>
          </cell>
          <cell r="B7090">
            <v>2011</v>
          </cell>
          <cell r="C7090" t="str">
            <v>macab_</v>
          </cell>
          <cell r="D7090">
            <v>-13.823137283325195</v>
          </cell>
          <cell r="F7090" t="str">
            <v>14 Aug 2024</v>
          </cell>
        </row>
        <row r="7091">
          <cell r="A7091" t="str">
            <v>MDV</v>
          </cell>
          <cell r="B7091">
            <v>2014</v>
          </cell>
          <cell r="C7091" t="str">
            <v>malabz</v>
          </cell>
          <cell r="D7091">
            <v>4.6899929046630859</v>
          </cell>
          <cell r="F7091" t="str">
            <v>14 Aug 2024</v>
          </cell>
        </row>
        <row r="7092">
          <cell r="A7092" t="str">
            <v>MDV</v>
          </cell>
          <cell r="B7092">
            <v>2005</v>
          </cell>
          <cell r="C7092" t="str">
            <v>mafdi_</v>
          </cell>
          <cell r="D7092">
            <v>0</v>
          </cell>
          <cell r="F7092" t="str">
            <v>14 Aug 2024</v>
          </cell>
        </row>
        <row r="7093">
          <cell r="A7093" t="str">
            <v>MDV</v>
          </cell>
          <cell r="B7093">
            <v>2013</v>
          </cell>
          <cell r="C7093" t="str">
            <v>malabz</v>
          </cell>
          <cell r="D7093">
            <v>4.1604046821594238</v>
          </cell>
          <cell r="F7093" t="str">
            <v>14 Aug 2024</v>
          </cell>
        </row>
        <row r="7094">
          <cell r="A7094" t="str">
            <v>MDV</v>
          </cell>
          <cell r="B7094">
            <v>2012</v>
          </cell>
          <cell r="C7094" t="str">
            <v>mainvz</v>
          </cell>
          <cell r="D7094">
            <v>2.5173847675323486</v>
          </cell>
          <cell r="F7094" t="str">
            <v>14 Aug 2024</v>
          </cell>
        </row>
        <row r="7095">
          <cell r="A7095" t="str">
            <v>MDV</v>
          </cell>
          <cell r="B7095">
            <v>2019</v>
          </cell>
          <cell r="C7095" t="str">
            <v>mar_taxfc</v>
          </cell>
          <cell r="D7095">
            <v>14.022439002990723</v>
          </cell>
          <cell r="F7095" t="str">
            <v>14 Aug 2024</v>
          </cell>
        </row>
        <row r="7096">
          <cell r="A7096" t="str">
            <v>MDV</v>
          </cell>
          <cell r="B7096">
            <v>2005</v>
          </cell>
          <cell r="C7096" t="str">
            <v>madeficit_</v>
          </cell>
          <cell r="D7096">
            <v>-8.4010257720947266</v>
          </cell>
          <cell r="F7096" t="str">
            <v>14 Aug 2024</v>
          </cell>
        </row>
        <row r="7097">
          <cell r="A7097" t="str">
            <v>MDV</v>
          </cell>
          <cell r="B7097">
            <v>2005</v>
          </cell>
          <cell r="C7097" t="str">
            <v>macpiz</v>
          </cell>
          <cell r="D7097">
            <v>1.2929370403289795</v>
          </cell>
          <cell r="F7097" t="str">
            <v>14 Aug 2024</v>
          </cell>
        </row>
        <row r="7098">
          <cell r="A7098" t="str">
            <v>MDV</v>
          </cell>
          <cell r="B7098">
            <v>2014</v>
          </cell>
          <cell r="C7098" t="str">
            <v>macpiz</v>
          </cell>
          <cell r="D7098">
            <v>2.115363597869873</v>
          </cell>
          <cell r="F7098" t="str">
            <v>14 Aug 2024</v>
          </cell>
        </row>
        <row r="7099">
          <cell r="A7099" t="str">
            <v>MDV</v>
          </cell>
          <cell r="B7099">
            <v>2022</v>
          </cell>
          <cell r="C7099" t="str">
            <v>mapanusatls</v>
          </cell>
          <cell r="D7099">
            <v>15.390800476074219</v>
          </cell>
          <cell r="F7099" t="str">
            <v>14 Aug 2024</v>
          </cell>
        </row>
        <row r="7100">
          <cell r="A7100" t="str">
            <v>MDV</v>
          </cell>
          <cell r="B7100">
            <v>2005</v>
          </cell>
          <cell r="C7100" t="str">
            <v>maconz</v>
          </cell>
          <cell r="D7100">
            <v>0</v>
          </cell>
          <cell r="F7100" t="str">
            <v>14 Aug 2024</v>
          </cell>
        </row>
        <row r="7101">
          <cell r="A7101" t="str">
            <v>MDV</v>
          </cell>
          <cell r="B7101">
            <v>2014</v>
          </cell>
          <cell r="C7101" t="str">
            <v>macab_</v>
          </cell>
          <cell r="D7101">
            <v>-3.1906661987304688</v>
          </cell>
          <cell r="F7101" t="str">
            <v>14 Aug 2024</v>
          </cell>
        </row>
        <row r="7102">
          <cell r="A7102" t="str">
            <v>MDV</v>
          </cell>
          <cell r="B7102">
            <v>2018</v>
          </cell>
          <cell r="C7102" t="str">
            <v>mac_labz</v>
          </cell>
          <cell r="D7102">
            <v>2.7852303981781006</v>
          </cell>
          <cell r="F7102" t="str">
            <v>14 Aug 2024</v>
          </cell>
        </row>
        <row r="7103">
          <cell r="A7103" t="str">
            <v>MDV</v>
          </cell>
          <cell r="B7103">
            <v>2023</v>
          </cell>
          <cell r="C7103" t="str">
            <v>mar_agrfc</v>
          </cell>
          <cell r="D7103">
            <v>5.1588301658630371</v>
          </cell>
          <cell r="F7103" t="str">
            <v>14 Aug 2024</v>
          </cell>
        </row>
        <row r="7104">
          <cell r="A7104" t="str">
            <v>MDV</v>
          </cell>
          <cell r="B7104">
            <v>2009</v>
          </cell>
          <cell r="C7104" t="str">
            <v>mar_srvfc</v>
          </cell>
          <cell r="D7104">
            <v>80.982254028320313</v>
          </cell>
          <cell r="F7104" t="str">
            <v>14 Aug 2024</v>
          </cell>
        </row>
        <row r="7105">
          <cell r="A7105" t="str">
            <v>MDV</v>
          </cell>
          <cell r="B7105">
            <v>2021</v>
          </cell>
          <cell r="C7105" t="str">
            <v>mataxfc</v>
          </cell>
          <cell r="D7105">
            <v>79.528076171875</v>
          </cell>
          <cell r="F7105" t="str">
            <v>14 Aug 2024</v>
          </cell>
        </row>
        <row r="7106">
          <cell r="A7106" t="str">
            <v>MDV</v>
          </cell>
          <cell r="B7106">
            <v>2019</v>
          </cell>
          <cell r="C7106" t="str">
            <v>matfpz</v>
          </cell>
          <cell r="D7106">
            <v>0.40266132354736328</v>
          </cell>
          <cell r="F7106" t="str">
            <v>14 Aug 2024</v>
          </cell>
        </row>
        <row r="7107">
          <cell r="A7107" t="str">
            <v>MDV</v>
          </cell>
          <cell r="B7107">
            <v>2017</v>
          </cell>
          <cell r="C7107" t="str">
            <v>mar_srvfc</v>
          </cell>
          <cell r="D7107">
            <v>80.567893981933594</v>
          </cell>
          <cell r="F7107" t="str">
            <v>14 Aug 2024</v>
          </cell>
        </row>
        <row r="7108">
          <cell r="A7108" t="str">
            <v>MDV</v>
          </cell>
          <cell r="B7108">
            <v>2013</v>
          </cell>
          <cell r="C7108" t="str">
            <v>mar_taxfc</v>
          </cell>
          <cell r="D7108">
            <v>16.497295379638672</v>
          </cell>
          <cell r="F7108" t="str">
            <v>14 Aug 2024</v>
          </cell>
        </row>
        <row r="7109">
          <cell r="A7109" t="str">
            <v>MDV</v>
          </cell>
          <cell r="B7109">
            <v>2009</v>
          </cell>
          <cell r="C7109" t="str">
            <v>madebt_</v>
          </cell>
          <cell r="D7109">
            <v>48.386940002441406</v>
          </cell>
          <cell r="F7109" t="str">
            <v>14 Aug 2024</v>
          </cell>
        </row>
        <row r="7110">
          <cell r="A7110" t="str">
            <v>MDV</v>
          </cell>
          <cell r="B7110">
            <v>2013</v>
          </cell>
          <cell r="C7110" t="str">
            <v>mar_indfc</v>
          </cell>
          <cell r="D7110">
            <v>9.7640981674194336</v>
          </cell>
          <cell r="F7110" t="str">
            <v>14 Aug 2024</v>
          </cell>
        </row>
        <row r="7111">
          <cell r="A7111" t="str">
            <v>MDV</v>
          </cell>
          <cell r="B7111">
            <v>2005</v>
          </cell>
          <cell r="C7111" t="str">
            <v>mapanusatls</v>
          </cell>
          <cell r="D7111">
            <v>12.800000190734863</v>
          </cell>
          <cell r="F7111" t="str">
            <v>14 Aug 2024</v>
          </cell>
        </row>
        <row r="7112">
          <cell r="A7112" t="str">
            <v>MDV</v>
          </cell>
          <cell r="B7112">
            <v>2025</v>
          </cell>
          <cell r="C7112" t="str">
            <v>malabz</v>
          </cell>
          <cell r="D7112">
            <v>-0.77042001485824585</v>
          </cell>
          <cell r="F7112" t="str">
            <v>14 Aug 2024</v>
          </cell>
        </row>
        <row r="7113">
          <cell r="A7113" t="str">
            <v>MDV</v>
          </cell>
          <cell r="B7113">
            <v>2013</v>
          </cell>
          <cell r="C7113" t="str">
            <v>mar_agrfc</v>
          </cell>
          <cell r="D7113">
            <v>7.4302654266357422</v>
          </cell>
          <cell r="F7113" t="str">
            <v>14 Aug 2024</v>
          </cell>
        </row>
        <row r="7114">
          <cell r="A7114" t="str">
            <v>MDV</v>
          </cell>
          <cell r="B7114">
            <v>2016</v>
          </cell>
          <cell r="C7114" t="str">
            <v>mar_indfc</v>
          </cell>
          <cell r="D7114">
            <v>12.481453895568848</v>
          </cell>
          <cell r="F7114" t="str">
            <v>14 Aug 2024</v>
          </cell>
        </row>
        <row r="7115">
          <cell r="A7115" t="str">
            <v>MDV</v>
          </cell>
          <cell r="B7115">
            <v>2015</v>
          </cell>
          <cell r="C7115" t="str">
            <v>mareer</v>
          </cell>
          <cell r="D7115">
            <v>100</v>
          </cell>
          <cell r="F7115" t="str">
            <v>14 Aug 2024</v>
          </cell>
        </row>
        <row r="7116">
          <cell r="A7116" t="str">
            <v>MDV</v>
          </cell>
          <cell r="B7116">
            <v>2008</v>
          </cell>
          <cell r="C7116" t="str">
            <v>mar_srvfc</v>
          </cell>
          <cell r="D7116">
            <v>78.618949890136719</v>
          </cell>
          <cell r="F7116" t="str">
            <v>14 Aug 2024</v>
          </cell>
        </row>
        <row r="7117">
          <cell r="A7117" t="str">
            <v>MDV</v>
          </cell>
          <cell r="B7117">
            <v>2008</v>
          </cell>
          <cell r="C7117" t="str">
            <v>malabz</v>
          </cell>
          <cell r="D7117">
            <v>6.058596134185791</v>
          </cell>
          <cell r="F7117" t="str">
            <v>14 Aug 2024</v>
          </cell>
        </row>
        <row r="7118">
          <cell r="A7118" t="str">
            <v>MDV</v>
          </cell>
          <cell r="B7118">
            <v>2021</v>
          </cell>
          <cell r="C7118" t="str">
            <v>maagrfc</v>
          </cell>
          <cell r="D7118">
            <v>-0.72668832540512085</v>
          </cell>
          <cell r="F7118" t="str">
            <v>14 Aug 2024</v>
          </cell>
        </row>
        <row r="7119">
          <cell r="A7119" t="str">
            <v>MDV</v>
          </cell>
          <cell r="B7119">
            <v>2024</v>
          </cell>
          <cell r="C7119" t="str">
            <v>mareer</v>
          </cell>
          <cell r="D7119">
            <v>54.841812133789063</v>
          </cell>
          <cell r="F7119" t="str">
            <v>14 Aug 2024</v>
          </cell>
        </row>
        <row r="7120">
          <cell r="A7120" t="str">
            <v>MDV</v>
          </cell>
          <cell r="B7120">
            <v>2013</v>
          </cell>
          <cell r="C7120" t="str">
            <v>magovz</v>
          </cell>
          <cell r="D7120">
            <v>7.2810764312744141</v>
          </cell>
          <cell r="F7120" t="str">
            <v>14 Aug 2024</v>
          </cell>
        </row>
        <row r="7121">
          <cell r="A7121" t="str">
            <v>MDV</v>
          </cell>
          <cell r="B7121">
            <v>2023</v>
          </cell>
          <cell r="C7121" t="str">
            <v>madebt_</v>
          </cell>
          <cell r="D7121">
            <v>122.87100982666016</v>
          </cell>
          <cell r="F7121" t="str">
            <v>14 Aug 2024</v>
          </cell>
        </row>
        <row r="7122">
          <cell r="A7122" t="str">
            <v>MDV</v>
          </cell>
          <cell r="B7122">
            <v>2020</v>
          </cell>
          <cell r="C7122" t="str">
            <v>mac_tfpz</v>
          </cell>
          <cell r="D7122">
            <v>0.32792282104492188</v>
          </cell>
          <cell r="F7122" t="str">
            <v>14 Aug 2024</v>
          </cell>
        </row>
        <row r="7123">
          <cell r="A7123" t="str">
            <v>MDV</v>
          </cell>
          <cell r="B7123">
            <v>2009</v>
          </cell>
          <cell r="C7123" t="str">
            <v>magovz</v>
          </cell>
          <cell r="D7123">
            <v>-7.2288365364074707</v>
          </cell>
          <cell r="F7123" t="str">
            <v>14 Aug 2024</v>
          </cell>
        </row>
        <row r="7124">
          <cell r="A7124" t="str">
            <v>MDV</v>
          </cell>
          <cell r="B7124">
            <v>2013</v>
          </cell>
          <cell r="C7124" t="str">
            <v>mafdi_</v>
          </cell>
          <cell r="D7124">
            <v>-10.98134938040932</v>
          </cell>
          <cell r="F7124" t="str">
            <v>14 Aug 2024</v>
          </cell>
        </row>
        <row r="7125">
          <cell r="A7125" t="str">
            <v>MDV</v>
          </cell>
          <cell r="B7125">
            <v>2005</v>
          </cell>
          <cell r="C7125" t="str">
            <v>malabz</v>
          </cell>
          <cell r="D7125">
            <v>0</v>
          </cell>
          <cell r="F7125" t="str">
            <v>14 Aug 2024</v>
          </cell>
        </row>
        <row r="7126">
          <cell r="A7126" t="str">
            <v>MDV</v>
          </cell>
          <cell r="B7126">
            <v>2007</v>
          </cell>
          <cell r="C7126" t="str">
            <v>mar_con</v>
          </cell>
          <cell r="D7126">
            <v>33.814811706542969</v>
          </cell>
          <cell r="F7126" t="str">
            <v>14 Aug 2024</v>
          </cell>
        </row>
        <row r="7127">
          <cell r="A7127" t="str">
            <v>MDV</v>
          </cell>
          <cell r="B7127">
            <v>2013</v>
          </cell>
          <cell r="C7127" t="str">
            <v>mac_tfpz</v>
          </cell>
          <cell r="D7127">
            <v>4.7704387456178665E-2</v>
          </cell>
          <cell r="F7127" t="str">
            <v>14 Aug 2024</v>
          </cell>
        </row>
        <row r="7128">
          <cell r="A7128" t="str">
            <v>MDV</v>
          </cell>
          <cell r="B7128">
            <v>2021</v>
          </cell>
          <cell r="C7128" t="str">
            <v>maimpz</v>
          </cell>
          <cell r="D7128">
            <v>49.731159210205078</v>
          </cell>
          <cell r="F7128" t="str">
            <v>14 Aug 2024</v>
          </cell>
        </row>
        <row r="7129">
          <cell r="A7129" t="str">
            <v>MDV</v>
          </cell>
          <cell r="B7129">
            <v>2014</v>
          </cell>
          <cell r="C7129" t="str">
            <v>mainvz</v>
          </cell>
          <cell r="D7129">
            <v>7.329627513885498</v>
          </cell>
          <cell r="F7129" t="str">
            <v>14 Aug 2024</v>
          </cell>
        </row>
        <row r="7130">
          <cell r="A7130" t="str">
            <v>MDV</v>
          </cell>
          <cell r="B7130">
            <v>2009</v>
          </cell>
          <cell r="C7130" t="str">
            <v>mar_expz</v>
          </cell>
          <cell r="D7130">
            <v>75.444236755371094</v>
          </cell>
          <cell r="F7130" t="str">
            <v>14 Aug 2024</v>
          </cell>
        </row>
        <row r="7131">
          <cell r="A7131" t="str">
            <v>MDV</v>
          </cell>
          <cell r="B7131">
            <v>2007</v>
          </cell>
          <cell r="C7131" t="str">
            <v>magdpz</v>
          </cell>
          <cell r="D7131">
            <v>7.1234273910522461</v>
          </cell>
          <cell r="F7131" t="str">
            <v>14 Aug 2024</v>
          </cell>
        </row>
        <row r="7132">
          <cell r="A7132" t="str">
            <v>MDV</v>
          </cell>
          <cell r="B7132">
            <v>2008</v>
          </cell>
          <cell r="C7132" t="str">
            <v>maindfc</v>
          </cell>
          <cell r="D7132">
            <v>9.9335393905639648</v>
          </cell>
          <cell r="F7132" t="str">
            <v>14 Aug 2024</v>
          </cell>
        </row>
        <row r="7133">
          <cell r="A7133" t="str">
            <v>MDV</v>
          </cell>
          <cell r="B7133">
            <v>2018</v>
          </cell>
          <cell r="C7133" t="str">
            <v>madeficit_</v>
          </cell>
          <cell r="D7133">
            <v>-5.1688570976257324</v>
          </cell>
          <cell r="F7133" t="str">
            <v>14 Aug 2024</v>
          </cell>
        </row>
        <row r="7134">
          <cell r="A7134" t="str">
            <v>MDV</v>
          </cell>
          <cell r="B7134">
            <v>2012</v>
          </cell>
          <cell r="C7134" t="str">
            <v>mar_taxfc</v>
          </cell>
          <cell r="D7134">
            <v>16.31109619140625</v>
          </cell>
          <cell r="F7134" t="str">
            <v>14 Aug 2024</v>
          </cell>
        </row>
        <row r="7135">
          <cell r="A7135" t="str">
            <v>MDV</v>
          </cell>
          <cell r="B7135">
            <v>2008</v>
          </cell>
          <cell r="C7135" t="str">
            <v>matfpz</v>
          </cell>
          <cell r="D7135">
            <v>0.16086553037166595</v>
          </cell>
          <cell r="F7135" t="str">
            <v>14 Aug 2024</v>
          </cell>
        </row>
        <row r="7136">
          <cell r="A7136" t="str">
            <v>MDV</v>
          </cell>
          <cell r="B7136">
            <v>2009</v>
          </cell>
          <cell r="C7136" t="str">
            <v>maexpz</v>
          </cell>
          <cell r="D7136">
            <v>-7.2288365364074707</v>
          </cell>
          <cell r="F7136" t="str">
            <v>14 Aug 2024</v>
          </cell>
        </row>
        <row r="7137">
          <cell r="A7137" t="str">
            <v>MDV</v>
          </cell>
          <cell r="B7137">
            <v>2026</v>
          </cell>
          <cell r="C7137" t="str">
            <v>masrvfc</v>
          </cell>
          <cell r="D7137">
            <v>12.181966781616211</v>
          </cell>
          <cell r="F7137" t="str">
            <v>14 Aug 2024</v>
          </cell>
        </row>
        <row r="7138">
          <cell r="A7138" t="str">
            <v>MDV</v>
          </cell>
          <cell r="B7138">
            <v>2026</v>
          </cell>
          <cell r="C7138" t="str">
            <v>mar_con</v>
          </cell>
          <cell r="D7138">
            <v>0.1591716855764389</v>
          </cell>
          <cell r="F7138" t="str">
            <v>14 Aug 2024</v>
          </cell>
        </row>
        <row r="7139">
          <cell r="A7139" t="str">
            <v>MDV</v>
          </cell>
          <cell r="B7139">
            <v>2006</v>
          </cell>
          <cell r="C7139" t="str">
            <v>maimpz</v>
          </cell>
          <cell r="D7139">
            <v>26.111515045166016</v>
          </cell>
          <cell r="F7139" t="str">
            <v>14 Aug 2024</v>
          </cell>
        </row>
        <row r="7140">
          <cell r="A7140" t="str">
            <v>MDV</v>
          </cell>
          <cell r="B7140">
            <v>2026</v>
          </cell>
          <cell r="C7140" t="str">
            <v>magovz</v>
          </cell>
          <cell r="D7140">
            <v>16.156423568725586</v>
          </cell>
          <cell r="F7140" t="str">
            <v>14 Aug 2024</v>
          </cell>
        </row>
        <row r="7141">
          <cell r="A7141" t="str">
            <v>MDV</v>
          </cell>
          <cell r="B7141">
            <v>2026</v>
          </cell>
          <cell r="C7141" t="str">
            <v>magap_</v>
          </cell>
          <cell r="D7141">
            <v>3775.023681640625</v>
          </cell>
          <cell r="F7141" t="str">
            <v>14 Aug 2024</v>
          </cell>
        </row>
        <row r="7142">
          <cell r="A7142" t="str">
            <v>MDV</v>
          </cell>
          <cell r="B7142">
            <v>2023</v>
          </cell>
          <cell r="C7142" t="str">
            <v>maexpz</v>
          </cell>
          <cell r="D7142">
            <v>-5.0844125747680664</v>
          </cell>
          <cell r="F7142" t="str">
            <v>14 Aug 2024</v>
          </cell>
        </row>
        <row r="7143">
          <cell r="A7143" t="str">
            <v>MDV</v>
          </cell>
          <cell r="B7143">
            <v>2018</v>
          </cell>
          <cell r="C7143" t="str">
            <v>mataxfc</v>
          </cell>
          <cell r="D7143">
            <v>7.452479362487793</v>
          </cell>
          <cell r="F7143" t="str">
            <v>14 Aug 2024</v>
          </cell>
        </row>
        <row r="7144">
          <cell r="A7144" t="str">
            <v>MDV</v>
          </cell>
          <cell r="B7144">
            <v>2026</v>
          </cell>
          <cell r="C7144" t="str">
            <v>mac_labz</v>
          </cell>
          <cell r="D7144">
            <v>-0.35267400741577148</v>
          </cell>
          <cell r="F7144" t="str">
            <v>14 Aug 2024</v>
          </cell>
        </row>
        <row r="7145">
          <cell r="A7145" t="str">
            <v>MDV</v>
          </cell>
          <cell r="B7145">
            <v>2025</v>
          </cell>
          <cell r="C7145" t="str">
            <v>mataxfc</v>
          </cell>
          <cell r="D7145">
            <v>5.1640415191650391</v>
          </cell>
          <cell r="F7145" t="str">
            <v>14 Aug 2024</v>
          </cell>
        </row>
        <row r="7146">
          <cell r="A7146" t="str">
            <v>MDV</v>
          </cell>
          <cell r="B7146">
            <v>2011</v>
          </cell>
          <cell r="C7146" t="str">
            <v>maimpz</v>
          </cell>
          <cell r="D7146">
            <v>8.5667362213134766</v>
          </cell>
          <cell r="F7146" t="str">
            <v>14 Aug 2024</v>
          </cell>
        </row>
        <row r="7147">
          <cell r="A7147" t="str">
            <v>MDV</v>
          </cell>
          <cell r="B7147">
            <v>2012</v>
          </cell>
          <cell r="C7147" t="str">
            <v>maindfc</v>
          </cell>
          <cell r="D7147">
            <v>3.2899596691131592</v>
          </cell>
          <cell r="F7147" t="str">
            <v>14 Aug 2024</v>
          </cell>
        </row>
        <row r="7148">
          <cell r="A7148" t="str">
            <v>MDV</v>
          </cell>
          <cell r="B7148">
            <v>2025</v>
          </cell>
          <cell r="C7148" t="str">
            <v>mar_expz</v>
          </cell>
          <cell r="D7148">
            <v>0.29955810308456421</v>
          </cell>
          <cell r="F7148" t="str">
            <v>14 Aug 2024</v>
          </cell>
        </row>
        <row r="7149">
          <cell r="A7149" t="str">
            <v>MDV</v>
          </cell>
          <cell r="B7149">
            <v>2017</v>
          </cell>
          <cell r="C7149" t="str">
            <v>mafdi_</v>
          </cell>
          <cell r="D7149">
            <v>-9.5194075212821119</v>
          </cell>
          <cell r="F7149" t="str">
            <v>14 Aug 2024</v>
          </cell>
        </row>
        <row r="7150">
          <cell r="A7150" t="str">
            <v>MDV</v>
          </cell>
          <cell r="B7150">
            <v>2022</v>
          </cell>
          <cell r="C7150" t="str">
            <v>madebt_</v>
          </cell>
          <cell r="D7150">
            <v>114.50306701660156</v>
          </cell>
          <cell r="F7150" t="str">
            <v>14 Aug 2024</v>
          </cell>
        </row>
        <row r="7151">
          <cell r="A7151" t="str">
            <v>MDV</v>
          </cell>
          <cell r="B7151">
            <v>2012</v>
          </cell>
          <cell r="C7151" t="str">
            <v>mar_indfc</v>
          </cell>
          <cell r="D7151">
            <v>11.219130516052246</v>
          </cell>
          <cell r="F7151" t="str">
            <v>14 Aug 2024</v>
          </cell>
        </row>
        <row r="7152">
          <cell r="A7152" t="str">
            <v>MDV</v>
          </cell>
          <cell r="B7152">
            <v>2025</v>
          </cell>
          <cell r="C7152" t="str">
            <v>magdpz</v>
          </cell>
          <cell r="D7152">
            <v>15.567696571350098</v>
          </cell>
          <cell r="F7152" t="str">
            <v>14 Aug 2024</v>
          </cell>
        </row>
        <row r="7153">
          <cell r="A7153" t="str">
            <v>MDV</v>
          </cell>
          <cell r="B7153">
            <v>2012</v>
          </cell>
          <cell r="C7153" t="str">
            <v>maexpz</v>
          </cell>
          <cell r="D7153">
            <v>2.5173847675323486</v>
          </cell>
          <cell r="F7153" t="str">
            <v>14 Aug 2024</v>
          </cell>
        </row>
        <row r="7154">
          <cell r="A7154" t="str">
            <v>MDV</v>
          </cell>
          <cell r="B7154">
            <v>2006</v>
          </cell>
          <cell r="C7154" t="str">
            <v>mar_con</v>
          </cell>
          <cell r="D7154">
            <v>33.629451751708984</v>
          </cell>
          <cell r="F7154" t="str">
            <v>14 Aug 2024</v>
          </cell>
        </row>
        <row r="7155">
          <cell r="A7155" t="str">
            <v>MDV</v>
          </cell>
          <cell r="B7155">
            <v>2012</v>
          </cell>
          <cell r="C7155" t="str">
            <v>maagrfc</v>
          </cell>
          <cell r="D7155">
            <v>-0.18276476860046387</v>
          </cell>
          <cell r="F7155" t="str">
            <v>14 Aug 2024</v>
          </cell>
        </row>
        <row r="7156">
          <cell r="A7156" t="str">
            <v>MDV</v>
          </cell>
          <cell r="B7156">
            <v>2015</v>
          </cell>
          <cell r="C7156" t="str">
            <v>mapanusatls</v>
          </cell>
          <cell r="D7156">
            <v>15.409999847412109</v>
          </cell>
          <cell r="F7156" t="str">
            <v>14 Aug 2024</v>
          </cell>
        </row>
        <row r="7157">
          <cell r="A7157" t="str">
            <v>MDV</v>
          </cell>
          <cell r="B7157">
            <v>2022</v>
          </cell>
          <cell r="C7157" t="str">
            <v>magovz</v>
          </cell>
          <cell r="D7157">
            <v>8.1057424545288086</v>
          </cell>
          <cell r="F7157" t="str">
            <v>14 Aug 2024</v>
          </cell>
        </row>
        <row r="7158">
          <cell r="A7158" t="str">
            <v>MDV</v>
          </cell>
          <cell r="B7158">
            <v>2018</v>
          </cell>
          <cell r="C7158" t="str">
            <v>mar_impz</v>
          </cell>
          <cell r="D7158">
            <v>85.064910888671875</v>
          </cell>
          <cell r="F7158" t="str">
            <v>14 Aug 2024</v>
          </cell>
        </row>
        <row r="7159">
          <cell r="A7159" t="str">
            <v>MDV</v>
          </cell>
          <cell r="B7159">
            <v>2008</v>
          </cell>
          <cell r="C7159" t="str">
            <v>mar_indfc</v>
          </cell>
          <cell r="D7159">
            <v>12.85093879699707</v>
          </cell>
          <cell r="F7159" t="str">
            <v>14 Aug 2024</v>
          </cell>
        </row>
        <row r="7160">
          <cell r="A7160" t="str">
            <v>MDV</v>
          </cell>
          <cell r="B7160">
            <v>2011</v>
          </cell>
          <cell r="C7160" t="str">
            <v>mataxfc</v>
          </cell>
          <cell r="D7160">
            <v>21.20854377746582</v>
          </cell>
          <cell r="F7160" t="str">
            <v>14 Aug 2024</v>
          </cell>
        </row>
        <row r="7161">
          <cell r="A7161" t="str">
            <v>MDV</v>
          </cell>
          <cell r="B7161">
            <v>2023</v>
          </cell>
          <cell r="C7161" t="str">
            <v>macab_</v>
          </cell>
          <cell r="D7161">
            <v>-23.396816253662109</v>
          </cell>
          <cell r="F7161" t="str">
            <v>14 Aug 2024</v>
          </cell>
        </row>
        <row r="7162">
          <cell r="A7162" t="str">
            <v>MDV</v>
          </cell>
          <cell r="B7162">
            <v>2024</v>
          </cell>
          <cell r="C7162" t="str">
            <v>maindfc</v>
          </cell>
          <cell r="D7162">
            <v>2.6055600643157959</v>
          </cell>
          <cell r="F7162" t="str">
            <v>14 Aug 2024</v>
          </cell>
        </row>
        <row r="7163">
          <cell r="A7163" t="str">
            <v>MDV</v>
          </cell>
          <cell r="B7163">
            <v>2014</v>
          </cell>
          <cell r="C7163" t="str">
            <v>masrvfc</v>
          </cell>
          <cell r="D7163">
            <v>7.4052538871765137</v>
          </cell>
          <cell r="F7163" t="str">
            <v>14 Aug 2024</v>
          </cell>
        </row>
        <row r="7164">
          <cell r="A7164" t="str">
            <v>MDV</v>
          </cell>
          <cell r="B7164">
            <v>2018</v>
          </cell>
          <cell r="C7164" t="str">
            <v>maimpz</v>
          </cell>
          <cell r="D7164">
            <v>12.805608749389648</v>
          </cell>
          <cell r="F7164" t="str">
            <v>14 Aug 2024</v>
          </cell>
        </row>
        <row r="7165">
          <cell r="A7165" t="str">
            <v>MDV</v>
          </cell>
          <cell r="B7165">
            <v>2015</v>
          </cell>
          <cell r="C7165" t="str">
            <v>mar_indfc</v>
          </cell>
          <cell r="D7165">
            <v>12.208017349243164</v>
          </cell>
          <cell r="F7165" t="str">
            <v>14 Aug 2024</v>
          </cell>
        </row>
        <row r="7166">
          <cell r="A7166" t="str">
            <v>MDV</v>
          </cell>
          <cell r="B7166">
            <v>2025</v>
          </cell>
          <cell r="C7166" t="str">
            <v>maagrfc</v>
          </cell>
          <cell r="D7166">
            <v>1.9670599699020386</v>
          </cell>
          <cell r="F7166" t="str">
            <v>14 Aug 2024</v>
          </cell>
        </row>
        <row r="7167">
          <cell r="A7167" t="str">
            <v>MDV</v>
          </cell>
          <cell r="B7167">
            <v>2024</v>
          </cell>
          <cell r="C7167" t="str">
            <v>matfpz</v>
          </cell>
          <cell r="D7167">
            <v>-2.5755284354090691E-2</v>
          </cell>
          <cell r="F7167" t="str">
            <v>14 Aug 2024</v>
          </cell>
        </row>
        <row r="7168">
          <cell r="A7168" t="str">
            <v>MDV</v>
          </cell>
          <cell r="B7168">
            <v>2011</v>
          </cell>
          <cell r="C7168" t="str">
            <v>mar_indfc</v>
          </cell>
          <cell r="D7168">
            <v>11.121503829956055</v>
          </cell>
          <cell r="F7168" t="str">
            <v>14 Aug 2024</v>
          </cell>
        </row>
        <row r="7169">
          <cell r="A7169" t="str">
            <v>MDV</v>
          </cell>
          <cell r="B7169">
            <v>2024</v>
          </cell>
          <cell r="C7169" t="str">
            <v>mainvz</v>
          </cell>
          <cell r="D7169">
            <v>11356.3681640625</v>
          </cell>
          <cell r="F7169" t="str">
            <v>14 Aug 2024</v>
          </cell>
        </row>
        <row r="7170">
          <cell r="A7170" t="str">
            <v>MDV</v>
          </cell>
          <cell r="B7170">
            <v>2011</v>
          </cell>
          <cell r="C7170" t="str">
            <v>malabz</v>
          </cell>
          <cell r="D7170">
            <v>4.8795456886291504</v>
          </cell>
          <cell r="F7170" t="str">
            <v>14 Aug 2024</v>
          </cell>
        </row>
        <row r="7171">
          <cell r="A7171" t="str">
            <v>MDV</v>
          </cell>
          <cell r="B7171">
            <v>2007</v>
          </cell>
          <cell r="C7171" t="str">
            <v>maconz</v>
          </cell>
          <cell r="D7171">
            <v>7.7138724327087402</v>
          </cell>
          <cell r="F7171" t="str">
            <v>14 Aug 2024</v>
          </cell>
        </row>
        <row r="7172">
          <cell r="A7172" t="str">
            <v>MDV</v>
          </cell>
          <cell r="B7172">
            <v>2024</v>
          </cell>
          <cell r="C7172" t="str">
            <v>magdpz</v>
          </cell>
          <cell r="D7172">
            <v>24016.791015625</v>
          </cell>
          <cell r="F7172" t="str">
            <v>14 Aug 2024</v>
          </cell>
        </row>
        <row r="7173">
          <cell r="A7173" t="str">
            <v>MDV</v>
          </cell>
          <cell r="B7173">
            <v>2024</v>
          </cell>
          <cell r="C7173" t="str">
            <v>magap_</v>
          </cell>
          <cell r="D7173">
            <v>22536.927734375</v>
          </cell>
          <cell r="F7173" t="str">
            <v>14 Aug 2024</v>
          </cell>
        </row>
        <row r="7174">
          <cell r="A7174" t="str">
            <v>MDV</v>
          </cell>
          <cell r="B7174">
            <v>2011</v>
          </cell>
          <cell r="C7174" t="str">
            <v>maconz</v>
          </cell>
          <cell r="D7174">
            <v>8.5667362213134766</v>
          </cell>
          <cell r="F7174" t="str">
            <v>14 Aug 2024</v>
          </cell>
        </row>
        <row r="7175">
          <cell r="A7175" t="str">
            <v>MDV</v>
          </cell>
          <cell r="B7175">
            <v>2023</v>
          </cell>
          <cell r="C7175" t="str">
            <v>mar_taxfc</v>
          </cell>
          <cell r="D7175">
            <v>11.602957725524902</v>
          </cell>
          <cell r="F7175" t="str">
            <v>14 Aug 2024</v>
          </cell>
        </row>
        <row r="7176">
          <cell r="A7176" t="str">
            <v>MDV</v>
          </cell>
          <cell r="B7176">
            <v>2009</v>
          </cell>
          <cell r="C7176" t="str">
            <v>mar_con</v>
          </cell>
          <cell r="D7176">
            <v>34.315265655517578</v>
          </cell>
          <cell r="F7176" t="str">
            <v>14 Aug 2024</v>
          </cell>
        </row>
        <row r="7177">
          <cell r="A7177" t="str">
            <v>MDV</v>
          </cell>
          <cell r="B7177">
            <v>2021</v>
          </cell>
          <cell r="C7177" t="str">
            <v>madeficit_</v>
          </cell>
          <cell r="D7177">
            <v>-14.178778648376465</v>
          </cell>
          <cell r="F7177" t="str">
            <v>14 Aug 2024</v>
          </cell>
        </row>
        <row r="7178">
          <cell r="A7178" t="str">
            <v>MDV</v>
          </cell>
          <cell r="B7178">
            <v>2021</v>
          </cell>
          <cell r="C7178" t="str">
            <v>maexpz</v>
          </cell>
          <cell r="D7178">
            <v>113.26426696777344</v>
          </cell>
          <cell r="F7178" t="str">
            <v>14 Aug 2024</v>
          </cell>
        </row>
        <row r="7179">
          <cell r="A7179" t="str">
            <v>MDV</v>
          </cell>
          <cell r="B7179">
            <v>2023</v>
          </cell>
          <cell r="C7179" t="str">
            <v>mar_impz</v>
          </cell>
          <cell r="D7179">
            <v>97.31683349609375</v>
          </cell>
          <cell r="F7179" t="str">
            <v>14 Aug 2024</v>
          </cell>
        </row>
        <row r="7180">
          <cell r="A7180" t="str">
            <v>MDV</v>
          </cell>
          <cell r="B7180">
            <v>2026</v>
          </cell>
          <cell r="C7180" t="str">
            <v>maimpz</v>
          </cell>
          <cell r="D7180">
            <v>1.3992899656295776</v>
          </cell>
          <cell r="F7180" t="str">
            <v>14 Aug 2024</v>
          </cell>
        </row>
        <row r="7181">
          <cell r="A7181" t="str">
            <v>MDV</v>
          </cell>
          <cell r="B7181">
            <v>2023</v>
          </cell>
          <cell r="C7181" t="str">
            <v>madeficit_</v>
          </cell>
          <cell r="D7181">
            <v>-13.248481750488281</v>
          </cell>
          <cell r="F7181" t="str">
            <v>14 Aug 2024</v>
          </cell>
        </row>
        <row r="7182">
          <cell r="A7182" t="str">
            <v>MDV</v>
          </cell>
          <cell r="B7182">
            <v>2018</v>
          </cell>
          <cell r="C7182" t="str">
            <v>magdpz</v>
          </cell>
          <cell r="D7182">
            <v>8.6680059432983398</v>
          </cell>
          <cell r="F7182" t="str">
            <v>14 Aug 2024</v>
          </cell>
        </row>
        <row r="7183">
          <cell r="A7183" t="str">
            <v>MDV</v>
          </cell>
          <cell r="B7183">
            <v>2025</v>
          </cell>
          <cell r="C7183" t="str">
            <v>mar_con</v>
          </cell>
          <cell r="D7183">
            <v>0.16957318782806396</v>
          </cell>
          <cell r="F7183" t="str">
            <v>14 Aug 2024</v>
          </cell>
        </row>
        <row r="7184">
          <cell r="A7184" t="str">
            <v>MDV</v>
          </cell>
          <cell r="B7184">
            <v>2023</v>
          </cell>
          <cell r="C7184" t="str">
            <v>maconz</v>
          </cell>
          <cell r="D7184">
            <v>12.703819274902344</v>
          </cell>
          <cell r="F7184" t="str">
            <v>14 Aug 2024</v>
          </cell>
        </row>
        <row r="7185">
          <cell r="A7185" t="str">
            <v>MDV</v>
          </cell>
          <cell r="B7185">
            <v>2024</v>
          </cell>
          <cell r="C7185" t="str">
            <v>macab_</v>
          </cell>
          <cell r="D7185">
            <v>4011.92919921875</v>
          </cell>
          <cell r="F7185" t="str">
            <v>14 Aug 2024</v>
          </cell>
        </row>
        <row r="7186">
          <cell r="A7186" t="str">
            <v>MDV</v>
          </cell>
          <cell r="B7186">
            <v>2008</v>
          </cell>
          <cell r="C7186" t="str">
            <v>macpiz</v>
          </cell>
          <cell r="D7186">
            <v>12.03125</v>
          </cell>
          <cell r="F7186" t="str">
            <v>14 Aug 2024</v>
          </cell>
        </row>
        <row r="7187">
          <cell r="A7187" t="str">
            <v>MDV</v>
          </cell>
          <cell r="B7187">
            <v>2022</v>
          </cell>
          <cell r="C7187" t="str">
            <v>mataxfc</v>
          </cell>
          <cell r="D7187">
            <v>5.5714917182922363</v>
          </cell>
          <cell r="F7187" t="str">
            <v>14 Aug 2024</v>
          </cell>
        </row>
        <row r="7188">
          <cell r="A7188" t="str">
            <v>MDV</v>
          </cell>
          <cell r="B7188">
            <v>2025</v>
          </cell>
          <cell r="C7188" t="str">
            <v>macab_</v>
          </cell>
          <cell r="D7188">
            <v>1321.3922119140625</v>
          </cell>
          <cell r="F7188" t="str">
            <v>14 Aug 2024</v>
          </cell>
        </row>
        <row r="7189">
          <cell r="A7189" t="str">
            <v>MDV</v>
          </cell>
          <cell r="B7189">
            <v>2014</v>
          </cell>
          <cell r="C7189" t="str">
            <v>mar_expz</v>
          </cell>
          <cell r="D7189">
            <v>75.749809265136719</v>
          </cell>
          <cell r="F7189" t="str">
            <v>14 Aug 2024</v>
          </cell>
        </row>
        <row r="7190">
          <cell r="A7190" t="str">
            <v>MDV</v>
          </cell>
          <cell r="B7190">
            <v>2022</v>
          </cell>
          <cell r="C7190" t="str">
            <v>mar_con</v>
          </cell>
          <cell r="D7190">
            <v>38.679168701171875</v>
          </cell>
          <cell r="F7190" t="str">
            <v>14 Aug 2024</v>
          </cell>
        </row>
        <row r="7191">
          <cell r="A7191" t="str">
            <v>MDV</v>
          </cell>
          <cell r="B7191">
            <v>2010</v>
          </cell>
          <cell r="C7191" t="str">
            <v>masrvfc</v>
          </cell>
          <cell r="D7191">
            <v>6.5606980323791504</v>
          </cell>
          <cell r="F7191" t="str">
            <v>14 Aug 2024</v>
          </cell>
        </row>
        <row r="7192">
          <cell r="A7192" t="str">
            <v>MDV</v>
          </cell>
          <cell r="B7192">
            <v>2010</v>
          </cell>
          <cell r="C7192" t="str">
            <v>mareer</v>
          </cell>
          <cell r="D7192">
            <v>85.777259826660156</v>
          </cell>
          <cell r="F7192" t="str">
            <v>14 Aug 2024</v>
          </cell>
        </row>
        <row r="7193">
          <cell r="A7193" t="str">
            <v>MDV</v>
          </cell>
          <cell r="B7193">
            <v>2010</v>
          </cell>
          <cell r="C7193" t="str">
            <v>mar_indfc</v>
          </cell>
          <cell r="D7193">
            <v>10.240544319152832</v>
          </cell>
          <cell r="F7193" t="str">
            <v>14 Aug 2024</v>
          </cell>
        </row>
        <row r="7194">
          <cell r="A7194" t="str">
            <v>MDV</v>
          </cell>
          <cell r="B7194">
            <v>2010</v>
          </cell>
          <cell r="C7194" t="str">
            <v>mar_impz</v>
          </cell>
          <cell r="D7194">
            <v>81.068443298339844</v>
          </cell>
          <cell r="F7194" t="str">
            <v>14 Aug 2024</v>
          </cell>
        </row>
        <row r="7195">
          <cell r="A7195" t="str">
            <v>MDV</v>
          </cell>
          <cell r="B7195">
            <v>2025</v>
          </cell>
          <cell r="C7195" t="str">
            <v>mac_labz</v>
          </cell>
          <cell r="D7195">
            <v>-0.53929400444030762</v>
          </cell>
          <cell r="F7195" t="str">
            <v>14 Aug 2024</v>
          </cell>
        </row>
        <row r="7196">
          <cell r="A7196" t="str">
            <v>MDV</v>
          </cell>
          <cell r="B7196">
            <v>2021</v>
          </cell>
          <cell r="C7196" t="str">
            <v>mac_labz</v>
          </cell>
          <cell r="D7196">
            <v>0.86994987726211548</v>
          </cell>
          <cell r="F7196" t="str">
            <v>14 Aug 2024</v>
          </cell>
        </row>
        <row r="7197">
          <cell r="A7197" t="str">
            <v>MDV</v>
          </cell>
          <cell r="B7197">
            <v>2010</v>
          </cell>
          <cell r="C7197" t="str">
            <v>mar_agrfc</v>
          </cell>
          <cell r="D7197">
            <v>8.1190509796142578</v>
          </cell>
          <cell r="F7197" t="str">
            <v>14 Aug 2024</v>
          </cell>
        </row>
        <row r="7198">
          <cell r="A7198" t="str">
            <v>MDV</v>
          </cell>
          <cell r="B7198">
            <v>2022</v>
          </cell>
          <cell r="C7198" t="str">
            <v>macab_</v>
          </cell>
          <cell r="D7198">
            <v>-16.74420166015625</v>
          </cell>
          <cell r="F7198" t="str">
            <v>14 Aug 2024</v>
          </cell>
        </row>
        <row r="7199">
          <cell r="A7199" t="str">
            <v>MDV</v>
          </cell>
          <cell r="B7199">
            <v>2021</v>
          </cell>
          <cell r="C7199" t="str">
            <v>mareer</v>
          </cell>
          <cell r="D7199">
            <v>92.00677490234375</v>
          </cell>
          <cell r="F7199" t="str">
            <v>14 Aug 2024</v>
          </cell>
        </row>
        <row r="7200">
          <cell r="A7200" t="str">
            <v>MDV</v>
          </cell>
          <cell r="B7200">
            <v>2021</v>
          </cell>
          <cell r="C7200" t="str">
            <v>mar_impz</v>
          </cell>
          <cell r="D7200">
            <v>76.136306762695313</v>
          </cell>
          <cell r="F7200" t="str">
            <v>14 Aug 2024</v>
          </cell>
        </row>
        <row r="7201">
          <cell r="A7201" t="str">
            <v>MDV</v>
          </cell>
          <cell r="B7201">
            <v>2014</v>
          </cell>
          <cell r="C7201" t="str">
            <v>magdpz</v>
          </cell>
          <cell r="D7201">
            <v>7.8010945320129395</v>
          </cell>
          <cell r="F7201" t="str">
            <v>14 Aug 2024</v>
          </cell>
        </row>
        <row r="7202">
          <cell r="A7202" t="str">
            <v>MDV</v>
          </cell>
          <cell r="B7202">
            <v>2006</v>
          </cell>
          <cell r="C7202" t="str">
            <v>masrvfc</v>
          </cell>
          <cell r="D7202">
            <v>26.969028472900391</v>
          </cell>
          <cell r="F7202" t="str">
            <v>14 Aug 2024</v>
          </cell>
        </row>
        <row r="7203">
          <cell r="A7203" t="str">
            <v>MDV</v>
          </cell>
          <cell r="B7203">
            <v>2006</v>
          </cell>
          <cell r="C7203" t="str">
            <v>mareer</v>
          </cell>
          <cell r="D7203">
            <v>70.387313842773438</v>
          </cell>
          <cell r="F7203" t="str">
            <v>14 Aug 2024</v>
          </cell>
        </row>
        <row r="7204">
          <cell r="A7204" t="str">
            <v>MDV</v>
          </cell>
          <cell r="B7204">
            <v>2009</v>
          </cell>
          <cell r="C7204" t="str">
            <v>matfpz</v>
          </cell>
          <cell r="D7204">
            <v>-7.0152647793292999E-2</v>
          </cell>
          <cell r="F7204" t="str">
            <v>14 Aug 2024</v>
          </cell>
        </row>
        <row r="7205">
          <cell r="A7205" t="str">
            <v>MDV</v>
          </cell>
          <cell r="B7205">
            <v>2008</v>
          </cell>
          <cell r="C7205" t="str">
            <v>mac_labz</v>
          </cell>
          <cell r="D7205">
            <v>4.2410173416137695</v>
          </cell>
          <cell r="F7205" t="str">
            <v>14 Aug 2024</v>
          </cell>
        </row>
        <row r="7206">
          <cell r="A7206" t="str">
            <v>MDV</v>
          </cell>
          <cell r="B7206">
            <v>2020</v>
          </cell>
          <cell r="C7206" t="str">
            <v>mataxfc</v>
          </cell>
          <cell r="D7206">
            <v>-53.196662902832031</v>
          </cell>
          <cell r="F7206" t="str">
            <v>14 Aug 2024</v>
          </cell>
        </row>
        <row r="7207">
          <cell r="A7207" t="str">
            <v>MDV</v>
          </cell>
          <cell r="B7207">
            <v>2006</v>
          </cell>
          <cell r="C7207" t="str">
            <v>mar_srvfc</v>
          </cell>
          <cell r="D7207">
            <v>75.304985046386719</v>
          </cell>
          <cell r="F7207" t="str">
            <v>14 Aug 2024</v>
          </cell>
        </row>
        <row r="7208">
          <cell r="A7208" t="str">
            <v>MDV</v>
          </cell>
          <cell r="B7208">
            <v>2025</v>
          </cell>
          <cell r="C7208" t="str">
            <v>mafdi_</v>
          </cell>
          <cell r="D7208">
            <v>-70187.332307815785</v>
          </cell>
          <cell r="F7208" t="str">
            <v>14 Aug 2024</v>
          </cell>
        </row>
        <row r="7209">
          <cell r="A7209" t="str">
            <v>MDV</v>
          </cell>
          <cell r="B7209">
            <v>2018</v>
          </cell>
          <cell r="C7209" t="str">
            <v>magap_</v>
          </cell>
          <cell r="D7209">
            <v>1.656551718711853</v>
          </cell>
          <cell r="F7209" t="str">
            <v>14 Aug 2024</v>
          </cell>
        </row>
        <row r="7210">
          <cell r="A7210" t="str">
            <v>MDV</v>
          </cell>
          <cell r="B7210">
            <v>2011</v>
          </cell>
          <cell r="C7210" t="str">
            <v>maagrfc</v>
          </cell>
          <cell r="D7210">
            <v>-4.9425691366195679E-2</v>
          </cell>
          <cell r="F7210" t="str">
            <v>14 Aug 2024</v>
          </cell>
        </row>
        <row r="7211">
          <cell r="A7211" t="str">
            <v>MDV</v>
          </cell>
          <cell r="B7211">
            <v>2020</v>
          </cell>
          <cell r="C7211" t="str">
            <v>malabz</v>
          </cell>
          <cell r="D7211">
            <v>1.9283051490783691</v>
          </cell>
          <cell r="F7211" t="str">
            <v>14 Aug 2024</v>
          </cell>
        </row>
        <row r="7212">
          <cell r="A7212" t="str">
            <v>MDV</v>
          </cell>
          <cell r="B7212">
            <v>2020</v>
          </cell>
          <cell r="C7212" t="str">
            <v>maindfc</v>
          </cell>
          <cell r="D7212">
            <v>-34.082199096679688</v>
          </cell>
          <cell r="F7212" t="str">
            <v>14 Aug 2024</v>
          </cell>
        </row>
        <row r="7213">
          <cell r="A7213" t="str">
            <v>MDV</v>
          </cell>
          <cell r="B7213">
            <v>2007</v>
          </cell>
          <cell r="C7213" t="str">
            <v>mar_srvfc</v>
          </cell>
          <cell r="D7213">
            <v>77.4183349609375</v>
          </cell>
          <cell r="F7213" t="str">
            <v>14 Aug 2024</v>
          </cell>
        </row>
        <row r="7214">
          <cell r="A7214" t="str">
            <v>MDV</v>
          </cell>
          <cell r="B7214">
            <v>2020</v>
          </cell>
          <cell r="C7214" t="str">
            <v>magap_</v>
          </cell>
          <cell r="D7214">
            <v>-35.174831390380859</v>
          </cell>
          <cell r="F7214" t="str">
            <v>14 Aug 2024</v>
          </cell>
        </row>
        <row r="7215">
          <cell r="A7215" t="str">
            <v>MDV</v>
          </cell>
          <cell r="B7215">
            <v>2022</v>
          </cell>
          <cell r="C7215" t="str">
            <v>magap_</v>
          </cell>
          <cell r="D7215">
            <v>-2.5758259296417236</v>
          </cell>
          <cell r="F7215" t="str">
            <v>14 Aug 2024</v>
          </cell>
        </row>
        <row r="7216">
          <cell r="A7216" t="str">
            <v>MDV</v>
          </cell>
          <cell r="B7216">
            <v>2007</v>
          </cell>
          <cell r="C7216" t="str">
            <v>masrvfc</v>
          </cell>
          <cell r="D7216">
            <v>9.9300289154052734</v>
          </cell>
          <cell r="F7216" t="str">
            <v>14 Aug 2024</v>
          </cell>
        </row>
        <row r="7217">
          <cell r="A7217" t="str">
            <v>MDV</v>
          </cell>
          <cell r="B7217">
            <v>2006</v>
          </cell>
          <cell r="C7217" t="str">
            <v>mar_agrfc</v>
          </cell>
          <cell r="D7217">
            <v>13.044635772705078</v>
          </cell>
          <cell r="F7217" t="str">
            <v>14 Aug 2024</v>
          </cell>
        </row>
        <row r="7218">
          <cell r="A7218" t="str">
            <v>MDV</v>
          </cell>
          <cell r="B7218">
            <v>2020</v>
          </cell>
          <cell r="C7218" t="str">
            <v>maexpz</v>
          </cell>
          <cell r="D7218">
            <v>-51.377910614013672</v>
          </cell>
          <cell r="F7218" t="str">
            <v>14 Aug 2024</v>
          </cell>
        </row>
        <row r="7219">
          <cell r="A7219" t="str">
            <v>MDV</v>
          </cell>
          <cell r="B7219">
            <v>2019</v>
          </cell>
          <cell r="C7219" t="str">
            <v>maconz</v>
          </cell>
          <cell r="D7219">
            <v>5.5202465057373047</v>
          </cell>
          <cell r="F7219" t="str">
            <v>14 Aug 2024</v>
          </cell>
        </row>
        <row r="7220">
          <cell r="A7220" t="str">
            <v>MDV</v>
          </cell>
          <cell r="B7220">
            <v>2020</v>
          </cell>
          <cell r="C7220" t="str">
            <v>macpiz</v>
          </cell>
          <cell r="D7220">
            <v>-1.370423436164856</v>
          </cell>
          <cell r="F7220" t="str">
            <v>14 Aug 2024</v>
          </cell>
        </row>
        <row r="7221">
          <cell r="A7221" t="str">
            <v>MDV</v>
          </cell>
          <cell r="B7221">
            <v>2017</v>
          </cell>
          <cell r="C7221" t="str">
            <v>madebt_</v>
          </cell>
          <cell r="D7221">
            <v>63.686519622802734</v>
          </cell>
          <cell r="F7221" t="str">
            <v>14 Aug 2024</v>
          </cell>
        </row>
        <row r="7222">
          <cell r="A7222" t="str">
            <v>MDV</v>
          </cell>
          <cell r="B7222">
            <v>2019</v>
          </cell>
          <cell r="C7222" t="str">
            <v>mareer</v>
          </cell>
          <cell r="D7222">
            <v>97.6107177734375</v>
          </cell>
          <cell r="F7222" t="str">
            <v>14 Aug 2024</v>
          </cell>
        </row>
        <row r="7223">
          <cell r="A7223" t="str">
            <v>MDV</v>
          </cell>
          <cell r="B7223">
            <v>2019</v>
          </cell>
          <cell r="C7223" t="str">
            <v>mar_impz</v>
          </cell>
          <cell r="D7223">
            <v>76.63458251953125</v>
          </cell>
          <cell r="F7223" t="str">
            <v>14 Aug 2024</v>
          </cell>
        </row>
        <row r="7224">
          <cell r="A7224" t="str">
            <v>MDV</v>
          </cell>
          <cell r="B7224">
            <v>2019</v>
          </cell>
          <cell r="C7224" t="str">
            <v>mainvz</v>
          </cell>
          <cell r="D7224">
            <v>-3.2411932945251465</v>
          </cell>
          <cell r="F7224" t="str">
            <v>14 Aug 2024</v>
          </cell>
        </row>
        <row r="7225">
          <cell r="A7225" t="str">
            <v>MDV</v>
          </cell>
          <cell r="B7225">
            <v>2021</v>
          </cell>
          <cell r="C7225" t="str">
            <v>maconz</v>
          </cell>
          <cell r="D7225">
            <v>13.544904708862305</v>
          </cell>
          <cell r="F7225" t="str">
            <v>14 Aug 2024</v>
          </cell>
        </row>
        <row r="7226">
          <cell r="A7226" t="str">
            <v>MDV</v>
          </cell>
          <cell r="B7226">
            <v>2010</v>
          </cell>
          <cell r="C7226" t="str">
            <v>macpiz</v>
          </cell>
          <cell r="D7226">
            <v>6.1527056694030762</v>
          </cell>
          <cell r="F7226" t="str">
            <v>14 Aug 2024</v>
          </cell>
        </row>
        <row r="7227">
          <cell r="A7227" t="str">
            <v>MDV</v>
          </cell>
          <cell r="B7227">
            <v>2019</v>
          </cell>
          <cell r="C7227" t="str">
            <v>maexpz</v>
          </cell>
          <cell r="D7227">
            <v>6.687171459197998</v>
          </cell>
          <cell r="F7227" t="str">
            <v>14 Aug 2024</v>
          </cell>
        </row>
        <row r="7228">
          <cell r="A7228" t="str">
            <v>MDV</v>
          </cell>
          <cell r="B7228">
            <v>2019</v>
          </cell>
          <cell r="C7228" t="str">
            <v>magovz</v>
          </cell>
          <cell r="D7228">
            <v>-2.8844437599182129</v>
          </cell>
          <cell r="F7228" t="str">
            <v>14 Aug 2024</v>
          </cell>
        </row>
        <row r="7229">
          <cell r="A7229" t="str">
            <v>MDV</v>
          </cell>
          <cell r="B7229">
            <v>2006</v>
          </cell>
          <cell r="C7229" t="str">
            <v>malabz</v>
          </cell>
          <cell r="D7229">
            <v>4.8016819953918457</v>
          </cell>
          <cell r="F7229" t="str">
            <v>14 Aug 2024</v>
          </cell>
        </row>
        <row r="7230">
          <cell r="A7230" t="str">
            <v>MDV</v>
          </cell>
          <cell r="B7230">
            <v>2019</v>
          </cell>
          <cell r="C7230" t="str">
            <v>maagrfc</v>
          </cell>
          <cell r="D7230">
            <v>-8.0706710815429688</v>
          </cell>
          <cell r="F7230" t="str">
            <v>14 Aug 2024</v>
          </cell>
        </row>
        <row r="7231">
          <cell r="A7231" t="str">
            <v>MDV</v>
          </cell>
          <cell r="B7231">
            <v>2007</v>
          </cell>
          <cell r="C7231" t="str">
            <v>mar_impz</v>
          </cell>
          <cell r="D7231">
            <v>79.566169738769531</v>
          </cell>
          <cell r="F7231" t="str">
            <v>14 Aug 2024</v>
          </cell>
        </row>
        <row r="7232">
          <cell r="A7232" t="str">
            <v>MDV</v>
          </cell>
          <cell r="B7232">
            <v>2018</v>
          </cell>
          <cell r="C7232" t="str">
            <v>mainvz</v>
          </cell>
          <cell r="D7232">
            <v>28.994352340698242</v>
          </cell>
          <cell r="F7232" t="str">
            <v>14 Aug 2024</v>
          </cell>
        </row>
        <row r="7233">
          <cell r="A7233" t="str">
            <v>MDV</v>
          </cell>
          <cell r="B7233">
            <v>2018</v>
          </cell>
          <cell r="C7233" t="str">
            <v>magovz</v>
          </cell>
          <cell r="D7233">
            <v>8.9511575698852539</v>
          </cell>
          <cell r="F7233" t="str">
            <v>14 Aug 2024</v>
          </cell>
        </row>
        <row r="7234">
          <cell r="A7234" t="str">
            <v>MDV</v>
          </cell>
          <cell r="B7234">
            <v>2009</v>
          </cell>
          <cell r="C7234" t="str">
            <v>mapanusatls</v>
          </cell>
          <cell r="D7234">
            <v>12.800000190734863</v>
          </cell>
          <cell r="F7234" t="str">
            <v>14 Aug 2024</v>
          </cell>
        </row>
        <row r="7235">
          <cell r="A7235" t="str">
            <v>MDV</v>
          </cell>
          <cell r="B7235">
            <v>2018</v>
          </cell>
          <cell r="C7235" t="str">
            <v>madebt_</v>
          </cell>
          <cell r="D7235">
            <v>72.447097778320313</v>
          </cell>
          <cell r="F7235" t="str">
            <v>14 Aug 2024</v>
          </cell>
        </row>
        <row r="7236">
          <cell r="A7236" t="str">
            <v>MDV</v>
          </cell>
          <cell r="B7236">
            <v>2020</v>
          </cell>
          <cell r="C7236" t="str">
            <v>matfpz</v>
          </cell>
          <cell r="D7236">
            <v>0.32792282104492188</v>
          </cell>
          <cell r="F7236" t="str">
            <v>14 Aug 2024</v>
          </cell>
        </row>
        <row r="7237">
          <cell r="A7237" t="str">
            <v>MDV</v>
          </cell>
          <cell r="B7237">
            <v>2018</v>
          </cell>
          <cell r="C7237" t="str">
            <v>maconz</v>
          </cell>
          <cell r="D7237">
            <v>10.612758636474609</v>
          </cell>
          <cell r="F7237" t="str">
            <v>14 Aug 2024</v>
          </cell>
        </row>
        <row r="7238">
          <cell r="A7238" t="str">
            <v>MDV</v>
          </cell>
          <cell r="B7238">
            <v>2018</v>
          </cell>
          <cell r="C7238" t="str">
            <v>maagrfc</v>
          </cell>
          <cell r="D7238">
            <v>4.9329633712768555</v>
          </cell>
          <cell r="F7238" t="str">
            <v>14 Aug 2024</v>
          </cell>
        </row>
        <row r="7239">
          <cell r="A7239" t="str">
            <v>MDV</v>
          </cell>
          <cell r="B7239">
            <v>2008</v>
          </cell>
          <cell r="C7239" t="str">
            <v>mareer</v>
          </cell>
          <cell r="D7239">
            <v>73.64630126953125</v>
          </cell>
          <cell r="F7239" t="str">
            <v>14 Aug 2024</v>
          </cell>
        </row>
        <row r="7240">
          <cell r="A7240" t="str">
            <v>MDV</v>
          </cell>
          <cell r="B7240">
            <v>2017</v>
          </cell>
          <cell r="C7240" t="str">
            <v>mar_expz</v>
          </cell>
          <cell r="D7240">
            <v>67.047744750976563</v>
          </cell>
          <cell r="F7240" t="str">
            <v>14 Aug 2024</v>
          </cell>
        </row>
        <row r="7241">
          <cell r="A7241" t="str">
            <v>MDV</v>
          </cell>
          <cell r="B7241">
            <v>2023</v>
          </cell>
          <cell r="C7241" t="str">
            <v>masrvfc</v>
          </cell>
          <cell r="D7241">
            <v>3.512437105178833</v>
          </cell>
          <cell r="F7241" t="str">
            <v>14 Aug 2024</v>
          </cell>
        </row>
        <row r="7242">
          <cell r="A7242" t="str">
            <v>MDV</v>
          </cell>
          <cell r="B7242">
            <v>2014</v>
          </cell>
          <cell r="C7242" t="str">
            <v>mac_labz</v>
          </cell>
          <cell r="D7242">
            <v>3.2829949855804443</v>
          </cell>
          <cell r="F7242" t="str">
            <v>14 Aug 2024</v>
          </cell>
        </row>
        <row r="7243">
          <cell r="A7243" t="str">
            <v>MDV</v>
          </cell>
          <cell r="B7243">
            <v>2010</v>
          </cell>
          <cell r="C7243" t="str">
            <v>mac_labz</v>
          </cell>
          <cell r="D7243">
            <v>3.6804637908935547</v>
          </cell>
          <cell r="F7243" t="str">
            <v>14 Aug 2024</v>
          </cell>
        </row>
        <row r="7244">
          <cell r="A7244" t="str">
            <v>MDV</v>
          </cell>
          <cell r="B7244">
            <v>2006</v>
          </cell>
          <cell r="C7244" t="str">
            <v>magdpz</v>
          </cell>
          <cell r="D7244">
            <v>23.605798721313477</v>
          </cell>
          <cell r="F7244" t="str">
            <v>14 Aug 2024</v>
          </cell>
        </row>
        <row r="7245">
          <cell r="A7245" t="str">
            <v>MDV</v>
          </cell>
          <cell r="B7245">
            <v>2017</v>
          </cell>
          <cell r="C7245" t="str">
            <v>mar_agrfc</v>
          </cell>
          <cell r="D7245">
            <v>6.2147426605224609</v>
          </cell>
          <cell r="F7245" t="str">
            <v>14 Aug 2024</v>
          </cell>
        </row>
        <row r="7246">
          <cell r="A7246" t="str">
            <v>MDV</v>
          </cell>
          <cell r="B7246">
            <v>2017</v>
          </cell>
          <cell r="C7246" t="str">
            <v>mainvz</v>
          </cell>
          <cell r="D7246">
            <v>7.6555542945861816</v>
          </cell>
          <cell r="F7246" t="str">
            <v>14 Aug 2024</v>
          </cell>
        </row>
        <row r="7247">
          <cell r="A7247" t="str">
            <v>MDV</v>
          </cell>
          <cell r="B7247">
            <v>2020</v>
          </cell>
          <cell r="C7247" t="str">
            <v>magovz</v>
          </cell>
          <cell r="D7247">
            <v>2.3540229797363281</v>
          </cell>
          <cell r="F7247" t="str">
            <v>14 Aug 2024</v>
          </cell>
        </row>
        <row r="7248">
          <cell r="A7248" t="str">
            <v>MDV</v>
          </cell>
          <cell r="B7248">
            <v>2006</v>
          </cell>
          <cell r="C7248" t="str">
            <v>maexpz</v>
          </cell>
          <cell r="D7248">
            <v>26.111515045166016</v>
          </cell>
          <cell r="F7248" t="str">
            <v>14 Aug 2024</v>
          </cell>
        </row>
        <row r="7249">
          <cell r="A7249" t="str">
            <v>MDV</v>
          </cell>
          <cell r="B7249">
            <v>2017</v>
          </cell>
          <cell r="C7249" t="str">
            <v>maconz</v>
          </cell>
          <cell r="D7249">
            <v>13.080608367919922</v>
          </cell>
          <cell r="F7249" t="str">
            <v>14 Aug 2024</v>
          </cell>
        </row>
        <row r="7250">
          <cell r="A7250" t="str">
            <v>MDV</v>
          </cell>
          <cell r="B7250">
            <v>2010</v>
          </cell>
          <cell r="C7250" t="str">
            <v>maagrfc</v>
          </cell>
          <cell r="D7250">
            <v>-3.8657932281494141</v>
          </cell>
          <cell r="F7250" t="str">
            <v>14 Aug 2024</v>
          </cell>
        </row>
        <row r="7251">
          <cell r="A7251" t="str">
            <v>MDV</v>
          </cell>
          <cell r="B7251">
            <v>2006</v>
          </cell>
          <cell r="C7251" t="str">
            <v>maconz</v>
          </cell>
          <cell r="D7251">
            <v>26.111515045166016</v>
          </cell>
          <cell r="F7251" t="str">
            <v>14 Aug 2024</v>
          </cell>
        </row>
        <row r="7252">
          <cell r="A7252" t="str">
            <v>MDV</v>
          </cell>
          <cell r="B7252">
            <v>2006</v>
          </cell>
          <cell r="C7252" t="str">
            <v>macab_</v>
          </cell>
          <cell r="D7252">
            <v>-19.172163009643555</v>
          </cell>
          <cell r="F7252" t="str">
            <v>14 Aug 2024</v>
          </cell>
        </row>
        <row r="7253">
          <cell r="A7253" t="str">
            <v>MDV</v>
          </cell>
          <cell r="B7253">
            <v>2020</v>
          </cell>
          <cell r="C7253" t="str">
            <v>mar_srvfc</v>
          </cell>
          <cell r="D7253">
            <v>79.358306884765625</v>
          </cell>
          <cell r="F7253" t="str">
            <v>14 Aug 2024</v>
          </cell>
        </row>
        <row r="7254">
          <cell r="A7254" t="str">
            <v>MDV</v>
          </cell>
          <cell r="B7254">
            <v>2016</v>
          </cell>
          <cell r="C7254" t="str">
            <v>magdpz</v>
          </cell>
          <cell r="D7254">
            <v>6.5722360610961914</v>
          </cell>
          <cell r="F7254" t="str">
            <v>14 Aug 2024</v>
          </cell>
        </row>
        <row r="7255">
          <cell r="A7255" t="str">
            <v>MDV</v>
          </cell>
          <cell r="B7255">
            <v>2016</v>
          </cell>
          <cell r="C7255" t="str">
            <v>magap_</v>
          </cell>
          <cell r="D7255">
            <v>-1.6444324254989624</v>
          </cell>
          <cell r="F7255" t="str">
            <v>14 Aug 2024</v>
          </cell>
        </row>
        <row r="7256">
          <cell r="A7256" t="str">
            <v>MDV</v>
          </cell>
          <cell r="B7256">
            <v>2016</v>
          </cell>
          <cell r="C7256" t="str">
            <v>madeficit_</v>
          </cell>
          <cell r="D7256">
            <v>-9.9277162551879883</v>
          </cell>
          <cell r="F7256" t="str">
            <v>14 Aug 2024</v>
          </cell>
        </row>
        <row r="7257">
          <cell r="A7257" t="str">
            <v>MDV</v>
          </cell>
          <cell r="B7257">
            <v>2009</v>
          </cell>
          <cell r="C7257" t="str">
            <v>mar_agrfc</v>
          </cell>
          <cell r="D7257">
            <v>8.9270725250244141</v>
          </cell>
          <cell r="F7257" t="str">
            <v>14 Aug 2024</v>
          </cell>
        </row>
        <row r="7258">
          <cell r="A7258" t="str">
            <v>MDV</v>
          </cell>
          <cell r="B7258">
            <v>2016</v>
          </cell>
          <cell r="C7258" t="str">
            <v>maagrfc</v>
          </cell>
          <cell r="D7258">
            <v>1.501533031463623</v>
          </cell>
          <cell r="F7258" t="str">
            <v>14 Aug 2024</v>
          </cell>
        </row>
        <row r="7259">
          <cell r="A7259" t="str">
            <v>MDV</v>
          </cell>
          <cell r="B7259">
            <v>2011</v>
          </cell>
          <cell r="C7259" t="str">
            <v>mar_impz</v>
          </cell>
          <cell r="D7259">
            <v>81.063995361328125</v>
          </cell>
          <cell r="F7259" t="str">
            <v>14 Aug 2024</v>
          </cell>
        </row>
        <row r="7260">
          <cell r="A7260" t="str">
            <v>MDV</v>
          </cell>
          <cell r="B7260">
            <v>2018</v>
          </cell>
          <cell r="C7260" t="str">
            <v>macab_</v>
          </cell>
          <cell r="D7260">
            <v>-27.837064743041992</v>
          </cell>
          <cell r="F7260" t="str">
            <v>14 Aug 2024</v>
          </cell>
        </row>
        <row r="7261">
          <cell r="A7261" t="str">
            <v>MDV</v>
          </cell>
          <cell r="B7261">
            <v>2009</v>
          </cell>
          <cell r="C7261" t="str">
            <v>mar_taxfc</v>
          </cell>
          <cell r="D7261">
            <v>13.179327011108398</v>
          </cell>
          <cell r="F7261" t="str">
            <v>14 Aug 2024</v>
          </cell>
        </row>
        <row r="7262">
          <cell r="A7262" t="str">
            <v>MDV</v>
          </cell>
          <cell r="B7262">
            <v>2010</v>
          </cell>
          <cell r="C7262" t="str">
            <v>magap_</v>
          </cell>
          <cell r="D7262">
            <v>-4.1215043067932129</v>
          </cell>
          <cell r="F7262" t="str">
            <v>14 Aug 2024</v>
          </cell>
        </row>
        <row r="7263">
          <cell r="A7263" t="str">
            <v>MDV</v>
          </cell>
          <cell r="B7263">
            <v>2014</v>
          </cell>
          <cell r="C7263" t="str">
            <v>mar_agrfc</v>
          </cell>
          <cell r="D7263">
            <v>6.8660097122192383</v>
          </cell>
          <cell r="F7263" t="str">
            <v>14 Aug 2024</v>
          </cell>
        </row>
        <row r="7264">
          <cell r="A7264" t="str">
            <v>MDV</v>
          </cell>
          <cell r="B7264">
            <v>2026</v>
          </cell>
          <cell r="C7264" t="str">
            <v>mar_expz</v>
          </cell>
          <cell r="D7264">
            <v>0.28084743022918701</v>
          </cell>
          <cell r="F7264" t="str">
            <v>14 Aug 2024</v>
          </cell>
        </row>
        <row r="7265">
          <cell r="A7265" t="str">
            <v>MDV</v>
          </cell>
          <cell r="B7265">
            <v>2025</v>
          </cell>
          <cell r="C7265" t="str">
            <v>magovz</v>
          </cell>
          <cell r="D7265">
            <v>12.578221321105957</v>
          </cell>
          <cell r="F7265" t="str">
            <v>14 Aug 2024</v>
          </cell>
        </row>
        <row r="7266">
          <cell r="A7266" t="str">
            <v>MDV</v>
          </cell>
          <cell r="B7266">
            <v>2017</v>
          </cell>
          <cell r="C7266" t="str">
            <v>maexpz</v>
          </cell>
          <cell r="D7266">
            <v>8.5317773818969727</v>
          </cell>
          <cell r="F7266" t="str">
            <v>14 Aug 2024</v>
          </cell>
        </row>
        <row r="7267">
          <cell r="A7267" t="str">
            <v>MDV</v>
          </cell>
          <cell r="B7267">
            <v>2015</v>
          </cell>
          <cell r="C7267" t="str">
            <v>mar_agrfc</v>
          </cell>
          <cell r="D7267">
            <v>6.4815678596496582</v>
          </cell>
          <cell r="F7267" t="str">
            <v>14 Aug 2024</v>
          </cell>
        </row>
        <row r="7268">
          <cell r="A7268" t="str">
            <v>MDV</v>
          </cell>
          <cell r="B7268">
            <v>2019</v>
          </cell>
          <cell r="C7268" t="str">
            <v>maimpz</v>
          </cell>
          <cell r="D7268">
            <v>-3.3354222774505615</v>
          </cell>
          <cell r="F7268" t="str">
            <v>14 Aug 2024</v>
          </cell>
        </row>
        <row r="7269">
          <cell r="A7269" t="str">
            <v>MDV</v>
          </cell>
          <cell r="B7269">
            <v>2026</v>
          </cell>
          <cell r="C7269" t="str">
            <v>maconz</v>
          </cell>
          <cell r="D7269">
            <v>5.2941799163818359</v>
          </cell>
          <cell r="F7269" t="str">
            <v>14 Aug 2024</v>
          </cell>
        </row>
        <row r="7270">
          <cell r="A7270" t="str">
            <v>MDV</v>
          </cell>
          <cell r="B7270">
            <v>2005</v>
          </cell>
          <cell r="C7270" t="str">
            <v>magdpz</v>
          </cell>
          <cell r="D7270">
            <v>-11.223166465759277</v>
          </cell>
          <cell r="F7270" t="str">
            <v>14 Aug 2024</v>
          </cell>
        </row>
        <row r="7271">
          <cell r="A7271" t="str">
            <v>MDV</v>
          </cell>
          <cell r="B7271">
            <v>2009</v>
          </cell>
          <cell r="C7271" t="str">
            <v>malabz</v>
          </cell>
          <cell r="D7271">
            <v>5.657893180847168</v>
          </cell>
          <cell r="F7271" t="str">
            <v>14 Aug 2024</v>
          </cell>
        </row>
        <row r="7272">
          <cell r="A7272" t="str">
            <v>MDV</v>
          </cell>
          <cell r="B7272">
            <v>2006</v>
          </cell>
          <cell r="C7272" t="str">
            <v>madebt_</v>
          </cell>
          <cell r="D7272">
            <v>36.779541015625</v>
          </cell>
          <cell r="F7272" t="str">
            <v>14 Aug 2024</v>
          </cell>
        </row>
        <row r="7273">
          <cell r="A7273" t="str">
            <v>MDV</v>
          </cell>
          <cell r="B7273">
            <v>2020</v>
          </cell>
          <cell r="C7273" t="str">
            <v>mafdi_</v>
          </cell>
          <cell r="D7273">
            <v>-11.89281468947781</v>
          </cell>
          <cell r="F7273" t="str">
            <v>14 Aug 2024</v>
          </cell>
        </row>
        <row r="7274">
          <cell r="A7274" t="str">
            <v>MDV</v>
          </cell>
          <cell r="B7274">
            <v>2021</v>
          </cell>
          <cell r="C7274" t="str">
            <v>mac_tfpz</v>
          </cell>
          <cell r="D7274">
            <v>0.23646415770053864</v>
          </cell>
          <cell r="F7274" t="str">
            <v>14 Aug 2024</v>
          </cell>
        </row>
        <row r="7275">
          <cell r="A7275" t="str">
            <v>MDV</v>
          </cell>
          <cell r="B7275">
            <v>2016</v>
          </cell>
          <cell r="C7275" t="str">
            <v>mar_impz</v>
          </cell>
          <cell r="D7275">
            <v>81.060462951660156</v>
          </cell>
          <cell r="F7275" t="str">
            <v>14 Aug 2024</v>
          </cell>
        </row>
        <row r="7276">
          <cell r="A7276" t="str">
            <v>MDV</v>
          </cell>
          <cell r="B7276">
            <v>2005</v>
          </cell>
          <cell r="C7276" t="str">
            <v>magovz</v>
          </cell>
          <cell r="D7276">
            <v>0</v>
          </cell>
          <cell r="F7276" t="str">
            <v>14 Aug 2024</v>
          </cell>
        </row>
        <row r="7277">
          <cell r="A7277" t="str">
            <v>MDV</v>
          </cell>
          <cell r="B7277">
            <v>2006</v>
          </cell>
          <cell r="C7277" t="str">
            <v>macpiz</v>
          </cell>
          <cell r="D7277">
            <v>2.7433795928955078</v>
          </cell>
          <cell r="F7277" t="str">
            <v>14 Aug 2024</v>
          </cell>
        </row>
        <row r="7278">
          <cell r="A7278" t="str">
            <v>MDV</v>
          </cell>
          <cell r="B7278">
            <v>2010</v>
          </cell>
          <cell r="C7278" t="str">
            <v>mapanusatls</v>
          </cell>
          <cell r="D7278">
            <v>12.800000190734863</v>
          </cell>
          <cell r="F7278" t="str">
            <v>14 Aug 2024</v>
          </cell>
        </row>
        <row r="7279">
          <cell r="A7279" t="str">
            <v>MDV</v>
          </cell>
          <cell r="B7279">
            <v>2014</v>
          </cell>
          <cell r="C7279" t="str">
            <v>mar_impz</v>
          </cell>
          <cell r="D7279">
            <v>81.070777893066406</v>
          </cell>
          <cell r="F7279" t="str">
            <v>14 Aug 2024</v>
          </cell>
        </row>
        <row r="7280">
          <cell r="A7280" t="str">
            <v>MDV</v>
          </cell>
          <cell r="B7280">
            <v>2009</v>
          </cell>
          <cell r="C7280" t="str">
            <v>mac_tfpz</v>
          </cell>
          <cell r="D7280">
            <v>-7.0152647793292999E-2</v>
          </cell>
          <cell r="F7280" t="str">
            <v>14 Aug 2024</v>
          </cell>
        </row>
        <row r="7281">
          <cell r="A7281" t="str">
            <v>MDV</v>
          </cell>
          <cell r="B7281">
            <v>2016</v>
          </cell>
          <cell r="C7281" t="str">
            <v>malabz</v>
          </cell>
          <cell r="D7281">
            <v>4.791532039642334</v>
          </cell>
          <cell r="F7281" t="str">
            <v>14 Aug 2024</v>
          </cell>
        </row>
        <row r="7282">
          <cell r="A7282" t="str">
            <v>MDV</v>
          </cell>
          <cell r="B7282">
            <v>2015</v>
          </cell>
          <cell r="C7282" t="str">
            <v>mar_expz</v>
          </cell>
          <cell r="D7282">
            <v>64.346275329589844</v>
          </cell>
          <cell r="F7282" t="str">
            <v>14 Aug 2024</v>
          </cell>
        </row>
        <row r="7283">
          <cell r="A7283" t="str">
            <v>MDV</v>
          </cell>
          <cell r="B7283">
            <v>2023</v>
          </cell>
          <cell r="C7283" t="str">
            <v>mar_indfc</v>
          </cell>
          <cell r="D7283">
            <v>10.406790733337402</v>
          </cell>
          <cell r="F7283" t="str">
            <v>14 Aug 2024</v>
          </cell>
        </row>
        <row r="7284">
          <cell r="A7284" t="str">
            <v>MDV</v>
          </cell>
          <cell r="B7284">
            <v>2012</v>
          </cell>
          <cell r="C7284" t="str">
            <v>mar_con</v>
          </cell>
          <cell r="D7284">
            <v>34.503082275390625</v>
          </cell>
          <cell r="F7284" t="str">
            <v>14 Aug 2024</v>
          </cell>
        </row>
        <row r="7285">
          <cell r="A7285" t="str">
            <v>MDV</v>
          </cell>
          <cell r="B7285">
            <v>2011</v>
          </cell>
          <cell r="C7285" t="str">
            <v>mareer</v>
          </cell>
          <cell r="D7285">
            <v>79.58514404296875</v>
          </cell>
          <cell r="F7285" t="str">
            <v>14 Aug 2024</v>
          </cell>
        </row>
        <row r="7286">
          <cell r="A7286" t="str">
            <v>MDV</v>
          </cell>
          <cell r="B7286">
            <v>2021</v>
          </cell>
          <cell r="C7286" t="str">
            <v>mar_srvfc</v>
          </cell>
          <cell r="D7286">
            <v>85.050468444824219</v>
          </cell>
          <cell r="F7286" t="str">
            <v>14 Aug 2024</v>
          </cell>
        </row>
        <row r="7287">
          <cell r="A7287" t="str">
            <v>MDV</v>
          </cell>
          <cell r="B7287">
            <v>2018</v>
          </cell>
          <cell r="C7287" t="str">
            <v>mar_con</v>
          </cell>
          <cell r="D7287">
            <v>46.0970458984375</v>
          </cell>
          <cell r="F7287" t="str">
            <v>14 Aug 2024</v>
          </cell>
        </row>
        <row r="7288">
          <cell r="A7288" t="str">
            <v>MDV</v>
          </cell>
          <cell r="B7288">
            <v>2014</v>
          </cell>
          <cell r="C7288" t="str">
            <v>mar_indfc</v>
          </cell>
          <cell r="D7288">
            <v>10.658756256103516</v>
          </cell>
          <cell r="F7288" t="str">
            <v>14 Aug 2024</v>
          </cell>
        </row>
        <row r="7289">
          <cell r="A7289" t="str">
            <v>MDV</v>
          </cell>
          <cell r="B7289">
            <v>2009</v>
          </cell>
          <cell r="C7289" t="str">
            <v>magap_</v>
          </cell>
          <cell r="D7289">
            <v>-5.5514497756958008</v>
          </cell>
          <cell r="F7289" t="str">
            <v>14 Aug 2024</v>
          </cell>
        </row>
        <row r="7290">
          <cell r="A7290" t="str">
            <v>MDV</v>
          </cell>
          <cell r="B7290">
            <v>2016</v>
          </cell>
          <cell r="C7290" t="str">
            <v>mataxfc</v>
          </cell>
          <cell r="D7290">
            <v>2.8710956573486328</v>
          </cell>
          <cell r="F7290" t="str">
            <v>14 Aug 2024</v>
          </cell>
        </row>
        <row r="7291">
          <cell r="A7291" t="str">
            <v>MDV</v>
          </cell>
          <cell r="B7291">
            <v>2020</v>
          </cell>
          <cell r="C7291" t="str">
            <v>mar_expz</v>
          </cell>
          <cell r="D7291">
            <v>49.32537841796875</v>
          </cell>
          <cell r="F7291" t="str">
            <v>14 Aug 2024</v>
          </cell>
        </row>
        <row r="7292">
          <cell r="A7292" t="str">
            <v>MDV</v>
          </cell>
          <cell r="B7292">
            <v>2025</v>
          </cell>
          <cell r="C7292" t="str">
            <v>mar_srvfc</v>
          </cell>
          <cell r="D7292">
            <v>99.947021484375</v>
          </cell>
          <cell r="F7292" t="str">
            <v>14 Aug 2024</v>
          </cell>
        </row>
        <row r="7293">
          <cell r="A7293" t="str">
            <v>MDV</v>
          </cell>
          <cell r="B7293">
            <v>2014</v>
          </cell>
          <cell r="C7293" t="str">
            <v>mataxfc</v>
          </cell>
          <cell r="D7293">
            <v>7.5923771858215332</v>
          </cell>
          <cell r="F7293" t="str">
            <v>14 Aug 2024</v>
          </cell>
        </row>
        <row r="7294">
          <cell r="A7294" t="str">
            <v>MDV</v>
          </cell>
          <cell r="B7294">
            <v>2010</v>
          </cell>
          <cell r="C7294" t="str">
            <v>mainvz</v>
          </cell>
          <cell r="D7294">
            <v>7.2651124000549316</v>
          </cell>
          <cell r="F7294" t="str">
            <v>14 Aug 2024</v>
          </cell>
        </row>
        <row r="7295">
          <cell r="A7295" t="str">
            <v>MDV</v>
          </cell>
          <cell r="B7295">
            <v>2019</v>
          </cell>
          <cell r="C7295" t="str">
            <v>mafdi_</v>
          </cell>
          <cell r="D7295">
            <v>-16.78128731313797</v>
          </cell>
          <cell r="F7295" t="str">
            <v>14 Aug 2024</v>
          </cell>
        </row>
        <row r="7296">
          <cell r="A7296" t="str">
            <v>MDV</v>
          </cell>
          <cell r="B7296">
            <v>2011</v>
          </cell>
          <cell r="C7296" t="str">
            <v>mar_srvfc</v>
          </cell>
          <cell r="D7296">
            <v>81.276870727539063</v>
          </cell>
          <cell r="F7296" t="str">
            <v>14 Aug 2024</v>
          </cell>
        </row>
        <row r="7297">
          <cell r="A7297" t="str">
            <v>MDV</v>
          </cell>
          <cell r="B7297">
            <v>2010</v>
          </cell>
          <cell r="C7297" t="str">
            <v>mar_taxfc</v>
          </cell>
          <cell r="D7297">
            <v>14.393362998962402</v>
          </cell>
          <cell r="F7297" t="str">
            <v>14 Aug 2024</v>
          </cell>
        </row>
        <row r="7298">
          <cell r="A7298" t="str">
            <v>MDV</v>
          </cell>
          <cell r="B7298">
            <v>2011</v>
          </cell>
          <cell r="C7298" t="str">
            <v>madebt_</v>
          </cell>
          <cell r="D7298">
            <v>51.863433837890625</v>
          </cell>
          <cell r="F7298" t="str">
            <v>14 Aug 2024</v>
          </cell>
        </row>
        <row r="7299">
          <cell r="A7299" t="str">
            <v>MDV</v>
          </cell>
          <cell r="B7299">
            <v>2015</v>
          </cell>
          <cell r="C7299" t="str">
            <v>mac_labz</v>
          </cell>
          <cell r="D7299">
            <v>3.6171391010284424</v>
          </cell>
          <cell r="F7299" t="str">
            <v>14 Aug 2024</v>
          </cell>
        </row>
        <row r="7300">
          <cell r="A7300" t="str">
            <v>MDV</v>
          </cell>
          <cell r="B7300">
            <v>2008</v>
          </cell>
          <cell r="C7300" t="str">
            <v>mac_tfpz</v>
          </cell>
          <cell r="D7300">
            <v>0.16086553037166595</v>
          </cell>
          <cell r="F7300" t="str">
            <v>14 Aug 2024</v>
          </cell>
        </row>
        <row r="7301">
          <cell r="A7301" t="str">
            <v>MDV</v>
          </cell>
          <cell r="B7301">
            <v>2021</v>
          </cell>
          <cell r="C7301" t="str">
            <v>matfpz</v>
          </cell>
          <cell r="D7301">
            <v>0.23646415770053864</v>
          </cell>
          <cell r="F7301" t="str">
            <v>14 Aug 2024</v>
          </cell>
        </row>
        <row r="7302">
          <cell r="A7302" t="str">
            <v>MDV</v>
          </cell>
          <cell r="B7302">
            <v>2009</v>
          </cell>
          <cell r="C7302" t="str">
            <v>maimpz</v>
          </cell>
          <cell r="D7302">
            <v>-7.2288365364074707</v>
          </cell>
          <cell r="F7302" t="str">
            <v>14 Aug 2024</v>
          </cell>
        </row>
        <row r="7303">
          <cell r="A7303" t="str">
            <v>MDV</v>
          </cell>
          <cell r="B7303">
            <v>2008</v>
          </cell>
          <cell r="C7303" t="str">
            <v>mataxfc</v>
          </cell>
          <cell r="D7303">
            <v>10.286230087280273</v>
          </cell>
          <cell r="F7303" t="str">
            <v>14 Aug 2024</v>
          </cell>
        </row>
        <row r="7304">
          <cell r="A7304" t="str">
            <v>MDV</v>
          </cell>
          <cell r="B7304">
            <v>2011</v>
          </cell>
          <cell r="C7304" t="str">
            <v>mar_con</v>
          </cell>
          <cell r="D7304">
            <v>34.451374053955078</v>
          </cell>
          <cell r="F7304" t="str">
            <v>14 Aug 2024</v>
          </cell>
        </row>
        <row r="7305">
          <cell r="A7305" t="str">
            <v>MDV</v>
          </cell>
          <cell r="B7305">
            <v>2023</v>
          </cell>
          <cell r="C7305" t="str">
            <v>mac_labz</v>
          </cell>
          <cell r="D7305">
            <v>-0.66786956787109375</v>
          </cell>
          <cell r="F7305" t="str">
            <v>14 Aug 2024</v>
          </cell>
        </row>
        <row r="7306">
          <cell r="A7306" t="str">
            <v>MDV</v>
          </cell>
          <cell r="B7306">
            <v>2025</v>
          </cell>
          <cell r="C7306" t="str">
            <v>maexpz</v>
          </cell>
          <cell r="D7306">
            <v>5.6114501953125</v>
          </cell>
          <cell r="F7306" t="str">
            <v>14 Aug 2024</v>
          </cell>
        </row>
        <row r="7307">
          <cell r="A7307" t="str">
            <v>MDV</v>
          </cell>
          <cell r="B7307">
            <v>2017</v>
          </cell>
          <cell r="C7307" t="str">
            <v>magovz</v>
          </cell>
          <cell r="D7307">
            <v>-10.227967262268066</v>
          </cell>
          <cell r="F7307" t="str">
            <v>14 Aug 2024</v>
          </cell>
        </row>
        <row r="7308">
          <cell r="A7308" t="str">
            <v>MDV</v>
          </cell>
          <cell r="B7308">
            <v>2025</v>
          </cell>
          <cell r="C7308" t="str">
            <v>mainvz</v>
          </cell>
          <cell r="D7308">
            <v>22.909473419189453</v>
          </cell>
          <cell r="F7308" t="str">
            <v>14 Aug 2024</v>
          </cell>
        </row>
        <row r="7309">
          <cell r="A7309" t="str">
            <v>MDV</v>
          </cell>
          <cell r="B7309">
            <v>2005</v>
          </cell>
          <cell r="C7309" t="str">
            <v>mar_agrfc</v>
          </cell>
          <cell r="D7309">
            <v>15.544610023498535</v>
          </cell>
          <cell r="F7309" t="str">
            <v>14 Aug 2024</v>
          </cell>
        </row>
        <row r="7310">
          <cell r="A7310" t="str">
            <v>MDV</v>
          </cell>
          <cell r="B7310">
            <v>2016</v>
          </cell>
          <cell r="C7310" t="str">
            <v>mac_labz</v>
          </cell>
          <cell r="D7310">
            <v>3.3540725708007813</v>
          </cell>
          <cell r="F7310" t="str">
            <v>14 Aug 2024</v>
          </cell>
        </row>
        <row r="7311">
          <cell r="A7311" t="str">
            <v>MDV</v>
          </cell>
          <cell r="B7311">
            <v>2017</v>
          </cell>
          <cell r="C7311" t="str">
            <v>macab_</v>
          </cell>
          <cell r="D7311">
            <v>-21.348333358764648</v>
          </cell>
          <cell r="F7311" t="str">
            <v>14 Aug 2024</v>
          </cell>
        </row>
        <row r="7312">
          <cell r="A7312" t="str">
            <v>MDV</v>
          </cell>
          <cell r="B7312">
            <v>2005</v>
          </cell>
          <cell r="C7312" t="str">
            <v>mar_taxfc</v>
          </cell>
          <cell r="D7312">
            <v>12.384439468383789</v>
          </cell>
          <cell r="F7312" t="str">
            <v>14 Aug 2024</v>
          </cell>
        </row>
        <row r="7313">
          <cell r="A7313" t="str">
            <v>MDV</v>
          </cell>
          <cell r="B7313">
            <v>2019</v>
          </cell>
          <cell r="C7313" t="str">
            <v>mataxfc</v>
          </cell>
          <cell r="D7313">
            <v>5.9608235359191895</v>
          </cell>
          <cell r="F7313" t="str">
            <v>14 Aug 2024</v>
          </cell>
        </row>
        <row r="7314">
          <cell r="A7314" t="str">
            <v>MDV</v>
          </cell>
          <cell r="B7314">
            <v>2025</v>
          </cell>
          <cell r="C7314" t="str">
            <v>matfpz</v>
          </cell>
          <cell r="D7314">
            <v>-9.1331727802753448E-2</v>
          </cell>
          <cell r="F7314" t="str">
            <v>14 Aug 2024</v>
          </cell>
        </row>
        <row r="7315">
          <cell r="A7315" t="str">
            <v>MDV</v>
          </cell>
          <cell r="B7315">
            <v>2010</v>
          </cell>
          <cell r="C7315" t="str">
            <v>magovz</v>
          </cell>
          <cell r="D7315">
            <v>7.2651124000549316</v>
          </cell>
          <cell r="F7315" t="str">
            <v>14 Aug 2024</v>
          </cell>
        </row>
        <row r="7316">
          <cell r="A7316" t="str">
            <v>MDV</v>
          </cell>
          <cell r="B7316">
            <v>2026</v>
          </cell>
          <cell r="C7316" t="str">
            <v>maexpz</v>
          </cell>
          <cell r="D7316">
            <v>5.1683602333068848</v>
          </cell>
          <cell r="F7316" t="str">
            <v>14 Aug 2024</v>
          </cell>
        </row>
        <row r="7317">
          <cell r="A7317" t="str">
            <v>MDV</v>
          </cell>
          <cell r="B7317">
            <v>2025</v>
          </cell>
          <cell r="C7317" t="str">
            <v>madebt_</v>
          </cell>
          <cell r="D7317">
            <v>31.407451629638672</v>
          </cell>
          <cell r="F7317" t="str">
            <v>14 Aug 2024</v>
          </cell>
        </row>
        <row r="7318">
          <cell r="A7318" t="str">
            <v>MDV</v>
          </cell>
          <cell r="B7318">
            <v>2009</v>
          </cell>
          <cell r="C7318" t="str">
            <v>mareer</v>
          </cell>
          <cell r="D7318">
            <v>83.478683471679688</v>
          </cell>
          <cell r="F7318" t="str">
            <v>14 Aug 2024</v>
          </cell>
        </row>
        <row r="7319">
          <cell r="A7319" t="str">
            <v>MDV</v>
          </cell>
          <cell r="B7319">
            <v>2026</v>
          </cell>
          <cell r="C7319" t="str">
            <v>matfpz</v>
          </cell>
          <cell r="D7319">
            <v>-0.14350642263889313</v>
          </cell>
          <cell r="F7319" t="str">
            <v>14 Aug 2024</v>
          </cell>
        </row>
        <row r="7320">
          <cell r="A7320" t="str">
            <v>MDV</v>
          </cell>
          <cell r="B7320">
            <v>2016</v>
          </cell>
          <cell r="C7320" t="str">
            <v>mar_srvfc</v>
          </cell>
          <cell r="D7320">
            <v>81.377159118652344</v>
          </cell>
          <cell r="F7320" t="str">
            <v>14 Aug 2024</v>
          </cell>
        </row>
        <row r="7321">
          <cell r="A7321" t="str">
            <v>MDV</v>
          </cell>
          <cell r="B7321">
            <v>2025</v>
          </cell>
          <cell r="C7321" t="str">
            <v>madeficit_</v>
          </cell>
          <cell r="D7321">
            <v>-28.274465560913086</v>
          </cell>
          <cell r="F7321" t="str">
            <v>14 Aug 2024</v>
          </cell>
        </row>
        <row r="7322">
          <cell r="A7322" t="str">
            <v>MDV</v>
          </cell>
          <cell r="B7322">
            <v>2019</v>
          </cell>
          <cell r="C7322" t="str">
            <v>malabz</v>
          </cell>
          <cell r="D7322">
            <v>3.1792228221893311</v>
          </cell>
          <cell r="F7322" t="str">
            <v>14 Aug 2024</v>
          </cell>
        </row>
        <row r="7323">
          <cell r="A7323" t="str">
            <v>MDV</v>
          </cell>
          <cell r="B7323">
            <v>2005</v>
          </cell>
          <cell r="C7323" t="str">
            <v>mar_indfc</v>
          </cell>
          <cell r="D7323">
            <v>12.551385879516602</v>
          </cell>
          <cell r="F7323" t="str">
            <v>14 Aug 2024</v>
          </cell>
        </row>
        <row r="7324">
          <cell r="A7324" t="str">
            <v>MDV</v>
          </cell>
          <cell r="B7324">
            <v>2005</v>
          </cell>
          <cell r="C7324" t="str">
            <v>maindfc</v>
          </cell>
          <cell r="D7324">
            <v>15.205915451049805</v>
          </cell>
          <cell r="F7324" t="str">
            <v>14 Aug 2024</v>
          </cell>
        </row>
        <row r="7325">
          <cell r="A7325" t="str">
            <v>MDV</v>
          </cell>
          <cell r="B7325">
            <v>2019</v>
          </cell>
          <cell r="C7325" t="str">
            <v>mar_srvfc</v>
          </cell>
          <cell r="D7325">
            <v>81.258621215820313</v>
          </cell>
          <cell r="F7325" t="str">
            <v>14 Aug 2024</v>
          </cell>
        </row>
        <row r="7326">
          <cell r="A7326" t="str">
            <v>MDV</v>
          </cell>
          <cell r="B7326">
            <v>2026</v>
          </cell>
          <cell r="C7326" t="str">
            <v>mapanusatls</v>
          </cell>
          <cell r="D7326">
            <v>23.901340484619141</v>
          </cell>
          <cell r="F7326" t="str">
            <v>14 Aug 2024</v>
          </cell>
        </row>
        <row r="7327">
          <cell r="A7327" t="str">
            <v>MDV</v>
          </cell>
          <cell r="B7327">
            <v>2020</v>
          </cell>
          <cell r="C7327" t="str">
            <v>magdpz</v>
          </cell>
          <cell r="D7327">
            <v>-32.908828735351563</v>
          </cell>
          <cell r="F7327" t="str">
            <v>14 Aug 2024</v>
          </cell>
        </row>
        <row r="7328">
          <cell r="A7328" t="str">
            <v>MDV</v>
          </cell>
          <cell r="B7328">
            <v>2007</v>
          </cell>
          <cell r="C7328" t="str">
            <v>mar_taxfc</v>
          </cell>
          <cell r="D7328">
            <v>14.790545463562012</v>
          </cell>
          <cell r="F7328" t="str">
            <v>14 Aug 2024</v>
          </cell>
        </row>
        <row r="7329">
          <cell r="A7329" t="str">
            <v>MDV</v>
          </cell>
          <cell r="B7329">
            <v>2021</v>
          </cell>
          <cell r="C7329" t="str">
            <v>mapanusatls</v>
          </cell>
          <cell r="D7329">
            <v>15.390800476074219</v>
          </cell>
          <cell r="F7329" t="str">
            <v>14 Aug 2024</v>
          </cell>
        </row>
        <row r="7330">
          <cell r="A7330" t="str">
            <v>MDV</v>
          </cell>
          <cell r="B7330">
            <v>2024</v>
          </cell>
          <cell r="C7330" t="str">
            <v>mac_tfpz</v>
          </cell>
          <cell r="D7330">
            <v>-2.5755284354090691E-2</v>
          </cell>
          <cell r="F7330" t="str">
            <v>14 Aug 2024</v>
          </cell>
        </row>
        <row r="7331">
          <cell r="A7331" t="str">
            <v>MDV</v>
          </cell>
          <cell r="B7331">
            <v>2006</v>
          </cell>
          <cell r="C7331" t="str">
            <v>maindfc</v>
          </cell>
          <cell r="D7331">
            <v>12.531832695007324</v>
          </cell>
          <cell r="F7331" t="str">
            <v>14 Aug 2024</v>
          </cell>
        </row>
        <row r="7332">
          <cell r="A7332" t="str">
            <v>MDV</v>
          </cell>
          <cell r="B7332">
            <v>2017</v>
          </cell>
          <cell r="C7332" t="str">
            <v>mar_con</v>
          </cell>
          <cell r="D7332">
            <v>45.286586761474609</v>
          </cell>
          <cell r="F7332" t="str">
            <v>14 Aug 2024</v>
          </cell>
        </row>
        <row r="7333">
          <cell r="A7333" t="str">
            <v>MDV</v>
          </cell>
          <cell r="B7333">
            <v>2021</v>
          </cell>
          <cell r="C7333" t="str">
            <v>mar_agrfc</v>
          </cell>
          <cell r="D7333">
            <v>5.7940526008605957</v>
          </cell>
          <cell r="F7333" t="str">
            <v>14 Aug 2024</v>
          </cell>
        </row>
        <row r="7334">
          <cell r="A7334" t="str">
            <v>MDV</v>
          </cell>
          <cell r="B7334">
            <v>2024</v>
          </cell>
          <cell r="C7334" t="str">
            <v>mar_expz</v>
          </cell>
          <cell r="D7334">
            <v>0.32779818773269653</v>
          </cell>
          <cell r="F7334" t="str">
            <v>14 Aug 2024</v>
          </cell>
        </row>
        <row r="7335">
          <cell r="A7335" t="str">
            <v>MDV</v>
          </cell>
          <cell r="B7335">
            <v>2024</v>
          </cell>
          <cell r="C7335" t="str">
            <v>maagrfc</v>
          </cell>
          <cell r="D7335">
            <v>-1.9042400121688843</v>
          </cell>
          <cell r="F7335" t="str">
            <v>14 Aug 2024</v>
          </cell>
        </row>
        <row r="7336">
          <cell r="A7336" t="str">
            <v>MDV</v>
          </cell>
          <cell r="B7336">
            <v>2016</v>
          </cell>
          <cell r="C7336" t="str">
            <v>mar_expz</v>
          </cell>
          <cell r="D7336">
            <v>66.135147094726563</v>
          </cell>
          <cell r="F7336" t="str">
            <v>14 Aug 2024</v>
          </cell>
        </row>
        <row r="7337">
          <cell r="A7337" t="str">
            <v>MDV</v>
          </cell>
          <cell r="B7337">
            <v>2010</v>
          </cell>
          <cell r="C7337" t="str">
            <v>maconz</v>
          </cell>
          <cell r="D7337">
            <v>7.2651124000549316</v>
          </cell>
          <cell r="F7337" t="str">
            <v>14 Aug 2024</v>
          </cell>
        </row>
        <row r="7338">
          <cell r="A7338" t="str">
            <v>MDV</v>
          </cell>
          <cell r="B7338">
            <v>2007</v>
          </cell>
          <cell r="C7338" t="str">
            <v>maagrfc</v>
          </cell>
          <cell r="D7338">
            <v>-19.136503219604492</v>
          </cell>
          <cell r="F7338" t="str">
            <v>14 Aug 2024</v>
          </cell>
        </row>
        <row r="7339">
          <cell r="A7339" t="str">
            <v>MDV</v>
          </cell>
          <cell r="B7339">
            <v>2023</v>
          </cell>
          <cell r="C7339" t="str">
            <v>magovz</v>
          </cell>
          <cell r="D7339">
            <v>7.3167023658752441</v>
          </cell>
          <cell r="F7339" t="str">
            <v>14 Aug 2024</v>
          </cell>
        </row>
        <row r="7340">
          <cell r="A7340" t="str">
            <v>MDV</v>
          </cell>
          <cell r="B7340">
            <v>2009</v>
          </cell>
          <cell r="C7340" t="str">
            <v>maagrfc</v>
          </cell>
          <cell r="D7340">
            <v>-2.3423037528991699</v>
          </cell>
          <cell r="F7340" t="str">
            <v>14 Aug 2024</v>
          </cell>
        </row>
        <row r="7341">
          <cell r="A7341" t="str">
            <v>MDV</v>
          </cell>
          <cell r="B7341">
            <v>2010</v>
          </cell>
          <cell r="C7341" t="str">
            <v>macab_</v>
          </cell>
          <cell r="D7341">
            <v>-7.5806279182434082</v>
          </cell>
          <cell r="F7341" t="str">
            <v>14 Aug 2024</v>
          </cell>
        </row>
        <row r="7342">
          <cell r="A7342" t="str">
            <v>MDV</v>
          </cell>
          <cell r="B7342">
            <v>2012</v>
          </cell>
          <cell r="C7342" t="str">
            <v>matfpz</v>
          </cell>
          <cell r="D7342">
            <v>-6.5828196704387665E-2</v>
          </cell>
          <cell r="F7342" t="str">
            <v>14 Aug 2024</v>
          </cell>
        </row>
        <row r="7343">
          <cell r="A7343" t="str">
            <v>MDV</v>
          </cell>
          <cell r="B7343">
            <v>2020</v>
          </cell>
          <cell r="C7343" t="str">
            <v>maagrfc</v>
          </cell>
          <cell r="D7343">
            <v>6.5500802993774414</v>
          </cell>
          <cell r="F7343" t="str">
            <v>14 Aug 2024</v>
          </cell>
        </row>
        <row r="7344">
          <cell r="A7344" t="str">
            <v>MDV</v>
          </cell>
          <cell r="B7344">
            <v>2005</v>
          </cell>
          <cell r="C7344" t="str">
            <v>mar_expz</v>
          </cell>
          <cell r="D7344">
            <v>72.467384338378906</v>
          </cell>
          <cell r="F7344" t="str">
            <v>14 Aug 2024</v>
          </cell>
        </row>
        <row r="7345">
          <cell r="A7345" t="str">
            <v>MDV</v>
          </cell>
          <cell r="B7345">
            <v>2007</v>
          </cell>
          <cell r="C7345" t="str">
            <v>maimpz</v>
          </cell>
          <cell r="D7345">
            <v>7.7138724327087402</v>
          </cell>
          <cell r="F7345" t="str">
            <v>14 Aug 2024</v>
          </cell>
        </row>
        <row r="7346">
          <cell r="A7346" t="str">
            <v>MDV</v>
          </cell>
          <cell r="B7346">
            <v>2026</v>
          </cell>
          <cell r="C7346" t="str">
            <v>macab_</v>
          </cell>
          <cell r="D7346">
            <v>-36038552</v>
          </cell>
          <cell r="F7346" t="str">
            <v>14 Aug 2024</v>
          </cell>
        </row>
        <row r="7347">
          <cell r="A7347" t="str">
            <v>MDV</v>
          </cell>
          <cell r="B7347">
            <v>2006</v>
          </cell>
          <cell r="C7347" t="str">
            <v>mataxfc</v>
          </cell>
          <cell r="D7347">
            <v>42.751167297363281</v>
          </cell>
          <cell r="F7347" t="str">
            <v>14 Aug 2024</v>
          </cell>
        </row>
        <row r="7348">
          <cell r="A7348" t="str">
            <v>MDV</v>
          </cell>
          <cell r="B7348">
            <v>2013</v>
          </cell>
          <cell r="C7348" t="str">
            <v>macab_</v>
          </cell>
          <cell r="D7348">
            <v>-3.8771591186523438</v>
          </cell>
          <cell r="F7348" t="str">
            <v>14 Aug 2024</v>
          </cell>
        </row>
        <row r="7349">
          <cell r="A7349" t="str">
            <v>MDV</v>
          </cell>
          <cell r="B7349">
            <v>2013</v>
          </cell>
          <cell r="C7349" t="str">
            <v>matfpz</v>
          </cell>
          <cell r="D7349">
            <v>4.7704387456178665E-2</v>
          </cell>
          <cell r="F7349" t="str">
            <v>14 Aug 2024</v>
          </cell>
        </row>
        <row r="7350">
          <cell r="A7350" t="str">
            <v>MDV</v>
          </cell>
          <cell r="B7350">
            <v>2012</v>
          </cell>
          <cell r="C7350" t="str">
            <v>mataxfc</v>
          </cell>
          <cell r="D7350">
            <v>2.1960558891296387</v>
          </cell>
          <cell r="F7350" t="str">
            <v>14 Aug 2024</v>
          </cell>
        </row>
        <row r="7351">
          <cell r="A7351" t="str">
            <v>MDV</v>
          </cell>
          <cell r="B7351">
            <v>2008</v>
          </cell>
          <cell r="C7351" t="str">
            <v>magovz</v>
          </cell>
          <cell r="D7351">
            <v>9.4853229522705078</v>
          </cell>
          <cell r="F7351" t="str">
            <v>14 Aug 2024</v>
          </cell>
        </row>
        <row r="7352">
          <cell r="A7352" t="str">
            <v>MDV</v>
          </cell>
          <cell r="B7352">
            <v>2019</v>
          </cell>
          <cell r="C7352" t="str">
            <v>magdpz</v>
          </cell>
          <cell r="D7352">
            <v>7.2983355522155762</v>
          </cell>
          <cell r="F7352" t="str">
            <v>14 Aug 2024</v>
          </cell>
        </row>
        <row r="7353">
          <cell r="A7353" t="str">
            <v>MDV</v>
          </cell>
          <cell r="B7353">
            <v>2006</v>
          </cell>
          <cell r="C7353" t="str">
            <v>mapanusatls</v>
          </cell>
          <cell r="D7353">
            <v>12.800000190734863</v>
          </cell>
          <cell r="F7353" t="str">
            <v>14 Aug 2024</v>
          </cell>
        </row>
        <row r="7354">
          <cell r="A7354" t="str">
            <v>MDV</v>
          </cell>
          <cell r="B7354">
            <v>2023</v>
          </cell>
          <cell r="C7354" t="str">
            <v>mac_tfpz</v>
          </cell>
          <cell r="D7354">
            <v>5.2747078239917755E-2</v>
          </cell>
          <cell r="F7354" t="str">
            <v>14 Aug 2024</v>
          </cell>
        </row>
        <row r="7355">
          <cell r="A7355" t="str">
            <v>MDV</v>
          </cell>
          <cell r="B7355">
            <v>2023</v>
          </cell>
          <cell r="C7355" t="str">
            <v>mar_srvfc</v>
          </cell>
          <cell r="D7355">
            <v>84.434379577636719</v>
          </cell>
          <cell r="F7355" t="str">
            <v>14 Aug 2024</v>
          </cell>
        </row>
        <row r="7356">
          <cell r="A7356" t="str">
            <v>MDV</v>
          </cell>
          <cell r="B7356">
            <v>2018</v>
          </cell>
          <cell r="C7356" t="str">
            <v>mar_indfc</v>
          </cell>
          <cell r="D7356">
            <v>14.262027740478516</v>
          </cell>
          <cell r="F7356" t="str">
            <v>14 Aug 2024</v>
          </cell>
        </row>
        <row r="7357">
          <cell r="A7357" t="str">
            <v>MDV</v>
          </cell>
          <cell r="B7357">
            <v>2016</v>
          </cell>
          <cell r="C7357" t="str">
            <v>magovz</v>
          </cell>
          <cell r="D7357">
            <v>3.2930350303649902</v>
          </cell>
          <cell r="F7357" t="str">
            <v>14 Aug 2024</v>
          </cell>
        </row>
        <row r="7358">
          <cell r="A7358" t="str">
            <v>MDV</v>
          </cell>
          <cell r="B7358">
            <v>2020</v>
          </cell>
          <cell r="C7358" t="str">
            <v>mareer</v>
          </cell>
          <cell r="D7358">
            <v>96.90313720703125</v>
          </cell>
          <cell r="F7358" t="str">
            <v>14 Aug 2024</v>
          </cell>
        </row>
        <row r="7359">
          <cell r="A7359" t="str">
            <v>MDV</v>
          </cell>
          <cell r="B7359">
            <v>2008</v>
          </cell>
          <cell r="C7359" t="str">
            <v>mar_taxfc</v>
          </cell>
          <cell r="D7359">
            <v>14.99443531036377</v>
          </cell>
          <cell r="F7359" t="str">
            <v>14 Aug 2024</v>
          </cell>
        </row>
        <row r="7360">
          <cell r="A7360" t="str">
            <v>MDV</v>
          </cell>
          <cell r="B7360">
            <v>2025</v>
          </cell>
          <cell r="C7360" t="str">
            <v>mac_tfpz</v>
          </cell>
          <cell r="D7360">
            <v>-9.1331727802753448E-2</v>
          </cell>
          <cell r="F7360" t="str">
            <v>14 Aug 2024</v>
          </cell>
        </row>
        <row r="7361">
          <cell r="A7361" t="str">
            <v>MDV</v>
          </cell>
          <cell r="B7361">
            <v>2017</v>
          </cell>
          <cell r="C7361" t="str">
            <v>mac_tfpz</v>
          </cell>
          <cell r="D7361">
            <v>0.42597439885139465</v>
          </cell>
          <cell r="F7361" t="str">
            <v>14 Aug 2024</v>
          </cell>
        </row>
        <row r="7362">
          <cell r="A7362" t="str">
            <v>MDV</v>
          </cell>
          <cell r="B7362">
            <v>2007</v>
          </cell>
          <cell r="C7362" t="str">
            <v>maindfc</v>
          </cell>
          <cell r="D7362">
            <v>16.717584609985352</v>
          </cell>
          <cell r="F7362" t="str">
            <v>14 Aug 2024</v>
          </cell>
        </row>
        <row r="7363">
          <cell r="A7363" t="str">
            <v>MDV</v>
          </cell>
          <cell r="B7363">
            <v>2008</v>
          </cell>
          <cell r="C7363" t="str">
            <v>magdpz</v>
          </cell>
          <cell r="D7363">
            <v>8.9798173904418945</v>
          </cell>
          <cell r="F7363" t="str">
            <v>14 Aug 2024</v>
          </cell>
        </row>
        <row r="7364">
          <cell r="A7364" t="str">
            <v>MDV</v>
          </cell>
          <cell r="B7364">
            <v>2019</v>
          </cell>
          <cell r="C7364" t="str">
            <v>magap_</v>
          </cell>
          <cell r="D7364">
            <v>1.9168297052383423</v>
          </cell>
          <cell r="F7364" t="str">
            <v>14 Aug 2024</v>
          </cell>
        </row>
        <row r="7365">
          <cell r="A7365" t="str">
            <v>MDV</v>
          </cell>
          <cell r="B7365">
            <v>2016</v>
          </cell>
          <cell r="C7365" t="str">
            <v>maindfc</v>
          </cell>
          <cell r="D7365">
            <v>9.5232810974121094</v>
          </cell>
          <cell r="F7365" t="str">
            <v>14 Aug 2024</v>
          </cell>
        </row>
        <row r="7366">
          <cell r="A7366" t="str">
            <v>MDV</v>
          </cell>
          <cell r="B7366">
            <v>2014</v>
          </cell>
          <cell r="C7366" t="str">
            <v>mar_con</v>
          </cell>
          <cell r="D7366">
            <v>34.454254150390625</v>
          </cell>
          <cell r="F7366" t="str">
            <v>14 Aug 2024</v>
          </cell>
        </row>
        <row r="7367">
          <cell r="A7367" t="str">
            <v>MDV</v>
          </cell>
          <cell r="B7367">
            <v>2016</v>
          </cell>
          <cell r="C7367" t="str">
            <v>mafdi_</v>
          </cell>
          <cell r="D7367">
            <v>-10.34238047638525</v>
          </cell>
          <cell r="F7367" t="str">
            <v>14 Aug 2024</v>
          </cell>
        </row>
        <row r="7368">
          <cell r="A7368" t="str">
            <v>MDV</v>
          </cell>
          <cell r="B7368">
            <v>2015</v>
          </cell>
          <cell r="C7368" t="str">
            <v>macab_</v>
          </cell>
          <cell r="D7368">
            <v>-7.3262367248535156</v>
          </cell>
          <cell r="F7368" t="str">
            <v>14 Aug 2024</v>
          </cell>
        </row>
        <row r="7369">
          <cell r="A7369" t="str">
            <v>MDV</v>
          </cell>
          <cell r="B7369">
            <v>2019</v>
          </cell>
          <cell r="C7369" t="str">
            <v>masrvfc</v>
          </cell>
          <cell r="D7369">
            <v>9.5267610549926758</v>
          </cell>
          <cell r="F7369" t="str">
            <v>14 Aug 2024</v>
          </cell>
        </row>
        <row r="7370">
          <cell r="A7370" t="str">
            <v>MDV</v>
          </cell>
          <cell r="B7370">
            <v>2022</v>
          </cell>
          <cell r="C7370" t="str">
            <v>maagrfc</v>
          </cell>
          <cell r="D7370">
            <v>3.1007962226867676</v>
          </cell>
          <cell r="F7370" t="str">
            <v>14 Aug 2024</v>
          </cell>
        </row>
        <row r="7371">
          <cell r="A7371" t="str">
            <v>MDV</v>
          </cell>
          <cell r="B7371">
            <v>2025</v>
          </cell>
          <cell r="C7371" t="str">
            <v>magap_</v>
          </cell>
          <cell r="D7371">
            <v>5170.81640625</v>
          </cell>
          <cell r="F7371" t="str">
            <v>14 Aug 2024</v>
          </cell>
        </row>
        <row r="7372">
          <cell r="A7372" t="str">
            <v>MDV</v>
          </cell>
          <cell r="B7372">
            <v>2020</v>
          </cell>
          <cell r="C7372" t="str">
            <v>mar_agrfc</v>
          </cell>
          <cell r="D7372">
            <v>7.8068990707397461</v>
          </cell>
          <cell r="F7372" t="str">
            <v>14 Aug 2024</v>
          </cell>
        </row>
        <row r="7373">
          <cell r="A7373" t="str">
            <v>MDV</v>
          </cell>
          <cell r="B7373">
            <v>2017</v>
          </cell>
          <cell r="C7373" t="str">
            <v>mar_indfc</v>
          </cell>
          <cell r="D7373">
            <v>13.217360496520996</v>
          </cell>
          <cell r="F7373" t="str">
            <v>14 Aug 2024</v>
          </cell>
        </row>
        <row r="7374">
          <cell r="A7374" t="str">
            <v>MDV</v>
          </cell>
          <cell r="B7374">
            <v>2007</v>
          </cell>
          <cell r="C7374" t="str">
            <v>macpiz</v>
          </cell>
          <cell r="D7374">
            <v>6.8051176071166992</v>
          </cell>
          <cell r="F7374" t="str">
            <v>14 Aug 2024</v>
          </cell>
        </row>
        <row r="7375">
          <cell r="A7375" t="str">
            <v>MDV</v>
          </cell>
          <cell r="B7375">
            <v>2017</v>
          </cell>
          <cell r="C7375" t="str">
            <v>macpiz</v>
          </cell>
          <cell r="D7375">
            <v>2.8204588890075684</v>
          </cell>
          <cell r="F7375" t="str">
            <v>14 Aug 2024</v>
          </cell>
        </row>
        <row r="7376">
          <cell r="A7376" t="str">
            <v>MDV</v>
          </cell>
          <cell r="B7376">
            <v>2016</v>
          </cell>
          <cell r="C7376" t="str">
            <v>mainvz</v>
          </cell>
          <cell r="D7376">
            <v>2.8881068229675293</v>
          </cell>
          <cell r="F7376" t="str">
            <v>14 Aug 2024</v>
          </cell>
        </row>
        <row r="7377">
          <cell r="A7377" t="str">
            <v>MDV</v>
          </cell>
          <cell r="B7377">
            <v>2023</v>
          </cell>
          <cell r="C7377" t="str">
            <v>mataxfc</v>
          </cell>
          <cell r="D7377">
            <v>4.3243694305419922</v>
          </cell>
          <cell r="F7377" t="str">
            <v>14 Aug 2024</v>
          </cell>
        </row>
        <row r="7378">
          <cell r="A7378" t="str">
            <v>MDV</v>
          </cell>
          <cell r="B7378">
            <v>2017</v>
          </cell>
          <cell r="C7378" t="str">
            <v>mar_taxfc</v>
          </cell>
          <cell r="D7378">
            <v>14.40871524810791</v>
          </cell>
          <cell r="F7378" t="str">
            <v>14 Aug 2024</v>
          </cell>
        </row>
        <row r="7379">
          <cell r="A7379" t="str">
            <v>MDV</v>
          </cell>
          <cell r="B7379">
            <v>2025</v>
          </cell>
          <cell r="C7379" t="str">
            <v>maimpz</v>
          </cell>
          <cell r="D7379">
            <v>2.6433401107788086</v>
          </cell>
          <cell r="F7379" t="str">
            <v>14 Aug 2024</v>
          </cell>
        </row>
        <row r="7380">
          <cell r="A7380" t="str">
            <v>MDV</v>
          </cell>
          <cell r="B7380">
            <v>2007</v>
          </cell>
          <cell r="C7380" t="str">
            <v>madebt_</v>
          </cell>
          <cell r="D7380">
            <v>35.82366943359375</v>
          </cell>
          <cell r="F7380" t="str">
            <v>14 Aug 2024</v>
          </cell>
        </row>
        <row r="7381">
          <cell r="A7381" t="str">
            <v>MDV</v>
          </cell>
          <cell r="B7381">
            <v>2022</v>
          </cell>
          <cell r="C7381" t="str">
            <v>mafdi_</v>
          </cell>
          <cell r="D7381">
            <v>-11.86952996812408</v>
          </cell>
          <cell r="F7381" t="str">
            <v>14 Aug 2024</v>
          </cell>
        </row>
        <row r="7382">
          <cell r="A7382" t="str">
            <v>MDV</v>
          </cell>
          <cell r="B7382">
            <v>2014</v>
          </cell>
          <cell r="C7382" t="str">
            <v>magovz</v>
          </cell>
          <cell r="D7382">
            <v>7.329627513885498</v>
          </cell>
          <cell r="F7382" t="str">
            <v>14 Aug 2024</v>
          </cell>
        </row>
        <row r="7383">
          <cell r="A7383" t="str">
            <v>MDV</v>
          </cell>
          <cell r="B7383">
            <v>2026</v>
          </cell>
          <cell r="C7383" t="str">
            <v>mafdi_</v>
          </cell>
          <cell r="D7383">
            <v>-71566.636481952461</v>
          </cell>
          <cell r="F7383" t="str">
            <v>14 Aug 2024</v>
          </cell>
        </row>
        <row r="7384">
          <cell r="A7384" t="str">
            <v>MDV</v>
          </cell>
          <cell r="B7384">
            <v>2022</v>
          </cell>
          <cell r="C7384" t="str">
            <v>mac_labz</v>
          </cell>
          <cell r="D7384">
            <v>0.12160868942737579</v>
          </cell>
          <cell r="F7384" t="str">
            <v>14 Aug 2024</v>
          </cell>
        </row>
        <row r="7385">
          <cell r="A7385" t="str">
            <v>MDV</v>
          </cell>
          <cell r="B7385">
            <v>2007</v>
          </cell>
          <cell r="C7385" t="str">
            <v>mac_labz</v>
          </cell>
          <cell r="D7385">
            <v>4.2443366050720215</v>
          </cell>
          <cell r="F7385" t="str">
            <v>14 Aug 2024</v>
          </cell>
        </row>
        <row r="7386">
          <cell r="A7386" t="str">
            <v>MDV</v>
          </cell>
          <cell r="B7386">
            <v>2005</v>
          </cell>
          <cell r="C7386" t="str">
            <v>macab_</v>
          </cell>
          <cell r="D7386">
            <v>-23.466461181640625</v>
          </cell>
          <cell r="F7386" t="str">
            <v>14 Aug 2024</v>
          </cell>
        </row>
        <row r="7387">
          <cell r="A7387" t="str">
            <v>MDV</v>
          </cell>
          <cell r="B7387">
            <v>2009</v>
          </cell>
          <cell r="C7387" t="str">
            <v>mar_indfc</v>
          </cell>
          <cell r="D7387">
            <v>10.090676307678223</v>
          </cell>
          <cell r="F7387" t="str">
            <v>14 Aug 2024</v>
          </cell>
        </row>
        <row r="7388">
          <cell r="A7388" t="str">
            <v>MDV</v>
          </cell>
          <cell r="B7388">
            <v>2007</v>
          </cell>
          <cell r="C7388" t="str">
            <v>magovz</v>
          </cell>
          <cell r="D7388">
            <v>7.7138724327087402</v>
          </cell>
          <cell r="F7388" t="str">
            <v>14 Aug 2024</v>
          </cell>
        </row>
        <row r="7389">
          <cell r="A7389" t="str">
            <v>MDV</v>
          </cell>
          <cell r="B7389">
            <v>2026</v>
          </cell>
          <cell r="C7389" t="str">
            <v>madeficit_</v>
          </cell>
          <cell r="D7389">
            <v>-24.866605758666992</v>
          </cell>
          <cell r="F7389" t="str">
            <v>14 Aug 2024</v>
          </cell>
        </row>
        <row r="7390">
          <cell r="A7390" t="str">
            <v>MDV</v>
          </cell>
          <cell r="B7390">
            <v>2016</v>
          </cell>
          <cell r="C7390" t="str">
            <v>mar_con</v>
          </cell>
          <cell r="D7390">
            <v>42.873260498046875</v>
          </cell>
          <cell r="F7390" t="str">
            <v>14 Aug 2024</v>
          </cell>
        </row>
        <row r="7391">
          <cell r="A7391" t="str">
            <v>MDV</v>
          </cell>
          <cell r="B7391">
            <v>2009</v>
          </cell>
          <cell r="C7391" t="str">
            <v>macpiz</v>
          </cell>
          <cell r="D7391">
            <v>4.5250272750854492</v>
          </cell>
          <cell r="F7391" t="str">
            <v>14 Aug 2024</v>
          </cell>
        </row>
        <row r="7392">
          <cell r="A7392" t="str">
            <v>MDV</v>
          </cell>
          <cell r="B7392">
            <v>2010</v>
          </cell>
          <cell r="C7392" t="str">
            <v>maindfc</v>
          </cell>
          <cell r="D7392">
            <v>7.2715320587158203</v>
          </cell>
          <cell r="F7392" t="str">
            <v>14 Aug 2024</v>
          </cell>
        </row>
        <row r="7393">
          <cell r="A7393" t="str">
            <v>MDV</v>
          </cell>
          <cell r="B7393">
            <v>2006</v>
          </cell>
          <cell r="C7393" t="str">
            <v>mar_expz</v>
          </cell>
          <cell r="D7393">
            <v>73.936431884765625</v>
          </cell>
          <cell r="F7393" t="str">
            <v>14 Aug 2024</v>
          </cell>
        </row>
        <row r="7394">
          <cell r="A7394" t="str">
            <v>MDV</v>
          </cell>
          <cell r="B7394">
            <v>2021</v>
          </cell>
          <cell r="C7394" t="str">
            <v>malabz</v>
          </cell>
          <cell r="D7394">
            <v>1.2427855730056763</v>
          </cell>
          <cell r="F7394" t="str">
            <v>14 Aug 2024</v>
          </cell>
        </row>
        <row r="7395">
          <cell r="A7395" t="str">
            <v>MDV</v>
          </cell>
          <cell r="B7395">
            <v>2026</v>
          </cell>
          <cell r="C7395" t="str">
            <v>mar_taxfc</v>
          </cell>
          <cell r="D7395">
            <v>3.8094505667686462E-2</v>
          </cell>
          <cell r="F7395" t="str">
            <v>14 Aug 2024</v>
          </cell>
        </row>
        <row r="7396">
          <cell r="A7396" t="str">
            <v>MDV</v>
          </cell>
          <cell r="B7396">
            <v>2008</v>
          </cell>
          <cell r="C7396" t="str">
            <v>maimpz</v>
          </cell>
          <cell r="D7396">
            <v>9.4853229522705078</v>
          </cell>
          <cell r="F7396" t="str">
            <v>14 Aug 2024</v>
          </cell>
        </row>
        <row r="7397">
          <cell r="A7397" t="str">
            <v>MDV</v>
          </cell>
          <cell r="B7397">
            <v>2011</v>
          </cell>
          <cell r="C7397" t="str">
            <v>mac_tfpz</v>
          </cell>
          <cell r="D7397">
            <v>-0.13525150716304779</v>
          </cell>
          <cell r="F7397" t="str">
            <v>14 Aug 2024</v>
          </cell>
        </row>
        <row r="7398">
          <cell r="A7398" t="str">
            <v>MDV</v>
          </cell>
          <cell r="B7398">
            <v>2009</v>
          </cell>
          <cell r="C7398" t="str">
            <v>masrvfc</v>
          </cell>
          <cell r="D7398">
            <v>-3.8797743320465088</v>
          </cell>
          <cell r="F7398" t="str">
            <v>14 Aug 2024</v>
          </cell>
        </row>
        <row r="7399">
          <cell r="A7399" t="str">
            <v>MDV</v>
          </cell>
          <cell r="B7399">
            <v>2020</v>
          </cell>
          <cell r="C7399" t="str">
            <v>madeficit_</v>
          </cell>
          <cell r="D7399">
            <v>-23.696245193481445</v>
          </cell>
          <cell r="F7399" t="str">
            <v>14 Aug 2024</v>
          </cell>
        </row>
        <row r="7400">
          <cell r="A7400" t="str">
            <v>MDV</v>
          </cell>
          <cell r="B7400">
            <v>2025</v>
          </cell>
          <cell r="C7400" t="str">
            <v>mar_taxfc</v>
          </cell>
          <cell r="D7400">
            <v>4.105684906244278E-2</v>
          </cell>
          <cell r="F7400" t="str">
            <v>14 Aug 2024</v>
          </cell>
        </row>
        <row r="7401">
          <cell r="A7401" t="str">
            <v>MDV</v>
          </cell>
          <cell r="B7401">
            <v>2020</v>
          </cell>
          <cell r="C7401" t="str">
            <v>maimpz</v>
          </cell>
          <cell r="D7401">
            <v>-38.706600189208984</v>
          </cell>
          <cell r="F7401" t="str">
            <v>14 Aug 2024</v>
          </cell>
        </row>
        <row r="7402">
          <cell r="A7402" t="str">
            <v>MDV</v>
          </cell>
          <cell r="B7402">
            <v>2025</v>
          </cell>
          <cell r="C7402" t="str">
            <v>mareer</v>
          </cell>
          <cell r="D7402">
            <v>46.160045623779297</v>
          </cell>
          <cell r="F7402" t="str">
            <v>14 Aug 2024</v>
          </cell>
        </row>
        <row r="7403">
          <cell r="A7403" t="str">
            <v>MDV</v>
          </cell>
          <cell r="B7403">
            <v>2026</v>
          </cell>
          <cell r="C7403" t="str">
            <v>mainvz</v>
          </cell>
          <cell r="D7403">
            <v>3.2094197273254395</v>
          </cell>
          <cell r="F7403" t="str">
            <v>14 Aug 2024</v>
          </cell>
        </row>
        <row r="7404">
          <cell r="A7404" t="str">
            <v>MDV</v>
          </cell>
          <cell r="B7404">
            <v>2017</v>
          </cell>
          <cell r="C7404" t="str">
            <v>magdpz</v>
          </cell>
          <cell r="D7404">
            <v>7.0545392036437988</v>
          </cell>
          <cell r="F7404" t="str">
            <v>14 Aug 2024</v>
          </cell>
        </row>
        <row r="7405">
          <cell r="A7405" t="str">
            <v>MDV</v>
          </cell>
          <cell r="B7405">
            <v>2023</v>
          </cell>
          <cell r="C7405" t="str">
            <v>mapanusatls</v>
          </cell>
          <cell r="D7405">
            <v>15.390800476074219</v>
          </cell>
          <cell r="F7405" t="str">
            <v>14 Aug 2024</v>
          </cell>
        </row>
        <row r="7406">
          <cell r="A7406" t="str">
            <v>MDV</v>
          </cell>
          <cell r="B7406">
            <v>2026</v>
          </cell>
          <cell r="C7406" t="str">
            <v>mar_impz</v>
          </cell>
          <cell r="D7406">
            <v>0.30359423160552979</v>
          </cell>
          <cell r="F7406" t="str">
            <v>14 Aug 2024</v>
          </cell>
        </row>
        <row r="7407">
          <cell r="A7407" t="str">
            <v>MDV</v>
          </cell>
          <cell r="B7407">
            <v>2011</v>
          </cell>
          <cell r="C7407" t="str">
            <v>mar_taxfc</v>
          </cell>
          <cell r="D7407">
            <v>16.342235565185547</v>
          </cell>
          <cell r="F7407" t="str">
            <v>14 Aug 2024</v>
          </cell>
        </row>
        <row r="7408">
          <cell r="A7408" t="str">
            <v>MDV</v>
          </cell>
          <cell r="B7408">
            <v>2023</v>
          </cell>
          <cell r="C7408" t="str">
            <v>matfpz</v>
          </cell>
          <cell r="D7408">
            <v>5.2747078239917755E-2</v>
          </cell>
          <cell r="F7408" t="str">
            <v>14 Aug 2024</v>
          </cell>
        </row>
        <row r="7409">
          <cell r="A7409" t="str">
            <v>MDV</v>
          </cell>
          <cell r="B7409">
            <v>2018</v>
          </cell>
          <cell r="C7409" t="str">
            <v>maexpz</v>
          </cell>
          <cell r="D7409">
            <v>10.943146705627441</v>
          </cell>
          <cell r="F7409" t="str">
            <v>14 Aug 2024</v>
          </cell>
        </row>
        <row r="7410">
          <cell r="A7410" t="str">
            <v>MDV</v>
          </cell>
          <cell r="B7410">
            <v>2017</v>
          </cell>
          <cell r="C7410" t="str">
            <v>magap_</v>
          </cell>
          <cell r="D7410">
            <v>-0.80432116985321045</v>
          </cell>
          <cell r="F7410" t="str">
            <v>14 Aug 2024</v>
          </cell>
        </row>
        <row r="7411">
          <cell r="A7411" t="str">
            <v>MDV</v>
          </cell>
          <cell r="B7411">
            <v>2009</v>
          </cell>
          <cell r="C7411" t="str">
            <v>macab_</v>
          </cell>
          <cell r="D7411">
            <v>-9.4145946502685547</v>
          </cell>
          <cell r="F7411" t="str">
            <v>14 Aug 2024</v>
          </cell>
        </row>
        <row r="7412">
          <cell r="A7412" t="str">
            <v>MDV</v>
          </cell>
          <cell r="B7412">
            <v>2024</v>
          </cell>
          <cell r="C7412" t="str">
            <v>mar_impz</v>
          </cell>
          <cell r="D7412">
            <v>0.37814640998840332</v>
          </cell>
          <cell r="F7412" t="str">
            <v>14 Aug 2024</v>
          </cell>
        </row>
        <row r="7413">
          <cell r="A7413" t="str">
            <v>MDV</v>
          </cell>
          <cell r="B7413">
            <v>2020</v>
          </cell>
          <cell r="C7413" t="str">
            <v>mac_labz</v>
          </cell>
          <cell r="D7413">
            <v>1.3498135805130005</v>
          </cell>
          <cell r="F7413" t="str">
            <v>14 Aug 2024</v>
          </cell>
        </row>
        <row r="7414">
          <cell r="A7414" t="str">
            <v>MDV</v>
          </cell>
          <cell r="B7414">
            <v>2022</v>
          </cell>
          <cell r="C7414" t="str">
            <v>masrvfc</v>
          </cell>
          <cell r="D7414">
            <v>14.661331176757813</v>
          </cell>
          <cell r="F7414" t="str">
            <v>14 Aug 2024</v>
          </cell>
        </row>
        <row r="7415">
          <cell r="A7415" t="str">
            <v>MDV</v>
          </cell>
          <cell r="B7415">
            <v>2011</v>
          </cell>
          <cell r="C7415" t="str">
            <v>maexpz</v>
          </cell>
          <cell r="D7415">
            <v>8.5667362213134766</v>
          </cell>
          <cell r="F7415" t="str">
            <v>14 Aug 2024</v>
          </cell>
        </row>
        <row r="7416">
          <cell r="A7416" t="str">
            <v>MDV</v>
          </cell>
          <cell r="B7416">
            <v>2024</v>
          </cell>
          <cell r="C7416" t="str">
            <v>mar_indfc</v>
          </cell>
          <cell r="D7416">
            <v>3.9690665900707245E-2</v>
          </cell>
          <cell r="F7416" t="str">
            <v>14 Aug 2024</v>
          </cell>
        </row>
        <row r="7417">
          <cell r="A7417" t="str">
            <v>MDV</v>
          </cell>
          <cell r="B7417">
            <v>2014</v>
          </cell>
          <cell r="C7417" t="str">
            <v>maconz</v>
          </cell>
          <cell r="D7417">
            <v>7.329627513885498</v>
          </cell>
          <cell r="F7417" t="str">
            <v>14 Aug 2024</v>
          </cell>
        </row>
        <row r="7418">
          <cell r="A7418" t="str">
            <v>MDV</v>
          </cell>
          <cell r="B7418">
            <v>2015</v>
          </cell>
          <cell r="C7418" t="str">
            <v>mar_taxfc</v>
          </cell>
          <cell r="D7418">
            <v>14.905557632446289</v>
          </cell>
          <cell r="F7418" t="str">
            <v>14 Aug 2024</v>
          </cell>
        </row>
        <row r="7419">
          <cell r="A7419" t="str">
            <v>MDV</v>
          </cell>
          <cell r="B7419">
            <v>2019</v>
          </cell>
          <cell r="C7419" t="str">
            <v>mar_expz</v>
          </cell>
          <cell r="D7419">
            <v>68.061599731445313</v>
          </cell>
          <cell r="F7419" t="str">
            <v>14 Aug 2024</v>
          </cell>
        </row>
        <row r="7420">
          <cell r="A7420" t="str">
            <v>MDV</v>
          </cell>
          <cell r="B7420">
            <v>2005</v>
          </cell>
          <cell r="C7420" t="str">
            <v>mar_con</v>
          </cell>
          <cell r="D7420">
            <v>32.961265563964844</v>
          </cell>
          <cell r="F7420" t="str">
            <v>14 Aug 2024</v>
          </cell>
        </row>
        <row r="7421">
          <cell r="A7421" t="str">
            <v>MDV</v>
          </cell>
          <cell r="B7421">
            <v>2007</v>
          </cell>
          <cell r="C7421" t="str">
            <v>mainvz</v>
          </cell>
          <cell r="D7421">
            <v>7.7138724327087402</v>
          </cell>
          <cell r="F7421" t="str">
            <v>14 Aug 2024</v>
          </cell>
        </row>
        <row r="7422">
          <cell r="A7422" t="str">
            <v>MDV</v>
          </cell>
          <cell r="B7422">
            <v>2005</v>
          </cell>
          <cell r="C7422" t="str">
            <v>maagrfc</v>
          </cell>
          <cell r="D7422">
            <v>12.271816253662109</v>
          </cell>
          <cell r="F7422" t="str">
            <v>14 Aug 2024</v>
          </cell>
        </row>
        <row r="7423">
          <cell r="A7423" t="str">
            <v>MDV</v>
          </cell>
          <cell r="B7423">
            <v>2019</v>
          </cell>
          <cell r="C7423" t="str">
            <v>mac_labz</v>
          </cell>
          <cell r="D7423">
            <v>2.2254559993743896</v>
          </cell>
          <cell r="F7423" t="str">
            <v>14 Aug 2024</v>
          </cell>
        </row>
        <row r="7424">
          <cell r="A7424" t="str">
            <v>MDV</v>
          </cell>
          <cell r="B7424">
            <v>2006</v>
          </cell>
          <cell r="C7424" t="str">
            <v>matfpz</v>
          </cell>
          <cell r="D7424">
            <v>0.72948986291885376</v>
          </cell>
          <cell r="F7424" t="str">
            <v>14 Aug 2024</v>
          </cell>
        </row>
        <row r="7425">
          <cell r="A7425" t="str">
            <v>MDV</v>
          </cell>
          <cell r="B7425">
            <v>2017</v>
          </cell>
          <cell r="C7425" t="str">
            <v>mareer</v>
          </cell>
          <cell r="D7425">
            <v>100.59654235839844</v>
          </cell>
          <cell r="F7425" t="str">
            <v>14 Aug 2024</v>
          </cell>
        </row>
        <row r="7426">
          <cell r="A7426" t="str">
            <v>MDV</v>
          </cell>
          <cell r="B7426">
            <v>2010</v>
          </cell>
          <cell r="C7426" t="str">
            <v>mafdi_</v>
          </cell>
          <cell r="D7426"/>
          <cell r="F7426" t="str">
            <v>14 Aug 2024</v>
          </cell>
        </row>
        <row r="7427">
          <cell r="A7427" t="str">
            <v>MDV</v>
          </cell>
          <cell r="B7427">
            <v>2021</v>
          </cell>
          <cell r="C7427" t="str">
            <v>magap_</v>
          </cell>
          <cell r="D7427">
            <v>-12.730414390563965</v>
          </cell>
          <cell r="F7427" t="str">
            <v>14 Aug 2024</v>
          </cell>
        </row>
        <row r="7428">
          <cell r="A7428" t="str">
            <v>MDV</v>
          </cell>
          <cell r="B7428">
            <v>2007</v>
          </cell>
          <cell r="C7428" t="str">
            <v>mapanusatls</v>
          </cell>
          <cell r="D7428">
            <v>12.800000190734863</v>
          </cell>
          <cell r="F7428" t="str">
            <v>14 Aug 2024</v>
          </cell>
        </row>
        <row r="7429">
          <cell r="A7429" t="str">
            <v>MDV</v>
          </cell>
          <cell r="B7429">
            <v>2021</v>
          </cell>
          <cell r="C7429" t="str">
            <v>mar_con</v>
          </cell>
          <cell r="D7429">
            <v>40.391384124755859</v>
          </cell>
          <cell r="F7429" t="str">
            <v>14 Aug 2024</v>
          </cell>
        </row>
        <row r="7430">
          <cell r="A7430" t="str">
            <v>MDV</v>
          </cell>
          <cell r="B7430">
            <v>2013</v>
          </cell>
          <cell r="C7430" t="str">
            <v>mar_srvfc</v>
          </cell>
          <cell r="D7430">
            <v>82.805633544921875</v>
          </cell>
          <cell r="F7430" t="str">
            <v>14 Aug 2024</v>
          </cell>
        </row>
        <row r="7431">
          <cell r="A7431" t="str">
            <v>MDV</v>
          </cell>
          <cell r="B7431">
            <v>2018</v>
          </cell>
          <cell r="C7431" t="str">
            <v>mar_srvfc</v>
          </cell>
          <cell r="D7431">
            <v>79.746490478515625</v>
          </cell>
          <cell r="F7431" t="str">
            <v>14 Aug 2024</v>
          </cell>
        </row>
        <row r="7432">
          <cell r="A7432" t="str">
            <v>MDV</v>
          </cell>
          <cell r="B7432">
            <v>2019</v>
          </cell>
          <cell r="C7432" t="str">
            <v>maindfc</v>
          </cell>
          <cell r="D7432">
            <v>2.6285643577575684</v>
          </cell>
          <cell r="F7432" t="str">
            <v>14 Aug 2024</v>
          </cell>
        </row>
        <row r="7433">
          <cell r="A7433" t="str">
            <v>MDV</v>
          </cell>
          <cell r="B7433">
            <v>2006</v>
          </cell>
          <cell r="C7433" t="str">
            <v>mac_labz</v>
          </cell>
          <cell r="D7433">
            <v>3.3611774444580078</v>
          </cell>
          <cell r="F7433" t="str">
            <v>14 Aug 2024</v>
          </cell>
        </row>
        <row r="7434">
          <cell r="A7434" t="str">
            <v>MDV</v>
          </cell>
          <cell r="B7434">
            <v>2020</v>
          </cell>
          <cell r="C7434" t="str">
            <v>mar_taxfc</v>
          </cell>
          <cell r="D7434">
            <v>9.3842477798461914</v>
          </cell>
          <cell r="F7434" t="str">
            <v>14 Aug 2024</v>
          </cell>
        </row>
        <row r="7435">
          <cell r="A7435" t="str">
            <v>MDV</v>
          </cell>
          <cell r="B7435">
            <v>2024</v>
          </cell>
          <cell r="C7435" t="str">
            <v>mar_taxfc</v>
          </cell>
          <cell r="D7435">
            <v>4.5120351016521454E-2</v>
          </cell>
          <cell r="F7435" t="str">
            <v>14 Aug 2024</v>
          </cell>
        </row>
        <row r="7436">
          <cell r="A7436" t="str">
            <v>MDV</v>
          </cell>
          <cell r="B7436">
            <v>2007</v>
          </cell>
          <cell r="C7436" t="str">
            <v>mataxfc</v>
          </cell>
          <cell r="D7436">
            <v>8.4554862976074219</v>
          </cell>
          <cell r="F7436" t="str">
            <v>14 Aug 2024</v>
          </cell>
        </row>
        <row r="7437">
          <cell r="A7437" t="str">
            <v>MDV</v>
          </cell>
          <cell r="B7437">
            <v>2011</v>
          </cell>
          <cell r="C7437" t="str">
            <v>mar_expz</v>
          </cell>
          <cell r="D7437">
            <v>75.743476867675781</v>
          </cell>
          <cell r="F7437" t="str">
            <v>14 Aug 2024</v>
          </cell>
        </row>
        <row r="7438">
          <cell r="A7438" t="str">
            <v>MDV</v>
          </cell>
          <cell r="B7438">
            <v>2026</v>
          </cell>
          <cell r="C7438" t="str">
            <v>mar_srvfc</v>
          </cell>
          <cell r="D7438">
            <v>99.950355529785156</v>
          </cell>
          <cell r="F7438" t="str">
            <v>14 Aug 2024</v>
          </cell>
        </row>
        <row r="7439">
          <cell r="A7439" t="str">
            <v>MDV</v>
          </cell>
          <cell r="B7439">
            <v>2020</v>
          </cell>
          <cell r="C7439" t="str">
            <v>mainvz</v>
          </cell>
          <cell r="D7439">
            <v>-34.851299285888672</v>
          </cell>
          <cell r="F7439" t="str">
            <v>14 Aug 2024</v>
          </cell>
        </row>
        <row r="7440">
          <cell r="A7440" t="str">
            <v>MDV</v>
          </cell>
          <cell r="B7440">
            <v>2023</v>
          </cell>
          <cell r="C7440" t="str">
            <v>malabz</v>
          </cell>
          <cell r="D7440">
            <v>-0.95409935712814331</v>
          </cell>
          <cell r="F7440" t="str">
            <v>14 Aug 2024</v>
          </cell>
        </row>
        <row r="7441">
          <cell r="A7441" t="str">
            <v>MDV</v>
          </cell>
          <cell r="B7441">
            <v>2023</v>
          </cell>
          <cell r="C7441" t="str">
            <v>mainvz</v>
          </cell>
          <cell r="D7441">
            <v>53.501144409179688</v>
          </cell>
          <cell r="F7441" t="str">
            <v>14 Aug 2024</v>
          </cell>
        </row>
        <row r="7442">
          <cell r="A7442" t="str">
            <v>MDV</v>
          </cell>
          <cell r="B7442">
            <v>2015</v>
          </cell>
          <cell r="C7442" t="str">
            <v>mac_tfpz</v>
          </cell>
          <cell r="D7442">
            <v>0.27257019281387329</v>
          </cell>
          <cell r="F7442" t="str">
            <v>14 Aug 2024</v>
          </cell>
        </row>
        <row r="7443">
          <cell r="A7443" t="str">
            <v>MDV</v>
          </cell>
          <cell r="B7443">
            <v>2025</v>
          </cell>
          <cell r="C7443" t="str">
            <v>mar_impz</v>
          </cell>
          <cell r="D7443">
            <v>0.33585691452026367</v>
          </cell>
          <cell r="F7443" t="str">
            <v>14 Aug 2024</v>
          </cell>
        </row>
        <row r="7444">
          <cell r="A7444" t="str">
            <v>MDV</v>
          </cell>
          <cell r="B7444">
            <v>2026</v>
          </cell>
          <cell r="C7444" t="str">
            <v>maindfc</v>
          </cell>
          <cell r="D7444">
            <v>6.6516599655151367</v>
          </cell>
          <cell r="F7444" t="str">
            <v>14 Aug 2024</v>
          </cell>
        </row>
        <row r="7445">
          <cell r="A7445" t="str">
            <v>MDV</v>
          </cell>
          <cell r="B7445">
            <v>2020</v>
          </cell>
          <cell r="C7445" t="str">
            <v>maconz</v>
          </cell>
          <cell r="D7445">
            <v>-27.512334823608398</v>
          </cell>
          <cell r="F7445" t="str">
            <v>14 Aug 2024</v>
          </cell>
        </row>
        <row r="7446">
          <cell r="A7446" t="str">
            <v>MDV</v>
          </cell>
          <cell r="B7446">
            <v>2024</v>
          </cell>
          <cell r="C7446" t="str">
            <v>mapanusatls</v>
          </cell>
          <cell r="D7446">
            <v>17.759445190429688</v>
          </cell>
          <cell r="F7446" t="str">
            <v>14 Aug 2024</v>
          </cell>
        </row>
        <row r="7447">
          <cell r="A7447" t="str">
            <v>MDV</v>
          </cell>
          <cell r="B7447">
            <v>2013</v>
          </cell>
          <cell r="C7447" t="str">
            <v>mar_con</v>
          </cell>
          <cell r="D7447">
            <v>34.605602264404297</v>
          </cell>
          <cell r="F7447" t="str">
            <v>14 Aug 2024</v>
          </cell>
        </row>
        <row r="7448">
          <cell r="A7448" t="str">
            <v>MDV</v>
          </cell>
          <cell r="B7448">
            <v>2022</v>
          </cell>
          <cell r="C7448" t="str">
            <v>mareer</v>
          </cell>
          <cell r="D7448">
            <v>95.830642700195313</v>
          </cell>
          <cell r="F7448" t="str">
            <v>14 Aug 2024</v>
          </cell>
        </row>
        <row r="7449">
          <cell r="A7449" t="str">
            <v>MDV</v>
          </cell>
          <cell r="B7449">
            <v>2014</v>
          </cell>
          <cell r="C7449" t="str">
            <v>madeficit_</v>
          </cell>
          <cell r="D7449">
            <v>-2.4181795120239258</v>
          </cell>
          <cell r="F7449" t="str">
            <v>14 Aug 2024</v>
          </cell>
        </row>
        <row r="7450">
          <cell r="A7450" t="str">
            <v>MDV</v>
          </cell>
          <cell r="B7450">
            <v>2012</v>
          </cell>
          <cell r="C7450" t="str">
            <v>macab_</v>
          </cell>
          <cell r="D7450">
            <v>-6.3922767639160156</v>
          </cell>
          <cell r="F7450" t="str">
            <v>14 Aug 2024</v>
          </cell>
        </row>
        <row r="7451">
          <cell r="A7451" t="str">
            <v>MDV</v>
          </cell>
          <cell r="B7451">
            <v>2008</v>
          </cell>
          <cell r="C7451" t="str">
            <v>maconz</v>
          </cell>
          <cell r="D7451">
            <v>9.4853229522705078</v>
          </cell>
          <cell r="F7451" t="str">
            <v>14 Aug 2024</v>
          </cell>
        </row>
        <row r="7452">
          <cell r="A7452" t="str">
            <v>MDV</v>
          </cell>
          <cell r="B7452">
            <v>2020</v>
          </cell>
          <cell r="C7452" t="str">
            <v>mapanusatls</v>
          </cell>
          <cell r="D7452">
            <v>15.409999847412109</v>
          </cell>
          <cell r="F7452" t="str">
            <v>14 Aug 2024</v>
          </cell>
        </row>
        <row r="7453">
          <cell r="A7453" t="str">
            <v>MDV</v>
          </cell>
          <cell r="B7453">
            <v>2021</v>
          </cell>
          <cell r="C7453" t="str">
            <v>mar_indfc</v>
          </cell>
          <cell r="D7453">
            <v>9.155482292175293</v>
          </cell>
          <cell r="F7453" t="str">
            <v>14 Aug 2024</v>
          </cell>
        </row>
        <row r="7454">
          <cell r="A7454" t="str">
            <v>MDV</v>
          </cell>
          <cell r="B7454">
            <v>2020</v>
          </cell>
          <cell r="C7454" t="str">
            <v>madebt_</v>
          </cell>
          <cell r="D7454">
            <v>151.55020141601563</v>
          </cell>
          <cell r="F7454" t="str">
            <v>14 Aug 2024</v>
          </cell>
        </row>
        <row r="7455">
          <cell r="A7455" t="str">
            <v>MDV</v>
          </cell>
          <cell r="B7455">
            <v>2026</v>
          </cell>
          <cell r="C7455" t="str">
            <v>maagrfc</v>
          </cell>
          <cell r="D7455">
            <v>1.7720999717712402</v>
          </cell>
          <cell r="F7455" t="str">
            <v>14 Aug 2024</v>
          </cell>
        </row>
        <row r="7456">
          <cell r="A7456" t="str">
            <v>MDV</v>
          </cell>
          <cell r="B7456">
            <v>2007</v>
          </cell>
          <cell r="C7456" t="str">
            <v>mar_expz</v>
          </cell>
          <cell r="D7456">
            <v>74.343955993652344</v>
          </cell>
          <cell r="F7456" t="str">
            <v>14 Aug 2024</v>
          </cell>
        </row>
        <row r="7457">
          <cell r="A7457" t="str">
            <v>MDV</v>
          </cell>
          <cell r="B7457">
            <v>2021</v>
          </cell>
          <cell r="C7457" t="str">
            <v>masrvfc</v>
          </cell>
          <cell r="D7457">
            <v>43.35504150390625</v>
          </cell>
          <cell r="F7457" t="str">
            <v>14 Aug 2024</v>
          </cell>
        </row>
        <row r="7458">
          <cell r="A7458" t="str">
            <v>MDV</v>
          </cell>
          <cell r="B7458">
            <v>2006</v>
          </cell>
          <cell r="C7458" t="str">
            <v>mar_impz</v>
          </cell>
          <cell r="D7458">
            <v>79.130020141601563</v>
          </cell>
          <cell r="F7458" t="str">
            <v>14 Aug 2024</v>
          </cell>
        </row>
        <row r="7459">
          <cell r="A7459" t="str">
            <v>MDV</v>
          </cell>
          <cell r="B7459">
            <v>2006</v>
          </cell>
          <cell r="C7459" t="str">
            <v>magovz</v>
          </cell>
          <cell r="D7459">
            <v>26.111515045166016</v>
          </cell>
          <cell r="F7459" t="str">
            <v>14 Aug 2024</v>
          </cell>
        </row>
        <row r="7460">
          <cell r="A7460" t="str">
            <v>MDV</v>
          </cell>
          <cell r="B7460">
            <v>2019</v>
          </cell>
          <cell r="C7460" t="str">
            <v>madeficit_</v>
          </cell>
          <cell r="D7460">
            <v>-6.5428400039672852</v>
          </cell>
          <cell r="F7460" t="str">
            <v>14 Aug 2024</v>
          </cell>
        </row>
        <row r="7461">
          <cell r="A7461" t="str">
            <v>MDV</v>
          </cell>
          <cell r="B7461">
            <v>2025</v>
          </cell>
          <cell r="C7461" t="str">
            <v>mapanusatls</v>
          </cell>
          <cell r="D7461">
            <v>20.565437316894531</v>
          </cell>
          <cell r="F7461" t="str">
            <v>14 Aug 2024</v>
          </cell>
        </row>
        <row r="7462">
          <cell r="A7462" t="str">
            <v>MDV</v>
          </cell>
          <cell r="B7462">
            <v>2010</v>
          </cell>
          <cell r="C7462" t="str">
            <v>mar_srvfc</v>
          </cell>
          <cell r="D7462">
            <v>81.640403747558594</v>
          </cell>
          <cell r="F7462" t="str">
            <v>14 Aug 2024</v>
          </cell>
        </row>
        <row r="7463">
          <cell r="A7463" t="str">
            <v>MDV</v>
          </cell>
          <cell r="B7463">
            <v>2005</v>
          </cell>
          <cell r="C7463" t="str">
            <v>maexpz</v>
          </cell>
          <cell r="D7463">
            <v>-35.543869018554688</v>
          </cell>
          <cell r="F7463" t="str">
            <v>14 Aug 2024</v>
          </cell>
        </row>
        <row r="7464">
          <cell r="A7464" t="str">
            <v>MDV</v>
          </cell>
          <cell r="B7464">
            <v>2018</v>
          </cell>
          <cell r="C7464" t="str">
            <v>mar_agrfc</v>
          </cell>
          <cell r="D7464">
            <v>5.991478443145752</v>
          </cell>
          <cell r="F7464" t="str">
            <v>14 Aug 2024</v>
          </cell>
        </row>
        <row r="7465">
          <cell r="A7465" t="str">
            <v>MDV</v>
          </cell>
          <cell r="B7465">
            <v>2012</v>
          </cell>
          <cell r="C7465" t="str">
            <v>mar_agrfc</v>
          </cell>
          <cell r="D7465">
            <v>7.4105358123779297</v>
          </cell>
          <cell r="F7465" t="str">
            <v>14 Aug 2024</v>
          </cell>
        </row>
        <row r="7466">
          <cell r="A7466" t="str">
            <v>MDV</v>
          </cell>
          <cell r="B7466">
            <v>2008</v>
          </cell>
          <cell r="C7466" t="str">
            <v>maexpz</v>
          </cell>
          <cell r="D7466">
            <v>9.4853229522705078</v>
          </cell>
          <cell r="F7466" t="str">
            <v>14 Aug 2024</v>
          </cell>
        </row>
        <row r="7467">
          <cell r="A7467" t="str">
            <v>MDV</v>
          </cell>
          <cell r="B7467">
            <v>2015</v>
          </cell>
          <cell r="C7467" t="str">
            <v>maimpz</v>
          </cell>
          <cell r="D7467">
            <v>1.0242283344268799</v>
          </cell>
          <cell r="F7467" t="str">
            <v>14 Aug 2024</v>
          </cell>
        </row>
        <row r="7468">
          <cell r="A7468" t="str">
            <v>MDV</v>
          </cell>
          <cell r="B7468">
            <v>2008</v>
          </cell>
          <cell r="C7468" t="str">
            <v>masrvfc</v>
          </cell>
          <cell r="D7468">
            <v>10.473663330078125</v>
          </cell>
          <cell r="F7468" t="str">
            <v>14 Aug 2024</v>
          </cell>
        </row>
        <row r="7469">
          <cell r="A7469" t="str">
            <v>MDV</v>
          </cell>
          <cell r="B7469">
            <v>2012</v>
          </cell>
          <cell r="C7469" t="str">
            <v>mar_expz</v>
          </cell>
          <cell r="D7469">
            <v>75.857154846191406</v>
          </cell>
          <cell r="F7469" t="str">
            <v>14 Aug 2024</v>
          </cell>
        </row>
        <row r="7470">
          <cell r="A7470" t="str">
            <v>MDV</v>
          </cell>
          <cell r="B7470">
            <v>2011</v>
          </cell>
          <cell r="C7470" t="str">
            <v>mapanusatls</v>
          </cell>
          <cell r="D7470">
            <v>14.60200023651123</v>
          </cell>
          <cell r="F7470" t="str">
            <v>14 Aug 2024</v>
          </cell>
        </row>
        <row r="7471">
          <cell r="A7471" t="str">
            <v>MDV</v>
          </cell>
          <cell r="B7471">
            <v>2011</v>
          </cell>
          <cell r="C7471" t="str">
            <v>magdpz</v>
          </cell>
          <cell r="D7471">
            <v>8.5726985931396484</v>
          </cell>
          <cell r="F7471" t="str">
            <v>14 Aug 2024</v>
          </cell>
        </row>
        <row r="7472">
          <cell r="A7472" t="str">
            <v>MDV</v>
          </cell>
          <cell r="B7472">
            <v>2017</v>
          </cell>
          <cell r="C7472" t="str">
            <v>maindfc</v>
          </cell>
          <cell r="D7472">
            <v>13.272430419921875</v>
          </cell>
          <cell r="F7472" t="str">
            <v>14 Aug 2024</v>
          </cell>
        </row>
        <row r="7473">
          <cell r="A7473" t="str">
            <v>MDV</v>
          </cell>
          <cell r="B7473">
            <v>2007</v>
          </cell>
          <cell r="C7473" t="str">
            <v>mareer</v>
          </cell>
          <cell r="D7473">
            <v>72.142219543457031</v>
          </cell>
          <cell r="F7473" t="str">
            <v>14 Aug 2024</v>
          </cell>
        </row>
        <row r="7474">
          <cell r="A7474" t="str">
            <v>MDV</v>
          </cell>
          <cell r="B7474">
            <v>2009</v>
          </cell>
          <cell r="C7474" t="str">
            <v>magdpz</v>
          </cell>
          <cell r="D7474">
            <v>-8.1577634811401367</v>
          </cell>
          <cell r="F7474" t="str">
            <v>14 Aug 2024</v>
          </cell>
        </row>
        <row r="7475">
          <cell r="A7475" t="str">
            <v>MDV</v>
          </cell>
          <cell r="B7475">
            <v>2020</v>
          </cell>
          <cell r="C7475" t="str">
            <v>mar_con</v>
          </cell>
          <cell r="D7475">
            <v>48.979534149169922</v>
          </cell>
          <cell r="F7475" t="str">
            <v>14 Aug 2024</v>
          </cell>
        </row>
        <row r="7476">
          <cell r="A7476" t="str">
            <v>MDV</v>
          </cell>
          <cell r="B7476">
            <v>2013</v>
          </cell>
          <cell r="C7476" t="str">
            <v>maimpz</v>
          </cell>
          <cell r="D7476">
            <v>7.2810764312744141</v>
          </cell>
          <cell r="F7476" t="str">
            <v>14 Aug 2024</v>
          </cell>
        </row>
        <row r="7477">
          <cell r="A7477" t="str">
            <v>MDV</v>
          </cell>
          <cell r="B7477">
            <v>2014</v>
          </cell>
          <cell r="C7477" t="str">
            <v>mac_tfpz</v>
          </cell>
          <cell r="D7477">
            <v>0.1673530638217926</v>
          </cell>
          <cell r="F7477" t="str">
            <v>14 Aug 2024</v>
          </cell>
        </row>
        <row r="7478">
          <cell r="A7478" t="str">
            <v>MDV</v>
          </cell>
          <cell r="B7478">
            <v>2013</v>
          </cell>
          <cell r="C7478" t="str">
            <v>mar_expz</v>
          </cell>
          <cell r="D7478">
            <v>76.082557678222656</v>
          </cell>
          <cell r="F7478" t="str">
            <v>14 Aug 2024</v>
          </cell>
        </row>
        <row r="7479">
          <cell r="A7479" t="str">
            <v>MDV</v>
          </cell>
          <cell r="B7479">
            <v>2005</v>
          </cell>
          <cell r="C7479" t="str">
            <v>maimpz</v>
          </cell>
          <cell r="D7479">
            <v>10.170134544372559</v>
          </cell>
          <cell r="F7479" t="str">
            <v>14 Aug 2024</v>
          </cell>
        </row>
        <row r="7480">
          <cell r="A7480" t="str">
            <v>MDV</v>
          </cell>
          <cell r="B7480">
            <v>2019</v>
          </cell>
          <cell r="C7480" t="str">
            <v>mac_tfpz</v>
          </cell>
          <cell r="D7480">
            <v>0.40266132354736328</v>
          </cell>
          <cell r="F7480" t="str">
            <v>14 Aug 2024</v>
          </cell>
        </row>
        <row r="7481">
          <cell r="A7481" t="str">
            <v>MDV</v>
          </cell>
          <cell r="B7481">
            <v>2026</v>
          </cell>
          <cell r="C7481" t="str">
            <v>mareer</v>
          </cell>
          <cell r="D7481">
            <v>38.650508880615234</v>
          </cell>
          <cell r="F7481" t="str">
            <v>14 Aug 2024</v>
          </cell>
        </row>
        <row r="7482">
          <cell r="A7482" t="str">
            <v>MDV</v>
          </cell>
          <cell r="B7482">
            <v>2014</v>
          </cell>
          <cell r="C7482" t="str">
            <v>matfpz</v>
          </cell>
          <cell r="D7482">
            <v>0.1673530638217926</v>
          </cell>
          <cell r="F7482" t="str">
            <v>14 Aug 2024</v>
          </cell>
        </row>
        <row r="7483">
          <cell r="A7483" t="str">
            <v>MDV</v>
          </cell>
          <cell r="B7483">
            <v>2015</v>
          </cell>
          <cell r="C7483" t="str">
            <v>mainvz</v>
          </cell>
          <cell r="D7483">
            <v>17.761989593505859</v>
          </cell>
          <cell r="F7483" t="str">
            <v>14 Aug 2024</v>
          </cell>
        </row>
        <row r="7484">
          <cell r="A7484" t="str">
            <v>MDV</v>
          </cell>
          <cell r="B7484">
            <v>2022</v>
          </cell>
          <cell r="C7484" t="str">
            <v>maimpz</v>
          </cell>
          <cell r="D7484">
            <v>40.759998321533203</v>
          </cell>
          <cell r="F7484" t="str">
            <v>14 Aug 2024</v>
          </cell>
        </row>
        <row r="7485">
          <cell r="A7485" t="str">
            <v>MDV</v>
          </cell>
          <cell r="B7485">
            <v>2008</v>
          </cell>
          <cell r="C7485" t="str">
            <v>madebt_</v>
          </cell>
          <cell r="D7485">
            <v>38.957843780517578</v>
          </cell>
          <cell r="F7485" t="str">
            <v>14 Aug 2024</v>
          </cell>
        </row>
        <row r="7486">
          <cell r="A7486" t="str">
            <v>MDV</v>
          </cell>
          <cell r="B7486">
            <v>2015</v>
          </cell>
          <cell r="C7486" t="str">
            <v>malabz</v>
          </cell>
          <cell r="D7486">
            <v>5.1673412322998047</v>
          </cell>
          <cell r="F7486" t="str">
            <v>14 Aug 2024</v>
          </cell>
        </row>
        <row r="7487">
          <cell r="A7487" t="str">
            <v>MDV</v>
          </cell>
          <cell r="B7487">
            <v>2021</v>
          </cell>
          <cell r="C7487" t="str">
            <v>macpiz</v>
          </cell>
          <cell r="D7487">
            <v>0.54956448078155518</v>
          </cell>
          <cell r="F7487" t="str">
            <v>14 Aug 2024</v>
          </cell>
        </row>
        <row r="7488">
          <cell r="A7488" t="str">
            <v>MDV</v>
          </cell>
          <cell r="B7488">
            <v>2016</v>
          </cell>
          <cell r="C7488" t="str">
            <v>maimpz</v>
          </cell>
          <cell r="D7488">
            <v>9.6676454544067383</v>
          </cell>
          <cell r="F7488" t="str">
            <v>14 Aug 2024</v>
          </cell>
        </row>
        <row r="7489">
          <cell r="A7489" t="str">
            <v>MDV</v>
          </cell>
          <cell r="B7489">
            <v>2012</v>
          </cell>
          <cell r="C7489" t="str">
            <v>magap_</v>
          </cell>
          <cell r="D7489">
            <v>-3.7771048545837402</v>
          </cell>
          <cell r="F7489" t="str">
            <v>14 Aug 2024</v>
          </cell>
        </row>
        <row r="7490">
          <cell r="A7490" t="str">
            <v>MDV</v>
          </cell>
          <cell r="B7490">
            <v>2006</v>
          </cell>
          <cell r="C7490" t="str">
            <v>mainvz</v>
          </cell>
          <cell r="D7490">
            <v>26.111515045166016</v>
          </cell>
          <cell r="F7490" t="str">
            <v>14 Aug 2024</v>
          </cell>
        </row>
        <row r="7491">
          <cell r="A7491" t="str">
            <v>MDV</v>
          </cell>
          <cell r="B7491">
            <v>2024</v>
          </cell>
          <cell r="C7491" t="str">
            <v>madebt_</v>
          </cell>
          <cell r="D7491">
            <v>11.31691837310791</v>
          </cell>
          <cell r="F7491" t="str">
            <v>14 Aug 2024</v>
          </cell>
        </row>
        <row r="7492">
          <cell r="A7492" t="str">
            <v>MDV</v>
          </cell>
          <cell r="B7492">
            <v>2015</v>
          </cell>
          <cell r="C7492" t="str">
            <v>maindfc</v>
          </cell>
          <cell r="D7492">
            <v>20.695184707641602</v>
          </cell>
          <cell r="F7492" t="str">
            <v>14 Aug 2024</v>
          </cell>
        </row>
        <row r="7493">
          <cell r="A7493" t="str">
            <v>MDV</v>
          </cell>
          <cell r="B7493">
            <v>2017</v>
          </cell>
          <cell r="C7493" t="str">
            <v>mapanusatls</v>
          </cell>
          <cell r="D7493">
            <v>15.409999847412109</v>
          </cell>
          <cell r="F7493" t="str">
            <v>14 Aug 2024</v>
          </cell>
        </row>
        <row r="7494">
          <cell r="A7494" t="str">
            <v>MDV</v>
          </cell>
          <cell r="B7494">
            <v>2018</v>
          </cell>
          <cell r="C7494" t="str">
            <v>mar_expz</v>
          </cell>
          <cell r="D7494">
            <v>68.451499938964844</v>
          </cell>
          <cell r="F7494" t="str">
            <v>14 Aug 2024</v>
          </cell>
        </row>
        <row r="7495">
          <cell r="A7495" t="str">
            <v>MDV</v>
          </cell>
          <cell r="B7495">
            <v>2019</v>
          </cell>
          <cell r="C7495" t="str">
            <v>macpiz</v>
          </cell>
          <cell r="D7495">
            <v>0.21523009240627289</v>
          </cell>
          <cell r="F7495" t="str">
            <v>14 Aug 2024</v>
          </cell>
        </row>
        <row r="7496">
          <cell r="A7496" t="str">
            <v>MDV</v>
          </cell>
          <cell r="B7496">
            <v>2014</v>
          </cell>
          <cell r="C7496" t="str">
            <v>maagrfc</v>
          </cell>
          <cell r="D7496">
            <v>-0.35352241992950439</v>
          </cell>
          <cell r="F7496" t="str">
            <v>14 Aug 2024</v>
          </cell>
        </row>
        <row r="7497">
          <cell r="A7497" t="str">
            <v>MDV</v>
          </cell>
          <cell r="B7497">
            <v>2010</v>
          </cell>
          <cell r="C7497" t="str">
            <v>mar_con</v>
          </cell>
          <cell r="D7497">
            <v>34.453266143798828</v>
          </cell>
          <cell r="F7497" t="str">
            <v>14 Aug 2024</v>
          </cell>
        </row>
        <row r="7498">
          <cell r="A7498" t="str">
            <v>MDV</v>
          </cell>
          <cell r="B7498">
            <v>2010</v>
          </cell>
          <cell r="C7498" t="str">
            <v>mataxfc</v>
          </cell>
          <cell r="D7498">
            <v>15.438533782958984</v>
          </cell>
          <cell r="F7498" t="str">
            <v>14 Aug 2024</v>
          </cell>
        </row>
        <row r="7499">
          <cell r="A7499" t="str">
            <v>MDV</v>
          </cell>
          <cell r="B7499">
            <v>2007</v>
          </cell>
          <cell r="C7499" t="str">
            <v>magap_</v>
          </cell>
          <cell r="D7499">
            <v>7.1309537887573242</v>
          </cell>
          <cell r="F7499" t="str">
            <v>14 Aug 2024</v>
          </cell>
        </row>
        <row r="7500">
          <cell r="A7500" t="str">
            <v>MDV</v>
          </cell>
          <cell r="B7500">
            <v>2023</v>
          </cell>
          <cell r="C7500" t="str">
            <v>mareer</v>
          </cell>
          <cell r="D7500">
            <v>64.735298156738281</v>
          </cell>
          <cell r="F7500" t="str">
            <v>14 Aug 2024</v>
          </cell>
        </row>
        <row r="7501">
          <cell r="A7501" t="str">
            <v>MDV</v>
          </cell>
          <cell r="B7501">
            <v>2012</v>
          </cell>
          <cell r="C7501" t="str">
            <v>macpiz</v>
          </cell>
          <cell r="D7501">
            <v>10.894941329956055</v>
          </cell>
          <cell r="F7501" t="str">
            <v>14 Aug 2024</v>
          </cell>
        </row>
        <row r="7502">
          <cell r="A7502" t="str">
            <v>MDV</v>
          </cell>
          <cell r="B7502">
            <v>2011</v>
          </cell>
          <cell r="C7502" t="str">
            <v>mafdi_</v>
          </cell>
          <cell r="D7502">
            <v>-15.26590847076776</v>
          </cell>
          <cell r="F7502" t="str">
            <v>14 Aug 2024</v>
          </cell>
        </row>
        <row r="7503">
          <cell r="A7503" t="str">
            <v>MDV</v>
          </cell>
          <cell r="B7503">
            <v>2013</v>
          </cell>
          <cell r="C7503" t="str">
            <v>mareer</v>
          </cell>
          <cell r="D7503">
            <v>85.704147338867188</v>
          </cell>
          <cell r="F7503" t="str">
            <v>14 Aug 2024</v>
          </cell>
        </row>
        <row r="7504">
          <cell r="A7504" t="str">
            <v>MDV</v>
          </cell>
          <cell r="B7504">
            <v>2007</v>
          </cell>
          <cell r="C7504" t="str">
            <v>mafdi_</v>
          </cell>
          <cell r="D7504"/>
          <cell r="F7504" t="str">
            <v>14 Aug 2024</v>
          </cell>
        </row>
        <row r="7505">
          <cell r="A7505" t="str">
            <v>MDV</v>
          </cell>
          <cell r="B7505">
            <v>2008</v>
          </cell>
          <cell r="C7505" t="str">
            <v>magap_</v>
          </cell>
          <cell r="D7505">
            <v>9.4441452026367188</v>
          </cell>
          <cell r="F7505" t="str">
            <v>14 Aug 2024</v>
          </cell>
        </row>
        <row r="7506">
          <cell r="A7506" t="str">
            <v>MDV</v>
          </cell>
          <cell r="B7506">
            <v>2022</v>
          </cell>
          <cell r="C7506" t="str">
            <v>madeficit_</v>
          </cell>
          <cell r="D7506">
            <v>-11.960769653320313</v>
          </cell>
          <cell r="F7506" t="str">
            <v>14 Aug 2024</v>
          </cell>
        </row>
        <row r="7507">
          <cell r="A7507" t="str">
            <v>MDV</v>
          </cell>
          <cell r="B7507">
            <v>2019</v>
          </cell>
          <cell r="C7507" t="str">
            <v>mapanusatls</v>
          </cell>
          <cell r="D7507">
            <v>15.380000114440918</v>
          </cell>
          <cell r="F7507" t="str">
            <v>14 Aug 2024</v>
          </cell>
        </row>
        <row r="7508">
          <cell r="A7508" t="str">
            <v>MDV</v>
          </cell>
          <cell r="B7508">
            <v>2025</v>
          </cell>
          <cell r="C7508" t="str">
            <v>mar_indfc</v>
          </cell>
          <cell r="D7508">
            <v>3.6379054188728333E-2</v>
          </cell>
          <cell r="F7508" t="str">
            <v>14 Aug 2024</v>
          </cell>
        </row>
        <row r="7509">
          <cell r="A7509" t="str">
            <v>MDV</v>
          </cell>
          <cell r="B7509">
            <v>2017</v>
          </cell>
          <cell r="C7509" t="str">
            <v>malabz</v>
          </cell>
          <cell r="D7509">
            <v>4.4077019691467285</v>
          </cell>
          <cell r="F7509" t="str">
            <v>14 Aug 2024</v>
          </cell>
        </row>
        <row r="7510">
          <cell r="A7510" t="str">
            <v>MDV</v>
          </cell>
          <cell r="B7510">
            <v>2013</v>
          </cell>
          <cell r="C7510" t="str">
            <v>maagrfc</v>
          </cell>
          <cell r="D7510">
            <v>7.0766072273254395</v>
          </cell>
          <cell r="F7510" t="str">
            <v>14 Aug 2024</v>
          </cell>
        </row>
        <row r="7511">
          <cell r="A7511" t="str">
            <v>MDV</v>
          </cell>
          <cell r="B7511">
            <v>2023</v>
          </cell>
          <cell r="C7511" t="str">
            <v>mafdi_</v>
          </cell>
          <cell r="D7511">
            <v>-12.10156002935288</v>
          </cell>
          <cell r="F7511" t="str">
            <v>14 Aug 2024</v>
          </cell>
        </row>
        <row r="7512">
          <cell r="A7512" t="str">
            <v>MDV</v>
          </cell>
          <cell r="B7512">
            <v>2008</v>
          </cell>
          <cell r="C7512" t="str">
            <v>mainvz</v>
          </cell>
          <cell r="D7512">
            <v>9.4853229522705078</v>
          </cell>
          <cell r="F7512" t="str">
            <v>14 Aug 2024</v>
          </cell>
        </row>
        <row r="7513">
          <cell r="A7513" t="str">
            <v>MDV</v>
          </cell>
          <cell r="B7513">
            <v>2018</v>
          </cell>
          <cell r="C7513" t="str">
            <v>malabz</v>
          </cell>
          <cell r="D7513">
            <v>3.9789004325866699</v>
          </cell>
          <cell r="F7513" t="str">
            <v>14 Aug 2024</v>
          </cell>
        </row>
        <row r="7514">
          <cell r="A7514" t="str">
            <v>MDV</v>
          </cell>
          <cell r="B7514">
            <v>2005</v>
          </cell>
          <cell r="C7514" t="str">
            <v>mar_impz</v>
          </cell>
          <cell r="D7514">
            <v>77.557777404785156</v>
          </cell>
          <cell r="F7514" t="str">
            <v>14 Aug 2024</v>
          </cell>
        </row>
        <row r="7515">
          <cell r="A7515" t="str">
            <v>MDV</v>
          </cell>
          <cell r="B7515">
            <v>2008</v>
          </cell>
          <cell r="C7515" t="str">
            <v>madeficit_</v>
          </cell>
          <cell r="D7515">
            <v>-10.267196655273438</v>
          </cell>
          <cell r="F7515" t="str">
            <v>14 Aug 2024</v>
          </cell>
        </row>
        <row r="7516">
          <cell r="A7516" t="str">
            <v>MDV</v>
          </cell>
          <cell r="B7516">
            <v>2013</v>
          </cell>
          <cell r="C7516" t="str">
            <v>mac_labz</v>
          </cell>
          <cell r="D7516">
            <v>2.912283182144165</v>
          </cell>
          <cell r="F7516" t="str">
            <v>14 Aug 2024</v>
          </cell>
        </row>
        <row r="7517">
          <cell r="A7517" t="str">
            <v>MDV</v>
          </cell>
          <cell r="B7517">
            <v>2024</v>
          </cell>
          <cell r="C7517" t="str">
            <v>mar_agrfc</v>
          </cell>
          <cell r="D7517">
            <v>1.8810579553246498E-2</v>
          </cell>
          <cell r="F7517" t="str">
            <v>14 Aug 2024</v>
          </cell>
        </row>
        <row r="7518">
          <cell r="A7518" t="str">
            <v>MDV</v>
          </cell>
          <cell r="B7518">
            <v>2009</v>
          </cell>
          <cell r="C7518" t="str">
            <v>mar_impz</v>
          </cell>
          <cell r="D7518">
            <v>80.743728637695313</v>
          </cell>
          <cell r="F7518" t="str">
            <v>14 Aug 2024</v>
          </cell>
        </row>
        <row r="7519">
          <cell r="A7519" t="str">
            <v>MDV</v>
          </cell>
          <cell r="B7519">
            <v>2018</v>
          </cell>
          <cell r="C7519" t="str">
            <v>mareer</v>
          </cell>
          <cell r="D7519">
            <v>97.071319580078125</v>
          </cell>
          <cell r="F7519" t="str">
            <v>14 Aug 2024</v>
          </cell>
        </row>
        <row r="7520">
          <cell r="A7520" t="str">
            <v>MDV</v>
          </cell>
          <cell r="B7520">
            <v>2016</v>
          </cell>
          <cell r="C7520" t="str">
            <v>maconz</v>
          </cell>
          <cell r="D7520">
            <v>12.929277420043945</v>
          </cell>
          <cell r="F7520" t="str">
            <v>14 Aug 2024</v>
          </cell>
        </row>
        <row r="7521">
          <cell r="A7521" t="str">
            <v>MDV</v>
          </cell>
          <cell r="B7521">
            <v>2022</v>
          </cell>
          <cell r="C7521" t="str">
            <v>macpiz</v>
          </cell>
          <cell r="D7521">
            <v>2.3306176662445068</v>
          </cell>
          <cell r="F7521" t="str">
            <v>14 Aug 2024</v>
          </cell>
        </row>
        <row r="7522">
          <cell r="A7522" t="str">
            <v>MDV</v>
          </cell>
          <cell r="B7522">
            <v>2012</v>
          </cell>
          <cell r="C7522" t="str">
            <v>madeficit_</v>
          </cell>
          <cell r="D7522">
            <v>-6.9051632881164551</v>
          </cell>
          <cell r="F7522" t="str">
            <v>14 Aug 2024</v>
          </cell>
        </row>
        <row r="7523">
          <cell r="A7523" t="str">
            <v>MDV</v>
          </cell>
          <cell r="B7523">
            <v>2010</v>
          </cell>
          <cell r="C7523" t="str">
            <v>matfpz</v>
          </cell>
          <cell r="D7523">
            <v>-0.15028645098209381</v>
          </cell>
          <cell r="F7523" t="str">
            <v>14 Aug 2024</v>
          </cell>
        </row>
        <row r="7524">
          <cell r="A7524" t="str">
            <v>MDV</v>
          </cell>
          <cell r="B7524">
            <v>2007</v>
          </cell>
          <cell r="C7524" t="str">
            <v>mar_agrfc</v>
          </cell>
          <cell r="D7524">
            <v>9.8647985458374023</v>
          </cell>
          <cell r="F7524" t="str">
            <v>14 Aug 2024</v>
          </cell>
        </row>
        <row r="7525">
          <cell r="A7525" t="str">
            <v>MDV</v>
          </cell>
          <cell r="B7525">
            <v>2022</v>
          </cell>
          <cell r="C7525" t="str">
            <v>mar_indfc</v>
          </cell>
          <cell r="D7525">
            <v>9.9714193344116211</v>
          </cell>
          <cell r="F7525" t="str">
            <v>14 Aug 2024</v>
          </cell>
        </row>
        <row r="7526">
          <cell r="A7526" t="str">
            <v>MDV</v>
          </cell>
          <cell r="B7526">
            <v>2022</v>
          </cell>
          <cell r="C7526" t="str">
            <v>mac_tfpz</v>
          </cell>
          <cell r="D7526">
            <v>0.1418316662311554</v>
          </cell>
          <cell r="F7526" t="str">
            <v>14 Aug 2024</v>
          </cell>
        </row>
        <row r="7527">
          <cell r="A7527" t="str">
            <v>MDV</v>
          </cell>
          <cell r="B7527">
            <v>2017</v>
          </cell>
          <cell r="C7527" t="str">
            <v>maimpz</v>
          </cell>
          <cell r="D7527">
            <v>8.2224674224853516</v>
          </cell>
          <cell r="F7527" t="str">
            <v>14 Aug 2024</v>
          </cell>
        </row>
        <row r="7528">
          <cell r="A7528" t="str">
            <v>MDV</v>
          </cell>
          <cell r="B7528">
            <v>2016</v>
          </cell>
          <cell r="C7528" t="str">
            <v>mapanusatls</v>
          </cell>
          <cell r="D7528">
            <v>15.350000381469727</v>
          </cell>
          <cell r="F7528" t="str">
            <v>14 Aug 2024</v>
          </cell>
        </row>
        <row r="7529">
          <cell r="A7529" t="str">
            <v>MDV</v>
          </cell>
          <cell r="B7529">
            <v>2024</v>
          </cell>
          <cell r="C7529" t="str">
            <v>madeficit_</v>
          </cell>
          <cell r="D7529">
            <v>-30.949878692626953</v>
          </cell>
          <cell r="F7529" t="str">
            <v>14 Aug 2024</v>
          </cell>
        </row>
        <row r="7530">
          <cell r="A7530" t="str">
            <v>MDV</v>
          </cell>
          <cell r="B7530">
            <v>2005</v>
          </cell>
          <cell r="C7530" t="str">
            <v>masrvfc</v>
          </cell>
          <cell r="D7530">
            <v>-15.312660217285156</v>
          </cell>
          <cell r="F7530" t="str">
            <v>14 Aug 2024</v>
          </cell>
        </row>
        <row r="7531">
          <cell r="A7531" t="str">
            <v>MDV</v>
          </cell>
          <cell r="B7531">
            <v>2012</v>
          </cell>
          <cell r="C7531" t="str">
            <v>mar_impz</v>
          </cell>
          <cell r="D7531">
            <v>81.185661315917969</v>
          </cell>
          <cell r="F7531" t="str">
            <v>14 Aug 2024</v>
          </cell>
        </row>
        <row r="7532">
          <cell r="A7532" t="str">
            <v>MDV</v>
          </cell>
          <cell r="B7532">
            <v>2012</v>
          </cell>
          <cell r="C7532" t="str">
            <v>mapanusatls</v>
          </cell>
          <cell r="D7532">
            <v>15.364800453186035</v>
          </cell>
          <cell r="F7532" t="str">
            <v>14 Aug 2024</v>
          </cell>
        </row>
        <row r="7533">
          <cell r="A7533" t="str">
            <v>MDV</v>
          </cell>
          <cell r="B7533">
            <v>2026</v>
          </cell>
          <cell r="C7533" t="str">
            <v>mataxfc</v>
          </cell>
          <cell r="D7533">
            <v>4.0843181610107422</v>
          </cell>
          <cell r="F7533" t="str">
            <v>14 Aug 2024</v>
          </cell>
        </row>
        <row r="7534">
          <cell r="A7534" t="str">
            <v>MDV</v>
          </cell>
          <cell r="B7534">
            <v>2022</v>
          </cell>
          <cell r="C7534" t="str">
            <v>mar_taxfc</v>
          </cell>
          <cell r="D7534">
            <v>11.56688117980957</v>
          </cell>
          <cell r="F7534" t="str">
            <v>14 Aug 2024</v>
          </cell>
        </row>
        <row r="7535">
          <cell r="A7535" t="str">
            <v>MDV</v>
          </cell>
          <cell r="B7535">
            <v>2025</v>
          </cell>
          <cell r="C7535" t="str">
            <v>maconz</v>
          </cell>
          <cell r="D7535">
            <v>6.4621400833129883</v>
          </cell>
          <cell r="F7535" t="str">
            <v>14 Aug 2024</v>
          </cell>
        </row>
        <row r="7536">
          <cell r="A7536" t="str">
            <v>MDV</v>
          </cell>
          <cell r="B7536">
            <v>2023</v>
          </cell>
          <cell r="C7536" t="str">
            <v>mar_con</v>
          </cell>
          <cell r="D7536">
            <v>41.902698516845703</v>
          </cell>
          <cell r="F7536" t="str">
            <v>14 Aug 2024</v>
          </cell>
        </row>
        <row r="7537">
          <cell r="A7537" t="str">
            <v>MDV</v>
          </cell>
          <cell r="B7537">
            <v>2026</v>
          </cell>
          <cell r="C7537" t="str">
            <v>mar_agrfc</v>
          </cell>
          <cell r="D7537">
            <v>1.5056641772389412E-2</v>
          </cell>
          <cell r="F7537" t="str">
            <v>14 Aug 2024</v>
          </cell>
        </row>
        <row r="7538">
          <cell r="A7538" t="str">
            <v>MDV</v>
          </cell>
          <cell r="B7538">
            <v>2023</v>
          </cell>
          <cell r="C7538" t="str">
            <v>maimpz</v>
          </cell>
          <cell r="D7538">
            <v>7.6068301200866699</v>
          </cell>
          <cell r="F7538" t="str">
            <v>14 Aug 2024</v>
          </cell>
        </row>
        <row r="7539">
          <cell r="A7539" t="str">
            <v>MDV</v>
          </cell>
          <cell r="B7539">
            <v>2013</v>
          </cell>
          <cell r="C7539" t="str">
            <v>maindfc</v>
          </cell>
          <cell r="D7539">
            <v>-7.0578227043151855</v>
          </cell>
          <cell r="F7539" t="str">
            <v>14 Aug 2024</v>
          </cell>
        </row>
        <row r="7540">
          <cell r="A7540" t="str">
            <v>MDV</v>
          </cell>
          <cell r="B7540">
            <v>2013</v>
          </cell>
          <cell r="C7540" t="str">
            <v>mataxfc</v>
          </cell>
          <cell r="D7540">
            <v>8.0113716125488281</v>
          </cell>
          <cell r="F7540" t="str">
            <v>14 Aug 2024</v>
          </cell>
        </row>
        <row r="7541">
          <cell r="A7541" t="str">
            <v>MDV</v>
          </cell>
          <cell r="B7541">
            <v>2005</v>
          </cell>
          <cell r="C7541" t="str">
            <v>mataxfc</v>
          </cell>
          <cell r="D7541">
            <v>-26.920656204223633</v>
          </cell>
          <cell r="F7541" t="str">
            <v>14 Aug 2024</v>
          </cell>
        </row>
        <row r="7542">
          <cell r="A7542" t="str">
            <v>MDV</v>
          </cell>
          <cell r="B7542">
            <v>2011</v>
          </cell>
          <cell r="C7542" t="str">
            <v>mar_agrfc</v>
          </cell>
          <cell r="D7542">
            <v>7.6016263961791992</v>
          </cell>
          <cell r="F7542" t="str">
            <v>14 Aug 2024</v>
          </cell>
        </row>
        <row r="7543">
          <cell r="A7543" t="str">
            <v>MDV</v>
          </cell>
          <cell r="B7543">
            <v>2006</v>
          </cell>
          <cell r="C7543" t="str">
            <v>madeficit_</v>
          </cell>
          <cell r="D7543">
            <v>-4.7677464485168457</v>
          </cell>
          <cell r="F7543" t="str">
            <v>14 Aug 2024</v>
          </cell>
        </row>
        <row r="7544">
          <cell r="A7544" t="str">
            <v>MDV</v>
          </cell>
          <cell r="B7544">
            <v>2008</v>
          </cell>
          <cell r="C7544" t="str">
            <v>mafdi_</v>
          </cell>
          <cell r="D7544"/>
          <cell r="F7544" t="str">
            <v>14 Aug 2024</v>
          </cell>
        </row>
        <row r="7545">
          <cell r="A7545" t="str">
            <v>MDV</v>
          </cell>
          <cell r="B7545">
            <v>2014</v>
          </cell>
          <cell r="C7545" t="str">
            <v>mareer</v>
          </cell>
          <cell r="D7545">
            <v>89.082069396972656</v>
          </cell>
          <cell r="F7545" t="str">
            <v>14 Aug 2024</v>
          </cell>
        </row>
        <row r="7546">
          <cell r="A7546" t="str">
            <v>MDV</v>
          </cell>
          <cell r="B7546">
            <v>2009</v>
          </cell>
          <cell r="C7546" t="str">
            <v>mataxfc</v>
          </cell>
          <cell r="D7546">
            <v>-17.980846405029297</v>
          </cell>
          <cell r="F7546" t="str">
            <v>14 Aug 2024</v>
          </cell>
        </row>
        <row r="7547">
          <cell r="A7547" t="str">
            <v>MDV</v>
          </cell>
          <cell r="B7547">
            <v>2018</v>
          </cell>
          <cell r="C7547" t="str">
            <v>mar_taxfc</v>
          </cell>
          <cell r="D7547">
            <v>14.224617004394531</v>
          </cell>
          <cell r="F7547" t="str">
            <v>14 Aug 2024</v>
          </cell>
        </row>
        <row r="7548">
          <cell r="A7548" t="str">
            <v>MDV</v>
          </cell>
          <cell r="B7548">
            <v>2011</v>
          </cell>
          <cell r="C7548" t="str">
            <v>magovz</v>
          </cell>
          <cell r="D7548">
            <v>8.5667362213134766</v>
          </cell>
          <cell r="F7548" t="str">
            <v>14 Aug 2024</v>
          </cell>
        </row>
        <row r="7549">
          <cell r="A7549" t="str">
            <v>MDV</v>
          </cell>
          <cell r="B7549">
            <v>2015</v>
          </cell>
          <cell r="C7549" t="str">
            <v>madebt_</v>
          </cell>
          <cell r="D7549">
            <v>54.758708953857422</v>
          </cell>
          <cell r="F7549" t="str">
            <v>14 Aug 2024</v>
          </cell>
        </row>
        <row r="7550">
          <cell r="A7550" t="str">
            <v>MDV</v>
          </cell>
          <cell r="B7550">
            <v>2012</v>
          </cell>
          <cell r="C7550" t="str">
            <v>magovz</v>
          </cell>
          <cell r="D7550">
            <v>2.5173847675323486</v>
          </cell>
          <cell r="F7550" t="str">
            <v>14 Aug 2024</v>
          </cell>
        </row>
        <row r="7551">
          <cell r="A7551" t="str">
            <v>MDV</v>
          </cell>
          <cell r="B7551">
            <v>2017</v>
          </cell>
          <cell r="C7551" t="str">
            <v>masrvfc</v>
          </cell>
          <cell r="D7551">
            <v>5.9019989967346191</v>
          </cell>
          <cell r="F7551" t="str">
            <v>14 Aug 2024</v>
          </cell>
        </row>
        <row r="7552">
          <cell r="A7552" t="str">
            <v>MDV</v>
          </cell>
          <cell r="B7552">
            <v>2013</v>
          </cell>
          <cell r="C7552" t="str">
            <v>mainvz</v>
          </cell>
          <cell r="D7552">
            <v>7.2810764312744141</v>
          </cell>
          <cell r="F7552" t="str">
            <v>14 Aug 2024</v>
          </cell>
        </row>
        <row r="7553">
          <cell r="A7553" t="str">
            <v>MDV</v>
          </cell>
          <cell r="B7553">
            <v>2018</v>
          </cell>
          <cell r="C7553" t="str">
            <v>maindfc</v>
          </cell>
          <cell r="D7553">
            <v>17.445846557617188</v>
          </cell>
          <cell r="F7553" t="str">
            <v>14 Aug 2024</v>
          </cell>
        </row>
        <row r="7554">
          <cell r="A7554" t="str">
            <v>MDV</v>
          </cell>
          <cell r="B7554">
            <v>2019</v>
          </cell>
          <cell r="C7554" t="str">
            <v>mar_con</v>
          </cell>
          <cell r="D7554">
            <v>45.333152770996094</v>
          </cell>
          <cell r="F7554" t="str">
            <v>14 Aug 2024</v>
          </cell>
        </row>
        <row r="7555">
          <cell r="A7555" t="str">
            <v>MDV</v>
          </cell>
          <cell r="B7555">
            <v>2015</v>
          </cell>
          <cell r="C7555" t="str">
            <v>mafdi_</v>
          </cell>
          <cell r="D7555">
            <v>-7.236382933250149</v>
          </cell>
          <cell r="F7555" t="str">
            <v>14 Aug 2024</v>
          </cell>
        </row>
        <row r="7556">
          <cell r="A7556" t="str">
            <v>MDV</v>
          </cell>
          <cell r="B7556">
            <v>2008</v>
          </cell>
          <cell r="C7556" t="str">
            <v>mar_expz</v>
          </cell>
          <cell r="D7556">
            <v>74.688804626464844</v>
          </cell>
          <cell r="F7556" t="str">
            <v>14 Aug 2024</v>
          </cell>
        </row>
        <row r="7557">
          <cell r="A7557" t="str">
            <v>MDV</v>
          </cell>
          <cell r="B7557">
            <v>2022</v>
          </cell>
          <cell r="C7557" t="str">
            <v>magdpz</v>
          </cell>
          <cell r="D7557">
            <v>13.906676292419434</v>
          </cell>
          <cell r="F7557" t="str">
            <v>14 Aug 2024</v>
          </cell>
        </row>
        <row r="7558">
          <cell r="A7558" t="str">
            <v>MDV</v>
          </cell>
          <cell r="B7558">
            <v>2012</v>
          </cell>
          <cell r="C7558" t="str">
            <v>maconz</v>
          </cell>
          <cell r="D7558">
            <v>2.5173847675323486</v>
          </cell>
          <cell r="F7558" t="str">
            <v>14 Aug 2024</v>
          </cell>
        </row>
        <row r="7559">
          <cell r="A7559" t="str">
            <v>MDV</v>
          </cell>
          <cell r="B7559">
            <v>2019</v>
          </cell>
          <cell r="C7559" t="str">
            <v>madebt_</v>
          </cell>
          <cell r="D7559">
            <v>77.154457092285156</v>
          </cell>
          <cell r="F7559" t="str">
            <v>14 Aug 2024</v>
          </cell>
        </row>
        <row r="7560">
          <cell r="A7560" t="str">
            <v>MDV</v>
          </cell>
          <cell r="B7560">
            <v>2024</v>
          </cell>
          <cell r="C7560" t="str">
            <v>mar_con</v>
          </cell>
          <cell r="D7560">
            <v>0.18407653272151947</v>
          </cell>
          <cell r="F7560" t="str">
            <v>14 Aug 2024</v>
          </cell>
        </row>
        <row r="7561">
          <cell r="A7561" t="str">
            <v>MDV</v>
          </cell>
          <cell r="B7561">
            <v>2011</v>
          </cell>
          <cell r="C7561" t="str">
            <v>masrvfc</v>
          </cell>
          <cell r="D7561">
            <v>6.2786135673522949</v>
          </cell>
          <cell r="F7561" t="str">
            <v>14 Aug 2024</v>
          </cell>
        </row>
        <row r="7562">
          <cell r="A7562" t="str">
            <v>MDV</v>
          </cell>
          <cell r="B7562">
            <v>2011</v>
          </cell>
          <cell r="C7562" t="str">
            <v>mainvz</v>
          </cell>
          <cell r="D7562">
            <v>8.5667362213134766</v>
          </cell>
          <cell r="F7562" t="str">
            <v>14 Aug 2024</v>
          </cell>
        </row>
        <row r="7563">
          <cell r="A7563" t="str">
            <v>MDV</v>
          </cell>
          <cell r="B7563">
            <v>2021</v>
          </cell>
          <cell r="C7563" t="str">
            <v>magovz</v>
          </cell>
          <cell r="D7563">
            <v>-0.96127933263778687</v>
          </cell>
          <cell r="F7563" t="str">
            <v>14 Aug 2024</v>
          </cell>
        </row>
        <row r="7564">
          <cell r="A7564" t="str">
            <v>MDV</v>
          </cell>
          <cell r="B7564">
            <v>2023</v>
          </cell>
          <cell r="C7564" t="str">
            <v>maagrfc</v>
          </cell>
          <cell r="D7564">
            <v>3.2461099624633789</v>
          </cell>
          <cell r="F7564" t="str">
            <v>14 Aug 2024</v>
          </cell>
        </row>
        <row r="7565">
          <cell r="A7565" t="str">
            <v>MDV</v>
          </cell>
          <cell r="B7565">
            <v>2015</v>
          </cell>
          <cell r="C7565" t="str">
            <v>madeficit_</v>
          </cell>
          <cell r="D7565">
            <v>-6.5159206390380859</v>
          </cell>
          <cell r="F7565" t="str">
            <v>14 Aug 2024</v>
          </cell>
        </row>
        <row r="7566">
          <cell r="A7566" t="str">
            <v>MDV</v>
          </cell>
          <cell r="B7566">
            <v>2019</v>
          </cell>
          <cell r="C7566" t="str">
            <v>macab_</v>
          </cell>
          <cell r="D7566">
            <v>-26.011484146118164</v>
          </cell>
          <cell r="F7566" t="str">
            <v>14 Aug 2024</v>
          </cell>
        </row>
        <row r="7567">
          <cell r="A7567" t="str">
            <v>MDV</v>
          </cell>
          <cell r="B7567">
            <v>2019</v>
          </cell>
          <cell r="C7567" t="str">
            <v>mar_indfc</v>
          </cell>
          <cell r="D7567">
            <v>13.617179870605469</v>
          </cell>
          <cell r="F7567" t="str">
            <v>14 Aug 2024</v>
          </cell>
        </row>
        <row r="7568">
          <cell r="A7568" t="str">
            <v>MDV</v>
          </cell>
          <cell r="B7568">
            <v>2013</v>
          </cell>
          <cell r="C7568" t="str">
            <v>madebt_</v>
          </cell>
          <cell r="D7568">
            <v>56.608821868896484</v>
          </cell>
          <cell r="F7568" t="str">
            <v>14 Aug 2024</v>
          </cell>
        </row>
        <row r="7569">
          <cell r="A7569" t="str">
            <v>MDV</v>
          </cell>
          <cell r="B7569">
            <v>2015</v>
          </cell>
          <cell r="C7569" t="str">
            <v>matfpz</v>
          </cell>
          <cell r="D7569">
            <v>0.27257019281387329</v>
          </cell>
          <cell r="F7569" t="str">
            <v>14 Aug 2024</v>
          </cell>
        </row>
        <row r="7570">
          <cell r="A7570" t="str">
            <v>MDV</v>
          </cell>
          <cell r="B7570">
            <v>2015</v>
          </cell>
          <cell r="C7570" t="str">
            <v>maconz</v>
          </cell>
          <cell r="D7570">
            <v>22.094581604003906</v>
          </cell>
          <cell r="F7570" t="str">
            <v>14 Aug 2024</v>
          </cell>
        </row>
        <row r="7571">
          <cell r="A7571" t="str">
            <v>MDV</v>
          </cell>
          <cell r="B7571">
            <v>2012</v>
          </cell>
          <cell r="C7571" t="str">
            <v>maimpz</v>
          </cell>
          <cell r="D7571">
            <v>2.5173847675323486</v>
          </cell>
          <cell r="F7571" t="str">
            <v>14 Aug 2024</v>
          </cell>
        </row>
        <row r="7572">
          <cell r="A7572" t="str">
            <v>MDV</v>
          </cell>
          <cell r="B7572">
            <v>2005</v>
          </cell>
          <cell r="C7572" t="str">
            <v>mac_tfpz</v>
          </cell>
          <cell r="D7572">
            <v>0.92890793085098267</v>
          </cell>
          <cell r="F7572" t="str">
            <v>14 Aug 2024</v>
          </cell>
        </row>
        <row r="7573">
          <cell r="A7573" t="str">
            <v>MDV</v>
          </cell>
          <cell r="B7573">
            <v>2020</v>
          </cell>
          <cell r="C7573" t="str">
            <v>macab_</v>
          </cell>
          <cell r="D7573">
            <v>-35.821197509765625</v>
          </cell>
          <cell r="F7573" t="str">
            <v>14 Aug 2024</v>
          </cell>
        </row>
        <row r="7574">
          <cell r="A7574" t="str">
            <v>MDV</v>
          </cell>
          <cell r="B7574">
            <v>2018</v>
          </cell>
          <cell r="C7574" t="str">
            <v>matfpz</v>
          </cell>
          <cell r="D7574">
            <v>0.44114112854003906</v>
          </cell>
          <cell r="F7574" t="str">
            <v>14 Aug 2024</v>
          </cell>
        </row>
        <row r="7575">
          <cell r="A7575" t="str">
            <v>MDV</v>
          </cell>
          <cell r="B7575">
            <v>2012</v>
          </cell>
          <cell r="C7575" t="str">
            <v>masrvfc</v>
          </cell>
          <cell r="D7575">
            <v>2.5088961124420166</v>
          </cell>
          <cell r="F7575" t="str">
            <v>14 Aug 2024</v>
          </cell>
        </row>
        <row r="7576">
          <cell r="A7576" t="str">
            <v>MDV</v>
          </cell>
          <cell r="B7576">
            <v>2008</v>
          </cell>
          <cell r="C7576" t="str">
            <v>mar_impz</v>
          </cell>
          <cell r="D7576">
            <v>79.935234069824219</v>
          </cell>
          <cell r="F7576" t="str">
            <v>14 Aug 2024</v>
          </cell>
        </row>
        <row r="7577">
          <cell r="A7577" t="str">
            <v>MDV</v>
          </cell>
          <cell r="B7577">
            <v>2026</v>
          </cell>
          <cell r="C7577" t="str">
            <v>malabz</v>
          </cell>
          <cell r="D7577">
            <v>-0.50382000207901001</v>
          </cell>
          <cell r="F7577" t="str">
            <v>14 Aug 2024</v>
          </cell>
        </row>
        <row r="7578">
          <cell r="A7578" t="str">
            <v>MDV</v>
          </cell>
          <cell r="B7578">
            <v>2026</v>
          </cell>
          <cell r="C7578" t="str">
            <v>madebt_</v>
          </cell>
          <cell r="D7578">
            <v>41.916305541992188</v>
          </cell>
          <cell r="F7578" t="str">
            <v>14 Aug 2024</v>
          </cell>
        </row>
        <row r="7579">
          <cell r="A7579" t="str">
            <v>MDV</v>
          </cell>
          <cell r="B7579">
            <v>2010</v>
          </cell>
          <cell r="C7579" t="str">
            <v>madeficit_</v>
          </cell>
          <cell r="D7579">
            <v>-10.717308044433594</v>
          </cell>
          <cell r="F7579" t="str">
            <v>14 Aug 2024</v>
          </cell>
        </row>
        <row r="7580">
          <cell r="A7580" t="str">
            <v>MDV</v>
          </cell>
          <cell r="B7580">
            <v>2015</v>
          </cell>
          <cell r="C7580" t="str">
            <v>magovz</v>
          </cell>
          <cell r="D7580">
            <v>3.7244994640350342</v>
          </cell>
          <cell r="F7580" t="str">
            <v>14 Aug 2024</v>
          </cell>
        </row>
        <row r="7581">
          <cell r="A7581" t="str">
            <v>MDV</v>
          </cell>
          <cell r="B7581">
            <v>2015</v>
          </cell>
          <cell r="C7581" t="str">
            <v>magap_</v>
          </cell>
          <cell r="D7581">
            <v>-1.6875269412994385</v>
          </cell>
          <cell r="F7581" t="str">
            <v>14 Aug 2024</v>
          </cell>
        </row>
        <row r="7582">
          <cell r="A7582" t="str">
            <v>MDV</v>
          </cell>
          <cell r="B7582">
            <v>2018</v>
          </cell>
          <cell r="C7582" t="str">
            <v>mac_tfpz</v>
          </cell>
          <cell r="D7582">
            <v>0.44114112854003906</v>
          </cell>
          <cell r="F7582" t="str">
            <v>14 Aug 2024</v>
          </cell>
        </row>
        <row r="7583">
          <cell r="A7583" t="str">
            <v>MDV</v>
          </cell>
          <cell r="B7583">
            <v>2014</v>
          </cell>
          <cell r="C7583" t="str">
            <v>mar_srvfc</v>
          </cell>
          <cell r="D7583">
            <v>82.475234985351563</v>
          </cell>
          <cell r="F7583" t="str">
            <v>14 Aug 2024</v>
          </cell>
        </row>
        <row r="7584">
          <cell r="A7584" t="str">
            <v>MDV</v>
          </cell>
          <cell r="B7584">
            <v>2015</v>
          </cell>
          <cell r="C7584" t="str">
            <v>mar_con</v>
          </cell>
          <cell r="D7584">
            <v>40.459831237792969</v>
          </cell>
          <cell r="F7584" t="str">
            <v>14 Aug 2024</v>
          </cell>
        </row>
        <row r="7585">
          <cell r="A7585" t="str">
            <v>MDV</v>
          </cell>
          <cell r="B7585">
            <v>2007</v>
          </cell>
          <cell r="C7585" t="str">
            <v>mar_indfc</v>
          </cell>
          <cell r="D7585">
            <v>12.716863632202148</v>
          </cell>
          <cell r="F7585" t="str">
            <v>14 Aug 2024</v>
          </cell>
        </row>
        <row r="7586">
          <cell r="A7586" t="str">
            <v>MDV</v>
          </cell>
          <cell r="B7586">
            <v>2021</v>
          </cell>
          <cell r="C7586" t="str">
            <v>madebt_</v>
          </cell>
          <cell r="D7586">
            <v>117.05635070800781</v>
          </cell>
          <cell r="F7586" t="str">
            <v>14 Aug 2024</v>
          </cell>
        </row>
        <row r="7587">
          <cell r="A7587" t="str">
            <v>MDV</v>
          </cell>
          <cell r="B7587">
            <v>2025</v>
          </cell>
          <cell r="C7587" t="str">
            <v>masrvfc</v>
          </cell>
          <cell r="D7587">
            <v>15.578781127929688</v>
          </cell>
          <cell r="F7587" t="str">
            <v>14 Aug 2024</v>
          </cell>
        </row>
        <row r="7588">
          <cell r="A7588" t="str">
            <v>MDV</v>
          </cell>
          <cell r="B7588">
            <v>2014</v>
          </cell>
          <cell r="C7588" t="str">
            <v>mar_taxfc</v>
          </cell>
          <cell r="D7588">
            <v>16.46009635925293</v>
          </cell>
          <cell r="F7588" t="str">
            <v>14 Aug 2024</v>
          </cell>
        </row>
        <row r="7589">
          <cell r="A7589" t="str">
            <v>MDV</v>
          </cell>
          <cell r="B7589">
            <v>2005</v>
          </cell>
          <cell r="C7589" t="str">
            <v>mareer</v>
          </cell>
          <cell r="D7589">
            <v>67.112136840820313</v>
          </cell>
          <cell r="F7589" t="str">
            <v>14 Aug 2024</v>
          </cell>
        </row>
        <row r="7590">
          <cell r="A7590" t="str">
            <v>NPL</v>
          </cell>
          <cell r="B7590">
            <v>2018</v>
          </cell>
          <cell r="C7590" t="str">
            <v>magdpz</v>
          </cell>
          <cell r="D7590">
            <v>7.6223759651184082</v>
          </cell>
          <cell r="F7590" t="str">
            <v>14 Aug 2024</v>
          </cell>
        </row>
        <row r="7591">
          <cell r="A7591" t="str">
            <v>NPL</v>
          </cell>
          <cell r="B7591">
            <v>2014</v>
          </cell>
          <cell r="C7591" t="str">
            <v>mar_taxfc</v>
          </cell>
          <cell r="D7591">
            <v>9.035670280456543</v>
          </cell>
          <cell r="F7591" t="str">
            <v>14 Aug 2024</v>
          </cell>
        </row>
        <row r="7592">
          <cell r="A7592" t="str">
            <v>NPL</v>
          </cell>
          <cell r="B7592">
            <v>2025</v>
          </cell>
          <cell r="C7592" t="str">
            <v>mafdi_</v>
          </cell>
          <cell r="D7592">
            <v>-0.40564000606536865</v>
          </cell>
          <cell r="F7592" t="str">
            <v>14 Aug 2024</v>
          </cell>
        </row>
        <row r="7593">
          <cell r="A7593" t="str">
            <v>NPL</v>
          </cell>
          <cell r="B7593">
            <v>2016</v>
          </cell>
          <cell r="C7593" t="str">
            <v>macab_</v>
          </cell>
          <cell r="D7593">
            <v>5.3837661743164063</v>
          </cell>
          <cell r="F7593" t="str">
            <v>14 Aug 2024</v>
          </cell>
        </row>
        <row r="7594">
          <cell r="A7594" t="str">
            <v>NPL</v>
          </cell>
          <cell r="B7594">
            <v>2007</v>
          </cell>
          <cell r="C7594" t="str">
            <v>mar_con</v>
          </cell>
          <cell r="D7594">
            <v>81.749603271484375</v>
          </cell>
          <cell r="F7594" t="str">
            <v>14 Aug 2024</v>
          </cell>
        </row>
        <row r="7595">
          <cell r="A7595" t="str">
            <v>NPL</v>
          </cell>
          <cell r="B7595">
            <v>2024</v>
          </cell>
          <cell r="C7595" t="str">
            <v>madeficit_</v>
          </cell>
          <cell r="D7595">
            <v>-5.3867440223693848</v>
          </cell>
          <cell r="F7595" t="str">
            <v>14 Aug 2024</v>
          </cell>
        </row>
        <row r="7596">
          <cell r="A7596" t="str">
            <v>NPL</v>
          </cell>
          <cell r="B7596">
            <v>2023</v>
          </cell>
          <cell r="C7596" t="str">
            <v>maexpz</v>
          </cell>
          <cell r="D7596">
            <v>5.5469861030578613</v>
          </cell>
          <cell r="F7596" t="str">
            <v>14 Aug 2024</v>
          </cell>
        </row>
        <row r="7597">
          <cell r="A7597" t="str">
            <v>NPL</v>
          </cell>
          <cell r="B7597">
            <v>2025</v>
          </cell>
          <cell r="C7597" t="str">
            <v>mar_srvfc</v>
          </cell>
          <cell r="D7597">
            <v>55.024589538574219</v>
          </cell>
          <cell r="F7597" t="str">
            <v>14 Aug 2024</v>
          </cell>
        </row>
        <row r="7598">
          <cell r="A7598" t="str">
            <v>NPL</v>
          </cell>
          <cell r="B7598">
            <v>2005</v>
          </cell>
          <cell r="C7598" t="str">
            <v>matfpz</v>
          </cell>
          <cell r="D7598">
            <v>0.54555755853652954</v>
          </cell>
          <cell r="F7598" t="str">
            <v>14 Aug 2024</v>
          </cell>
        </row>
        <row r="7599">
          <cell r="A7599" t="str">
            <v>NPL</v>
          </cell>
          <cell r="B7599">
            <v>2009</v>
          </cell>
          <cell r="C7599" t="str">
            <v>mac_tfpz</v>
          </cell>
          <cell r="D7599">
            <v>0.73302644491195679</v>
          </cell>
          <cell r="F7599" t="str">
            <v>14 Aug 2024</v>
          </cell>
        </row>
        <row r="7600">
          <cell r="A7600" t="str">
            <v>NPL</v>
          </cell>
          <cell r="B7600">
            <v>2006</v>
          </cell>
          <cell r="C7600" t="str">
            <v>malabz</v>
          </cell>
          <cell r="D7600">
            <v>1.6410449743270874</v>
          </cell>
          <cell r="F7600" t="str">
            <v>14 Aug 2024</v>
          </cell>
        </row>
        <row r="7601">
          <cell r="A7601" t="str">
            <v>NPL</v>
          </cell>
          <cell r="B7601">
            <v>2022</v>
          </cell>
          <cell r="C7601" t="str">
            <v>macab_</v>
          </cell>
          <cell r="D7601">
            <v>-12.635080337524414</v>
          </cell>
          <cell r="F7601" t="str">
            <v>14 Aug 2024</v>
          </cell>
        </row>
        <row r="7602">
          <cell r="A7602" t="str">
            <v>NPL</v>
          </cell>
          <cell r="B7602">
            <v>2011</v>
          </cell>
          <cell r="C7602" t="str">
            <v>magovz</v>
          </cell>
          <cell r="D7602">
            <v>-10.131331443786621</v>
          </cell>
          <cell r="F7602" t="str">
            <v>14 Aug 2024</v>
          </cell>
        </row>
        <row r="7603">
          <cell r="A7603" t="str">
            <v>NPL</v>
          </cell>
          <cell r="B7603">
            <v>2024</v>
          </cell>
          <cell r="C7603" t="str">
            <v>mafdi_</v>
          </cell>
          <cell r="D7603">
            <v>-0.1670600026845932</v>
          </cell>
          <cell r="F7603" t="str">
            <v>14 Aug 2024</v>
          </cell>
        </row>
        <row r="7604">
          <cell r="A7604" t="str">
            <v>NPL</v>
          </cell>
          <cell r="B7604">
            <v>2017</v>
          </cell>
          <cell r="C7604" t="str">
            <v>mar_srvfc</v>
          </cell>
          <cell r="D7604">
            <v>54.020782470703125</v>
          </cell>
          <cell r="F7604" t="str">
            <v>14 Aug 2024</v>
          </cell>
        </row>
        <row r="7605">
          <cell r="A7605" t="str">
            <v>NPL</v>
          </cell>
          <cell r="B7605">
            <v>2015</v>
          </cell>
          <cell r="C7605" t="str">
            <v>macab_</v>
          </cell>
          <cell r="D7605">
            <v>4.4693050384521484</v>
          </cell>
          <cell r="F7605" t="str">
            <v>14 Aug 2024</v>
          </cell>
        </row>
        <row r="7606">
          <cell r="A7606" t="str">
            <v>NPL</v>
          </cell>
          <cell r="B7606">
            <v>2007</v>
          </cell>
          <cell r="C7606" t="str">
            <v>maimpz</v>
          </cell>
          <cell r="D7606">
            <v>2.9457018375396729</v>
          </cell>
          <cell r="F7606" t="str">
            <v>14 Aug 2024</v>
          </cell>
        </row>
        <row r="7607">
          <cell r="A7607" t="str">
            <v>NPL</v>
          </cell>
          <cell r="B7607">
            <v>2014</v>
          </cell>
          <cell r="C7607" t="str">
            <v>magap_</v>
          </cell>
          <cell r="D7607">
            <v>1.9594330787658691</v>
          </cell>
          <cell r="F7607" t="str">
            <v>14 Aug 2024</v>
          </cell>
        </row>
        <row r="7608">
          <cell r="A7608" t="str">
            <v>NPL</v>
          </cell>
          <cell r="B7608">
            <v>2014</v>
          </cell>
          <cell r="C7608" t="str">
            <v>madebt_</v>
          </cell>
          <cell r="D7608">
            <v>24.792898178100586</v>
          </cell>
          <cell r="F7608" t="str">
            <v>14 Aug 2024</v>
          </cell>
        </row>
        <row r="7609">
          <cell r="A7609" t="str">
            <v>NPL</v>
          </cell>
          <cell r="B7609">
            <v>2011</v>
          </cell>
          <cell r="C7609" t="str">
            <v>mar_taxfc</v>
          </cell>
          <cell r="D7609">
            <v>8.575439453125</v>
          </cell>
          <cell r="F7609" t="str">
            <v>14 Aug 2024</v>
          </cell>
        </row>
        <row r="7610">
          <cell r="A7610" t="str">
            <v>NPL</v>
          </cell>
          <cell r="B7610">
            <v>2013</v>
          </cell>
          <cell r="C7610" t="str">
            <v>masrvfc</v>
          </cell>
          <cell r="D7610">
            <v>4.3025393486022949</v>
          </cell>
          <cell r="F7610" t="str">
            <v>14 Aug 2024</v>
          </cell>
        </row>
        <row r="7611">
          <cell r="A7611" t="str">
            <v>NPL</v>
          </cell>
          <cell r="B7611">
            <v>2016</v>
          </cell>
          <cell r="C7611" t="str">
            <v>madebt_</v>
          </cell>
          <cell r="D7611">
            <v>24.069969177246094</v>
          </cell>
          <cell r="F7611" t="str">
            <v>14 Aug 2024</v>
          </cell>
        </row>
        <row r="7612">
          <cell r="A7612" t="str">
            <v>NPL</v>
          </cell>
          <cell r="B7612">
            <v>2009</v>
          </cell>
          <cell r="C7612" t="str">
            <v>mareer</v>
          </cell>
          <cell r="D7612">
            <v>80.490303039550781</v>
          </cell>
          <cell r="F7612" t="str">
            <v>14 Aug 2024</v>
          </cell>
        </row>
        <row r="7613">
          <cell r="A7613" t="str">
            <v>NPL</v>
          </cell>
          <cell r="B7613">
            <v>2019</v>
          </cell>
          <cell r="C7613" t="str">
            <v>madebt_</v>
          </cell>
          <cell r="D7613">
            <v>27.161846160888672</v>
          </cell>
          <cell r="F7613" t="str">
            <v>14 Aug 2024</v>
          </cell>
        </row>
        <row r="7614">
          <cell r="A7614" t="str">
            <v>NPL</v>
          </cell>
          <cell r="B7614">
            <v>2020</v>
          </cell>
          <cell r="C7614" t="str">
            <v>macab_</v>
          </cell>
          <cell r="D7614">
            <v>-0.86823248863220215</v>
          </cell>
          <cell r="F7614" t="str">
            <v>14 Aug 2024</v>
          </cell>
        </row>
        <row r="7615">
          <cell r="A7615" t="str">
            <v>NPL</v>
          </cell>
          <cell r="B7615">
            <v>2013</v>
          </cell>
          <cell r="C7615" t="str">
            <v>maconz</v>
          </cell>
          <cell r="D7615">
            <v>2.6482248306274414</v>
          </cell>
          <cell r="F7615" t="str">
            <v>14 Aug 2024</v>
          </cell>
        </row>
        <row r="7616">
          <cell r="A7616" t="str">
            <v>NPL</v>
          </cell>
          <cell r="B7616">
            <v>2024</v>
          </cell>
          <cell r="C7616" t="str">
            <v>mar_indfc</v>
          </cell>
          <cell r="D7616">
            <v>16.333976745605469</v>
          </cell>
          <cell r="F7616" t="str">
            <v>14 Aug 2024</v>
          </cell>
        </row>
        <row r="7617">
          <cell r="A7617" t="str">
            <v>NPL</v>
          </cell>
          <cell r="B7617">
            <v>2022</v>
          </cell>
          <cell r="C7617" t="str">
            <v>mar_taxfc</v>
          </cell>
          <cell r="D7617">
            <v>11.736935615539551</v>
          </cell>
          <cell r="F7617" t="str">
            <v>14 Aug 2024</v>
          </cell>
        </row>
        <row r="7618">
          <cell r="A7618" t="str">
            <v>NPL</v>
          </cell>
          <cell r="B7618">
            <v>2016</v>
          </cell>
          <cell r="C7618" t="str">
            <v>magovz</v>
          </cell>
          <cell r="D7618">
            <v>-11.961391448974609</v>
          </cell>
          <cell r="F7618" t="str">
            <v>14 Aug 2024</v>
          </cell>
        </row>
        <row r="7619">
          <cell r="A7619" t="str">
            <v>NPL</v>
          </cell>
          <cell r="B7619">
            <v>2012</v>
          </cell>
          <cell r="C7619" t="str">
            <v>macpiz</v>
          </cell>
          <cell r="D7619">
            <v>8.3051376342773438</v>
          </cell>
          <cell r="F7619" t="str">
            <v>14 Aug 2024</v>
          </cell>
        </row>
        <row r="7620">
          <cell r="A7620" t="str">
            <v>NPL</v>
          </cell>
          <cell r="B7620">
            <v>2017</v>
          </cell>
          <cell r="C7620" t="str">
            <v>maindfc</v>
          </cell>
          <cell r="D7620">
            <v>17.13740348815918</v>
          </cell>
          <cell r="F7620" t="str">
            <v>14 Aug 2024</v>
          </cell>
        </row>
        <row r="7621">
          <cell r="A7621" t="str">
            <v>NPL</v>
          </cell>
          <cell r="B7621">
            <v>2015</v>
          </cell>
          <cell r="C7621" t="str">
            <v>mapanusatls</v>
          </cell>
          <cell r="D7621">
            <v>99.489273071289063</v>
          </cell>
          <cell r="F7621" t="str">
            <v>14 Aug 2024</v>
          </cell>
        </row>
        <row r="7622">
          <cell r="A7622" t="str">
            <v>NPL</v>
          </cell>
          <cell r="B7622">
            <v>2018</v>
          </cell>
          <cell r="C7622" t="str">
            <v>mac_tfpz</v>
          </cell>
          <cell r="D7622">
            <v>0.5128512978553772</v>
          </cell>
          <cell r="F7622" t="str">
            <v>14 Aug 2024</v>
          </cell>
        </row>
        <row r="7623">
          <cell r="A7623" t="str">
            <v>NPL</v>
          </cell>
          <cell r="B7623">
            <v>2014</v>
          </cell>
          <cell r="C7623" t="str">
            <v>mar_agrfc</v>
          </cell>
          <cell r="D7623">
            <v>32.588172912597656</v>
          </cell>
          <cell r="F7623" t="str">
            <v>14 Aug 2024</v>
          </cell>
        </row>
        <row r="7624">
          <cell r="A7624" t="str">
            <v>NPL</v>
          </cell>
          <cell r="B7624">
            <v>2012</v>
          </cell>
          <cell r="C7624" t="str">
            <v>maimpz</v>
          </cell>
          <cell r="D7624">
            <v>3.041987419128418</v>
          </cell>
          <cell r="F7624" t="str">
            <v>14 Aug 2024</v>
          </cell>
        </row>
        <row r="7625">
          <cell r="A7625" t="str">
            <v>NPL</v>
          </cell>
          <cell r="B7625">
            <v>2024</v>
          </cell>
          <cell r="C7625" t="str">
            <v>mataxfc</v>
          </cell>
          <cell r="D7625">
            <v>3.2999720573425293</v>
          </cell>
          <cell r="F7625" t="str">
            <v>14 Aug 2024</v>
          </cell>
        </row>
        <row r="7626">
          <cell r="A7626" t="str">
            <v>NPL</v>
          </cell>
          <cell r="B7626">
            <v>2006</v>
          </cell>
          <cell r="C7626" t="str">
            <v>mar_con</v>
          </cell>
          <cell r="D7626">
            <v>81.944839477539063</v>
          </cell>
          <cell r="F7626" t="str">
            <v>14 Aug 2024</v>
          </cell>
        </row>
        <row r="7627">
          <cell r="A7627" t="str">
            <v>NPL</v>
          </cell>
          <cell r="B7627">
            <v>2018</v>
          </cell>
          <cell r="C7627" t="str">
            <v>magap_</v>
          </cell>
          <cell r="D7627">
            <v>-0.1111956462264061</v>
          </cell>
          <cell r="F7627" t="str">
            <v>14 Aug 2024</v>
          </cell>
        </row>
        <row r="7628">
          <cell r="A7628" t="str">
            <v>NPL</v>
          </cell>
          <cell r="B7628">
            <v>2023</v>
          </cell>
          <cell r="C7628" t="str">
            <v>magovz</v>
          </cell>
          <cell r="D7628">
            <v>-35.157371520996094</v>
          </cell>
          <cell r="F7628" t="str">
            <v>14 Aug 2024</v>
          </cell>
        </row>
        <row r="7629">
          <cell r="A7629" t="str">
            <v>NPL</v>
          </cell>
          <cell r="B7629">
            <v>2023</v>
          </cell>
          <cell r="C7629" t="str">
            <v>madeficit_</v>
          </cell>
          <cell r="D7629">
            <v>-6.201667308807373</v>
          </cell>
          <cell r="F7629" t="str">
            <v>14 Aug 2024</v>
          </cell>
        </row>
        <row r="7630">
          <cell r="A7630" t="str">
            <v>NPL</v>
          </cell>
          <cell r="B7630">
            <v>2012</v>
          </cell>
          <cell r="C7630" t="str">
            <v>mainvz</v>
          </cell>
          <cell r="D7630">
            <v>1.9338427782058716</v>
          </cell>
          <cell r="F7630" t="str">
            <v>14 Aug 2024</v>
          </cell>
        </row>
        <row r="7631">
          <cell r="A7631" t="str">
            <v>NPL</v>
          </cell>
          <cell r="B7631">
            <v>2010</v>
          </cell>
          <cell r="C7631" t="str">
            <v>maconz</v>
          </cell>
          <cell r="D7631">
            <v>6.2323780059814453</v>
          </cell>
          <cell r="F7631" t="str">
            <v>14 Aug 2024</v>
          </cell>
        </row>
        <row r="7632">
          <cell r="A7632" t="str">
            <v>NPL</v>
          </cell>
          <cell r="B7632">
            <v>2015</v>
          </cell>
          <cell r="C7632" t="str">
            <v>mar_indfc</v>
          </cell>
          <cell r="D7632">
            <v>14.64776611328125</v>
          </cell>
          <cell r="F7632" t="str">
            <v>14 Aug 2024</v>
          </cell>
        </row>
        <row r="7633">
          <cell r="A7633" t="str">
            <v>NPL</v>
          </cell>
          <cell r="B7633">
            <v>2007</v>
          </cell>
          <cell r="C7633" t="str">
            <v>mar_indfc</v>
          </cell>
          <cell r="D7633">
            <v>16.861614227294922</v>
          </cell>
          <cell r="F7633" t="str">
            <v>14 Aug 2024</v>
          </cell>
        </row>
        <row r="7634">
          <cell r="A7634" t="str">
            <v>NPL</v>
          </cell>
          <cell r="B7634">
            <v>2016</v>
          </cell>
          <cell r="C7634" t="str">
            <v>masrvfc</v>
          </cell>
          <cell r="D7634">
            <v>1.1867355108261108</v>
          </cell>
          <cell r="F7634" t="str">
            <v>14 Aug 2024</v>
          </cell>
        </row>
        <row r="7635">
          <cell r="A7635" t="str">
            <v>NPL</v>
          </cell>
          <cell r="B7635">
            <v>2015</v>
          </cell>
          <cell r="C7635" t="str">
            <v>magovz</v>
          </cell>
          <cell r="D7635">
            <v>11.502138137817383</v>
          </cell>
          <cell r="F7635" t="str">
            <v>14 Aug 2024</v>
          </cell>
        </row>
        <row r="7636">
          <cell r="A7636" t="str">
            <v>NPL</v>
          </cell>
          <cell r="B7636">
            <v>2022</v>
          </cell>
          <cell r="C7636" t="str">
            <v>magdpz</v>
          </cell>
          <cell r="D7636">
            <v>5.6131930351257324</v>
          </cell>
          <cell r="F7636" t="str">
            <v>14 Aug 2024</v>
          </cell>
        </row>
        <row r="7637">
          <cell r="A7637" t="str">
            <v>NPL</v>
          </cell>
          <cell r="B7637">
            <v>2013</v>
          </cell>
          <cell r="C7637" t="str">
            <v>mar_con</v>
          </cell>
          <cell r="D7637">
            <v>82.648231506347656</v>
          </cell>
          <cell r="F7637" t="str">
            <v>14 Aug 2024</v>
          </cell>
        </row>
        <row r="7638">
          <cell r="A7638" t="str">
            <v>NPL</v>
          </cell>
          <cell r="B7638">
            <v>2006</v>
          </cell>
          <cell r="C7638" t="str">
            <v>masrvfc</v>
          </cell>
          <cell r="D7638">
            <v>5.790931224822998</v>
          </cell>
          <cell r="F7638" t="str">
            <v>14 Aug 2024</v>
          </cell>
        </row>
        <row r="7639">
          <cell r="A7639" t="str">
            <v>NPL</v>
          </cell>
          <cell r="B7639">
            <v>2011</v>
          </cell>
          <cell r="C7639" t="str">
            <v>mac_tfpz</v>
          </cell>
          <cell r="D7639">
            <v>0.63031578063964844</v>
          </cell>
          <cell r="F7639" t="str">
            <v>14 Aug 2024</v>
          </cell>
        </row>
        <row r="7640">
          <cell r="A7640" t="str">
            <v>NPL</v>
          </cell>
          <cell r="B7640">
            <v>2007</v>
          </cell>
          <cell r="C7640" t="str">
            <v>magap_</v>
          </cell>
          <cell r="D7640">
            <v>-1.7445236444473267</v>
          </cell>
          <cell r="F7640" t="str">
            <v>14 Aug 2024</v>
          </cell>
        </row>
        <row r="7641">
          <cell r="A7641" t="str">
            <v>NPL</v>
          </cell>
          <cell r="B7641">
            <v>2010</v>
          </cell>
          <cell r="C7641" t="str">
            <v>mar_indfc</v>
          </cell>
          <cell r="D7641">
            <v>15.471446990966797</v>
          </cell>
          <cell r="F7641" t="str">
            <v>14 Aug 2024</v>
          </cell>
        </row>
        <row r="7642">
          <cell r="A7642" t="str">
            <v>NPL</v>
          </cell>
          <cell r="B7642">
            <v>2009</v>
          </cell>
          <cell r="C7642" t="str">
            <v>masrvfc</v>
          </cell>
          <cell r="D7642">
            <v>6.0019874572753906</v>
          </cell>
          <cell r="F7642" t="str">
            <v>14 Aug 2024</v>
          </cell>
        </row>
        <row r="7643">
          <cell r="A7643" t="str">
            <v>NPL</v>
          </cell>
          <cell r="B7643">
            <v>2022</v>
          </cell>
          <cell r="C7643" t="str">
            <v>mar_impz</v>
          </cell>
          <cell r="D7643">
            <v>49.398509979248047</v>
          </cell>
          <cell r="F7643" t="str">
            <v>14 Aug 2024</v>
          </cell>
        </row>
        <row r="7644">
          <cell r="A7644" t="str">
            <v>NPL</v>
          </cell>
          <cell r="B7644">
            <v>2010</v>
          </cell>
          <cell r="C7644" t="str">
            <v>mafdi_</v>
          </cell>
          <cell r="D7644">
            <v>-0.20915775001049042</v>
          </cell>
          <cell r="F7644" t="str">
            <v>14 Aug 2024</v>
          </cell>
        </row>
        <row r="7645">
          <cell r="A7645" t="str">
            <v>NPL</v>
          </cell>
          <cell r="B7645">
            <v>2020</v>
          </cell>
          <cell r="C7645" t="str">
            <v>mar_agrfc</v>
          </cell>
          <cell r="D7645">
            <v>30.572580337524414</v>
          </cell>
          <cell r="F7645" t="str">
            <v>14 Aug 2024</v>
          </cell>
        </row>
        <row r="7646">
          <cell r="A7646" t="str">
            <v>NPL</v>
          </cell>
          <cell r="B7646">
            <v>2026</v>
          </cell>
          <cell r="C7646" t="str">
            <v>maexpz</v>
          </cell>
          <cell r="D7646">
            <v>14.699999809265137</v>
          </cell>
          <cell r="F7646" t="str">
            <v>14 Aug 2024</v>
          </cell>
        </row>
        <row r="7647">
          <cell r="A7647" t="str">
            <v>NPL</v>
          </cell>
          <cell r="B7647">
            <v>2024</v>
          </cell>
          <cell r="C7647" t="str">
            <v>mar_agrfc</v>
          </cell>
          <cell r="D7647">
            <v>29.081317901611328</v>
          </cell>
          <cell r="F7647" t="str">
            <v>14 Aug 2024</v>
          </cell>
        </row>
        <row r="7648">
          <cell r="A7648" t="str">
            <v>NPL</v>
          </cell>
          <cell r="B7648">
            <v>2019</v>
          </cell>
          <cell r="C7648" t="str">
            <v>mataxfc</v>
          </cell>
          <cell r="D7648">
            <v>9.2044353485107422</v>
          </cell>
          <cell r="F7648" t="str">
            <v>14 Aug 2024</v>
          </cell>
        </row>
        <row r="7649">
          <cell r="A7649" t="str">
            <v>NPL</v>
          </cell>
          <cell r="B7649">
            <v>2013</v>
          </cell>
          <cell r="C7649" t="str">
            <v>maindfc</v>
          </cell>
          <cell r="D7649">
            <v>2.7806253433227539</v>
          </cell>
          <cell r="F7649" t="str">
            <v>14 Aug 2024</v>
          </cell>
        </row>
        <row r="7650">
          <cell r="A7650" t="str">
            <v>NPL</v>
          </cell>
          <cell r="B7650">
            <v>2012</v>
          </cell>
          <cell r="C7650" t="str">
            <v>madebt_</v>
          </cell>
          <cell r="D7650">
            <v>29.755071640014648</v>
          </cell>
          <cell r="F7650" t="str">
            <v>14 Aug 2024</v>
          </cell>
        </row>
        <row r="7651">
          <cell r="A7651" t="str">
            <v>NPL</v>
          </cell>
          <cell r="B7651">
            <v>2005</v>
          </cell>
          <cell r="C7651" t="str">
            <v>masrvfc</v>
          </cell>
          <cell r="D7651">
            <v>3.3290791511535645</v>
          </cell>
          <cell r="F7651" t="str">
            <v>14 Aug 2024</v>
          </cell>
        </row>
        <row r="7652">
          <cell r="A7652" t="str">
            <v>NPL</v>
          </cell>
          <cell r="B7652">
            <v>2026</v>
          </cell>
          <cell r="C7652" t="str">
            <v>mac_tfpz</v>
          </cell>
          <cell r="D7652">
            <v>0.53300601243972778</v>
          </cell>
          <cell r="F7652" t="str">
            <v>14 Aug 2024</v>
          </cell>
        </row>
        <row r="7653">
          <cell r="A7653" t="str">
            <v>NPL</v>
          </cell>
          <cell r="B7653">
            <v>2005</v>
          </cell>
          <cell r="C7653" t="str">
            <v>magap_</v>
          </cell>
          <cell r="D7653">
            <v>-0.98109763860702515</v>
          </cell>
          <cell r="F7653" t="str">
            <v>14 Aug 2024</v>
          </cell>
        </row>
        <row r="7654">
          <cell r="A7654" t="str">
            <v>NPL</v>
          </cell>
          <cell r="B7654">
            <v>2019</v>
          </cell>
          <cell r="C7654" t="str">
            <v>mar_taxfc</v>
          </cell>
          <cell r="D7654">
            <v>10.927021980285645</v>
          </cell>
          <cell r="F7654" t="str">
            <v>14 Aug 2024</v>
          </cell>
        </row>
        <row r="7655">
          <cell r="A7655" t="str">
            <v>NPL</v>
          </cell>
          <cell r="B7655">
            <v>2013</v>
          </cell>
          <cell r="C7655" t="str">
            <v>mar_taxfc</v>
          </cell>
          <cell r="D7655">
            <v>8.7589187622070313</v>
          </cell>
          <cell r="F7655" t="str">
            <v>14 Aug 2024</v>
          </cell>
        </row>
        <row r="7656">
          <cell r="A7656" t="str">
            <v>NPL</v>
          </cell>
          <cell r="B7656">
            <v>2019</v>
          </cell>
          <cell r="C7656" t="str">
            <v>maindfc</v>
          </cell>
          <cell r="D7656">
            <v>7.3792996406555176</v>
          </cell>
          <cell r="F7656" t="str">
            <v>14 Aug 2024</v>
          </cell>
        </row>
        <row r="7657">
          <cell r="A7657" t="str">
            <v>NPL</v>
          </cell>
          <cell r="B7657">
            <v>2019</v>
          </cell>
          <cell r="C7657" t="str">
            <v>maagrfc</v>
          </cell>
          <cell r="D7657">
            <v>5.1569280624389648</v>
          </cell>
          <cell r="F7657" t="str">
            <v>14 Aug 2024</v>
          </cell>
        </row>
        <row r="7658">
          <cell r="A7658" t="str">
            <v>NPL</v>
          </cell>
          <cell r="B7658">
            <v>2010</v>
          </cell>
          <cell r="C7658" t="str">
            <v>macab_</v>
          </cell>
          <cell r="D7658">
            <v>-2.0633573532104492</v>
          </cell>
          <cell r="F7658" t="str">
            <v>14 Aug 2024</v>
          </cell>
        </row>
        <row r="7659">
          <cell r="A7659" t="str">
            <v>NPL</v>
          </cell>
          <cell r="B7659">
            <v>2013</v>
          </cell>
          <cell r="C7659" t="str">
            <v>madeficit_</v>
          </cell>
          <cell r="D7659">
            <v>1.5963852405548096</v>
          </cell>
          <cell r="F7659" t="str">
            <v>14 Aug 2024</v>
          </cell>
        </row>
        <row r="7660">
          <cell r="A7660" t="str">
            <v>NPL</v>
          </cell>
          <cell r="B7660">
            <v>2026</v>
          </cell>
          <cell r="C7660" t="str">
            <v>maindfc</v>
          </cell>
          <cell r="D7660">
            <v>8.6000003814697266</v>
          </cell>
          <cell r="F7660" t="str">
            <v>14 Aug 2024</v>
          </cell>
        </row>
        <row r="7661">
          <cell r="A7661" t="str">
            <v>NPL</v>
          </cell>
          <cell r="B7661">
            <v>2007</v>
          </cell>
          <cell r="C7661" t="str">
            <v>maagrfc</v>
          </cell>
          <cell r="D7661">
            <v>0.97314351797103882</v>
          </cell>
          <cell r="F7661" t="str">
            <v>14 Aug 2024</v>
          </cell>
        </row>
        <row r="7662">
          <cell r="A7662" t="str">
            <v>NPL</v>
          </cell>
          <cell r="B7662">
            <v>2022</v>
          </cell>
          <cell r="C7662" t="str">
            <v>mac_tfpz</v>
          </cell>
          <cell r="D7662">
            <v>-1.1993358135223389</v>
          </cell>
          <cell r="F7662" t="str">
            <v>14 Aug 2024</v>
          </cell>
        </row>
        <row r="7663">
          <cell r="A7663" t="str">
            <v>NPL</v>
          </cell>
          <cell r="B7663">
            <v>2016</v>
          </cell>
          <cell r="C7663" t="str">
            <v>mar_impz</v>
          </cell>
          <cell r="D7663">
            <v>38.206615447998047</v>
          </cell>
          <cell r="F7663" t="str">
            <v>14 Aug 2024</v>
          </cell>
        </row>
        <row r="7664">
          <cell r="A7664" t="str">
            <v>NPL</v>
          </cell>
          <cell r="B7664">
            <v>2020</v>
          </cell>
          <cell r="C7664" t="str">
            <v>masrvfc</v>
          </cell>
          <cell r="D7664">
            <v>-4.5306873321533203</v>
          </cell>
          <cell r="F7664" t="str">
            <v>14 Aug 2024</v>
          </cell>
        </row>
        <row r="7665">
          <cell r="A7665" t="str">
            <v>NPL</v>
          </cell>
          <cell r="B7665">
            <v>2008</v>
          </cell>
          <cell r="C7665" t="str">
            <v>mapanusatls</v>
          </cell>
          <cell r="D7665">
            <v>65.016860961914063</v>
          </cell>
          <cell r="F7665" t="str">
            <v>14 Aug 2024</v>
          </cell>
        </row>
        <row r="7666">
          <cell r="A7666" t="str">
            <v>NPL</v>
          </cell>
          <cell r="B7666">
            <v>2012</v>
          </cell>
          <cell r="C7666" t="str">
            <v>maagrfc</v>
          </cell>
          <cell r="D7666">
            <v>5.2898659706115723</v>
          </cell>
          <cell r="F7666" t="str">
            <v>14 Aug 2024</v>
          </cell>
        </row>
        <row r="7667">
          <cell r="A7667" t="str">
            <v>NPL</v>
          </cell>
          <cell r="B7667">
            <v>2020</v>
          </cell>
          <cell r="C7667" t="str">
            <v>magovz</v>
          </cell>
          <cell r="D7667">
            <v>3.8147420883178711</v>
          </cell>
          <cell r="F7667" t="str">
            <v>14 Aug 2024</v>
          </cell>
        </row>
        <row r="7668">
          <cell r="A7668" t="str">
            <v>NPL</v>
          </cell>
          <cell r="B7668">
            <v>2021</v>
          </cell>
          <cell r="C7668" t="str">
            <v>macpiz</v>
          </cell>
          <cell r="D7668">
            <v>3.5970625877380371</v>
          </cell>
          <cell r="F7668" t="str">
            <v>14 Aug 2024</v>
          </cell>
        </row>
        <row r="7669">
          <cell r="A7669" t="str">
            <v>NPL</v>
          </cell>
          <cell r="B7669">
            <v>2005</v>
          </cell>
          <cell r="C7669" t="str">
            <v>maconz</v>
          </cell>
          <cell r="D7669">
            <v>4.6931118965148926</v>
          </cell>
          <cell r="F7669" t="str">
            <v>14 Aug 2024</v>
          </cell>
        </row>
        <row r="7670">
          <cell r="A7670" t="str">
            <v>NPL</v>
          </cell>
          <cell r="B7670">
            <v>2023</v>
          </cell>
          <cell r="C7670" t="str">
            <v>magdpz</v>
          </cell>
          <cell r="D7670">
            <v>1.858551025390625</v>
          </cell>
          <cell r="F7670" t="str">
            <v>14 Aug 2024</v>
          </cell>
        </row>
        <row r="7671">
          <cell r="A7671" t="str">
            <v>NPL</v>
          </cell>
          <cell r="B7671">
            <v>2026</v>
          </cell>
          <cell r="C7671" t="str">
            <v>mataxfc</v>
          </cell>
          <cell r="D7671">
            <v>5.3000001907348633</v>
          </cell>
          <cell r="F7671" t="str">
            <v>14 Aug 2024</v>
          </cell>
        </row>
        <row r="7672">
          <cell r="A7672" t="str">
            <v>NPL</v>
          </cell>
          <cell r="B7672">
            <v>2006</v>
          </cell>
          <cell r="C7672" t="str">
            <v>madeficit_</v>
          </cell>
          <cell r="D7672">
            <v>-0.3577343225479126</v>
          </cell>
          <cell r="F7672" t="str">
            <v>14 Aug 2024</v>
          </cell>
        </row>
        <row r="7673">
          <cell r="A7673" t="str">
            <v>NPL</v>
          </cell>
          <cell r="B7673">
            <v>2020</v>
          </cell>
          <cell r="C7673" t="str">
            <v>macpiz</v>
          </cell>
          <cell r="D7673">
            <v>6.1495065689086914</v>
          </cell>
          <cell r="F7673" t="str">
            <v>14 Aug 2024</v>
          </cell>
        </row>
        <row r="7674">
          <cell r="A7674" t="str">
            <v>NPL</v>
          </cell>
          <cell r="B7674">
            <v>2021</v>
          </cell>
          <cell r="C7674" t="str">
            <v>maimpz</v>
          </cell>
          <cell r="D7674">
            <v>18.814065933227539</v>
          </cell>
          <cell r="F7674" t="str">
            <v>14 Aug 2024</v>
          </cell>
        </row>
        <row r="7675">
          <cell r="A7675" t="str">
            <v>NPL</v>
          </cell>
          <cell r="B7675">
            <v>2022</v>
          </cell>
          <cell r="C7675" t="str">
            <v>maimpz</v>
          </cell>
          <cell r="D7675">
            <v>15.085247039794922</v>
          </cell>
          <cell r="F7675" t="str">
            <v>14 Aug 2024</v>
          </cell>
        </row>
        <row r="7676">
          <cell r="A7676" t="str">
            <v>NPL</v>
          </cell>
          <cell r="B7676">
            <v>2020</v>
          </cell>
          <cell r="C7676" t="str">
            <v>maimpz</v>
          </cell>
          <cell r="D7676">
            <v>-20.848091125488281</v>
          </cell>
          <cell r="F7676" t="str">
            <v>14 Aug 2024</v>
          </cell>
        </row>
        <row r="7677">
          <cell r="A7677" t="str">
            <v>NPL</v>
          </cell>
          <cell r="B7677">
            <v>2026</v>
          </cell>
          <cell r="C7677" t="str">
            <v>matfpz</v>
          </cell>
          <cell r="D7677">
            <v>0.53300601243972778</v>
          </cell>
          <cell r="F7677" t="str">
            <v>14 Aug 2024</v>
          </cell>
        </row>
        <row r="7678">
          <cell r="A7678" t="str">
            <v>NPL</v>
          </cell>
          <cell r="B7678">
            <v>2014</v>
          </cell>
          <cell r="C7678" t="str">
            <v>mafdi_</v>
          </cell>
          <cell r="D7678">
            <v>-0.14309357106685638</v>
          </cell>
          <cell r="F7678" t="str">
            <v>14 Aug 2024</v>
          </cell>
        </row>
        <row r="7679">
          <cell r="A7679" t="str">
            <v>NPL</v>
          </cell>
          <cell r="B7679">
            <v>2020</v>
          </cell>
          <cell r="C7679" t="str">
            <v>mar_impz</v>
          </cell>
          <cell r="D7679">
            <v>40.000354766845703</v>
          </cell>
          <cell r="F7679" t="str">
            <v>14 Aug 2024</v>
          </cell>
        </row>
        <row r="7680">
          <cell r="A7680" t="str">
            <v>NPL</v>
          </cell>
          <cell r="B7680">
            <v>2011</v>
          </cell>
          <cell r="C7680" t="str">
            <v>mac_labz</v>
          </cell>
          <cell r="D7680">
            <v>0.95934545993804932</v>
          </cell>
          <cell r="F7680" t="str">
            <v>14 Aug 2024</v>
          </cell>
        </row>
        <row r="7681">
          <cell r="A7681" t="str">
            <v>NPL</v>
          </cell>
          <cell r="B7681">
            <v>2023</v>
          </cell>
          <cell r="C7681" t="str">
            <v>mar_impz</v>
          </cell>
          <cell r="D7681">
            <v>40.165206909179688</v>
          </cell>
          <cell r="F7681" t="str">
            <v>14 Aug 2024</v>
          </cell>
        </row>
        <row r="7682">
          <cell r="A7682" t="str">
            <v>NPL</v>
          </cell>
          <cell r="B7682">
            <v>2017</v>
          </cell>
          <cell r="C7682" t="str">
            <v>maconz</v>
          </cell>
          <cell r="D7682">
            <v>0.78737539052963257</v>
          </cell>
          <cell r="F7682" t="str">
            <v>14 Aug 2024</v>
          </cell>
        </row>
        <row r="7683">
          <cell r="A7683" t="str">
            <v>NPL</v>
          </cell>
          <cell r="B7683">
            <v>2018</v>
          </cell>
          <cell r="C7683" t="str">
            <v>mar_indfc</v>
          </cell>
          <cell r="D7683">
            <v>15.569350242614746</v>
          </cell>
          <cell r="F7683" t="str">
            <v>14 Aug 2024</v>
          </cell>
        </row>
        <row r="7684">
          <cell r="A7684" t="str">
            <v>NPL</v>
          </cell>
          <cell r="B7684">
            <v>2013</v>
          </cell>
          <cell r="C7684" t="str">
            <v>macab_</v>
          </cell>
          <cell r="D7684">
            <v>2.9272503852844238</v>
          </cell>
          <cell r="F7684" t="str">
            <v>14 Aug 2024</v>
          </cell>
        </row>
        <row r="7685">
          <cell r="A7685" t="str">
            <v>NPL</v>
          </cell>
          <cell r="B7685">
            <v>2009</v>
          </cell>
          <cell r="C7685" t="str">
            <v>mar_indfc</v>
          </cell>
          <cell r="D7685">
            <v>15.499192237854004</v>
          </cell>
          <cell r="F7685" t="str">
            <v>14 Aug 2024</v>
          </cell>
        </row>
        <row r="7686">
          <cell r="A7686" t="str">
            <v>NPL</v>
          </cell>
          <cell r="B7686">
            <v>2012</v>
          </cell>
          <cell r="C7686" t="str">
            <v>mar_taxfc</v>
          </cell>
          <cell r="D7686">
            <v>8.28497314453125</v>
          </cell>
          <cell r="F7686" t="str">
            <v>14 Aug 2024</v>
          </cell>
        </row>
        <row r="7687">
          <cell r="A7687" t="str">
            <v>NPL</v>
          </cell>
          <cell r="B7687">
            <v>2012</v>
          </cell>
          <cell r="C7687" t="str">
            <v>mar_expz</v>
          </cell>
          <cell r="D7687">
            <v>8.9638032913208008</v>
          </cell>
          <cell r="F7687" t="str">
            <v>14 Aug 2024</v>
          </cell>
        </row>
        <row r="7688">
          <cell r="A7688" t="str">
            <v>NPL</v>
          </cell>
          <cell r="B7688">
            <v>2015</v>
          </cell>
          <cell r="C7688" t="str">
            <v>mafdi_</v>
          </cell>
          <cell r="D7688">
            <v>-0.1808273047208786</v>
          </cell>
          <cell r="F7688" t="str">
            <v>14 Aug 2024</v>
          </cell>
        </row>
        <row r="7689">
          <cell r="A7689" t="str">
            <v>NPL</v>
          </cell>
          <cell r="B7689">
            <v>2005</v>
          </cell>
          <cell r="C7689" t="str">
            <v>mar_srvfc</v>
          </cell>
          <cell r="D7689">
            <v>45.8170166015625</v>
          </cell>
          <cell r="F7689" t="str">
            <v>14 Aug 2024</v>
          </cell>
        </row>
        <row r="7690">
          <cell r="A7690" t="str">
            <v>NPL</v>
          </cell>
          <cell r="B7690">
            <v>2017</v>
          </cell>
          <cell r="C7690" t="str">
            <v>magovz</v>
          </cell>
          <cell r="D7690">
            <v>21.419658660888672</v>
          </cell>
          <cell r="F7690" t="str">
            <v>14 Aug 2024</v>
          </cell>
        </row>
        <row r="7691">
          <cell r="A7691" t="str">
            <v>NPL</v>
          </cell>
          <cell r="B7691">
            <v>2011</v>
          </cell>
          <cell r="C7691" t="str">
            <v>maimpz</v>
          </cell>
          <cell r="D7691">
            <v>-26.603242874145508</v>
          </cell>
          <cell r="F7691" t="str">
            <v>14 Aug 2024</v>
          </cell>
        </row>
        <row r="7692">
          <cell r="A7692" t="str">
            <v>NPL</v>
          </cell>
          <cell r="B7692">
            <v>2017</v>
          </cell>
          <cell r="C7692" t="str">
            <v>macab_</v>
          </cell>
          <cell r="D7692">
            <v>-0.32922106981277466</v>
          </cell>
          <cell r="F7692" t="str">
            <v>14 Aug 2024</v>
          </cell>
        </row>
        <row r="7693">
          <cell r="A7693" t="str">
            <v>NPL</v>
          </cell>
          <cell r="B7693">
            <v>2014</v>
          </cell>
          <cell r="C7693" t="str">
            <v>maexpz</v>
          </cell>
          <cell r="D7693">
            <v>17.835819244384766</v>
          </cell>
          <cell r="F7693" t="str">
            <v>14 Aug 2024</v>
          </cell>
        </row>
        <row r="7694">
          <cell r="A7694" t="str">
            <v>NPL</v>
          </cell>
          <cell r="B7694">
            <v>2018</v>
          </cell>
          <cell r="C7694" t="str">
            <v>mar_taxfc</v>
          </cell>
          <cell r="D7694">
            <v>10.644996643066406</v>
          </cell>
          <cell r="F7694" t="str">
            <v>14 Aug 2024</v>
          </cell>
        </row>
        <row r="7695">
          <cell r="A7695" t="str">
            <v>NPL</v>
          </cell>
          <cell r="B7695">
            <v>2019</v>
          </cell>
          <cell r="C7695" t="str">
            <v>maexpz</v>
          </cell>
          <cell r="D7695">
            <v>5.5435070991516113</v>
          </cell>
          <cell r="F7695" t="str">
            <v>14 Aug 2024</v>
          </cell>
        </row>
        <row r="7696">
          <cell r="A7696" t="str">
            <v>NPL</v>
          </cell>
          <cell r="B7696">
            <v>2012</v>
          </cell>
          <cell r="C7696" t="str">
            <v>mar_agrfc</v>
          </cell>
          <cell r="D7696">
            <v>33.555213928222656</v>
          </cell>
          <cell r="F7696" t="str">
            <v>14 Aug 2024</v>
          </cell>
        </row>
        <row r="7697">
          <cell r="A7697" t="str">
            <v>NPL</v>
          </cell>
          <cell r="B7697">
            <v>2006</v>
          </cell>
          <cell r="C7697" t="str">
            <v>macab_</v>
          </cell>
          <cell r="D7697">
            <v>1.9023305177688599</v>
          </cell>
          <cell r="F7697" t="str">
            <v>14 Aug 2024</v>
          </cell>
        </row>
        <row r="7698">
          <cell r="A7698" t="str">
            <v>NPL</v>
          </cell>
          <cell r="B7698">
            <v>2018</v>
          </cell>
          <cell r="C7698" t="str">
            <v>malabz</v>
          </cell>
          <cell r="D7698">
            <v>2.1031179428100586</v>
          </cell>
          <cell r="F7698" t="str">
            <v>14 Aug 2024</v>
          </cell>
        </row>
        <row r="7699">
          <cell r="A7699" t="str">
            <v>NPL</v>
          </cell>
          <cell r="B7699">
            <v>2026</v>
          </cell>
          <cell r="C7699" t="str">
            <v>magdpz</v>
          </cell>
          <cell r="D7699">
            <v>5.3000001907348633</v>
          </cell>
          <cell r="F7699" t="str">
            <v>14 Aug 2024</v>
          </cell>
        </row>
        <row r="7700">
          <cell r="A7700" t="str">
            <v>NPL</v>
          </cell>
          <cell r="B7700">
            <v>2009</v>
          </cell>
          <cell r="C7700" t="str">
            <v>matfpz</v>
          </cell>
          <cell r="D7700">
            <v>0.73302644491195679</v>
          </cell>
          <cell r="F7700" t="str">
            <v>14 Aug 2024</v>
          </cell>
        </row>
        <row r="7701">
          <cell r="A7701" t="str">
            <v>NPL</v>
          </cell>
          <cell r="B7701">
            <v>2012</v>
          </cell>
          <cell r="C7701" t="str">
            <v>mar_srvfc</v>
          </cell>
          <cell r="D7701">
            <v>51.777923583984375</v>
          </cell>
          <cell r="F7701" t="str">
            <v>14 Aug 2024</v>
          </cell>
        </row>
        <row r="7702">
          <cell r="A7702" t="str">
            <v>NPL</v>
          </cell>
          <cell r="B7702">
            <v>2009</v>
          </cell>
          <cell r="C7702" t="str">
            <v>mac_labz</v>
          </cell>
          <cell r="D7702">
            <v>1.0824300050735474</v>
          </cell>
          <cell r="F7702" t="str">
            <v>14 Aug 2024</v>
          </cell>
        </row>
        <row r="7703">
          <cell r="A7703" t="str">
            <v>NPL</v>
          </cell>
          <cell r="B7703">
            <v>2015</v>
          </cell>
          <cell r="C7703" t="str">
            <v>maexpz</v>
          </cell>
          <cell r="D7703">
            <v>2.3159794807434082</v>
          </cell>
          <cell r="F7703" t="str">
            <v>14 Aug 2024</v>
          </cell>
        </row>
        <row r="7704">
          <cell r="A7704" t="str">
            <v>NPL</v>
          </cell>
          <cell r="B7704">
            <v>2006</v>
          </cell>
          <cell r="C7704" t="str">
            <v>maimpz</v>
          </cell>
          <cell r="D7704">
            <v>6.4572901725769043</v>
          </cell>
          <cell r="F7704" t="str">
            <v>14 Aug 2024</v>
          </cell>
        </row>
        <row r="7705">
          <cell r="A7705" t="str">
            <v>NPL</v>
          </cell>
          <cell r="B7705">
            <v>2026</v>
          </cell>
          <cell r="C7705" t="str">
            <v>mafdi_</v>
          </cell>
          <cell r="D7705">
            <v>-0.61792999505996704</v>
          </cell>
          <cell r="F7705" t="str">
            <v>14 Aug 2024</v>
          </cell>
        </row>
        <row r="7706">
          <cell r="A7706" t="str">
            <v>NPL</v>
          </cell>
          <cell r="B7706">
            <v>2019</v>
          </cell>
          <cell r="C7706" t="str">
            <v>mac_tfpz</v>
          </cell>
          <cell r="D7706">
            <v>0.57112008333206177</v>
          </cell>
          <cell r="F7706" t="str">
            <v>14 Aug 2024</v>
          </cell>
        </row>
        <row r="7707">
          <cell r="A7707" t="str">
            <v>NPL</v>
          </cell>
          <cell r="B7707">
            <v>2010</v>
          </cell>
          <cell r="C7707" t="str">
            <v>magdpz</v>
          </cell>
          <cell r="D7707">
            <v>4.816403865814209</v>
          </cell>
          <cell r="F7707" t="str">
            <v>14 Aug 2024</v>
          </cell>
        </row>
        <row r="7708">
          <cell r="A7708" t="str">
            <v>NPL</v>
          </cell>
          <cell r="B7708">
            <v>2023</v>
          </cell>
          <cell r="C7708" t="str">
            <v>macpiz</v>
          </cell>
          <cell r="D7708">
            <v>7.7307643890380859</v>
          </cell>
          <cell r="F7708" t="str">
            <v>14 Aug 2024</v>
          </cell>
        </row>
        <row r="7709">
          <cell r="A7709" t="str">
            <v>NPL</v>
          </cell>
          <cell r="B7709">
            <v>2010</v>
          </cell>
          <cell r="C7709" t="str">
            <v>madebt_</v>
          </cell>
          <cell r="D7709">
            <v>29.61784553527832</v>
          </cell>
          <cell r="F7709" t="str">
            <v>14 Aug 2024</v>
          </cell>
        </row>
        <row r="7710">
          <cell r="A7710" t="str">
            <v>NPL</v>
          </cell>
          <cell r="B7710">
            <v>2025</v>
          </cell>
          <cell r="C7710" t="str">
            <v>mac_labz</v>
          </cell>
          <cell r="D7710">
            <v>1.034642219543457</v>
          </cell>
          <cell r="F7710" t="str">
            <v>14 Aug 2024</v>
          </cell>
        </row>
        <row r="7711">
          <cell r="A7711" t="str">
            <v>NPL</v>
          </cell>
          <cell r="B7711">
            <v>2008</v>
          </cell>
          <cell r="C7711" t="str">
            <v>mar_indfc</v>
          </cell>
          <cell r="D7711">
            <v>16.193767547607422</v>
          </cell>
          <cell r="F7711" t="str">
            <v>14 Aug 2024</v>
          </cell>
        </row>
        <row r="7712">
          <cell r="A7712" t="str">
            <v>NPL</v>
          </cell>
          <cell r="B7712">
            <v>2025</v>
          </cell>
          <cell r="C7712" t="str">
            <v>mar_expz</v>
          </cell>
          <cell r="D7712">
            <v>8.1309843063354492</v>
          </cell>
          <cell r="F7712" t="str">
            <v>14 Aug 2024</v>
          </cell>
        </row>
        <row r="7713">
          <cell r="A7713" t="str">
            <v>NPL</v>
          </cell>
          <cell r="B7713">
            <v>2019</v>
          </cell>
          <cell r="C7713" t="str">
            <v>mar_agrfc</v>
          </cell>
          <cell r="D7713">
            <v>29.123531341552734</v>
          </cell>
          <cell r="F7713" t="str">
            <v>14 Aug 2024</v>
          </cell>
        </row>
        <row r="7714">
          <cell r="A7714" t="str">
            <v>NPL</v>
          </cell>
          <cell r="B7714">
            <v>2017</v>
          </cell>
          <cell r="C7714" t="str">
            <v>malabz</v>
          </cell>
          <cell r="D7714">
            <v>2.1653695106506348</v>
          </cell>
          <cell r="F7714" t="str">
            <v>14 Aug 2024</v>
          </cell>
        </row>
        <row r="7715">
          <cell r="A7715" t="str">
            <v>NPL</v>
          </cell>
          <cell r="B7715">
            <v>2018</v>
          </cell>
          <cell r="C7715" t="str">
            <v>maimpz</v>
          </cell>
          <cell r="D7715">
            <v>19.038969039916992</v>
          </cell>
          <cell r="F7715" t="str">
            <v>14 Aug 2024</v>
          </cell>
        </row>
        <row r="7716">
          <cell r="A7716" t="str">
            <v>NPL</v>
          </cell>
          <cell r="B7716">
            <v>2008</v>
          </cell>
          <cell r="C7716" t="str">
            <v>mac_tfpz</v>
          </cell>
          <cell r="D7716">
            <v>0.73238354921340942</v>
          </cell>
          <cell r="F7716" t="str">
            <v>14 Aug 2024</v>
          </cell>
        </row>
        <row r="7717">
          <cell r="A7717" t="str">
            <v>NPL</v>
          </cell>
          <cell r="B7717">
            <v>2022</v>
          </cell>
          <cell r="C7717" t="str">
            <v>magovz</v>
          </cell>
          <cell r="D7717">
            <v>9.6335296630859375</v>
          </cell>
          <cell r="F7717" t="str">
            <v>14 Aug 2024</v>
          </cell>
        </row>
        <row r="7718">
          <cell r="A7718" t="str">
            <v>NPL</v>
          </cell>
          <cell r="B7718">
            <v>2016</v>
          </cell>
          <cell r="C7718" t="str">
            <v>matfpz</v>
          </cell>
          <cell r="D7718">
            <v>0.40215650200843811</v>
          </cell>
          <cell r="F7718" t="str">
            <v>14 Aug 2024</v>
          </cell>
        </row>
        <row r="7719">
          <cell r="A7719" t="str">
            <v>NPL</v>
          </cell>
          <cell r="B7719">
            <v>2007</v>
          </cell>
          <cell r="C7719" t="str">
            <v>mapanusatls</v>
          </cell>
          <cell r="D7719">
            <v>70.487388610839844</v>
          </cell>
          <cell r="F7719" t="str">
            <v>14 Aug 2024</v>
          </cell>
        </row>
        <row r="7720">
          <cell r="A7720" t="str">
            <v>NPL</v>
          </cell>
          <cell r="B7720">
            <v>2015</v>
          </cell>
          <cell r="C7720" t="str">
            <v>masrvfc</v>
          </cell>
          <cell r="D7720">
            <v>5.3727431297302246</v>
          </cell>
          <cell r="F7720" t="str">
            <v>14 Aug 2024</v>
          </cell>
        </row>
        <row r="7721">
          <cell r="A7721" t="str">
            <v>NPL</v>
          </cell>
          <cell r="B7721">
            <v>2013</v>
          </cell>
          <cell r="C7721" t="str">
            <v>malabz</v>
          </cell>
          <cell r="D7721">
            <v>0.96721631288528442</v>
          </cell>
          <cell r="F7721" t="str">
            <v>14 Aug 2024</v>
          </cell>
        </row>
        <row r="7722">
          <cell r="A7722" t="str">
            <v>NPL</v>
          </cell>
          <cell r="B7722">
            <v>2021</v>
          </cell>
          <cell r="C7722" t="str">
            <v>mainvz</v>
          </cell>
          <cell r="D7722">
            <v>9.7969999313354492</v>
          </cell>
          <cell r="F7722" t="str">
            <v>14 Aug 2024</v>
          </cell>
        </row>
        <row r="7723">
          <cell r="A7723" t="str">
            <v>NPL</v>
          </cell>
          <cell r="B7723">
            <v>2011</v>
          </cell>
          <cell r="C7723" t="str">
            <v>mar_indfc</v>
          </cell>
          <cell r="D7723">
            <v>14.542040824890137</v>
          </cell>
          <cell r="F7723" t="str">
            <v>14 Aug 2024</v>
          </cell>
        </row>
        <row r="7724">
          <cell r="A7724" t="str">
            <v>NPL</v>
          </cell>
          <cell r="B7724">
            <v>2018</v>
          </cell>
          <cell r="C7724" t="str">
            <v>mafdi_</v>
          </cell>
          <cell r="D7724">
            <v>-0.50650757551193237</v>
          </cell>
          <cell r="F7724" t="str">
            <v>14 Aug 2024</v>
          </cell>
        </row>
        <row r="7725">
          <cell r="A7725" t="str">
            <v>NPL</v>
          </cell>
          <cell r="B7725">
            <v>2007</v>
          </cell>
          <cell r="C7725" t="str">
            <v>mar_srvfc</v>
          </cell>
          <cell r="D7725">
            <v>47.236930847167969</v>
          </cell>
          <cell r="F7725" t="str">
            <v>14 Aug 2024</v>
          </cell>
        </row>
        <row r="7726">
          <cell r="A7726" t="str">
            <v>NPL</v>
          </cell>
          <cell r="B7726">
            <v>2008</v>
          </cell>
          <cell r="C7726" t="str">
            <v>magovz</v>
          </cell>
          <cell r="D7726">
            <v>3.2709686756134033</v>
          </cell>
          <cell r="F7726" t="str">
            <v>14 Aug 2024</v>
          </cell>
        </row>
        <row r="7727">
          <cell r="A7727" t="str">
            <v>NPL</v>
          </cell>
          <cell r="B7727">
            <v>2017</v>
          </cell>
          <cell r="C7727" t="str">
            <v>mar_con</v>
          </cell>
          <cell r="D7727">
            <v>76.01861572265625</v>
          </cell>
          <cell r="F7727" t="str">
            <v>14 Aug 2024</v>
          </cell>
        </row>
        <row r="7728">
          <cell r="A7728" t="str">
            <v>NPL</v>
          </cell>
          <cell r="B7728">
            <v>2007</v>
          </cell>
          <cell r="C7728" t="str">
            <v>maexpz</v>
          </cell>
          <cell r="D7728">
            <v>-0.94487142562866211</v>
          </cell>
          <cell r="F7728" t="str">
            <v>14 Aug 2024</v>
          </cell>
        </row>
        <row r="7729">
          <cell r="A7729" t="str">
            <v>NPL</v>
          </cell>
          <cell r="B7729">
            <v>2007</v>
          </cell>
          <cell r="C7729" t="str">
            <v>mac_tfpz</v>
          </cell>
          <cell r="D7729">
            <v>0.69056969881057739</v>
          </cell>
          <cell r="F7729" t="str">
            <v>14 Aug 2024</v>
          </cell>
        </row>
        <row r="7730">
          <cell r="A7730" t="str">
            <v>NPL</v>
          </cell>
          <cell r="B7730">
            <v>2015</v>
          </cell>
          <cell r="C7730" t="str">
            <v>madeficit_</v>
          </cell>
          <cell r="D7730">
            <v>0.9073062539100647</v>
          </cell>
          <cell r="F7730" t="str">
            <v>14 Aug 2024</v>
          </cell>
        </row>
        <row r="7731">
          <cell r="A7731" t="str">
            <v>NPL</v>
          </cell>
          <cell r="B7731">
            <v>2018</v>
          </cell>
          <cell r="C7731" t="str">
            <v>mainvz</v>
          </cell>
          <cell r="D7731">
            <v>11.811357498168945</v>
          </cell>
          <cell r="F7731" t="str">
            <v>14 Aug 2024</v>
          </cell>
        </row>
        <row r="7732">
          <cell r="A7732" t="str">
            <v>NPL</v>
          </cell>
          <cell r="B7732">
            <v>2010</v>
          </cell>
          <cell r="C7732" t="str">
            <v>mac_tfpz</v>
          </cell>
          <cell r="D7732">
            <v>0.69581186771392822</v>
          </cell>
          <cell r="F7732" t="str">
            <v>14 Aug 2024</v>
          </cell>
        </row>
        <row r="7733">
          <cell r="A7733" t="str">
            <v>NPL</v>
          </cell>
          <cell r="B7733">
            <v>2026</v>
          </cell>
          <cell r="C7733" t="str">
            <v>masrvfc</v>
          </cell>
          <cell r="D7733">
            <v>5.758814811706543</v>
          </cell>
          <cell r="F7733" t="str">
            <v>14 Aug 2024</v>
          </cell>
        </row>
        <row r="7734">
          <cell r="A7734" t="str">
            <v>NPL</v>
          </cell>
          <cell r="B7734">
            <v>2018</v>
          </cell>
          <cell r="C7734" t="str">
            <v>matfpz</v>
          </cell>
          <cell r="D7734">
            <v>0.5128512978553772</v>
          </cell>
          <cell r="F7734" t="str">
            <v>14 Aug 2024</v>
          </cell>
        </row>
        <row r="7735">
          <cell r="A7735" t="str">
            <v>NPL</v>
          </cell>
          <cell r="B7735">
            <v>2006</v>
          </cell>
          <cell r="C7735" t="str">
            <v>magap_</v>
          </cell>
          <cell r="D7735">
            <v>-1.2162536382675171</v>
          </cell>
          <cell r="F7735" t="str">
            <v>14 Aug 2024</v>
          </cell>
        </row>
        <row r="7736">
          <cell r="A7736" t="str">
            <v>NPL</v>
          </cell>
          <cell r="B7736">
            <v>2024</v>
          </cell>
          <cell r="C7736" t="str">
            <v>malabz</v>
          </cell>
          <cell r="D7736">
            <v>1.544471263885498</v>
          </cell>
          <cell r="F7736" t="str">
            <v>14 Aug 2024</v>
          </cell>
        </row>
        <row r="7737">
          <cell r="A7737" t="str">
            <v>NPL</v>
          </cell>
          <cell r="B7737">
            <v>2011</v>
          </cell>
          <cell r="C7737" t="str">
            <v>mar_expz</v>
          </cell>
          <cell r="D7737">
            <v>7.8061356544494629</v>
          </cell>
          <cell r="F7737" t="str">
            <v>14 Aug 2024</v>
          </cell>
        </row>
        <row r="7738">
          <cell r="A7738" t="str">
            <v>NPL</v>
          </cell>
          <cell r="B7738">
            <v>2009</v>
          </cell>
          <cell r="C7738" t="str">
            <v>mataxfc</v>
          </cell>
          <cell r="D7738">
            <v>13.154538154602051</v>
          </cell>
          <cell r="F7738" t="str">
            <v>14 Aug 2024</v>
          </cell>
        </row>
        <row r="7739">
          <cell r="A7739" t="str">
            <v>NPL</v>
          </cell>
          <cell r="B7739">
            <v>2023</v>
          </cell>
          <cell r="C7739" t="str">
            <v>mainvz</v>
          </cell>
          <cell r="D7739">
            <v>-10.855799674987793</v>
          </cell>
          <cell r="F7739" t="str">
            <v>14 Aug 2024</v>
          </cell>
        </row>
        <row r="7740">
          <cell r="A7740" t="str">
            <v>NPL</v>
          </cell>
          <cell r="B7740">
            <v>2025</v>
          </cell>
          <cell r="C7740" t="str">
            <v>maindfc</v>
          </cell>
          <cell r="D7740">
            <v>5.6999998092651367</v>
          </cell>
          <cell r="F7740" t="str">
            <v>14 Aug 2024</v>
          </cell>
        </row>
        <row r="7741">
          <cell r="A7741" t="str">
            <v>NPL</v>
          </cell>
          <cell r="B7741">
            <v>2012</v>
          </cell>
          <cell r="C7741" t="str">
            <v>mar_indfc</v>
          </cell>
          <cell r="D7741">
            <v>14.666862487792969</v>
          </cell>
          <cell r="F7741" t="str">
            <v>14 Aug 2024</v>
          </cell>
        </row>
        <row r="7742">
          <cell r="A7742" t="str">
            <v>NPL</v>
          </cell>
          <cell r="B7742">
            <v>2016</v>
          </cell>
          <cell r="C7742" t="str">
            <v>mar_srvfc</v>
          </cell>
          <cell r="D7742">
            <v>54.125152587890625</v>
          </cell>
          <cell r="F7742" t="str">
            <v>14 Aug 2024</v>
          </cell>
        </row>
        <row r="7743">
          <cell r="A7743" t="str">
            <v>NPL</v>
          </cell>
          <cell r="B7743">
            <v>2025</v>
          </cell>
          <cell r="C7743" t="str">
            <v>macpiz</v>
          </cell>
          <cell r="D7743">
            <v>6</v>
          </cell>
          <cell r="F7743" t="str">
            <v>14 Aug 2024</v>
          </cell>
        </row>
        <row r="7744">
          <cell r="A7744" t="str">
            <v>NPL</v>
          </cell>
          <cell r="B7744">
            <v>2022</v>
          </cell>
          <cell r="C7744" t="str">
            <v>matfpz</v>
          </cell>
          <cell r="D7744">
            <v>-1.1993358135223389</v>
          </cell>
          <cell r="F7744" t="str">
            <v>14 Aug 2024</v>
          </cell>
        </row>
        <row r="7745">
          <cell r="A7745" t="str">
            <v>NPL</v>
          </cell>
          <cell r="B7745">
            <v>2013</v>
          </cell>
          <cell r="C7745" t="str">
            <v>maagrfc</v>
          </cell>
          <cell r="D7745">
            <v>1.3065598011016846</v>
          </cell>
          <cell r="F7745" t="str">
            <v>14 Aug 2024</v>
          </cell>
        </row>
        <row r="7746">
          <cell r="A7746" t="str">
            <v>NPL</v>
          </cell>
          <cell r="B7746">
            <v>2016</v>
          </cell>
          <cell r="C7746" t="str">
            <v>mafdi_</v>
          </cell>
          <cell r="D7746">
            <v>-0.22701327502727509</v>
          </cell>
          <cell r="F7746" t="str">
            <v>14 Aug 2024</v>
          </cell>
        </row>
        <row r="7747">
          <cell r="A7747" t="str">
            <v>NPL</v>
          </cell>
          <cell r="B7747">
            <v>2026</v>
          </cell>
          <cell r="C7747" t="str">
            <v>mar_taxfc</v>
          </cell>
          <cell r="D7747">
            <v>11.411042213439941</v>
          </cell>
          <cell r="F7747" t="str">
            <v>14 Aug 2024</v>
          </cell>
        </row>
        <row r="7748">
          <cell r="A7748" t="str">
            <v>NPL</v>
          </cell>
          <cell r="B7748">
            <v>2021</v>
          </cell>
          <cell r="C7748" t="str">
            <v>mapanusatls</v>
          </cell>
          <cell r="D7748">
            <v>117.86827850341797</v>
          </cell>
          <cell r="F7748" t="str">
            <v>14 Aug 2024</v>
          </cell>
        </row>
        <row r="7749">
          <cell r="A7749" t="str">
            <v>NPL</v>
          </cell>
          <cell r="B7749">
            <v>2007</v>
          </cell>
          <cell r="C7749" t="str">
            <v>mareer</v>
          </cell>
          <cell r="D7749">
            <v>71.401039123535156</v>
          </cell>
          <cell r="F7749" t="str">
            <v>14 Aug 2024</v>
          </cell>
        </row>
        <row r="7750">
          <cell r="A7750" t="str">
            <v>NPL</v>
          </cell>
          <cell r="B7750">
            <v>2024</v>
          </cell>
          <cell r="C7750" t="str">
            <v>mac_tfpz</v>
          </cell>
          <cell r="D7750">
            <v>0.50951564311981201</v>
          </cell>
          <cell r="F7750" t="str">
            <v>14 Aug 2024</v>
          </cell>
        </row>
        <row r="7751">
          <cell r="A7751" t="str">
            <v>NPL</v>
          </cell>
          <cell r="B7751">
            <v>2008</v>
          </cell>
          <cell r="C7751" t="str">
            <v>macpiz</v>
          </cell>
          <cell r="D7751">
            <v>6.7044296264648438</v>
          </cell>
          <cell r="F7751" t="str">
            <v>14 Aug 2024</v>
          </cell>
        </row>
        <row r="7752">
          <cell r="A7752" t="str">
            <v>NPL</v>
          </cell>
          <cell r="B7752">
            <v>2006</v>
          </cell>
          <cell r="C7752" t="str">
            <v>mar_expz</v>
          </cell>
          <cell r="D7752">
            <v>15.222599029541016</v>
          </cell>
          <cell r="F7752" t="str">
            <v>14 Aug 2024</v>
          </cell>
        </row>
        <row r="7753">
          <cell r="A7753" t="str">
            <v>NPL</v>
          </cell>
          <cell r="B7753">
            <v>2012</v>
          </cell>
          <cell r="C7753" t="str">
            <v>masrvfc</v>
          </cell>
          <cell r="D7753">
            <v>4.4810628890991211</v>
          </cell>
          <cell r="F7753" t="str">
            <v>14 Aug 2024</v>
          </cell>
        </row>
        <row r="7754">
          <cell r="A7754" t="str">
            <v>NPL</v>
          </cell>
          <cell r="B7754">
            <v>2016</v>
          </cell>
          <cell r="C7754" t="str">
            <v>mataxfc</v>
          </cell>
          <cell r="D7754">
            <v>4.9540519714355469</v>
          </cell>
          <cell r="F7754" t="str">
            <v>14 Aug 2024</v>
          </cell>
        </row>
        <row r="7755">
          <cell r="A7755" t="str">
            <v>NPL</v>
          </cell>
          <cell r="B7755">
            <v>2014</v>
          </cell>
          <cell r="C7755" t="str">
            <v>magovz</v>
          </cell>
          <cell r="D7755">
            <v>11.490702629089355</v>
          </cell>
          <cell r="F7755" t="str">
            <v>14 Aug 2024</v>
          </cell>
        </row>
        <row r="7756">
          <cell r="A7756" t="str">
            <v>NPL</v>
          </cell>
          <cell r="B7756">
            <v>2013</v>
          </cell>
          <cell r="C7756" t="str">
            <v>macpiz</v>
          </cell>
          <cell r="D7756">
            <v>9.8728723526000977</v>
          </cell>
          <cell r="F7756" t="str">
            <v>14 Aug 2024</v>
          </cell>
        </row>
        <row r="7757">
          <cell r="A7757" t="str">
            <v>NPL</v>
          </cell>
          <cell r="B7757">
            <v>2013</v>
          </cell>
          <cell r="C7757" t="str">
            <v>madebt_</v>
          </cell>
          <cell r="D7757">
            <v>27.982580184936523</v>
          </cell>
          <cell r="F7757" t="str">
            <v>14 Aug 2024</v>
          </cell>
        </row>
        <row r="7758">
          <cell r="A7758" t="str">
            <v>NPL</v>
          </cell>
          <cell r="B7758">
            <v>2010</v>
          </cell>
          <cell r="C7758" t="str">
            <v>madeficit_</v>
          </cell>
          <cell r="D7758">
            <v>-0.77579629421234131</v>
          </cell>
          <cell r="F7758" t="str">
            <v>14 Aug 2024</v>
          </cell>
        </row>
        <row r="7759">
          <cell r="A7759" t="str">
            <v>NPL</v>
          </cell>
          <cell r="B7759">
            <v>2013</v>
          </cell>
          <cell r="C7759" t="str">
            <v>magap_</v>
          </cell>
          <cell r="D7759">
            <v>0.4313245415687561</v>
          </cell>
          <cell r="F7759" t="str">
            <v>14 Aug 2024</v>
          </cell>
        </row>
        <row r="7760">
          <cell r="A7760" t="str">
            <v>NPL</v>
          </cell>
          <cell r="B7760">
            <v>2013</v>
          </cell>
          <cell r="C7760" t="str">
            <v>mapanusatls</v>
          </cell>
          <cell r="D7760">
            <v>87.955818176269531</v>
          </cell>
          <cell r="F7760" t="str">
            <v>14 Aug 2024</v>
          </cell>
        </row>
        <row r="7761">
          <cell r="A7761" t="str">
            <v>NPL</v>
          </cell>
          <cell r="B7761">
            <v>2025</v>
          </cell>
          <cell r="C7761" t="str">
            <v>maexpz</v>
          </cell>
          <cell r="D7761">
            <v>12.5</v>
          </cell>
          <cell r="F7761" t="str">
            <v>14 Aug 2024</v>
          </cell>
        </row>
        <row r="7762">
          <cell r="A7762" t="str">
            <v>NPL</v>
          </cell>
          <cell r="B7762">
            <v>2013</v>
          </cell>
          <cell r="C7762" t="str">
            <v>mar_indfc</v>
          </cell>
          <cell r="D7762">
            <v>14.625115394592285</v>
          </cell>
          <cell r="F7762" t="str">
            <v>14 Aug 2024</v>
          </cell>
        </row>
        <row r="7763">
          <cell r="A7763" t="str">
            <v>NPL</v>
          </cell>
          <cell r="B7763">
            <v>2006</v>
          </cell>
          <cell r="C7763" t="str">
            <v>macpiz</v>
          </cell>
          <cell r="D7763">
            <v>7.9624953269958496</v>
          </cell>
          <cell r="F7763" t="str">
            <v>14 Aug 2024</v>
          </cell>
        </row>
        <row r="7764">
          <cell r="A7764" t="str">
            <v>NPL</v>
          </cell>
          <cell r="B7764">
            <v>2017</v>
          </cell>
          <cell r="C7764" t="str">
            <v>maimpz</v>
          </cell>
          <cell r="D7764">
            <v>28.244775772094727</v>
          </cell>
          <cell r="F7764" t="str">
            <v>14 Aug 2024</v>
          </cell>
        </row>
        <row r="7765">
          <cell r="A7765" t="str">
            <v>NPL</v>
          </cell>
          <cell r="B7765">
            <v>2021</v>
          </cell>
          <cell r="C7765" t="str">
            <v>matfpz</v>
          </cell>
          <cell r="D7765">
            <v>1.3556143045425415</v>
          </cell>
          <cell r="F7765" t="str">
            <v>14 Aug 2024</v>
          </cell>
        </row>
        <row r="7766">
          <cell r="A7766" t="str">
            <v>NPL</v>
          </cell>
          <cell r="B7766">
            <v>2013</v>
          </cell>
          <cell r="C7766" t="str">
            <v>mareer</v>
          </cell>
          <cell r="D7766">
            <v>95.104667663574219</v>
          </cell>
          <cell r="F7766" t="str">
            <v>14 Aug 2024</v>
          </cell>
        </row>
        <row r="7767">
          <cell r="A7767" t="str">
            <v>NPL</v>
          </cell>
          <cell r="B7767">
            <v>2006</v>
          </cell>
          <cell r="C7767" t="str">
            <v>mainvz</v>
          </cell>
          <cell r="D7767">
            <v>11.094097137451172</v>
          </cell>
          <cell r="F7767" t="str">
            <v>14 Aug 2024</v>
          </cell>
        </row>
        <row r="7768">
          <cell r="A7768" t="str">
            <v>NPL</v>
          </cell>
          <cell r="B7768">
            <v>2017</v>
          </cell>
          <cell r="C7768" t="str">
            <v>mac_labz</v>
          </cell>
          <cell r="D7768">
            <v>1.5157586336135864</v>
          </cell>
          <cell r="F7768" t="str">
            <v>14 Aug 2024</v>
          </cell>
        </row>
        <row r="7769">
          <cell r="A7769" t="str">
            <v>NPL</v>
          </cell>
          <cell r="B7769">
            <v>2013</v>
          </cell>
          <cell r="C7769" t="str">
            <v>mataxfc</v>
          </cell>
          <cell r="D7769">
            <v>8.9704132080078125</v>
          </cell>
          <cell r="F7769" t="str">
            <v>14 Aug 2024</v>
          </cell>
        </row>
        <row r="7770">
          <cell r="A7770" t="str">
            <v>NPL</v>
          </cell>
          <cell r="B7770">
            <v>2014</v>
          </cell>
          <cell r="C7770" t="str">
            <v>maagrfc</v>
          </cell>
          <cell r="D7770">
            <v>4.4866480827331543</v>
          </cell>
          <cell r="F7770" t="str">
            <v>14 Aug 2024</v>
          </cell>
        </row>
        <row r="7771">
          <cell r="A7771" t="str">
            <v>NPL</v>
          </cell>
          <cell r="B7771">
            <v>2024</v>
          </cell>
          <cell r="C7771" t="str">
            <v>mar_con</v>
          </cell>
          <cell r="D7771">
            <v>86.030181884765625</v>
          </cell>
          <cell r="F7771" t="str">
            <v>14 Aug 2024</v>
          </cell>
        </row>
        <row r="7772">
          <cell r="A7772" t="str">
            <v>NPL</v>
          </cell>
          <cell r="B7772">
            <v>2026</v>
          </cell>
          <cell r="C7772" t="str">
            <v>mareer</v>
          </cell>
          <cell r="D7772">
            <v>113.18443298339844</v>
          </cell>
          <cell r="F7772" t="str">
            <v>14 Aug 2024</v>
          </cell>
        </row>
        <row r="7773">
          <cell r="A7773" t="str">
            <v>NPL</v>
          </cell>
          <cell r="B7773">
            <v>2023</v>
          </cell>
          <cell r="C7773" t="str">
            <v>mar_agrfc</v>
          </cell>
          <cell r="D7773">
            <v>29.394327163696289</v>
          </cell>
          <cell r="F7773" t="str">
            <v>14 Aug 2024</v>
          </cell>
        </row>
        <row r="7774">
          <cell r="A7774" t="str">
            <v>NPL</v>
          </cell>
          <cell r="B7774">
            <v>2014</v>
          </cell>
          <cell r="C7774" t="str">
            <v>mac_labz</v>
          </cell>
          <cell r="D7774">
            <v>0.76409941911697388</v>
          </cell>
          <cell r="F7774" t="str">
            <v>14 Aug 2024</v>
          </cell>
        </row>
        <row r="7775">
          <cell r="A7775" t="str">
            <v>NPL</v>
          </cell>
          <cell r="B7775">
            <v>2014</v>
          </cell>
          <cell r="C7775" t="str">
            <v>mac_tfpz</v>
          </cell>
          <cell r="D7775">
            <v>0.43409439921379089</v>
          </cell>
          <cell r="F7775" t="str">
            <v>14 Aug 2024</v>
          </cell>
        </row>
        <row r="7776">
          <cell r="A7776" t="str">
            <v>NPL</v>
          </cell>
          <cell r="B7776">
            <v>2016</v>
          </cell>
          <cell r="C7776" t="str">
            <v>maindfc</v>
          </cell>
          <cell r="D7776">
            <v>-4.1331548690795898</v>
          </cell>
          <cell r="F7776" t="str">
            <v>14 Aug 2024</v>
          </cell>
        </row>
        <row r="7777">
          <cell r="A7777" t="str">
            <v>NPL</v>
          </cell>
          <cell r="B7777">
            <v>2021</v>
          </cell>
          <cell r="C7777" t="str">
            <v>mar_srvfc</v>
          </cell>
          <cell r="D7777">
            <v>54.085948944091797</v>
          </cell>
          <cell r="F7777" t="str">
            <v>14 Aug 2024</v>
          </cell>
        </row>
        <row r="7778">
          <cell r="A7778" t="str">
            <v>NPL</v>
          </cell>
          <cell r="B7778">
            <v>2005</v>
          </cell>
          <cell r="C7778" t="str">
            <v>mar_agrfc</v>
          </cell>
          <cell r="D7778">
            <v>37.509998321533203</v>
          </cell>
          <cell r="F7778" t="str">
            <v>14 Aug 2024</v>
          </cell>
        </row>
        <row r="7779">
          <cell r="A7779" t="str">
            <v>NPL</v>
          </cell>
          <cell r="B7779">
            <v>2021</v>
          </cell>
          <cell r="C7779" t="str">
            <v>mafdi_</v>
          </cell>
          <cell r="D7779">
            <v>-0.44830533862113953</v>
          </cell>
          <cell r="F7779" t="str">
            <v>14 Aug 2024</v>
          </cell>
        </row>
        <row r="7780">
          <cell r="A7780" t="str">
            <v>NPL</v>
          </cell>
          <cell r="B7780">
            <v>2014</v>
          </cell>
          <cell r="C7780" t="str">
            <v>mapanusatls</v>
          </cell>
          <cell r="D7780">
            <v>98.212356567382813</v>
          </cell>
          <cell r="F7780" t="str">
            <v>14 Aug 2024</v>
          </cell>
        </row>
        <row r="7781">
          <cell r="A7781" t="str">
            <v>NPL</v>
          </cell>
          <cell r="B7781">
            <v>2022</v>
          </cell>
          <cell r="C7781" t="str">
            <v>mapanusatls</v>
          </cell>
          <cell r="D7781">
            <v>120.84027099609375</v>
          </cell>
          <cell r="F7781" t="str">
            <v>14 Aug 2024</v>
          </cell>
        </row>
        <row r="7782">
          <cell r="A7782" t="str">
            <v>NPL</v>
          </cell>
          <cell r="B7782">
            <v>2008</v>
          </cell>
          <cell r="C7782" t="str">
            <v>maimpz</v>
          </cell>
          <cell r="D7782">
            <v>8.1918716430664063</v>
          </cell>
          <cell r="F7782" t="str">
            <v>14 Aug 2024</v>
          </cell>
        </row>
        <row r="7783">
          <cell r="A7783" t="str">
            <v>NPL</v>
          </cell>
          <cell r="B7783">
            <v>2014</v>
          </cell>
          <cell r="C7783" t="str">
            <v>mar_impz</v>
          </cell>
          <cell r="D7783">
            <v>35.296382904052734</v>
          </cell>
          <cell r="F7783" t="str">
            <v>14 Aug 2024</v>
          </cell>
        </row>
        <row r="7784">
          <cell r="A7784" t="str">
            <v>NPL</v>
          </cell>
          <cell r="B7784">
            <v>2017</v>
          </cell>
          <cell r="C7784" t="str">
            <v>masrvfc</v>
          </cell>
          <cell r="D7784">
            <v>8.3799781799316406</v>
          </cell>
          <cell r="F7784" t="str">
            <v>14 Aug 2024</v>
          </cell>
        </row>
        <row r="7785">
          <cell r="A7785" t="str">
            <v>NPL</v>
          </cell>
          <cell r="B7785">
            <v>2021</v>
          </cell>
          <cell r="C7785" t="str">
            <v>mareer</v>
          </cell>
          <cell r="D7785">
            <v>102.44869232177734</v>
          </cell>
          <cell r="F7785" t="str">
            <v>14 Aug 2024</v>
          </cell>
        </row>
        <row r="7786">
          <cell r="A7786" t="str">
            <v>NPL</v>
          </cell>
          <cell r="B7786">
            <v>2010</v>
          </cell>
          <cell r="C7786" t="str">
            <v>mataxfc</v>
          </cell>
          <cell r="D7786">
            <v>12.279151916503906</v>
          </cell>
          <cell r="F7786" t="str">
            <v>14 Aug 2024</v>
          </cell>
        </row>
        <row r="7787">
          <cell r="A7787" t="str">
            <v>NPL</v>
          </cell>
          <cell r="B7787">
            <v>2023</v>
          </cell>
          <cell r="C7787" t="str">
            <v>mareer</v>
          </cell>
          <cell r="D7787">
            <v>104.23457336425781</v>
          </cell>
          <cell r="F7787" t="str">
            <v>14 Aug 2024</v>
          </cell>
        </row>
        <row r="7788">
          <cell r="A7788" t="str">
            <v>NPL</v>
          </cell>
          <cell r="B7788">
            <v>2008</v>
          </cell>
          <cell r="C7788" t="str">
            <v>magdpz</v>
          </cell>
          <cell r="D7788">
            <v>6.1046395301818848</v>
          </cell>
          <cell r="F7788" t="str">
            <v>14 Aug 2024</v>
          </cell>
        </row>
        <row r="7789">
          <cell r="A7789" t="str">
            <v>NPL</v>
          </cell>
          <cell r="B7789">
            <v>2014</v>
          </cell>
          <cell r="C7789" t="str">
            <v>matfpz</v>
          </cell>
          <cell r="D7789">
            <v>0.43409439921379089</v>
          </cell>
          <cell r="F7789" t="str">
            <v>14 Aug 2024</v>
          </cell>
        </row>
        <row r="7790">
          <cell r="A7790" t="str">
            <v>NPL</v>
          </cell>
          <cell r="B7790">
            <v>2015</v>
          </cell>
          <cell r="C7790" t="str">
            <v>maagrfc</v>
          </cell>
          <cell r="D7790">
            <v>1.2008568048477173</v>
          </cell>
          <cell r="F7790" t="str">
            <v>14 Aug 2024</v>
          </cell>
        </row>
        <row r="7791">
          <cell r="A7791" t="str">
            <v>NPL</v>
          </cell>
          <cell r="B7791">
            <v>2014</v>
          </cell>
          <cell r="C7791" t="str">
            <v>maconz</v>
          </cell>
          <cell r="D7791">
            <v>3.043724536895752</v>
          </cell>
          <cell r="F7791" t="str">
            <v>14 Aug 2024</v>
          </cell>
        </row>
        <row r="7792">
          <cell r="A7792" t="str">
            <v>NPL</v>
          </cell>
          <cell r="B7792">
            <v>2022</v>
          </cell>
          <cell r="C7792" t="str">
            <v>madeficit_</v>
          </cell>
          <cell r="D7792">
            <v>-3.661125659942627</v>
          </cell>
          <cell r="F7792" t="str">
            <v>14 Aug 2024</v>
          </cell>
        </row>
        <row r="7793">
          <cell r="A7793" t="str">
            <v>NPL</v>
          </cell>
          <cell r="B7793">
            <v>2007</v>
          </cell>
          <cell r="C7793" t="str">
            <v>madebt_</v>
          </cell>
          <cell r="D7793">
            <v>38.027694702148438</v>
          </cell>
          <cell r="F7793" t="str">
            <v>14 Aug 2024</v>
          </cell>
        </row>
        <row r="7794">
          <cell r="A7794" t="str">
            <v>NPL</v>
          </cell>
          <cell r="B7794">
            <v>2019</v>
          </cell>
          <cell r="C7794" t="str">
            <v>mac_labz</v>
          </cell>
          <cell r="D7794">
            <v>1.4288650751113892</v>
          </cell>
          <cell r="F7794" t="str">
            <v>14 Aug 2024</v>
          </cell>
        </row>
        <row r="7795">
          <cell r="A7795" t="str">
            <v>NPL</v>
          </cell>
          <cell r="B7795">
            <v>2015</v>
          </cell>
          <cell r="C7795" t="str">
            <v>madebt_</v>
          </cell>
          <cell r="D7795">
            <v>22.483493804931641</v>
          </cell>
          <cell r="F7795" t="str">
            <v>14 Aug 2024</v>
          </cell>
        </row>
        <row r="7796">
          <cell r="A7796" t="str">
            <v>NPL</v>
          </cell>
          <cell r="B7796">
            <v>2015</v>
          </cell>
          <cell r="C7796" t="str">
            <v>maindfc</v>
          </cell>
          <cell r="D7796">
            <v>2.0019657611846924</v>
          </cell>
          <cell r="F7796" t="str">
            <v>14 Aug 2024</v>
          </cell>
        </row>
        <row r="7797">
          <cell r="A7797" t="str">
            <v>NPL</v>
          </cell>
          <cell r="B7797">
            <v>2017</v>
          </cell>
          <cell r="C7797" t="str">
            <v>mar_impz</v>
          </cell>
          <cell r="D7797">
            <v>44.961654663085938</v>
          </cell>
          <cell r="F7797" t="str">
            <v>14 Aug 2024</v>
          </cell>
        </row>
        <row r="7798">
          <cell r="A7798" t="str">
            <v>NPL</v>
          </cell>
          <cell r="B7798">
            <v>2006</v>
          </cell>
          <cell r="C7798" t="str">
            <v>mac_labz</v>
          </cell>
          <cell r="D7798">
            <v>1.1487314701080322</v>
          </cell>
          <cell r="F7798" t="str">
            <v>14 Aug 2024</v>
          </cell>
        </row>
        <row r="7799">
          <cell r="A7799" t="str">
            <v>NPL</v>
          </cell>
          <cell r="B7799">
            <v>2018</v>
          </cell>
          <cell r="C7799" t="str">
            <v>masrvfc</v>
          </cell>
          <cell r="D7799">
            <v>9.2534666061401367</v>
          </cell>
          <cell r="F7799" t="str">
            <v>14 Aug 2024</v>
          </cell>
        </row>
        <row r="7800">
          <cell r="A7800" t="str">
            <v>NPL</v>
          </cell>
          <cell r="B7800">
            <v>2025</v>
          </cell>
          <cell r="C7800" t="str">
            <v>madebt_</v>
          </cell>
          <cell r="D7800">
            <v>44.869148254394531</v>
          </cell>
          <cell r="F7800" t="str">
            <v>14 Aug 2024</v>
          </cell>
        </row>
        <row r="7801">
          <cell r="A7801" t="str">
            <v>NPL</v>
          </cell>
          <cell r="B7801">
            <v>2012</v>
          </cell>
          <cell r="C7801" t="str">
            <v>mapanusatls</v>
          </cell>
          <cell r="D7801">
            <v>81.019721984863281</v>
          </cell>
          <cell r="F7801" t="str">
            <v>14 Aug 2024</v>
          </cell>
        </row>
        <row r="7802">
          <cell r="A7802" t="str">
            <v>NPL</v>
          </cell>
          <cell r="B7802">
            <v>2015</v>
          </cell>
          <cell r="C7802" t="str">
            <v>mar_agrfc</v>
          </cell>
          <cell r="D7802">
            <v>31.860519409179688</v>
          </cell>
          <cell r="F7802" t="str">
            <v>14 Aug 2024</v>
          </cell>
        </row>
        <row r="7803">
          <cell r="A7803" t="str">
            <v>NPL</v>
          </cell>
          <cell r="B7803">
            <v>2005</v>
          </cell>
          <cell r="C7803" t="str">
            <v>madeficit_</v>
          </cell>
          <cell r="D7803">
            <v>0.42755523324012756</v>
          </cell>
          <cell r="F7803" t="str">
            <v>14 Aug 2024</v>
          </cell>
        </row>
        <row r="7804">
          <cell r="A7804" t="str">
            <v>NPL</v>
          </cell>
          <cell r="B7804">
            <v>2022</v>
          </cell>
          <cell r="C7804" t="str">
            <v>maagrfc</v>
          </cell>
          <cell r="D7804">
            <v>2.2407450675964355</v>
          </cell>
          <cell r="F7804" t="str">
            <v>14 Aug 2024</v>
          </cell>
        </row>
        <row r="7805">
          <cell r="A7805" t="str">
            <v>NPL</v>
          </cell>
          <cell r="B7805">
            <v>2015</v>
          </cell>
          <cell r="C7805" t="str">
            <v>mar_expz</v>
          </cell>
          <cell r="D7805">
            <v>10.696918487548828</v>
          </cell>
          <cell r="F7805" t="str">
            <v>14 Aug 2024</v>
          </cell>
        </row>
        <row r="7806">
          <cell r="A7806" t="str">
            <v>NPL</v>
          </cell>
          <cell r="B7806">
            <v>2025</v>
          </cell>
          <cell r="C7806" t="str">
            <v>mataxfc</v>
          </cell>
          <cell r="D7806">
            <v>4.5999999046325684</v>
          </cell>
          <cell r="F7806" t="str">
            <v>14 Aug 2024</v>
          </cell>
        </row>
        <row r="7807">
          <cell r="A7807" t="str">
            <v>NPL</v>
          </cell>
          <cell r="B7807">
            <v>2015</v>
          </cell>
          <cell r="C7807" t="str">
            <v>magap_</v>
          </cell>
          <cell r="D7807">
            <v>1.058276891708374</v>
          </cell>
          <cell r="F7807" t="str">
            <v>14 Aug 2024</v>
          </cell>
        </row>
        <row r="7808">
          <cell r="A7808" t="str">
            <v>NPL</v>
          </cell>
          <cell r="B7808">
            <v>2009</v>
          </cell>
          <cell r="C7808" t="str">
            <v>mafdi_</v>
          </cell>
          <cell r="D7808">
            <v>-0.16190771758556366</v>
          </cell>
          <cell r="F7808" t="str">
            <v>14 Aug 2024</v>
          </cell>
        </row>
        <row r="7809">
          <cell r="A7809" t="str">
            <v>NPL</v>
          </cell>
          <cell r="B7809">
            <v>2012</v>
          </cell>
          <cell r="C7809" t="str">
            <v>magovz</v>
          </cell>
          <cell r="D7809">
            <v>0.81857520341873169</v>
          </cell>
          <cell r="F7809" t="str">
            <v>14 Aug 2024</v>
          </cell>
        </row>
        <row r="7810">
          <cell r="A7810" t="str">
            <v>NPL</v>
          </cell>
          <cell r="B7810">
            <v>2016</v>
          </cell>
          <cell r="C7810" t="str">
            <v>maagrfc</v>
          </cell>
          <cell r="D7810">
            <v>-8.4322676062583923E-2</v>
          </cell>
          <cell r="F7810" t="str">
            <v>14 Aug 2024</v>
          </cell>
        </row>
        <row r="7811">
          <cell r="A7811" t="str">
            <v>NPL</v>
          </cell>
          <cell r="B7811">
            <v>2013</v>
          </cell>
          <cell r="C7811" t="str">
            <v>mar_srvfc</v>
          </cell>
          <cell r="D7811">
            <v>52.395057678222656</v>
          </cell>
          <cell r="F7811" t="str">
            <v>14 Aug 2024</v>
          </cell>
        </row>
        <row r="7812">
          <cell r="A7812" t="str">
            <v>NPL</v>
          </cell>
          <cell r="B7812">
            <v>2005</v>
          </cell>
          <cell r="C7812" t="str">
            <v>madebt_</v>
          </cell>
          <cell r="D7812">
            <v>44.420207977294922</v>
          </cell>
          <cell r="F7812" t="str">
            <v>14 Aug 2024</v>
          </cell>
        </row>
        <row r="7813">
          <cell r="A7813" t="str">
            <v>NPL</v>
          </cell>
          <cell r="B7813">
            <v>2014</v>
          </cell>
          <cell r="C7813" t="str">
            <v>maindfc</v>
          </cell>
          <cell r="D7813">
            <v>7.4741649627685547</v>
          </cell>
          <cell r="F7813" t="str">
            <v>14 Aug 2024</v>
          </cell>
        </row>
        <row r="7814">
          <cell r="A7814" t="str">
            <v>NPL</v>
          </cell>
          <cell r="B7814">
            <v>2025</v>
          </cell>
          <cell r="C7814" t="str">
            <v>maimpz</v>
          </cell>
          <cell r="D7814">
            <v>13.100000381469727</v>
          </cell>
          <cell r="F7814" t="str">
            <v>14 Aug 2024</v>
          </cell>
        </row>
        <row r="7815">
          <cell r="A7815" t="str">
            <v>NPL</v>
          </cell>
          <cell r="B7815">
            <v>2023</v>
          </cell>
          <cell r="C7815" t="str">
            <v>maagrfc</v>
          </cell>
          <cell r="D7815">
            <v>2.7287383079528809</v>
          </cell>
          <cell r="F7815" t="str">
            <v>14 Aug 2024</v>
          </cell>
        </row>
        <row r="7816">
          <cell r="A7816" t="str">
            <v>NPL</v>
          </cell>
          <cell r="B7816">
            <v>2016</v>
          </cell>
          <cell r="C7816" t="str">
            <v>maexpz</v>
          </cell>
          <cell r="D7816">
            <v>-17.305917739868164</v>
          </cell>
          <cell r="F7816" t="str">
            <v>14 Aug 2024</v>
          </cell>
        </row>
        <row r="7817">
          <cell r="A7817" t="str">
            <v>NPL</v>
          </cell>
          <cell r="B7817">
            <v>2026</v>
          </cell>
          <cell r="C7817" t="str">
            <v>mar_agrfc</v>
          </cell>
          <cell r="D7817">
            <v>27.712636947631836</v>
          </cell>
          <cell r="F7817" t="str">
            <v>14 Aug 2024</v>
          </cell>
        </row>
        <row r="7818">
          <cell r="A7818" t="str">
            <v>NPL</v>
          </cell>
          <cell r="B7818">
            <v>2016</v>
          </cell>
          <cell r="C7818" t="str">
            <v>magdpz</v>
          </cell>
          <cell r="D7818">
            <v>0.43311372399330139</v>
          </cell>
          <cell r="F7818" t="str">
            <v>14 Aug 2024</v>
          </cell>
        </row>
        <row r="7819">
          <cell r="A7819" t="str">
            <v>NPL</v>
          </cell>
          <cell r="B7819">
            <v>2021</v>
          </cell>
          <cell r="C7819" t="str">
            <v>mar_expz</v>
          </cell>
          <cell r="D7819">
            <v>5.6331644058227539</v>
          </cell>
          <cell r="F7819" t="str">
            <v>14 Aug 2024</v>
          </cell>
        </row>
        <row r="7820">
          <cell r="A7820" t="str">
            <v>NPL</v>
          </cell>
          <cell r="B7820">
            <v>2008</v>
          </cell>
          <cell r="C7820" t="str">
            <v>mar_impz</v>
          </cell>
          <cell r="D7820">
            <v>30.381601333618164</v>
          </cell>
          <cell r="F7820" t="str">
            <v>14 Aug 2024</v>
          </cell>
        </row>
        <row r="7821">
          <cell r="A7821" t="str">
            <v>NPL</v>
          </cell>
          <cell r="B7821">
            <v>2015</v>
          </cell>
          <cell r="C7821" t="str">
            <v>mataxfc</v>
          </cell>
          <cell r="D7821">
            <v>9.1102085113525391</v>
          </cell>
          <cell r="F7821" t="str">
            <v>14 Aug 2024</v>
          </cell>
        </row>
        <row r="7822">
          <cell r="A7822" t="str">
            <v>NPL</v>
          </cell>
          <cell r="B7822">
            <v>2025</v>
          </cell>
          <cell r="C7822" t="str">
            <v>mar_impz</v>
          </cell>
          <cell r="D7822">
            <v>40.149852752685547</v>
          </cell>
          <cell r="F7822" t="str">
            <v>14 Aug 2024</v>
          </cell>
        </row>
        <row r="7823">
          <cell r="A7823" t="str">
            <v>NPL</v>
          </cell>
          <cell r="B7823">
            <v>2016</v>
          </cell>
          <cell r="C7823" t="str">
            <v>mainvz</v>
          </cell>
          <cell r="D7823">
            <v>6.3873538970947266</v>
          </cell>
          <cell r="F7823" t="str">
            <v>14 Aug 2024</v>
          </cell>
        </row>
        <row r="7824">
          <cell r="A7824" t="str">
            <v>NPL</v>
          </cell>
          <cell r="B7824">
            <v>2026</v>
          </cell>
          <cell r="C7824" t="str">
            <v>mar_indfc</v>
          </cell>
          <cell r="D7824">
            <v>17.023021697998047</v>
          </cell>
          <cell r="F7824" t="str">
            <v>14 Aug 2024</v>
          </cell>
        </row>
        <row r="7825">
          <cell r="A7825" t="str">
            <v>NPL</v>
          </cell>
          <cell r="B7825">
            <v>2009</v>
          </cell>
          <cell r="C7825" t="str">
            <v>mar_impz</v>
          </cell>
          <cell r="D7825">
            <v>32.735645294189453</v>
          </cell>
          <cell r="F7825" t="str">
            <v>14 Aug 2024</v>
          </cell>
        </row>
        <row r="7826">
          <cell r="A7826" t="str">
            <v>NPL</v>
          </cell>
          <cell r="B7826">
            <v>2017</v>
          </cell>
          <cell r="C7826" t="str">
            <v>mar_taxfc</v>
          </cell>
          <cell r="D7826">
            <v>10.388848304748535</v>
          </cell>
          <cell r="F7826" t="str">
            <v>14 Aug 2024</v>
          </cell>
        </row>
        <row r="7827">
          <cell r="A7827" t="str">
            <v>NPL</v>
          </cell>
          <cell r="B7827">
            <v>2016</v>
          </cell>
          <cell r="C7827" t="str">
            <v>mar_indfc</v>
          </cell>
          <cell r="D7827">
            <v>14.041996955871582</v>
          </cell>
          <cell r="F7827" t="str">
            <v>14 Aug 2024</v>
          </cell>
        </row>
        <row r="7828">
          <cell r="A7828" t="str">
            <v>NPL</v>
          </cell>
          <cell r="B7828">
            <v>2022</v>
          </cell>
          <cell r="C7828" t="str">
            <v>mafdi_</v>
          </cell>
          <cell r="D7828">
            <v>-0.37619477510452271</v>
          </cell>
          <cell r="F7828" t="str">
            <v>14 Aug 2024</v>
          </cell>
        </row>
        <row r="7829">
          <cell r="A7829" t="str">
            <v>NPL</v>
          </cell>
          <cell r="B7829">
            <v>2026</v>
          </cell>
          <cell r="C7829" t="str">
            <v>maimpz</v>
          </cell>
          <cell r="D7829">
            <v>9.6999998092651367</v>
          </cell>
          <cell r="F7829" t="str">
            <v>14 Aug 2024</v>
          </cell>
        </row>
        <row r="7830">
          <cell r="A7830" t="str">
            <v>NPL</v>
          </cell>
          <cell r="B7830">
            <v>2011</v>
          </cell>
          <cell r="C7830" t="str">
            <v>malabz</v>
          </cell>
          <cell r="D7830">
            <v>1.3704935312271118</v>
          </cell>
          <cell r="F7830" t="str">
            <v>14 Aug 2024</v>
          </cell>
        </row>
        <row r="7831">
          <cell r="A7831" t="str">
            <v>NPL</v>
          </cell>
          <cell r="B7831">
            <v>2019</v>
          </cell>
          <cell r="C7831" t="str">
            <v>magdpz</v>
          </cell>
          <cell r="D7831">
            <v>6.6570553779602051</v>
          </cell>
          <cell r="F7831" t="str">
            <v>14 Aug 2024</v>
          </cell>
        </row>
        <row r="7832">
          <cell r="A7832" t="str">
            <v>NPL</v>
          </cell>
          <cell r="B7832">
            <v>2011</v>
          </cell>
          <cell r="C7832" t="str">
            <v>mataxfc</v>
          </cell>
          <cell r="D7832">
            <v>-2.3072898387908936</v>
          </cell>
          <cell r="F7832" t="str">
            <v>14 Aug 2024</v>
          </cell>
        </row>
        <row r="7833">
          <cell r="A7833" t="str">
            <v>NPL</v>
          </cell>
          <cell r="B7833">
            <v>2017</v>
          </cell>
          <cell r="C7833" t="str">
            <v>madeficit_</v>
          </cell>
          <cell r="D7833">
            <v>-2.6919076442718506</v>
          </cell>
          <cell r="F7833" t="str">
            <v>14 Aug 2024</v>
          </cell>
        </row>
        <row r="7834">
          <cell r="A7834" t="str">
            <v>NPL</v>
          </cell>
          <cell r="B7834">
            <v>2017</v>
          </cell>
          <cell r="C7834" t="str">
            <v>magap_</v>
          </cell>
          <cell r="D7834">
            <v>-0.93644124269485474</v>
          </cell>
          <cell r="F7834" t="str">
            <v>14 Aug 2024</v>
          </cell>
        </row>
        <row r="7835">
          <cell r="A7835" t="str">
            <v>NPL</v>
          </cell>
          <cell r="B7835">
            <v>2025</v>
          </cell>
          <cell r="C7835" t="str">
            <v>mar_taxfc</v>
          </cell>
          <cell r="D7835">
            <v>11.411042213439941</v>
          </cell>
          <cell r="F7835" t="str">
            <v>14 Aug 2024</v>
          </cell>
        </row>
        <row r="7836">
          <cell r="A7836" t="str">
            <v>NPL</v>
          </cell>
          <cell r="B7836">
            <v>2020</v>
          </cell>
          <cell r="C7836" t="str">
            <v>mac_tfpz</v>
          </cell>
          <cell r="D7836">
            <v>-9.4357414245605469</v>
          </cell>
          <cell r="F7836" t="str">
            <v>14 Aug 2024</v>
          </cell>
        </row>
        <row r="7837">
          <cell r="A7837" t="str">
            <v>NPL</v>
          </cell>
          <cell r="B7837">
            <v>2026</v>
          </cell>
          <cell r="C7837" t="str">
            <v>mar_impz</v>
          </cell>
          <cell r="D7837">
            <v>41.827529907226563</v>
          </cell>
          <cell r="F7837" t="str">
            <v>14 Aug 2024</v>
          </cell>
        </row>
        <row r="7838">
          <cell r="A7838" t="str">
            <v>NPL</v>
          </cell>
          <cell r="B7838">
            <v>2007</v>
          </cell>
          <cell r="C7838" t="str">
            <v>mataxfc</v>
          </cell>
          <cell r="D7838">
            <v>6.5550537109375</v>
          </cell>
          <cell r="F7838" t="str">
            <v>14 Aug 2024</v>
          </cell>
        </row>
        <row r="7839">
          <cell r="A7839" t="str">
            <v>NPL</v>
          </cell>
          <cell r="B7839">
            <v>2017</v>
          </cell>
          <cell r="C7839" t="str">
            <v>mar_agrfc</v>
          </cell>
          <cell r="D7839">
            <v>30.831851959228516</v>
          </cell>
          <cell r="F7839" t="str">
            <v>14 Aug 2024</v>
          </cell>
        </row>
        <row r="7840">
          <cell r="A7840" t="str">
            <v>NPL</v>
          </cell>
          <cell r="B7840">
            <v>2026</v>
          </cell>
          <cell r="C7840" t="str">
            <v>maconz</v>
          </cell>
          <cell r="D7840">
            <v>3.7000000476837158</v>
          </cell>
          <cell r="F7840" t="str">
            <v>14 Aug 2024</v>
          </cell>
        </row>
        <row r="7841">
          <cell r="A7841" t="str">
            <v>NPL</v>
          </cell>
          <cell r="B7841">
            <v>2006</v>
          </cell>
          <cell r="C7841" t="str">
            <v>mar_agrfc</v>
          </cell>
          <cell r="D7841">
            <v>36.686355590820313</v>
          </cell>
          <cell r="F7841" t="str">
            <v>14 Aug 2024</v>
          </cell>
        </row>
        <row r="7842">
          <cell r="A7842" t="str">
            <v>NPL</v>
          </cell>
          <cell r="B7842">
            <v>2022</v>
          </cell>
          <cell r="C7842" t="str">
            <v>mar_agrfc</v>
          </cell>
          <cell r="D7842">
            <v>29.230588912963867</v>
          </cell>
          <cell r="F7842" t="str">
            <v>14 Aug 2024</v>
          </cell>
        </row>
        <row r="7843">
          <cell r="A7843" t="str">
            <v>NPL</v>
          </cell>
          <cell r="B7843">
            <v>2018</v>
          </cell>
          <cell r="C7843" t="str">
            <v>maagrfc</v>
          </cell>
          <cell r="D7843">
            <v>2.6092596054077148</v>
          </cell>
          <cell r="F7843" t="str">
            <v>14 Aug 2024</v>
          </cell>
        </row>
        <row r="7844">
          <cell r="A7844" t="str">
            <v>NPL</v>
          </cell>
          <cell r="B7844">
            <v>2018</v>
          </cell>
          <cell r="C7844" t="str">
            <v>macpiz</v>
          </cell>
          <cell r="D7844">
            <v>4.1464991569519043</v>
          </cell>
          <cell r="F7844" t="str">
            <v>14 Aug 2024</v>
          </cell>
        </row>
        <row r="7845">
          <cell r="A7845" t="str">
            <v>NPL</v>
          </cell>
          <cell r="B7845">
            <v>2019</v>
          </cell>
          <cell r="C7845" t="str">
            <v>mar_expz</v>
          </cell>
          <cell r="D7845">
            <v>8.7116670608520508</v>
          </cell>
          <cell r="F7845" t="str">
            <v>14 Aug 2024</v>
          </cell>
        </row>
        <row r="7846">
          <cell r="A7846" t="str">
            <v>NPL</v>
          </cell>
          <cell r="B7846">
            <v>2014</v>
          </cell>
          <cell r="C7846" t="str">
            <v>macab_</v>
          </cell>
          <cell r="D7846">
            <v>4.0243663787841797</v>
          </cell>
          <cell r="F7846" t="str">
            <v>14 Aug 2024</v>
          </cell>
        </row>
        <row r="7847">
          <cell r="A7847" t="str">
            <v>NPL</v>
          </cell>
          <cell r="B7847">
            <v>2026</v>
          </cell>
          <cell r="C7847" t="str">
            <v>magap_</v>
          </cell>
          <cell r="D7847">
            <v>-1.3952928781509399</v>
          </cell>
          <cell r="F7847" t="str">
            <v>14 Aug 2024</v>
          </cell>
        </row>
        <row r="7848">
          <cell r="A7848" t="str">
            <v>NPL</v>
          </cell>
          <cell r="B7848">
            <v>2018</v>
          </cell>
          <cell r="C7848" t="str">
            <v>magovz</v>
          </cell>
          <cell r="D7848">
            <v>2.0515615940093994</v>
          </cell>
          <cell r="F7848" t="str">
            <v>14 Aug 2024</v>
          </cell>
        </row>
        <row r="7849">
          <cell r="A7849" t="str">
            <v>NPL</v>
          </cell>
          <cell r="B7849">
            <v>2008</v>
          </cell>
          <cell r="C7849" t="str">
            <v>mareer</v>
          </cell>
          <cell r="D7849">
            <v>85.672714233398438</v>
          </cell>
          <cell r="F7849" t="str">
            <v>14 Aug 2024</v>
          </cell>
        </row>
        <row r="7850">
          <cell r="A7850" t="str">
            <v>NPL</v>
          </cell>
          <cell r="B7850">
            <v>2023</v>
          </cell>
          <cell r="C7850" t="str">
            <v>madebt_</v>
          </cell>
          <cell r="D7850">
            <v>42.728290557861328</v>
          </cell>
          <cell r="F7850" t="str">
            <v>14 Aug 2024</v>
          </cell>
        </row>
        <row r="7851">
          <cell r="A7851" t="str">
            <v>NPL</v>
          </cell>
          <cell r="B7851">
            <v>2008</v>
          </cell>
          <cell r="C7851" t="str">
            <v>masrvfc</v>
          </cell>
          <cell r="D7851">
            <v>7.5244350433349609</v>
          </cell>
          <cell r="F7851" t="str">
            <v>14 Aug 2024</v>
          </cell>
        </row>
        <row r="7852">
          <cell r="A7852" t="str">
            <v>NPL</v>
          </cell>
          <cell r="B7852">
            <v>2025</v>
          </cell>
          <cell r="C7852" t="str">
            <v>mar_con</v>
          </cell>
          <cell r="D7852">
            <v>85.289955139160156</v>
          </cell>
          <cell r="F7852" t="str">
            <v>14 Aug 2024</v>
          </cell>
        </row>
        <row r="7853">
          <cell r="A7853" t="str">
            <v>NPL</v>
          </cell>
          <cell r="B7853">
            <v>2022</v>
          </cell>
          <cell r="C7853" t="str">
            <v>mac_labz</v>
          </cell>
          <cell r="D7853">
            <v>1.7064467668533325</v>
          </cell>
          <cell r="F7853" t="str">
            <v>14 Aug 2024</v>
          </cell>
        </row>
        <row r="7854">
          <cell r="A7854" t="str">
            <v>NPL</v>
          </cell>
          <cell r="B7854">
            <v>2013</v>
          </cell>
          <cell r="C7854" t="str">
            <v>mac_labz</v>
          </cell>
          <cell r="D7854">
            <v>0.67705142498016357</v>
          </cell>
          <cell r="F7854" t="str">
            <v>14 Aug 2024</v>
          </cell>
        </row>
        <row r="7855">
          <cell r="A7855" t="str">
            <v>NPL</v>
          </cell>
          <cell r="B7855">
            <v>2016</v>
          </cell>
          <cell r="C7855" t="str">
            <v>mac_labz</v>
          </cell>
          <cell r="D7855">
            <v>1.3246597051620483</v>
          </cell>
          <cell r="F7855" t="str">
            <v>14 Aug 2024</v>
          </cell>
        </row>
        <row r="7856">
          <cell r="A7856" t="str">
            <v>NPL</v>
          </cell>
          <cell r="B7856">
            <v>2016</v>
          </cell>
          <cell r="C7856" t="str">
            <v>mar_agrfc</v>
          </cell>
          <cell r="D7856">
            <v>31.832851409912109</v>
          </cell>
          <cell r="F7856" t="str">
            <v>14 Aug 2024</v>
          </cell>
        </row>
        <row r="7857">
          <cell r="A7857" t="str">
            <v>NPL</v>
          </cell>
          <cell r="B7857">
            <v>2013</v>
          </cell>
          <cell r="C7857" t="str">
            <v>magdpz</v>
          </cell>
          <cell r="D7857">
            <v>3.5251531600952148</v>
          </cell>
          <cell r="F7857" t="str">
            <v>14 Aug 2024</v>
          </cell>
        </row>
        <row r="7858">
          <cell r="A7858" t="str">
            <v>NPL</v>
          </cell>
          <cell r="B7858">
            <v>2005</v>
          </cell>
          <cell r="C7858" t="str">
            <v>macpiz</v>
          </cell>
          <cell r="D7858">
            <v>4.5388603210449219</v>
          </cell>
          <cell r="F7858" t="str">
            <v>14 Aug 2024</v>
          </cell>
        </row>
        <row r="7859">
          <cell r="A7859" t="str">
            <v>NPL</v>
          </cell>
          <cell r="B7859">
            <v>2005</v>
          </cell>
          <cell r="C7859" t="str">
            <v>mapanusatls</v>
          </cell>
          <cell r="D7859">
            <v>72.055572509765625</v>
          </cell>
          <cell r="F7859" t="str">
            <v>14 Aug 2024</v>
          </cell>
        </row>
        <row r="7860">
          <cell r="A7860" t="str">
            <v>NPL</v>
          </cell>
          <cell r="B7860">
            <v>2016</v>
          </cell>
          <cell r="C7860" t="str">
            <v>mar_expz</v>
          </cell>
          <cell r="D7860">
            <v>8.8075723648071289</v>
          </cell>
          <cell r="F7860" t="str">
            <v>14 Aug 2024</v>
          </cell>
        </row>
        <row r="7861">
          <cell r="A7861" t="str">
            <v>NPL</v>
          </cell>
          <cell r="B7861">
            <v>2019</v>
          </cell>
          <cell r="C7861" t="str">
            <v>macpiz</v>
          </cell>
          <cell r="D7861">
            <v>4.6384749412536621</v>
          </cell>
          <cell r="F7861" t="str">
            <v>14 Aug 2024</v>
          </cell>
        </row>
        <row r="7862">
          <cell r="A7862" t="str">
            <v>NPL</v>
          </cell>
          <cell r="B7862">
            <v>2014</v>
          </cell>
          <cell r="C7862" t="str">
            <v>macpiz</v>
          </cell>
          <cell r="D7862">
            <v>9.0404281616210938</v>
          </cell>
          <cell r="F7862" t="str">
            <v>14 Aug 2024</v>
          </cell>
        </row>
        <row r="7863">
          <cell r="A7863" t="str">
            <v>NPL</v>
          </cell>
          <cell r="B7863">
            <v>2016</v>
          </cell>
          <cell r="C7863" t="str">
            <v>malabz</v>
          </cell>
          <cell r="D7863">
            <v>1.8923710584640503</v>
          </cell>
          <cell r="F7863" t="str">
            <v>14 Aug 2024</v>
          </cell>
        </row>
        <row r="7864">
          <cell r="A7864" t="str">
            <v>NPL</v>
          </cell>
          <cell r="B7864">
            <v>2026</v>
          </cell>
          <cell r="C7864" t="str">
            <v>mapanusatls</v>
          </cell>
          <cell r="D7864">
            <v>132.86567687988281</v>
          </cell>
          <cell r="F7864" t="str">
            <v>14 Aug 2024</v>
          </cell>
        </row>
        <row r="7865">
          <cell r="A7865" t="str">
            <v>NPL</v>
          </cell>
          <cell r="B7865">
            <v>2022</v>
          </cell>
          <cell r="C7865" t="str">
            <v>mataxfc</v>
          </cell>
          <cell r="D7865">
            <v>8.7399997711181641</v>
          </cell>
          <cell r="F7865" t="str">
            <v>14 Aug 2024</v>
          </cell>
        </row>
        <row r="7866">
          <cell r="A7866" t="str">
            <v>NPL</v>
          </cell>
          <cell r="B7866">
            <v>2019</v>
          </cell>
          <cell r="C7866" t="str">
            <v>mar_indfc</v>
          </cell>
          <cell r="D7866">
            <v>15.714734077453613</v>
          </cell>
          <cell r="F7866" t="str">
            <v>14 Aug 2024</v>
          </cell>
        </row>
        <row r="7867">
          <cell r="A7867" t="str">
            <v>NPL</v>
          </cell>
          <cell r="B7867">
            <v>2013</v>
          </cell>
          <cell r="C7867" t="str">
            <v>mac_tfpz</v>
          </cell>
          <cell r="D7867">
            <v>0.48814341425895691</v>
          </cell>
          <cell r="F7867" t="str">
            <v>14 Aug 2024</v>
          </cell>
        </row>
        <row r="7868">
          <cell r="A7868" t="str">
            <v>NPL</v>
          </cell>
          <cell r="B7868">
            <v>2015</v>
          </cell>
          <cell r="C7868" t="str">
            <v>mar_taxfc</v>
          </cell>
          <cell r="D7868">
            <v>9.5243301391601563</v>
          </cell>
          <cell r="F7868" t="str">
            <v>14 Aug 2024</v>
          </cell>
        </row>
        <row r="7869">
          <cell r="A7869" t="str">
            <v>NPL</v>
          </cell>
          <cell r="B7869">
            <v>2019</v>
          </cell>
          <cell r="C7869" t="str">
            <v>maimpz</v>
          </cell>
          <cell r="D7869">
            <v>5.8152203559875488</v>
          </cell>
          <cell r="F7869" t="str">
            <v>14 Aug 2024</v>
          </cell>
        </row>
        <row r="7870">
          <cell r="A7870" t="str">
            <v>NPL</v>
          </cell>
          <cell r="B7870">
            <v>2022</v>
          </cell>
          <cell r="C7870" t="str">
            <v>mar_indfc</v>
          </cell>
          <cell r="D7870">
            <v>16.653314590454102</v>
          </cell>
          <cell r="F7870" t="str">
            <v>14 Aug 2024</v>
          </cell>
        </row>
        <row r="7871">
          <cell r="A7871" t="str">
            <v>NPL</v>
          </cell>
          <cell r="B7871">
            <v>2008</v>
          </cell>
          <cell r="C7871" t="str">
            <v>mar_agrfc</v>
          </cell>
          <cell r="D7871">
            <v>35.86248779296875</v>
          </cell>
          <cell r="F7871" t="str">
            <v>14 Aug 2024</v>
          </cell>
        </row>
        <row r="7872">
          <cell r="A7872" t="str">
            <v>NPL</v>
          </cell>
          <cell r="B7872">
            <v>2019</v>
          </cell>
          <cell r="C7872" t="str">
            <v>matfpz</v>
          </cell>
          <cell r="D7872">
            <v>0.57112008333206177</v>
          </cell>
          <cell r="F7872" t="str">
            <v>14 Aug 2024</v>
          </cell>
        </row>
        <row r="7873">
          <cell r="A7873" t="str">
            <v>NPL</v>
          </cell>
          <cell r="B7873">
            <v>2006</v>
          </cell>
          <cell r="C7873" t="str">
            <v>maconz</v>
          </cell>
          <cell r="D7873">
            <v>5.4024491310119629</v>
          </cell>
          <cell r="F7873" t="str">
            <v>14 Aug 2024</v>
          </cell>
        </row>
        <row r="7874">
          <cell r="A7874" t="str">
            <v>NPL</v>
          </cell>
          <cell r="B7874">
            <v>2008</v>
          </cell>
          <cell r="C7874" t="str">
            <v>maindfc</v>
          </cell>
          <cell r="D7874">
            <v>1.7432498931884766</v>
          </cell>
          <cell r="F7874" t="str">
            <v>14 Aug 2024</v>
          </cell>
        </row>
        <row r="7875">
          <cell r="A7875" t="str">
            <v>NPL</v>
          </cell>
          <cell r="B7875">
            <v>2012</v>
          </cell>
          <cell r="C7875" t="str">
            <v>mar_impz</v>
          </cell>
          <cell r="D7875">
            <v>28.047449111938477</v>
          </cell>
          <cell r="F7875" t="str">
            <v>14 Aug 2024</v>
          </cell>
        </row>
        <row r="7876">
          <cell r="A7876" t="str">
            <v>NPL</v>
          </cell>
          <cell r="B7876">
            <v>2010</v>
          </cell>
          <cell r="C7876" t="str">
            <v>magap_</v>
          </cell>
          <cell r="D7876">
            <v>2.0195150375366211</v>
          </cell>
          <cell r="F7876" t="str">
            <v>14 Aug 2024</v>
          </cell>
        </row>
        <row r="7877">
          <cell r="A7877" t="str">
            <v>NPL</v>
          </cell>
          <cell r="B7877">
            <v>2014</v>
          </cell>
          <cell r="C7877" t="str">
            <v>malabz</v>
          </cell>
          <cell r="D7877">
            <v>1.0915706157684326</v>
          </cell>
          <cell r="F7877" t="str">
            <v>14 Aug 2024</v>
          </cell>
        </row>
        <row r="7878">
          <cell r="A7878" t="str">
            <v>NPL</v>
          </cell>
          <cell r="B7878">
            <v>2007</v>
          </cell>
          <cell r="C7878" t="str">
            <v>mainvz</v>
          </cell>
          <cell r="D7878">
            <v>5.286994457244873</v>
          </cell>
          <cell r="F7878" t="str">
            <v>14 Aug 2024</v>
          </cell>
        </row>
        <row r="7879">
          <cell r="A7879" t="str">
            <v>NPL</v>
          </cell>
          <cell r="B7879">
            <v>2005</v>
          </cell>
          <cell r="C7879" t="str">
            <v>magdpz</v>
          </cell>
          <cell r="D7879">
            <v>3.4791815280914307</v>
          </cell>
          <cell r="F7879" t="str">
            <v>14 Aug 2024</v>
          </cell>
        </row>
        <row r="7880">
          <cell r="A7880" t="str">
            <v>NPL</v>
          </cell>
          <cell r="B7880">
            <v>2009</v>
          </cell>
          <cell r="C7880" t="str">
            <v>maindfc</v>
          </cell>
          <cell r="D7880">
            <v>-0.59000056982040405</v>
          </cell>
          <cell r="F7880" t="str">
            <v>14 Aug 2024</v>
          </cell>
        </row>
        <row r="7881">
          <cell r="A7881" t="str">
            <v>NPL</v>
          </cell>
          <cell r="B7881">
            <v>2019</v>
          </cell>
          <cell r="C7881" t="str">
            <v>magovz</v>
          </cell>
          <cell r="D7881">
            <v>9.7612848281860352</v>
          </cell>
          <cell r="F7881" t="str">
            <v>14 Aug 2024</v>
          </cell>
        </row>
        <row r="7882">
          <cell r="A7882" t="str">
            <v>NPL</v>
          </cell>
          <cell r="B7882">
            <v>2007</v>
          </cell>
          <cell r="C7882" t="str">
            <v>matfpz</v>
          </cell>
          <cell r="D7882">
            <v>0.69056969881057739</v>
          </cell>
          <cell r="F7882" t="str">
            <v>14 Aug 2024</v>
          </cell>
        </row>
        <row r="7883">
          <cell r="A7883" t="str">
            <v>NPL</v>
          </cell>
          <cell r="B7883">
            <v>2007</v>
          </cell>
          <cell r="C7883" t="str">
            <v>maindfc</v>
          </cell>
          <cell r="D7883">
            <v>3.9450051784515381</v>
          </cell>
          <cell r="F7883" t="str">
            <v>14 Aug 2024</v>
          </cell>
        </row>
        <row r="7884">
          <cell r="A7884" t="str">
            <v>NPL</v>
          </cell>
          <cell r="B7884">
            <v>2024</v>
          </cell>
          <cell r="C7884" t="str">
            <v>maagrfc</v>
          </cell>
          <cell r="D7884">
            <v>2.2000000476837158</v>
          </cell>
          <cell r="F7884" t="str">
            <v>14 Aug 2024</v>
          </cell>
        </row>
        <row r="7885">
          <cell r="A7885" t="str">
            <v>NPL</v>
          </cell>
          <cell r="B7885">
            <v>2012</v>
          </cell>
          <cell r="C7885" t="str">
            <v>matfpz</v>
          </cell>
          <cell r="D7885">
            <v>0.55728238821029663</v>
          </cell>
          <cell r="F7885" t="str">
            <v>14 Aug 2024</v>
          </cell>
        </row>
        <row r="7886">
          <cell r="A7886" t="str">
            <v>NPL</v>
          </cell>
          <cell r="B7886">
            <v>2023</v>
          </cell>
          <cell r="C7886" t="str">
            <v>mar_con</v>
          </cell>
          <cell r="D7886">
            <v>85.863937377929688</v>
          </cell>
          <cell r="F7886" t="str">
            <v>14 Aug 2024</v>
          </cell>
        </row>
        <row r="7887">
          <cell r="A7887" t="str">
            <v>NPL</v>
          </cell>
          <cell r="B7887">
            <v>2026</v>
          </cell>
          <cell r="C7887" t="str">
            <v>madeficit_</v>
          </cell>
          <cell r="D7887">
            <v>-6.5128917694091797</v>
          </cell>
          <cell r="F7887" t="str">
            <v>14 Aug 2024</v>
          </cell>
        </row>
        <row r="7888">
          <cell r="A7888" t="str">
            <v>NPL</v>
          </cell>
          <cell r="B7888">
            <v>2012</v>
          </cell>
          <cell r="C7888" t="str">
            <v>mar_con</v>
          </cell>
          <cell r="D7888">
            <v>83.354301452636719</v>
          </cell>
          <cell r="F7888" t="str">
            <v>14 Aug 2024</v>
          </cell>
        </row>
        <row r="7889">
          <cell r="A7889" t="str">
            <v>NPL</v>
          </cell>
          <cell r="B7889">
            <v>2024</v>
          </cell>
          <cell r="C7889" t="str">
            <v>mar_expz</v>
          </cell>
          <cell r="D7889">
            <v>7.5600085258483887</v>
          </cell>
          <cell r="F7889" t="str">
            <v>14 Aug 2024</v>
          </cell>
        </row>
        <row r="7890">
          <cell r="A7890" t="str">
            <v>NPL</v>
          </cell>
          <cell r="B7890">
            <v>2006</v>
          </cell>
          <cell r="C7890" t="str">
            <v>mar_taxfc</v>
          </cell>
          <cell r="D7890">
            <v>7.3445563316345215</v>
          </cell>
          <cell r="F7890" t="str">
            <v>14 Aug 2024</v>
          </cell>
        </row>
        <row r="7891">
          <cell r="A7891" t="str">
            <v>NPL</v>
          </cell>
          <cell r="B7891">
            <v>2012</v>
          </cell>
          <cell r="C7891" t="str">
            <v>magap_</v>
          </cell>
          <cell r="D7891">
            <v>1.1468757390975952</v>
          </cell>
          <cell r="F7891" t="str">
            <v>14 Aug 2024</v>
          </cell>
        </row>
        <row r="7892">
          <cell r="A7892" t="str">
            <v>NPL</v>
          </cell>
          <cell r="B7892">
            <v>2009</v>
          </cell>
          <cell r="C7892" t="str">
            <v>magdpz</v>
          </cell>
          <cell r="D7892">
            <v>4.533299446105957</v>
          </cell>
          <cell r="F7892" t="str">
            <v>14 Aug 2024</v>
          </cell>
        </row>
        <row r="7893">
          <cell r="A7893" t="str">
            <v>NPL</v>
          </cell>
          <cell r="B7893">
            <v>2023</v>
          </cell>
          <cell r="C7893" t="str">
            <v>mataxfc</v>
          </cell>
          <cell r="D7893">
            <v>-0.68000000715255737</v>
          </cell>
          <cell r="F7893" t="str">
            <v>14 Aug 2024</v>
          </cell>
        </row>
        <row r="7894">
          <cell r="A7894" t="str">
            <v>NPL</v>
          </cell>
          <cell r="B7894">
            <v>2023</v>
          </cell>
          <cell r="C7894" t="str">
            <v>maconz</v>
          </cell>
          <cell r="D7894">
            <v>4.0604352951049805</v>
          </cell>
          <cell r="F7894" t="str">
            <v>14 Aug 2024</v>
          </cell>
        </row>
        <row r="7895">
          <cell r="A7895" t="str">
            <v>NPL</v>
          </cell>
          <cell r="B7895">
            <v>2010</v>
          </cell>
          <cell r="C7895" t="str">
            <v>mar_agrfc</v>
          </cell>
          <cell r="D7895">
            <v>34.828254699707031</v>
          </cell>
          <cell r="F7895" t="str">
            <v>14 Aug 2024</v>
          </cell>
        </row>
        <row r="7896">
          <cell r="A7896" t="str">
            <v>NPL</v>
          </cell>
          <cell r="B7896">
            <v>2011</v>
          </cell>
          <cell r="C7896" t="str">
            <v>maindfc</v>
          </cell>
          <cell r="D7896">
            <v>-2.5355446338653564</v>
          </cell>
          <cell r="F7896" t="str">
            <v>14 Aug 2024</v>
          </cell>
        </row>
        <row r="7897">
          <cell r="A7897" t="str">
            <v>NPL</v>
          </cell>
          <cell r="B7897">
            <v>2020</v>
          </cell>
          <cell r="C7897" t="str">
            <v>madeficit_</v>
          </cell>
          <cell r="D7897">
            <v>-5.3639287948608398</v>
          </cell>
          <cell r="F7897" t="str">
            <v>14 Aug 2024</v>
          </cell>
        </row>
        <row r="7898">
          <cell r="A7898" t="str">
            <v>NPL</v>
          </cell>
          <cell r="B7898">
            <v>2021</v>
          </cell>
          <cell r="C7898" t="str">
            <v>maindfc</v>
          </cell>
          <cell r="D7898">
            <v>6.9462637901306152</v>
          </cell>
          <cell r="F7898" t="str">
            <v>14 Aug 2024</v>
          </cell>
        </row>
        <row r="7899">
          <cell r="A7899" t="str">
            <v>NPL</v>
          </cell>
          <cell r="B7899">
            <v>2011</v>
          </cell>
          <cell r="C7899" t="str">
            <v>mar_con</v>
          </cell>
          <cell r="D7899">
            <v>84.676910400390625</v>
          </cell>
          <cell r="F7899" t="str">
            <v>14 Aug 2024</v>
          </cell>
        </row>
        <row r="7900">
          <cell r="A7900" t="str">
            <v>NPL</v>
          </cell>
          <cell r="B7900">
            <v>2026</v>
          </cell>
          <cell r="C7900" t="str">
            <v>magovz</v>
          </cell>
          <cell r="D7900">
            <v>9.2949838638305664</v>
          </cell>
          <cell r="F7900" t="str">
            <v>14 Aug 2024</v>
          </cell>
        </row>
        <row r="7901">
          <cell r="A7901" t="str">
            <v>NPL</v>
          </cell>
          <cell r="B7901">
            <v>2023</v>
          </cell>
          <cell r="C7901" t="str">
            <v>magap_</v>
          </cell>
          <cell r="D7901">
            <v>-2.2456803321838379</v>
          </cell>
          <cell r="F7901" t="str">
            <v>14 Aug 2024</v>
          </cell>
        </row>
        <row r="7902">
          <cell r="A7902" t="str">
            <v>NPL</v>
          </cell>
          <cell r="B7902">
            <v>2024</v>
          </cell>
          <cell r="C7902" t="str">
            <v>mainvz</v>
          </cell>
          <cell r="D7902">
            <v>-4.4258027076721191</v>
          </cell>
          <cell r="F7902" t="str">
            <v>14 Aug 2024</v>
          </cell>
        </row>
        <row r="7903">
          <cell r="A7903" t="str">
            <v>NPL</v>
          </cell>
          <cell r="B7903">
            <v>2010</v>
          </cell>
          <cell r="C7903" t="str">
            <v>mar_taxfc</v>
          </cell>
          <cell r="D7903">
            <v>9.1021938323974609</v>
          </cell>
          <cell r="F7903" t="str">
            <v>14 Aug 2024</v>
          </cell>
        </row>
        <row r="7904">
          <cell r="A7904" t="str">
            <v>NPL</v>
          </cell>
          <cell r="B7904">
            <v>2011</v>
          </cell>
          <cell r="C7904" t="str">
            <v>magdpz</v>
          </cell>
          <cell r="D7904">
            <v>3.1929309368133545</v>
          </cell>
          <cell r="F7904" t="str">
            <v>14 Aug 2024</v>
          </cell>
        </row>
        <row r="7905">
          <cell r="A7905" t="str">
            <v>NPL</v>
          </cell>
          <cell r="B7905">
            <v>2023</v>
          </cell>
          <cell r="C7905" t="str">
            <v>malabz</v>
          </cell>
          <cell r="D7905">
            <v>1.6269873380661011</v>
          </cell>
          <cell r="F7905" t="str">
            <v>14 Aug 2024</v>
          </cell>
        </row>
        <row r="7906">
          <cell r="A7906" t="str">
            <v>NPL</v>
          </cell>
          <cell r="B7906">
            <v>2021</v>
          </cell>
          <cell r="C7906" t="str">
            <v>magdpz</v>
          </cell>
          <cell r="D7906">
            <v>4.8381495475769043</v>
          </cell>
          <cell r="F7906" t="str">
            <v>14 Aug 2024</v>
          </cell>
        </row>
        <row r="7907">
          <cell r="A7907" t="str">
            <v>NPL</v>
          </cell>
          <cell r="B7907">
            <v>2011</v>
          </cell>
          <cell r="C7907" t="str">
            <v>maconz</v>
          </cell>
          <cell r="D7907">
            <v>9.3067474365234375</v>
          </cell>
          <cell r="F7907" t="str">
            <v>14 Aug 2024</v>
          </cell>
        </row>
        <row r="7908">
          <cell r="A7908" t="str">
            <v>NPL</v>
          </cell>
          <cell r="B7908">
            <v>2005</v>
          </cell>
          <cell r="C7908" t="str">
            <v>mataxfc</v>
          </cell>
          <cell r="D7908">
            <v>5.2439570426940918</v>
          </cell>
          <cell r="F7908" t="str">
            <v>14 Aug 2024</v>
          </cell>
        </row>
        <row r="7909">
          <cell r="A7909" t="str">
            <v>NPL</v>
          </cell>
          <cell r="B7909">
            <v>2010</v>
          </cell>
          <cell r="C7909" t="str">
            <v>masrvfc</v>
          </cell>
          <cell r="D7909">
            <v>5.8258237838745117</v>
          </cell>
          <cell r="F7909" t="str">
            <v>14 Aug 2024</v>
          </cell>
        </row>
        <row r="7910">
          <cell r="A7910" t="str">
            <v>NPL</v>
          </cell>
          <cell r="B7910">
            <v>2019</v>
          </cell>
          <cell r="C7910" t="str">
            <v>maconz</v>
          </cell>
          <cell r="D7910">
            <v>8.1394767761230469</v>
          </cell>
          <cell r="F7910" t="str">
            <v>14 Aug 2024</v>
          </cell>
        </row>
        <row r="7911">
          <cell r="A7911" t="str">
            <v>NPL</v>
          </cell>
          <cell r="B7911">
            <v>2012</v>
          </cell>
          <cell r="C7911" t="str">
            <v>malabz</v>
          </cell>
          <cell r="D7911">
            <v>1.0882893800735474</v>
          </cell>
          <cell r="F7911" t="str">
            <v>14 Aug 2024</v>
          </cell>
        </row>
        <row r="7912">
          <cell r="A7912" t="str">
            <v>NPL</v>
          </cell>
          <cell r="B7912">
            <v>2007</v>
          </cell>
          <cell r="C7912" t="str">
            <v>mac_labz</v>
          </cell>
          <cell r="D7912">
            <v>1.0886484384536743</v>
          </cell>
          <cell r="F7912" t="str">
            <v>14 Aug 2024</v>
          </cell>
        </row>
        <row r="7913">
          <cell r="A7913" t="str">
            <v>NPL</v>
          </cell>
          <cell r="B7913">
            <v>2016</v>
          </cell>
          <cell r="C7913" t="str">
            <v>mar_taxfc</v>
          </cell>
          <cell r="D7913">
            <v>9.9959182739257813</v>
          </cell>
          <cell r="F7913" t="str">
            <v>14 Aug 2024</v>
          </cell>
        </row>
        <row r="7914">
          <cell r="A7914" t="str">
            <v>NPL</v>
          </cell>
          <cell r="B7914">
            <v>2021</v>
          </cell>
          <cell r="C7914" t="str">
            <v>magap_</v>
          </cell>
          <cell r="D7914">
            <v>-1.5340485572814941</v>
          </cell>
          <cell r="F7914" t="str">
            <v>14 Aug 2024</v>
          </cell>
        </row>
        <row r="7915">
          <cell r="A7915" t="str">
            <v>NPL</v>
          </cell>
          <cell r="B7915">
            <v>2010</v>
          </cell>
          <cell r="C7915" t="str">
            <v>mar_srvfc</v>
          </cell>
          <cell r="D7915">
            <v>49.700298309326172</v>
          </cell>
          <cell r="F7915" t="str">
            <v>14 Aug 2024</v>
          </cell>
        </row>
        <row r="7916">
          <cell r="A7916" t="str">
            <v>NPL</v>
          </cell>
          <cell r="B7916">
            <v>2020</v>
          </cell>
          <cell r="C7916" t="str">
            <v>maagrfc</v>
          </cell>
          <cell r="D7916">
            <v>2.4316577911376953</v>
          </cell>
          <cell r="F7916" t="str">
            <v>14 Aug 2024</v>
          </cell>
        </row>
        <row r="7917">
          <cell r="A7917" t="str">
            <v>NPL</v>
          </cell>
          <cell r="B7917">
            <v>2006</v>
          </cell>
          <cell r="C7917" t="str">
            <v>mapanusatls</v>
          </cell>
          <cell r="D7917">
            <v>72.324661254882813</v>
          </cell>
          <cell r="F7917" t="str">
            <v>14 Aug 2024</v>
          </cell>
        </row>
        <row r="7918">
          <cell r="A7918" t="str">
            <v>NPL</v>
          </cell>
          <cell r="B7918">
            <v>2010</v>
          </cell>
          <cell r="C7918" t="str">
            <v>mapanusatls</v>
          </cell>
          <cell r="D7918">
            <v>74.535987854003906</v>
          </cell>
          <cell r="F7918" t="str">
            <v>14 Aug 2024</v>
          </cell>
        </row>
        <row r="7919">
          <cell r="A7919" t="str">
            <v>NPL</v>
          </cell>
          <cell r="B7919">
            <v>2024</v>
          </cell>
          <cell r="C7919" t="str">
            <v>mac_labz</v>
          </cell>
          <cell r="D7919">
            <v>1.0811299085617065</v>
          </cell>
          <cell r="F7919" t="str">
            <v>14 Aug 2024</v>
          </cell>
        </row>
        <row r="7920">
          <cell r="A7920" t="str">
            <v>NPL</v>
          </cell>
          <cell r="B7920">
            <v>2019</v>
          </cell>
          <cell r="C7920" t="str">
            <v>mafdi_</v>
          </cell>
          <cell r="D7920">
            <v>-0.33856987953186035</v>
          </cell>
          <cell r="F7920" t="str">
            <v>14 Aug 2024</v>
          </cell>
        </row>
        <row r="7921">
          <cell r="A7921" t="str">
            <v>NPL</v>
          </cell>
          <cell r="B7921">
            <v>2024</v>
          </cell>
          <cell r="C7921" t="str">
            <v>macpiz</v>
          </cell>
          <cell r="D7921">
            <v>6.6999998092651367</v>
          </cell>
          <cell r="F7921" t="str">
            <v>14 Aug 2024</v>
          </cell>
        </row>
        <row r="7922">
          <cell r="A7922" t="str">
            <v>NPL</v>
          </cell>
          <cell r="B7922">
            <v>2021</v>
          </cell>
          <cell r="C7922" t="str">
            <v>mac_tfpz</v>
          </cell>
          <cell r="D7922">
            <v>1.3556143045425415</v>
          </cell>
          <cell r="F7922" t="str">
            <v>14 Aug 2024</v>
          </cell>
        </row>
        <row r="7923">
          <cell r="A7923" t="str">
            <v>NPL</v>
          </cell>
          <cell r="B7923">
            <v>2010</v>
          </cell>
          <cell r="C7923" t="str">
            <v>malabz</v>
          </cell>
          <cell r="D7923">
            <v>1.5390366315841675</v>
          </cell>
          <cell r="F7923" t="str">
            <v>14 Aug 2024</v>
          </cell>
        </row>
        <row r="7924">
          <cell r="A7924" t="str">
            <v>NPL</v>
          </cell>
          <cell r="B7924">
            <v>2010</v>
          </cell>
          <cell r="C7924" t="str">
            <v>magovz</v>
          </cell>
          <cell r="D7924">
            <v>1.3189685344696045</v>
          </cell>
          <cell r="F7924" t="str">
            <v>14 Aug 2024</v>
          </cell>
        </row>
        <row r="7925">
          <cell r="A7925" t="str">
            <v>NPL</v>
          </cell>
          <cell r="B7925">
            <v>2023</v>
          </cell>
          <cell r="C7925" t="str">
            <v>mar_taxfc</v>
          </cell>
          <cell r="D7925">
            <v>11.411045074462891</v>
          </cell>
          <cell r="F7925" t="str">
            <v>14 Aug 2024</v>
          </cell>
        </row>
        <row r="7926">
          <cell r="A7926" t="str">
            <v>NPL</v>
          </cell>
          <cell r="B7926">
            <v>2022</v>
          </cell>
          <cell r="C7926" t="str">
            <v>mar_expz</v>
          </cell>
          <cell r="D7926">
            <v>7.1504545211791992</v>
          </cell>
          <cell r="F7926" t="str">
            <v>14 Aug 2024</v>
          </cell>
        </row>
        <row r="7927">
          <cell r="A7927" t="str">
            <v>NPL</v>
          </cell>
          <cell r="B7927">
            <v>2010</v>
          </cell>
          <cell r="C7927" t="str">
            <v>macpiz</v>
          </cell>
          <cell r="D7927">
            <v>9.5761117935180664</v>
          </cell>
          <cell r="F7927" t="str">
            <v>14 Aug 2024</v>
          </cell>
        </row>
        <row r="7928">
          <cell r="A7928" t="str">
            <v>NPL</v>
          </cell>
          <cell r="B7928">
            <v>2021</v>
          </cell>
          <cell r="C7928" t="str">
            <v>maagrfc</v>
          </cell>
          <cell r="D7928">
            <v>2.8486068248748779</v>
          </cell>
          <cell r="F7928" t="str">
            <v>14 Aug 2024</v>
          </cell>
        </row>
        <row r="7929">
          <cell r="A7929" t="str">
            <v>NPL</v>
          </cell>
          <cell r="B7929">
            <v>2009</v>
          </cell>
          <cell r="C7929" t="str">
            <v>mar_srvfc</v>
          </cell>
          <cell r="D7929">
            <v>48.930210113525391</v>
          </cell>
          <cell r="F7929" t="str">
            <v>14 Aug 2024</v>
          </cell>
        </row>
        <row r="7930">
          <cell r="A7930" t="str">
            <v>NPL</v>
          </cell>
          <cell r="B7930">
            <v>2010</v>
          </cell>
          <cell r="C7930" t="str">
            <v>mac_labz</v>
          </cell>
          <cell r="D7930">
            <v>1.077325701713562</v>
          </cell>
          <cell r="F7930" t="str">
            <v>14 Aug 2024</v>
          </cell>
        </row>
        <row r="7931">
          <cell r="A7931" t="str">
            <v>NPL</v>
          </cell>
          <cell r="B7931">
            <v>2011</v>
          </cell>
          <cell r="C7931" t="str">
            <v>maexpz</v>
          </cell>
          <cell r="D7931">
            <v>-31.460847854614258</v>
          </cell>
          <cell r="F7931" t="str">
            <v>14 Aug 2024</v>
          </cell>
        </row>
        <row r="7932">
          <cell r="A7932" t="str">
            <v>NPL</v>
          </cell>
          <cell r="B7932">
            <v>2023</v>
          </cell>
          <cell r="C7932" t="str">
            <v>mar_indfc</v>
          </cell>
          <cell r="D7932">
            <v>16.397470474243164</v>
          </cell>
          <cell r="F7932" t="str">
            <v>14 Aug 2024</v>
          </cell>
        </row>
        <row r="7933">
          <cell r="A7933" t="str">
            <v>NPL</v>
          </cell>
          <cell r="B7933">
            <v>2021</v>
          </cell>
          <cell r="C7933" t="str">
            <v>mar_impz</v>
          </cell>
          <cell r="D7933">
            <v>45.332778930664063</v>
          </cell>
          <cell r="F7933" t="str">
            <v>14 Aug 2024</v>
          </cell>
        </row>
        <row r="7934">
          <cell r="A7934" t="str">
            <v>NPL</v>
          </cell>
          <cell r="B7934">
            <v>2017</v>
          </cell>
          <cell r="C7934" t="str">
            <v>maexpz</v>
          </cell>
          <cell r="D7934">
            <v>8.8553037643432617</v>
          </cell>
          <cell r="F7934" t="str">
            <v>14 Aug 2024</v>
          </cell>
        </row>
        <row r="7935">
          <cell r="A7935" t="str">
            <v>NPL</v>
          </cell>
          <cell r="B7935">
            <v>2023</v>
          </cell>
          <cell r="C7935" t="str">
            <v>mafdi_</v>
          </cell>
          <cell r="D7935">
            <v>-0.11077747493982315</v>
          </cell>
          <cell r="F7935" t="str">
            <v>14 Aug 2024</v>
          </cell>
        </row>
        <row r="7936">
          <cell r="A7936" t="str">
            <v>NPL</v>
          </cell>
          <cell r="B7936">
            <v>2005</v>
          </cell>
          <cell r="C7936" t="str">
            <v>mar_taxfc</v>
          </cell>
          <cell r="D7936">
            <v>8.0739536285400391</v>
          </cell>
          <cell r="F7936" t="str">
            <v>14 Aug 2024</v>
          </cell>
        </row>
        <row r="7937">
          <cell r="A7937" t="str">
            <v>NPL</v>
          </cell>
          <cell r="B7937">
            <v>2006</v>
          </cell>
          <cell r="C7937" t="str">
            <v>magdpz</v>
          </cell>
          <cell r="D7937">
            <v>3.3646144866943359</v>
          </cell>
          <cell r="F7937" t="str">
            <v>14 Aug 2024</v>
          </cell>
        </row>
        <row r="7938">
          <cell r="A7938" t="str">
            <v>NPL</v>
          </cell>
          <cell r="B7938">
            <v>2009</v>
          </cell>
          <cell r="C7938" t="str">
            <v>mainvz</v>
          </cell>
          <cell r="D7938">
            <v>0.4939359724521637</v>
          </cell>
          <cell r="F7938" t="str">
            <v>14 Aug 2024</v>
          </cell>
        </row>
        <row r="7939">
          <cell r="A7939" t="str">
            <v>NPL</v>
          </cell>
          <cell r="B7939">
            <v>2022</v>
          </cell>
          <cell r="C7939" t="str">
            <v>magap_</v>
          </cell>
          <cell r="D7939">
            <v>-9.8649412393569946E-2</v>
          </cell>
          <cell r="F7939" t="str">
            <v>14 Aug 2024</v>
          </cell>
        </row>
        <row r="7940">
          <cell r="A7940" t="str">
            <v>NPL</v>
          </cell>
          <cell r="B7940">
            <v>2007</v>
          </cell>
          <cell r="C7940" t="str">
            <v>madeficit_</v>
          </cell>
          <cell r="D7940">
            <v>-0.65419375896453857</v>
          </cell>
          <cell r="F7940" t="str">
            <v>14 Aug 2024</v>
          </cell>
        </row>
        <row r="7941">
          <cell r="A7941" t="str">
            <v>NPL</v>
          </cell>
          <cell r="B7941">
            <v>2009</v>
          </cell>
          <cell r="C7941" t="str">
            <v>magovz</v>
          </cell>
          <cell r="D7941">
            <v>9.7063655853271484</v>
          </cell>
          <cell r="F7941" t="str">
            <v>14 Aug 2024</v>
          </cell>
        </row>
        <row r="7942">
          <cell r="A7942" t="str">
            <v>NPL</v>
          </cell>
          <cell r="B7942">
            <v>2013</v>
          </cell>
          <cell r="C7942" t="str">
            <v>mafdi_</v>
          </cell>
          <cell r="D7942">
            <v>-0.46590694785118103</v>
          </cell>
          <cell r="F7942" t="str">
            <v>14 Aug 2024</v>
          </cell>
        </row>
        <row r="7943">
          <cell r="A7943" t="str">
            <v>NPL</v>
          </cell>
          <cell r="B7943">
            <v>2006</v>
          </cell>
          <cell r="C7943" t="str">
            <v>mareer</v>
          </cell>
          <cell r="D7943">
            <v>76.372543334960938</v>
          </cell>
          <cell r="F7943" t="str">
            <v>14 Aug 2024</v>
          </cell>
        </row>
        <row r="7944">
          <cell r="A7944" t="str">
            <v>NPL</v>
          </cell>
          <cell r="B7944">
            <v>2025</v>
          </cell>
          <cell r="C7944" t="str">
            <v>magap_</v>
          </cell>
          <cell r="D7944">
            <v>-2.5229959487915039</v>
          </cell>
          <cell r="F7944" t="str">
            <v>14 Aug 2024</v>
          </cell>
        </row>
        <row r="7945">
          <cell r="A7945" t="str">
            <v>NPL</v>
          </cell>
          <cell r="B7945">
            <v>2019</v>
          </cell>
          <cell r="C7945" t="str">
            <v>malabz</v>
          </cell>
          <cell r="D7945">
            <v>2.0412356853485107</v>
          </cell>
          <cell r="F7945" t="str">
            <v>14 Aug 2024</v>
          </cell>
        </row>
        <row r="7946">
          <cell r="A7946" t="str">
            <v>NPL</v>
          </cell>
          <cell r="B7946">
            <v>2023</v>
          </cell>
          <cell r="C7946" t="str">
            <v>maimpz</v>
          </cell>
          <cell r="D7946">
            <v>-17.180299758911133</v>
          </cell>
          <cell r="F7946" t="str">
            <v>14 Aug 2024</v>
          </cell>
        </row>
        <row r="7947">
          <cell r="A7947" t="str">
            <v>NPL</v>
          </cell>
          <cell r="B7947">
            <v>2005</v>
          </cell>
          <cell r="C7947" t="str">
            <v>maagrfc</v>
          </cell>
          <cell r="D7947">
            <v>3.4978744983673096</v>
          </cell>
          <cell r="F7947" t="str">
            <v>14 Aug 2024</v>
          </cell>
        </row>
        <row r="7948">
          <cell r="A7948" t="str">
            <v>NPL</v>
          </cell>
          <cell r="B7948">
            <v>2005</v>
          </cell>
          <cell r="C7948" t="str">
            <v>macab_</v>
          </cell>
          <cell r="D7948">
            <v>1.7133356332778931</v>
          </cell>
          <cell r="F7948" t="str">
            <v>14 Aug 2024</v>
          </cell>
        </row>
        <row r="7949">
          <cell r="A7949" t="str">
            <v>NPL</v>
          </cell>
          <cell r="B7949">
            <v>2008</v>
          </cell>
          <cell r="C7949" t="str">
            <v>mar_expz</v>
          </cell>
          <cell r="D7949">
            <v>13.842300415039063</v>
          </cell>
          <cell r="F7949" t="str">
            <v>14 Aug 2024</v>
          </cell>
        </row>
        <row r="7950">
          <cell r="A7950" t="str">
            <v>NPL</v>
          </cell>
          <cell r="B7950">
            <v>2008</v>
          </cell>
          <cell r="C7950" t="str">
            <v>mar_con</v>
          </cell>
          <cell r="D7950">
            <v>78.02630615234375</v>
          </cell>
          <cell r="F7950" t="str">
            <v>14 Aug 2024</v>
          </cell>
        </row>
        <row r="7951">
          <cell r="A7951" t="str">
            <v>NPL</v>
          </cell>
          <cell r="B7951">
            <v>2026</v>
          </cell>
          <cell r="C7951" t="str">
            <v>macpiz</v>
          </cell>
          <cell r="D7951">
            <v>5.5</v>
          </cell>
          <cell r="F7951" t="str">
            <v>14 Aug 2024</v>
          </cell>
        </row>
        <row r="7952">
          <cell r="A7952" t="str">
            <v>NPL</v>
          </cell>
          <cell r="B7952">
            <v>2020</v>
          </cell>
          <cell r="C7952" t="str">
            <v>mar_indfc</v>
          </cell>
          <cell r="D7952">
            <v>15.457028388977051</v>
          </cell>
          <cell r="F7952" t="str">
            <v>14 Aug 2024</v>
          </cell>
        </row>
        <row r="7953">
          <cell r="A7953" t="str">
            <v>NPL</v>
          </cell>
          <cell r="B7953">
            <v>2011</v>
          </cell>
          <cell r="C7953" t="str">
            <v>mar_impz</v>
          </cell>
          <cell r="D7953">
            <v>28.490623474121094</v>
          </cell>
          <cell r="F7953" t="str">
            <v>14 Aug 2024</v>
          </cell>
        </row>
        <row r="7954">
          <cell r="A7954" t="str">
            <v>NPL</v>
          </cell>
          <cell r="B7954">
            <v>2005</v>
          </cell>
          <cell r="C7954" t="str">
            <v>magovz</v>
          </cell>
          <cell r="D7954">
            <v>1.2414673566818237</v>
          </cell>
          <cell r="F7954" t="str">
            <v>14 Aug 2024</v>
          </cell>
        </row>
        <row r="7955">
          <cell r="A7955" t="str">
            <v>NPL</v>
          </cell>
          <cell r="B7955">
            <v>2021</v>
          </cell>
          <cell r="C7955" t="str">
            <v>macab_</v>
          </cell>
          <cell r="D7955">
            <v>-7.6661248207092285</v>
          </cell>
          <cell r="F7955" t="str">
            <v>14 Aug 2024</v>
          </cell>
        </row>
        <row r="7956">
          <cell r="A7956" t="str">
            <v>NPL</v>
          </cell>
          <cell r="B7956">
            <v>2005</v>
          </cell>
          <cell r="C7956" t="str">
            <v>mainvz</v>
          </cell>
          <cell r="D7956">
            <v>0.5255693793296814</v>
          </cell>
          <cell r="F7956" t="str">
            <v>14 Aug 2024</v>
          </cell>
        </row>
        <row r="7957">
          <cell r="A7957" t="str">
            <v>NPL</v>
          </cell>
          <cell r="B7957">
            <v>2005</v>
          </cell>
          <cell r="C7957" t="str">
            <v>mar_expz</v>
          </cell>
          <cell r="D7957">
            <v>15.941013336181641</v>
          </cell>
          <cell r="F7957" t="str">
            <v>14 Aug 2024</v>
          </cell>
        </row>
        <row r="7958">
          <cell r="A7958" t="str">
            <v>NPL</v>
          </cell>
          <cell r="B7958">
            <v>2024</v>
          </cell>
          <cell r="C7958" t="str">
            <v>mar_srvfc</v>
          </cell>
          <cell r="D7958">
            <v>54.584705352783203</v>
          </cell>
          <cell r="F7958" t="str">
            <v>14 Aug 2024</v>
          </cell>
        </row>
        <row r="7959">
          <cell r="A7959" t="str">
            <v>NPL</v>
          </cell>
          <cell r="B7959">
            <v>2011</v>
          </cell>
          <cell r="C7959" t="str">
            <v>mar_srvfc</v>
          </cell>
          <cell r="D7959">
            <v>52.010768890380859</v>
          </cell>
          <cell r="F7959" t="str">
            <v>14 Aug 2024</v>
          </cell>
        </row>
        <row r="7960">
          <cell r="A7960" t="str">
            <v>NPL</v>
          </cell>
          <cell r="B7960">
            <v>2008</v>
          </cell>
          <cell r="C7960" t="str">
            <v>magap_</v>
          </cell>
          <cell r="D7960">
            <v>0.21620060503482819</v>
          </cell>
          <cell r="F7960" t="str">
            <v>14 Aug 2024</v>
          </cell>
        </row>
        <row r="7961">
          <cell r="A7961" t="str">
            <v>NPL</v>
          </cell>
          <cell r="B7961">
            <v>2005</v>
          </cell>
          <cell r="C7961" t="str">
            <v>mar_con</v>
          </cell>
          <cell r="D7961">
            <v>80.36053466796875</v>
          </cell>
          <cell r="F7961" t="str">
            <v>14 Aug 2024</v>
          </cell>
        </row>
        <row r="7962">
          <cell r="A7962" t="str">
            <v>NPL</v>
          </cell>
          <cell r="B7962">
            <v>2005</v>
          </cell>
          <cell r="C7962" t="str">
            <v>mareer</v>
          </cell>
          <cell r="D7962">
            <v>0</v>
          </cell>
          <cell r="F7962" t="str">
            <v>14 Aug 2024</v>
          </cell>
        </row>
        <row r="7963">
          <cell r="A7963" t="str">
            <v>NPL</v>
          </cell>
          <cell r="B7963">
            <v>2008</v>
          </cell>
          <cell r="C7963" t="str">
            <v>maexpz</v>
          </cell>
          <cell r="D7963">
            <v>0.72701311111450195</v>
          </cell>
          <cell r="F7963" t="str">
            <v>14 Aug 2024</v>
          </cell>
        </row>
        <row r="7964">
          <cell r="A7964" t="str">
            <v>NPL</v>
          </cell>
          <cell r="B7964">
            <v>2008</v>
          </cell>
          <cell r="C7964" t="str">
            <v>madeficit_</v>
          </cell>
          <cell r="D7964">
            <v>-0.18292658030986786</v>
          </cell>
          <cell r="F7964" t="str">
            <v>14 Aug 2024</v>
          </cell>
        </row>
        <row r="7965">
          <cell r="A7965" t="str">
            <v>NPL</v>
          </cell>
          <cell r="B7965">
            <v>2020</v>
          </cell>
          <cell r="C7965" t="str">
            <v>mareer</v>
          </cell>
          <cell r="D7965">
            <v>105.58545684814453</v>
          </cell>
          <cell r="F7965" t="str">
            <v>14 Aug 2024</v>
          </cell>
        </row>
        <row r="7966">
          <cell r="A7966" t="str">
            <v>NPL</v>
          </cell>
          <cell r="B7966">
            <v>2008</v>
          </cell>
          <cell r="C7966" t="str">
            <v>macab_</v>
          </cell>
          <cell r="D7966">
            <v>2.5395033359527588</v>
          </cell>
          <cell r="F7966" t="str">
            <v>14 Aug 2024</v>
          </cell>
        </row>
        <row r="7967">
          <cell r="A7967" t="str">
            <v>NPL</v>
          </cell>
          <cell r="B7967">
            <v>2020</v>
          </cell>
          <cell r="C7967" t="str">
            <v>mainvz</v>
          </cell>
          <cell r="D7967">
            <v>-8.9300003051757813</v>
          </cell>
          <cell r="F7967" t="str">
            <v>14 Aug 2024</v>
          </cell>
        </row>
        <row r="7968">
          <cell r="A7968" t="str">
            <v>NPL</v>
          </cell>
          <cell r="B7968">
            <v>2018</v>
          </cell>
          <cell r="C7968" t="str">
            <v>mataxfc</v>
          </cell>
          <cell r="D7968">
            <v>10.020631790161133</v>
          </cell>
          <cell r="F7968" t="str">
            <v>14 Aug 2024</v>
          </cell>
        </row>
        <row r="7969">
          <cell r="A7969" t="str">
            <v>NPL</v>
          </cell>
          <cell r="B7969">
            <v>2021</v>
          </cell>
          <cell r="C7969" t="str">
            <v>magovz</v>
          </cell>
          <cell r="D7969">
            <v>-1.6557058095932007</v>
          </cell>
          <cell r="F7969" t="str">
            <v>14 Aug 2024</v>
          </cell>
        </row>
        <row r="7970">
          <cell r="A7970" t="str">
            <v>NPL</v>
          </cell>
          <cell r="B7970">
            <v>2020</v>
          </cell>
          <cell r="C7970" t="str">
            <v>maconz</v>
          </cell>
          <cell r="D7970">
            <v>3.5960607528686523</v>
          </cell>
          <cell r="F7970" t="str">
            <v>14 Aug 2024</v>
          </cell>
        </row>
        <row r="7971">
          <cell r="A7971" t="str">
            <v>NPL</v>
          </cell>
          <cell r="B7971">
            <v>2006</v>
          </cell>
          <cell r="C7971" t="str">
            <v>mar_indfc</v>
          </cell>
          <cell r="D7971">
            <v>16.737628936767578</v>
          </cell>
          <cell r="F7971" t="str">
            <v>14 Aug 2024</v>
          </cell>
        </row>
        <row r="7972">
          <cell r="A7972" t="str">
            <v>NPL</v>
          </cell>
          <cell r="B7972">
            <v>2020</v>
          </cell>
          <cell r="C7972" t="str">
            <v>madebt_</v>
          </cell>
          <cell r="D7972">
            <v>36.860675811767578</v>
          </cell>
          <cell r="F7972" t="str">
            <v>14 Aug 2024</v>
          </cell>
        </row>
        <row r="7973">
          <cell r="A7973" t="str">
            <v>NPL</v>
          </cell>
          <cell r="B7973">
            <v>2007</v>
          </cell>
          <cell r="C7973" t="str">
            <v>mar_impz</v>
          </cell>
          <cell r="D7973">
            <v>29.795480728149414</v>
          </cell>
          <cell r="F7973" t="str">
            <v>14 Aug 2024</v>
          </cell>
        </row>
        <row r="7974">
          <cell r="A7974" t="str">
            <v>NPL</v>
          </cell>
          <cell r="B7974">
            <v>2020</v>
          </cell>
          <cell r="C7974" t="str">
            <v>maexpz</v>
          </cell>
          <cell r="D7974">
            <v>-15.882139205932617</v>
          </cell>
          <cell r="F7974" t="str">
            <v>14 Aug 2024</v>
          </cell>
        </row>
        <row r="7975">
          <cell r="A7975" t="str">
            <v>NPL</v>
          </cell>
          <cell r="B7975">
            <v>2020</v>
          </cell>
          <cell r="C7975" t="str">
            <v>mafdi_</v>
          </cell>
          <cell r="D7975">
            <v>-0.4994964599609375</v>
          </cell>
          <cell r="F7975" t="str">
            <v>14 Aug 2024</v>
          </cell>
        </row>
        <row r="7976">
          <cell r="A7976" t="str">
            <v>NPL</v>
          </cell>
          <cell r="B7976">
            <v>2006</v>
          </cell>
          <cell r="C7976" t="str">
            <v>mataxfc</v>
          </cell>
          <cell r="D7976">
            <v>-5.3343915939331055</v>
          </cell>
          <cell r="F7976" t="str">
            <v>14 Aug 2024</v>
          </cell>
        </row>
        <row r="7977">
          <cell r="A7977" t="str">
            <v>NPL</v>
          </cell>
          <cell r="B7977">
            <v>2015</v>
          </cell>
          <cell r="C7977" t="str">
            <v>magdpz</v>
          </cell>
          <cell r="D7977">
            <v>3.9760532379150391</v>
          </cell>
          <cell r="F7977" t="str">
            <v>14 Aug 2024</v>
          </cell>
        </row>
        <row r="7978">
          <cell r="A7978" t="str">
            <v>NPL</v>
          </cell>
          <cell r="B7978">
            <v>2020</v>
          </cell>
          <cell r="C7978" t="str">
            <v>maindfc</v>
          </cell>
          <cell r="D7978">
            <v>-4.0234551429748535</v>
          </cell>
          <cell r="F7978" t="str">
            <v>14 Aug 2024</v>
          </cell>
        </row>
        <row r="7979">
          <cell r="A7979" t="str">
            <v>NPL</v>
          </cell>
          <cell r="B7979">
            <v>2007</v>
          </cell>
          <cell r="C7979" t="str">
            <v>magovz</v>
          </cell>
          <cell r="D7979">
            <v>7.1648945808410645</v>
          </cell>
          <cell r="F7979" t="str">
            <v>14 Aug 2024</v>
          </cell>
        </row>
        <row r="7980">
          <cell r="A7980" t="str">
            <v>NPL</v>
          </cell>
          <cell r="B7980">
            <v>2007</v>
          </cell>
          <cell r="C7980" t="str">
            <v>mafdi_</v>
          </cell>
          <cell r="D7980">
            <v>-4.3543435633182526E-2</v>
          </cell>
          <cell r="F7980" t="str">
            <v>14 Aug 2024</v>
          </cell>
        </row>
        <row r="7981">
          <cell r="A7981" t="str">
            <v>NPL</v>
          </cell>
          <cell r="B7981">
            <v>2021</v>
          </cell>
          <cell r="C7981" t="str">
            <v>mar_indfc</v>
          </cell>
          <cell r="D7981">
            <v>15.820841789245605</v>
          </cell>
          <cell r="F7981" t="str">
            <v>14 Aug 2024</v>
          </cell>
        </row>
        <row r="7982">
          <cell r="A7982" t="str">
            <v>NPL</v>
          </cell>
          <cell r="B7982">
            <v>2007</v>
          </cell>
          <cell r="C7982" t="str">
            <v>macpiz</v>
          </cell>
          <cell r="D7982">
            <v>5.9000067710876465</v>
          </cell>
          <cell r="F7982" t="str">
            <v>14 Aug 2024</v>
          </cell>
        </row>
        <row r="7983">
          <cell r="A7983" t="str">
            <v>NPL</v>
          </cell>
          <cell r="B7983">
            <v>2016</v>
          </cell>
          <cell r="C7983" t="str">
            <v>maimpz</v>
          </cell>
          <cell r="D7983">
            <v>3.1511096954345703</v>
          </cell>
          <cell r="F7983" t="str">
            <v>14 Aug 2024</v>
          </cell>
        </row>
        <row r="7984">
          <cell r="A7984" t="str">
            <v>NPL</v>
          </cell>
          <cell r="B7984">
            <v>2011</v>
          </cell>
          <cell r="C7984" t="str">
            <v>matfpz</v>
          </cell>
          <cell r="D7984">
            <v>0.63031578063964844</v>
          </cell>
          <cell r="F7984" t="str">
            <v>14 Aug 2024</v>
          </cell>
        </row>
        <row r="7985">
          <cell r="A7985" t="str">
            <v>NPL</v>
          </cell>
          <cell r="B7985">
            <v>2024</v>
          </cell>
          <cell r="C7985" t="str">
            <v>masrvfc</v>
          </cell>
          <cell r="D7985">
            <v>4.0174756050109863</v>
          </cell>
          <cell r="F7985" t="str">
            <v>14 Aug 2024</v>
          </cell>
        </row>
        <row r="7986">
          <cell r="A7986" t="str">
            <v>NPL</v>
          </cell>
          <cell r="B7986">
            <v>2021</v>
          </cell>
          <cell r="C7986" t="str">
            <v>masrvfc</v>
          </cell>
          <cell r="D7986">
            <v>4.710667610168457</v>
          </cell>
          <cell r="F7986" t="str">
            <v>14 Aug 2024</v>
          </cell>
        </row>
        <row r="7987">
          <cell r="A7987" t="str">
            <v>NPL</v>
          </cell>
          <cell r="B7987">
            <v>2026</v>
          </cell>
          <cell r="C7987" t="str">
            <v>mar_expz</v>
          </cell>
          <cell r="D7987">
            <v>8.8568277359008789</v>
          </cell>
          <cell r="F7987" t="str">
            <v>14 Aug 2024</v>
          </cell>
        </row>
        <row r="7988">
          <cell r="A7988" t="str">
            <v>NPL</v>
          </cell>
          <cell r="B7988">
            <v>2014</v>
          </cell>
          <cell r="C7988" t="str">
            <v>mar_expz</v>
          </cell>
          <cell r="D7988">
            <v>10.870475769042969</v>
          </cell>
          <cell r="F7988" t="str">
            <v>14 Aug 2024</v>
          </cell>
        </row>
        <row r="7989">
          <cell r="A7989" t="str">
            <v>NPL</v>
          </cell>
          <cell r="B7989">
            <v>2017</v>
          </cell>
          <cell r="C7989" t="str">
            <v>mar_expz</v>
          </cell>
          <cell r="D7989">
            <v>8.7977142333984375</v>
          </cell>
          <cell r="F7989" t="str">
            <v>14 Aug 2024</v>
          </cell>
        </row>
        <row r="7990">
          <cell r="A7990" t="str">
            <v>NPL</v>
          </cell>
          <cell r="B7990">
            <v>2022</v>
          </cell>
          <cell r="C7990" t="str">
            <v>maindfc</v>
          </cell>
          <cell r="D7990">
            <v>10.796493530273438</v>
          </cell>
          <cell r="F7990" t="str">
            <v>14 Aug 2024</v>
          </cell>
        </row>
        <row r="7991">
          <cell r="A7991" t="str">
            <v>NPL</v>
          </cell>
          <cell r="B7991">
            <v>2012</v>
          </cell>
          <cell r="C7991" t="str">
            <v>maindfc</v>
          </cell>
          <cell r="D7991">
            <v>5.8517565727233887</v>
          </cell>
          <cell r="F7991" t="str">
            <v>14 Aug 2024</v>
          </cell>
        </row>
        <row r="7992">
          <cell r="A7992" t="str">
            <v>NPL</v>
          </cell>
          <cell r="B7992">
            <v>2007</v>
          </cell>
          <cell r="C7992" t="str">
            <v>magdpz</v>
          </cell>
          <cell r="D7992">
            <v>3.41156005859375</v>
          </cell>
          <cell r="F7992" t="str">
            <v>14 Aug 2024</v>
          </cell>
        </row>
        <row r="7993">
          <cell r="A7993" t="str">
            <v>NPL</v>
          </cell>
          <cell r="B7993">
            <v>2024</v>
          </cell>
          <cell r="C7993" t="str">
            <v>maexpz</v>
          </cell>
          <cell r="D7993">
            <v>5.4000000953674316</v>
          </cell>
          <cell r="F7993" t="str">
            <v>14 Aug 2024</v>
          </cell>
        </row>
        <row r="7994">
          <cell r="A7994" t="str">
            <v>NPL</v>
          </cell>
          <cell r="B7994">
            <v>2020</v>
          </cell>
          <cell r="C7994" t="str">
            <v>mataxfc</v>
          </cell>
          <cell r="D7994">
            <v>-1.8783999681472778</v>
          </cell>
          <cell r="F7994" t="str">
            <v>14 Aug 2024</v>
          </cell>
        </row>
        <row r="7995">
          <cell r="A7995" t="str">
            <v>NPL</v>
          </cell>
          <cell r="B7995">
            <v>2010</v>
          </cell>
          <cell r="C7995" t="str">
            <v>mareer</v>
          </cell>
          <cell r="D7995">
            <v>83.920463562011719</v>
          </cell>
          <cell r="F7995" t="str">
            <v>14 Aug 2024</v>
          </cell>
        </row>
        <row r="7996">
          <cell r="A7996" t="str">
            <v>NPL</v>
          </cell>
          <cell r="B7996">
            <v>2018</v>
          </cell>
          <cell r="C7996" t="str">
            <v>mar_agrfc</v>
          </cell>
          <cell r="D7996">
            <v>29.463895797729492</v>
          </cell>
          <cell r="F7996" t="str">
            <v>14 Aug 2024</v>
          </cell>
        </row>
        <row r="7997">
          <cell r="A7997" t="str">
            <v>NPL</v>
          </cell>
          <cell r="B7997">
            <v>2013</v>
          </cell>
          <cell r="C7997" t="str">
            <v>mar_impz</v>
          </cell>
          <cell r="D7997">
            <v>30.921886444091797</v>
          </cell>
          <cell r="F7997" t="str">
            <v>14 Aug 2024</v>
          </cell>
        </row>
        <row r="7998">
          <cell r="A7998" t="str">
            <v>NPL</v>
          </cell>
          <cell r="B7998">
            <v>2007</v>
          </cell>
          <cell r="C7998" t="str">
            <v>malabz</v>
          </cell>
          <cell r="D7998">
            <v>1.5552120208740234</v>
          </cell>
          <cell r="F7998" t="str">
            <v>14 Aug 2024</v>
          </cell>
        </row>
        <row r="7999">
          <cell r="A7999" t="str">
            <v>NPL</v>
          </cell>
          <cell r="B7999">
            <v>2015</v>
          </cell>
          <cell r="C7999" t="str">
            <v>mareer</v>
          </cell>
          <cell r="D7999">
            <v>100</v>
          </cell>
          <cell r="F7999" t="str">
            <v>14 Aug 2024</v>
          </cell>
        </row>
        <row r="8000">
          <cell r="A8000" t="str">
            <v>NPL</v>
          </cell>
          <cell r="B8000">
            <v>2021</v>
          </cell>
          <cell r="C8000" t="str">
            <v>maconz</v>
          </cell>
          <cell r="D8000">
            <v>7.9669570922851563</v>
          </cell>
          <cell r="F8000" t="str">
            <v>14 Aug 2024</v>
          </cell>
        </row>
        <row r="8001">
          <cell r="A8001" t="str">
            <v>NPL</v>
          </cell>
          <cell r="B8001">
            <v>2018</v>
          </cell>
          <cell r="C8001" t="str">
            <v>macab_</v>
          </cell>
          <cell r="D8001">
            <v>-7.1419515609741211</v>
          </cell>
          <cell r="F8001" t="str">
            <v>14 Aug 2024</v>
          </cell>
        </row>
        <row r="8002">
          <cell r="A8002" t="str">
            <v>NPL</v>
          </cell>
          <cell r="B8002">
            <v>2009</v>
          </cell>
          <cell r="C8002" t="str">
            <v>macab_</v>
          </cell>
          <cell r="D8002">
            <v>3.667733907699585</v>
          </cell>
          <cell r="F8002" t="str">
            <v>14 Aug 2024</v>
          </cell>
        </row>
        <row r="8003">
          <cell r="A8003" t="str">
            <v>NPL</v>
          </cell>
          <cell r="B8003">
            <v>2020</v>
          </cell>
          <cell r="C8003" t="str">
            <v>magdpz</v>
          </cell>
          <cell r="D8003">
            <v>-2.3696205615997314</v>
          </cell>
          <cell r="F8003" t="str">
            <v>14 Aug 2024</v>
          </cell>
        </row>
        <row r="8004">
          <cell r="A8004" t="str">
            <v>NPL</v>
          </cell>
          <cell r="B8004">
            <v>2022</v>
          </cell>
          <cell r="C8004" t="str">
            <v>mainvz</v>
          </cell>
          <cell r="D8004">
            <v>3.8153998851776123</v>
          </cell>
          <cell r="F8004" t="str">
            <v>14 Aug 2024</v>
          </cell>
        </row>
        <row r="8005">
          <cell r="A8005" t="str">
            <v>NPL</v>
          </cell>
          <cell r="B8005">
            <v>2009</v>
          </cell>
          <cell r="C8005" t="str">
            <v>mar_expz</v>
          </cell>
          <cell r="D8005">
            <v>13.75477409362793</v>
          </cell>
          <cell r="F8005" t="str">
            <v>14 Aug 2024</v>
          </cell>
        </row>
        <row r="8006">
          <cell r="A8006" t="str">
            <v>NPL</v>
          </cell>
          <cell r="B8006">
            <v>2006</v>
          </cell>
          <cell r="C8006" t="str">
            <v>mar_impz</v>
          </cell>
          <cell r="D8006">
            <v>29.930313110351563</v>
          </cell>
          <cell r="F8006" t="str">
            <v>14 Aug 2024</v>
          </cell>
        </row>
        <row r="8007">
          <cell r="A8007" t="str">
            <v>NPL</v>
          </cell>
          <cell r="B8007">
            <v>2011</v>
          </cell>
          <cell r="C8007" t="str">
            <v>mafdi_</v>
          </cell>
          <cell r="D8007">
            <v>-0.41284036636352539</v>
          </cell>
          <cell r="F8007" t="str">
            <v>14 Aug 2024</v>
          </cell>
        </row>
        <row r="8008">
          <cell r="A8008" t="str">
            <v>NPL</v>
          </cell>
          <cell r="B8008">
            <v>2021</v>
          </cell>
          <cell r="C8008" t="str">
            <v>mar_taxfc</v>
          </cell>
          <cell r="D8008">
            <v>11.361098289489746</v>
          </cell>
          <cell r="F8008" t="str">
            <v>14 Aug 2024</v>
          </cell>
        </row>
        <row r="8009">
          <cell r="A8009" t="str">
            <v>NPL</v>
          </cell>
          <cell r="B8009">
            <v>2017</v>
          </cell>
          <cell r="C8009" t="str">
            <v>mafdi_</v>
          </cell>
          <cell r="D8009">
            <v>-0.4388464093208313</v>
          </cell>
          <cell r="F8009" t="str">
            <v>14 Aug 2024</v>
          </cell>
        </row>
        <row r="8010">
          <cell r="A8010" t="str">
            <v>NPL</v>
          </cell>
          <cell r="B8010">
            <v>2015</v>
          </cell>
          <cell r="C8010" t="str">
            <v>malabz</v>
          </cell>
          <cell r="D8010">
            <v>1.4156047105789185</v>
          </cell>
          <cell r="F8010" t="str">
            <v>14 Aug 2024</v>
          </cell>
        </row>
        <row r="8011">
          <cell r="A8011" t="str">
            <v>NPL</v>
          </cell>
          <cell r="B8011">
            <v>2026</v>
          </cell>
          <cell r="C8011" t="str">
            <v>macab_</v>
          </cell>
          <cell r="D8011">
            <v>1.0217533111572266</v>
          </cell>
          <cell r="F8011" t="str">
            <v>14 Aug 2024</v>
          </cell>
        </row>
        <row r="8012">
          <cell r="A8012" t="str">
            <v>NPL</v>
          </cell>
          <cell r="B8012">
            <v>2005</v>
          </cell>
          <cell r="C8012" t="str">
            <v>mar_indfc</v>
          </cell>
          <cell r="D8012">
            <v>16.67298698425293</v>
          </cell>
          <cell r="F8012" t="str">
            <v>14 Aug 2024</v>
          </cell>
        </row>
        <row r="8013">
          <cell r="A8013" t="str">
            <v>NPL</v>
          </cell>
          <cell r="B8013">
            <v>2026</v>
          </cell>
          <cell r="C8013" t="str">
            <v>mar_con</v>
          </cell>
          <cell r="D8013">
            <v>83.994003295898438</v>
          </cell>
          <cell r="F8013" t="str">
            <v>14 Aug 2024</v>
          </cell>
        </row>
        <row r="8014">
          <cell r="A8014" t="str">
            <v>NPL</v>
          </cell>
          <cell r="B8014">
            <v>2013</v>
          </cell>
          <cell r="C8014" t="str">
            <v>mar_agrfc</v>
          </cell>
          <cell r="D8014">
            <v>32.979827880859375</v>
          </cell>
          <cell r="F8014" t="str">
            <v>14 Aug 2024</v>
          </cell>
        </row>
        <row r="8015">
          <cell r="A8015" t="str">
            <v>NPL</v>
          </cell>
          <cell r="B8015">
            <v>2012</v>
          </cell>
          <cell r="C8015" t="str">
            <v>mareer</v>
          </cell>
          <cell r="D8015">
            <v>92.299903869628906</v>
          </cell>
          <cell r="F8015" t="str">
            <v>14 Aug 2024</v>
          </cell>
        </row>
        <row r="8016">
          <cell r="A8016" t="str">
            <v>NPL</v>
          </cell>
          <cell r="B8016">
            <v>2007</v>
          </cell>
          <cell r="C8016" t="str">
            <v>mar_agrfc</v>
          </cell>
          <cell r="D8016">
            <v>35.901454925537109</v>
          </cell>
          <cell r="F8016" t="str">
            <v>14 Aug 2024</v>
          </cell>
        </row>
        <row r="8017">
          <cell r="A8017" t="str">
            <v>NPL</v>
          </cell>
          <cell r="B8017">
            <v>2024</v>
          </cell>
          <cell r="C8017" t="str">
            <v>mar_impz</v>
          </cell>
          <cell r="D8017">
            <v>37.132400512695313</v>
          </cell>
          <cell r="F8017" t="str">
            <v>14 Aug 2024</v>
          </cell>
        </row>
        <row r="8018">
          <cell r="A8018" t="str">
            <v>NPL</v>
          </cell>
          <cell r="B8018">
            <v>2005</v>
          </cell>
          <cell r="C8018" t="str">
            <v>mar_impz</v>
          </cell>
          <cell r="D8018">
            <v>29.060811996459961</v>
          </cell>
          <cell r="F8018" t="str">
            <v>14 Aug 2024</v>
          </cell>
        </row>
        <row r="8019">
          <cell r="A8019" t="str">
            <v>NPL</v>
          </cell>
          <cell r="B8019">
            <v>2017</v>
          </cell>
          <cell r="C8019" t="str">
            <v>mataxfc</v>
          </cell>
          <cell r="D8019">
            <v>12.857922554016113</v>
          </cell>
          <cell r="F8019" t="str">
            <v>14 Aug 2024</v>
          </cell>
        </row>
        <row r="8020">
          <cell r="A8020" t="str">
            <v>NPL</v>
          </cell>
          <cell r="B8020">
            <v>2013</v>
          </cell>
          <cell r="C8020" t="str">
            <v>mainvz</v>
          </cell>
          <cell r="D8020">
            <v>8.7589836120605469</v>
          </cell>
          <cell r="F8020" t="str">
            <v>14 Aug 2024</v>
          </cell>
        </row>
        <row r="8021">
          <cell r="A8021" t="str">
            <v>NPL</v>
          </cell>
          <cell r="B8021">
            <v>2025</v>
          </cell>
          <cell r="C8021" t="str">
            <v>macab_</v>
          </cell>
          <cell r="D8021">
            <v>1.5857539176940918</v>
          </cell>
          <cell r="F8021" t="str">
            <v>14 Aug 2024</v>
          </cell>
        </row>
        <row r="8022">
          <cell r="A8022" t="str">
            <v>NPL</v>
          </cell>
          <cell r="B8022">
            <v>2006</v>
          </cell>
          <cell r="C8022" t="str">
            <v>madebt_</v>
          </cell>
          <cell r="D8022">
            <v>43.186332702636719</v>
          </cell>
          <cell r="F8022" t="str">
            <v>14 Aug 2024</v>
          </cell>
        </row>
        <row r="8023">
          <cell r="A8023" t="str">
            <v>NPL</v>
          </cell>
          <cell r="B8023">
            <v>2008</v>
          </cell>
          <cell r="C8023" t="str">
            <v>malabz</v>
          </cell>
          <cell r="D8023">
            <v>1.5530617237091064</v>
          </cell>
          <cell r="F8023" t="str">
            <v>14 Aug 2024</v>
          </cell>
        </row>
        <row r="8024">
          <cell r="A8024" t="str">
            <v>NPL</v>
          </cell>
          <cell r="B8024">
            <v>2022</v>
          </cell>
          <cell r="C8024" t="str">
            <v>mareer</v>
          </cell>
          <cell r="D8024">
            <v>107.33032989501953</v>
          </cell>
          <cell r="F8024" t="str">
            <v>14 Aug 2024</v>
          </cell>
        </row>
        <row r="8025">
          <cell r="A8025" t="str">
            <v>NPL</v>
          </cell>
          <cell r="B8025">
            <v>2016</v>
          </cell>
          <cell r="C8025" t="str">
            <v>macpiz</v>
          </cell>
          <cell r="D8025">
            <v>9.9525003433227539</v>
          </cell>
          <cell r="F8025" t="str">
            <v>14 Aug 2024</v>
          </cell>
        </row>
        <row r="8026">
          <cell r="A8026" t="str">
            <v>NPL</v>
          </cell>
          <cell r="B8026">
            <v>2012</v>
          </cell>
          <cell r="C8026" t="str">
            <v>maexpz</v>
          </cell>
          <cell r="D8026">
            <v>20.192960739135742</v>
          </cell>
          <cell r="F8026" t="str">
            <v>14 Aug 2024</v>
          </cell>
        </row>
        <row r="8027">
          <cell r="A8027" t="str">
            <v>NPL</v>
          </cell>
          <cell r="B8027">
            <v>2024</v>
          </cell>
          <cell r="C8027" t="str">
            <v>mapanusatls</v>
          </cell>
          <cell r="D8027">
            <v>132.86567687988281</v>
          </cell>
          <cell r="F8027" t="str">
            <v>14 Aug 2024</v>
          </cell>
        </row>
        <row r="8028">
          <cell r="A8028" t="str">
            <v>NPL</v>
          </cell>
          <cell r="B8028">
            <v>2025</v>
          </cell>
          <cell r="C8028" t="str">
            <v>magovz</v>
          </cell>
          <cell r="D8028">
            <v>9.206817626953125</v>
          </cell>
          <cell r="F8028" t="str">
            <v>14 Aug 2024</v>
          </cell>
        </row>
        <row r="8029">
          <cell r="A8029" t="str">
            <v>NPL</v>
          </cell>
          <cell r="B8029">
            <v>2025</v>
          </cell>
          <cell r="C8029" t="str">
            <v>malabz</v>
          </cell>
          <cell r="D8029">
            <v>1.4780603647232056</v>
          </cell>
          <cell r="F8029" t="str">
            <v>14 Aug 2024</v>
          </cell>
        </row>
        <row r="8030">
          <cell r="A8030" t="str">
            <v>NPL</v>
          </cell>
          <cell r="B8030">
            <v>2025</v>
          </cell>
          <cell r="C8030" t="str">
            <v>mareer</v>
          </cell>
          <cell r="D8030">
            <v>109.56341552734375</v>
          </cell>
          <cell r="F8030" t="str">
            <v>14 Aug 2024</v>
          </cell>
        </row>
        <row r="8031">
          <cell r="A8031" t="str">
            <v>NPL</v>
          </cell>
          <cell r="B8031">
            <v>2008</v>
          </cell>
          <cell r="C8031" t="str">
            <v>mainvz</v>
          </cell>
          <cell r="D8031">
            <v>1.8533735275268555</v>
          </cell>
          <cell r="F8031" t="str">
            <v>14 Aug 2024</v>
          </cell>
        </row>
        <row r="8032">
          <cell r="A8032" t="str">
            <v>NPL</v>
          </cell>
          <cell r="B8032">
            <v>2006</v>
          </cell>
          <cell r="C8032" t="str">
            <v>maexpz</v>
          </cell>
          <cell r="D8032">
            <v>-1.2937197685241699</v>
          </cell>
          <cell r="F8032" t="str">
            <v>14 Aug 2024</v>
          </cell>
        </row>
        <row r="8033">
          <cell r="A8033" t="str">
            <v>NPL</v>
          </cell>
          <cell r="B8033">
            <v>2005</v>
          </cell>
          <cell r="C8033" t="str">
            <v>mac_labz</v>
          </cell>
          <cell r="D8033">
            <v>0</v>
          </cell>
          <cell r="F8033" t="str">
            <v>14 Aug 2024</v>
          </cell>
        </row>
        <row r="8034">
          <cell r="A8034" t="str">
            <v>NPL</v>
          </cell>
          <cell r="B8034">
            <v>2025</v>
          </cell>
          <cell r="C8034" t="str">
            <v>mar_indfc</v>
          </cell>
          <cell r="D8034">
            <v>16.505748748779297</v>
          </cell>
          <cell r="F8034" t="str">
            <v>14 Aug 2024</v>
          </cell>
        </row>
        <row r="8035">
          <cell r="A8035" t="str">
            <v>NPL</v>
          </cell>
          <cell r="B8035">
            <v>2022</v>
          </cell>
          <cell r="C8035" t="str">
            <v>macpiz</v>
          </cell>
          <cell r="D8035">
            <v>6.346015453338623</v>
          </cell>
          <cell r="F8035" t="str">
            <v>14 Aug 2024</v>
          </cell>
        </row>
        <row r="8036">
          <cell r="A8036" t="str">
            <v>NPL</v>
          </cell>
          <cell r="B8036">
            <v>2020</v>
          </cell>
          <cell r="C8036" t="str">
            <v>mar_taxfc</v>
          </cell>
          <cell r="D8036">
            <v>10.988040924072266</v>
          </cell>
          <cell r="F8036" t="str">
            <v>14 Aug 2024</v>
          </cell>
        </row>
        <row r="8037">
          <cell r="A8037" t="str">
            <v>NPL</v>
          </cell>
          <cell r="B8037">
            <v>2019</v>
          </cell>
          <cell r="C8037" t="str">
            <v>mar_con</v>
          </cell>
          <cell r="D8037">
            <v>76.034942626953125</v>
          </cell>
          <cell r="F8037" t="str">
            <v>14 Aug 2024</v>
          </cell>
        </row>
        <row r="8038">
          <cell r="A8038" t="str">
            <v>NPL</v>
          </cell>
          <cell r="B8038">
            <v>2025</v>
          </cell>
          <cell r="C8038" t="str">
            <v>magdpz</v>
          </cell>
          <cell r="D8038">
            <v>4.5999999046325684</v>
          </cell>
          <cell r="F8038" t="str">
            <v>14 Aug 2024</v>
          </cell>
        </row>
        <row r="8039">
          <cell r="A8039" t="str">
            <v>NPL</v>
          </cell>
          <cell r="B8039">
            <v>2006</v>
          </cell>
          <cell r="C8039" t="str">
            <v>maagrfc</v>
          </cell>
          <cell r="D8039">
            <v>1.7818723917007446</v>
          </cell>
          <cell r="F8039" t="str">
            <v>14 Aug 2024</v>
          </cell>
        </row>
        <row r="8040">
          <cell r="A8040" t="str">
            <v>NPL</v>
          </cell>
          <cell r="B8040">
            <v>2017</v>
          </cell>
          <cell r="C8040" t="str">
            <v>mac_tfpz</v>
          </cell>
          <cell r="D8040">
            <v>0.45333868265151978</v>
          </cell>
          <cell r="F8040" t="str">
            <v>14 Aug 2024</v>
          </cell>
        </row>
        <row r="8041">
          <cell r="A8041" t="str">
            <v>NPL</v>
          </cell>
          <cell r="B8041">
            <v>2020</v>
          </cell>
          <cell r="C8041" t="str">
            <v>mac_labz</v>
          </cell>
          <cell r="D8041">
            <v>1.9668827056884766</v>
          </cell>
          <cell r="F8041" t="str">
            <v>14 Aug 2024</v>
          </cell>
        </row>
        <row r="8042">
          <cell r="A8042" t="str">
            <v>NPL</v>
          </cell>
          <cell r="B8042">
            <v>2024</v>
          </cell>
          <cell r="C8042" t="str">
            <v>macab_</v>
          </cell>
          <cell r="D8042">
            <v>3.9341721534729004</v>
          </cell>
          <cell r="F8042" t="str">
            <v>14 Aug 2024</v>
          </cell>
        </row>
        <row r="8043">
          <cell r="A8043" t="str">
            <v>NPL</v>
          </cell>
          <cell r="B8043">
            <v>2009</v>
          </cell>
          <cell r="C8043" t="str">
            <v>mar_con</v>
          </cell>
          <cell r="D8043">
            <v>78.875175476074219</v>
          </cell>
          <cell r="F8043" t="str">
            <v>14 Aug 2024</v>
          </cell>
        </row>
        <row r="8044">
          <cell r="A8044" t="str">
            <v>NPL</v>
          </cell>
          <cell r="B8044">
            <v>2023</v>
          </cell>
          <cell r="C8044" t="str">
            <v>mapanusatls</v>
          </cell>
          <cell r="D8044">
            <v>130.74504089355469</v>
          </cell>
          <cell r="F8044" t="str">
            <v>14 Aug 2024</v>
          </cell>
        </row>
        <row r="8045">
          <cell r="A8045" t="str">
            <v>NPL</v>
          </cell>
          <cell r="B8045">
            <v>2007</v>
          </cell>
          <cell r="C8045" t="str">
            <v>mar_expz</v>
          </cell>
          <cell r="D8045">
            <v>14.581315040588379</v>
          </cell>
          <cell r="F8045" t="str">
            <v>14 Aug 2024</v>
          </cell>
        </row>
        <row r="8046">
          <cell r="A8046" t="str">
            <v>NPL</v>
          </cell>
          <cell r="B8046">
            <v>2023</v>
          </cell>
          <cell r="C8046" t="str">
            <v>mac_labz</v>
          </cell>
          <cell r="D8046">
            <v>1.1388912200927734</v>
          </cell>
          <cell r="F8046" t="str">
            <v>14 Aug 2024</v>
          </cell>
        </row>
        <row r="8047">
          <cell r="A8047" t="str">
            <v>NPL</v>
          </cell>
          <cell r="B8047">
            <v>2007</v>
          </cell>
          <cell r="C8047" t="str">
            <v>maconz</v>
          </cell>
          <cell r="D8047">
            <v>3.1651797294616699</v>
          </cell>
          <cell r="F8047" t="str">
            <v>14 Aug 2024</v>
          </cell>
        </row>
        <row r="8048">
          <cell r="A8048" t="str">
            <v>NPL</v>
          </cell>
          <cell r="B8048">
            <v>2010</v>
          </cell>
          <cell r="C8048" t="str">
            <v>mar_con</v>
          </cell>
          <cell r="D8048">
            <v>79.940711975097656</v>
          </cell>
          <cell r="F8048" t="str">
            <v>14 Aug 2024</v>
          </cell>
        </row>
        <row r="8049">
          <cell r="A8049" t="str">
            <v>NPL</v>
          </cell>
          <cell r="B8049">
            <v>2016</v>
          </cell>
          <cell r="C8049" t="str">
            <v>magap_</v>
          </cell>
          <cell r="D8049">
            <v>-3.9074337482452393</v>
          </cell>
          <cell r="F8049" t="str">
            <v>14 Aug 2024</v>
          </cell>
        </row>
        <row r="8050">
          <cell r="A8050" t="str">
            <v>NPL</v>
          </cell>
          <cell r="B8050">
            <v>2022</v>
          </cell>
          <cell r="C8050" t="str">
            <v>maexpz</v>
          </cell>
          <cell r="D8050">
            <v>34.060062408447266</v>
          </cell>
          <cell r="F8050" t="str">
            <v>14 Aug 2024</v>
          </cell>
        </row>
        <row r="8051">
          <cell r="A8051" t="str">
            <v>NPL</v>
          </cell>
          <cell r="B8051">
            <v>2019</v>
          </cell>
          <cell r="C8051" t="str">
            <v>magap_</v>
          </cell>
          <cell r="D8051">
            <v>-0.36616769433021545</v>
          </cell>
          <cell r="F8051" t="str">
            <v>14 Aug 2024</v>
          </cell>
        </row>
        <row r="8052">
          <cell r="A8052" t="str">
            <v>NPL</v>
          </cell>
          <cell r="B8052">
            <v>2007</v>
          </cell>
          <cell r="C8052" t="str">
            <v>mar_taxfc</v>
          </cell>
          <cell r="D8052">
            <v>7.5847487449645996</v>
          </cell>
          <cell r="F8052" t="str">
            <v>14 Aug 2024</v>
          </cell>
        </row>
        <row r="8053">
          <cell r="A8053" t="str">
            <v>NPL</v>
          </cell>
          <cell r="B8053">
            <v>2018</v>
          </cell>
          <cell r="C8053" t="str">
            <v>mareer</v>
          </cell>
          <cell r="D8053">
            <v>107.48500823974609</v>
          </cell>
          <cell r="F8053" t="str">
            <v>14 Aug 2024</v>
          </cell>
        </row>
        <row r="8054">
          <cell r="A8054" t="str">
            <v>NPL</v>
          </cell>
          <cell r="B8054">
            <v>2007</v>
          </cell>
          <cell r="C8054" t="str">
            <v>masrvfc</v>
          </cell>
          <cell r="D8054">
            <v>4.6448225975036621</v>
          </cell>
          <cell r="F8054" t="str">
            <v>14 Aug 2024</v>
          </cell>
        </row>
        <row r="8055">
          <cell r="A8055" t="str">
            <v>NPL</v>
          </cell>
          <cell r="B8055">
            <v>2010</v>
          </cell>
          <cell r="C8055" t="str">
            <v>matfpz</v>
          </cell>
          <cell r="D8055">
            <v>0.69581186771392822</v>
          </cell>
          <cell r="F8055" t="str">
            <v>14 Aug 2024</v>
          </cell>
        </row>
        <row r="8056">
          <cell r="A8056" t="str">
            <v>NPL</v>
          </cell>
          <cell r="B8056">
            <v>2017</v>
          </cell>
          <cell r="C8056" t="str">
            <v>madebt_</v>
          </cell>
          <cell r="D8056">
            <v>22.673271179199219</v>
          </cell>
          <cell r="F8056" t="str">
            <v>14 Aug 2024</v>
          </cell>
        </row>
        <row r="8057">
          <cell r="A8057" t="str">
            <v>NPL</v>
          </cell>
          <cell r="B8057">
            <v>2025</v>
          </cell>
          <cell r="C8057" t="str">
            <v>maconz</v>
          </cell>
          <cell r="D8057">
            <v>3.7000000476837158</v>
          </cell>
          <cell r="F8057" t="str">
            <v>14 Aug 2024</v>
          </cell>
        </row>
        <row r="8058">
          <cell r="A8058" t="str">
            <v>NPL</v>
          </cell>
          <cell r="B8058">
            <v>2009</v>
          </cell>
          <cell r="C8058" t="str">
            <v>maagrfc</v>
          </cell>
          <cell r="D8058">
            <v>3.0195491313934326</v>
          </cell>
          <cell r="F8058" t="str">
            <v>14 Aug 2024</v>
          </cell>
        </row>
        <row r="8059">
          <cell r="A8059" t="str">
            <v>NPL</v>
          </cell>
          <cell r="B8059">
            <v>2012</v>
          </cell>
          <cell r="C8059" t="str">
            <v>mataxfc</v>
          </cell>
          <cell r="D8059">
            <v>1.3960260152816772</v>
          </cell>
          <cell r="F8059" t="str">
            <v>14 Aug 2024</v>
          </cell>
        </row>
        <row r="8060">
          <cell r="A8060" t="str">
            <v>NPL</v>
          </cell>
          <cell r="B8060">
            <v>2010</v>
          </cell>
          <cell r="C8060" t="str">
            <v>mainvz</v>
          </cell>
          <cell r="D8060">
            <v>16.616121292114258</v>
          </cell>
          <cell r="F8060" t="str">
            <v>14 Aug 2024</v>
          </cell>
        </row>
        <row r="8061">
          <cell r="A8061" t="str">
            <v>NPL</v>
          </cell>
          <cell r="B8061">
            <v>2005</v>
          </cell>
          <cell r="C8061" t="str">
            <v>mac_tfpz</v>
          </cell>
          <cell r="D8061">
            <v>0.54555755853652954</v>
          </cell>
          <cell r="F8061" t="str">
            <v>14 Aug 2024</v>
          </cell>
        </row>
        <row r="8062">
          <cell r="A8062" t="str">
            <v>NPL</v>
          </cell>
          <cell r="B8062">
            <v>2023</v>
          </cell>
          <cell r="C8062" t="str">
            <v>mar_srvfc</v>
          </cell>
          <cell r="D8062">
            <v>54.208202362060547</v>
          </cell>
          <cell r="F8062" t="str">
            <v>14 Aug 2024</v>
          </cell>
        </row>
        <row r="8063">
          <cell r="A8063" t="str">
            <v>NPL</v>
          </cell>
          <cell r="B8063">
            <v>2006</v>
          </cell>
          <cell r="C8063" t="str">
            <v>matfpz</v>
          </cell>
          <cell r="D8063">
            <v>0.62431895732879639</v>
          </cell>
          <cell r="F8063" t="str">
            <v>14 Aug 2024</v>
          </cell>
        </row>
        <row r="8064">
          <cell r="A8064" t="str">
            <v>NPL</v>
          </cell>
          <cell r="B8064">
            <v>2010</v>
          </cell>
          <cell r="C8064" t="str">
            <v>mar_expz</v>
          </cell>
          <cell r="D8064">
            <v>11.752962112426758</v>
          </cell>
          <cell r="F8064" t="str">
            <v>14 Aug 2024</v>
          </cell>
        </row>
        <row r="8065">
          <cell r="A8065" t="str">
            <v>NPL</v>
          </cell>
          <cell r="B8065">
            <v>2012</v>
          </cell>
          <cell r="C8065" t="str">
            <v>mafdi_</v>
          </cell>
          <cell r="D8065">
            <v>-0.52294749021530151</v>
          </cell>
          <cell r="F8065" t="str">
            <v>14 Aug 2024</v>
          </cell>
        </row>
        <row r="8066">
          <cell r="A8066" t="str">
            <v>NPL</v>
          </cell>
          <cell r="B8066">
            <v>2006</v>
          </cell>
          <cell r="C8066" t="str">
            <v>magovz</v>
          </cell>
          <cell r="D8066">
            <v>0.75574398040771484</v>
          </cell>
          <cell r="F8066" t="str">
            <v>14 Aug 2024</v>
          </cell>
        </row>
        <row r="8067">
          <cell r="A8067" t="str">
            <v>NPL</v>
          </cell>
          <cell r="B8067">
            <v>2022</v>
          </cell>
          <cell r="C8067" t="str">
            <v>malabz</v>
          </cell>
          <cell r="D8067">
            <v>2.4377810955047607</v>
          </cell>
          <cell r="F8067" t="str">
            <v>14 Aug 2024</v>
          </cell>
        </row>
        <row r="8068">
          <cell r="A8068" t="str">
            <v>NPL</v>
          </cell>
          <cell r="B8068">
            <v>2006</v>
          </cell>
          <cell r="C8068" t="str">
            <v>maindfc</v>
          </cell>
          <cell r="D8068">
            <v>4.4704399108886719</v>
          </cell>
          <cell r="F8068" t="str">
            <v>14 Aug 2024</v>
          </cell>
        </row>
        <row r="8069">
          <cell r="A8069" t="str">
            <v>NPL</v>
          </cell>
          <cell r="B8069">
            <v>2015</v>
          </cell>
          <cell r="C8069" t="str">
            <v>macpiz</v>
          </cell>
          <cell r="D8069">
            <v>7.2098631858825684</v>
          </cell>
          <cell r="F8069" t="str">
            <v>14 Aug 2024</v>
          </cell>
        </row>
        <row r="8070">
          <cell r="A8070" t="str">
            <v>NPL</v>
          </cell>
          <cell r="B8070">
            <v>2009</v>
          </cell>
          <cell r="C8070" t="str">
            <v>magap_</v>
          </cell>
          <cell r="D8070">
            <v>0.85748410224914551</v>
          </cell>
          <cell r="F8070" t="str">
            <v>14 Aug 2024</v>
          </cell>
        </row>
        <row r="8071">
          <cell r="A8071" t="str">
            <v>NPL</v>
          </cell>
          <cell r="B8071">
            <v>2018</v>
          </cell>
          <cell r="C8071" t="str">
            <v>mar_con</v>
          </cell>
          <cell r="D8071">
            <v>74.992622375488281</v>
          </cell>
          <cell r="F8071" t="str">
            <v>14 Aug 2024</v>
          </cell>
        </row>
        <row r="8072">
          <cell r="A8072" t="str">
            <v>NPL</v>
          </cell>
          <cell r="B8072">
            <v>2017</v>
          </cell>
          <cell r="C8072" t="str">
            <v>macpiz</v>
          </cell>
          <cell r="D8072">
            <v>4.4413118362426758</v>
          </cell>
          <cell r="F8072" t="str">
            <v>14 Aug 2024</v>
          </cell>
        </row>
        <row r="8073">
          <cell r="A8073" t="str">
            <v>NPL</v>
          </cell>
          <cell r="B8073">
            <v>2024</v>
          </cell>
          <cell r="C8073" t="str">
            <v>madebt_</v>
          </cell>
          <cell r="D8073">
            <v>43.627037048339844</v>
          </cell>
          <cell r="F8073" t="str">
            <v>14 Aug 2024</v>
          </cell>
        </row>
        <row r="8074">
          <cell r="A8074" t="str">
            <v>NPL</v>
          </cell>
          <cell r="B8074">
            <v>2012</v>
          </cell>
          <cell r="C8074" t="str">
            <v>magdpz</v>
          </cell>
          <cell r="D8074">
            <v>4.6701416969299316</v>
          </cell>
          <cell r="F8074" t="str">
            <v>14 Aug 2024</v>
          </cell>
        </row>
        <row r="8075">
          <cell r="A8075" t="str">
            <v>NPL</v>
          </cell>
          <cell r="B8075">
            <v>2026</v>
          </cell>
          <cell r="C8075" t="str">
            <v>malabz</v>
          </cell>
          <cell r="D8075">
            <v>1.4329626560211182</v>
          </cell>
          <cell r="F8075" t="str">
            <v>14 Aug 2024</v>
          </cell>
        </row>
        <row r="8076">
          <cell r="A8076" t="str">
            <v>NPL</v>
          </cell>
          <cell r="B8076">
            <v>2020</v>
          </cell>
          <cell r="C8076" t="str">
            <v>mapanusatls</v>
          </cell>
          <cell r="D8076">
            <v>116.31099700927734</v>
          </cell>
          <cell r="F8076" t="str">
            <v>14 Aug 2024</v>
          </cell>
        </row>
        <row r="8077">
          <cell r="A8077" t="str">
            <v>NPL</v>
          </cell>
          <cell r="B8077">
            <v>2011</v>
          </cell>
          <cell r="C8077" t="str">
            <v>macpiz</v>
          </cell>
          <cell r="D8077">
            <v>9.5805149078369141</v>
          </cell>
          <cell r="F8077" t="str">
            <v>14 Aug 2024</v>
          </cell>
        </row>
        <row r="8078">
          <cell r="A8078" t="str">
            <v>NPL</v>
          </cell>
          <cell r="B8078">
            <v>2009</v>
          </cell>
          <cell r="C8078" t="str">
            <v>maimpz</v>
          </cell>
          <cell r="D8078">
            <v>12.632813453674316</v>
          </cell>
          <cell r="F8078" t="str">
            <v>14 Aug 2024</v>
          </cell>
        </row>
        <row r="8079">
          <cell r="A8079" t="str">
            <v>NPL</v>
          </cell>
          <cell r="B8079">
            <v>2011</v>
          </cell>
          <cell r="C8079" t="str">
            <v>maagrfc</v>
          </cell>
          <cell r="D8079">
            <v>-0.41824352741241455</v>
          </cell>
          <cell r="F8079" t="str">
            <v>14 Aug 2024</v>
          </cell>
        </row>
        <row r="8080">
          <cell r="A8080" t="str">
            <v>NPL</v>
          </cell>
          <cell r="B8080">
            <v>2018</v>
          </cell>
          <cell r="C8080" t="str">
            <v>mar_srvfc</v>
          </cell>
          <cell r="D8080">
            <v>54.966754913330078</v>
          </cell>
          <cell r="F8080" t="str">
            <v>14 Aug 2024</v>
          </cell>
        </row>
        <row r="8081">
          <cell r="A8081" t="str">
            <v>NPL</v>
          </cell>
          <cell r="B8081">
            <v>2021</v>
          </cell>
          <cell r="C8081" t="str">
            <v>mar_agrfc</v>
          </cell>
          <cell r="D8081">
            <v>30.093206405639648</v>
          </cell>
          <cell r="F8081" t="str">
            <v>14 Aug 2024</v>
          </cell>
        </row>
        <row r="8082">
          <cell r="A8082" t="str">
            <v>NPL</v>
          </cell>
          <cell r="B8082">
            <v>2020</v>
          </cell>
          <cell r="C8082" t="str">
            <v>mar_srvfc</v>
          </cell>
          <cell r="D8082">
            <v>53.970390319824219</v>
          </cell>
          <cell r="F8082" t="str">
            <v>14 Aug 2024</v>
          </cell>
        </row>
        <row r="8083">
          <cell r="A8083" t="str">
            <v>NPL</v>
          </cell>
          <cell r="B8083">
            <v>2014</v>
          </cell>
          <cell r="C8083" t="str">
            <v>masrvfc</v>
          </cell>
          <cell r="D8083">
            <v>6.0494513511657715</v>
          </cell>
          <cell r="F8083" t="str">
            <v>14 Aug 2024</v>
          </cell>
        </row>
        <row r="8084">
          <cell r="A8084" t="str">
            <v>NPL</v>
          </cell>
          <cell r="B8084">
            <v>2021</v>
          </cell>
          <cell r="C8084" t="str">
            <v>malabz</v>
          </cell>
          <cell r="D8084">
            <v>3.3989517688751221</v>
          </cell>
          <cell r="F8084" t="str">
            <v>14 Aug 2024</v>
          </cell>
        </row>
        <row r="8085">
          <cell r="A8085" t="str">
            <v>NPL</v>
          </cell>
          <cell r="B8085">
            <v>2025</v>
          </cell>
          <cell r="C8085" t="str">
            <v>maagrfc</v>
          </cell>
          <cell r="D8085">
            <v>2.4000000953674316</v>
          </cell>
          <cell r="F8085" t="str">
            <v>14 Aug 2024</v>
          </cell>
        </row>
        <row r="8086">
          <cell r="A8086" t="str">
            <v>NPL</v>
          </cell>
          <cell r="B8086">
            <v>2021</v>
          </cell>
          <cell r="C8086" t="str">
            <v>mataxfc</v>
          </cell>
          <cell r="D8086">
            <v>8.0343999862670898</v>
          </cell>
          <cell r="F8086" t="str">
            <v>14 Aug 2024</v>
          </cell>
        </row>
        <row r="8087">
          <cell r="A8087" t="str">
            <v>NPL</v>
          </cell>
          <cell r="B8087">
            <v>2026</v>
          </cell>
          <cell r="C8087" t="str">
            <v>mar_srvfc</v>
          </cell>
          <cell r="D8087">
            <v>55.26434326171875</v>
          </cell>
          <cell r="F8087" t="str">
            <v>14 Aug 2024</v>
          </cell>
        </row>
        <row r="8088">
          <cell r="A8088" t="str">
            <v>NPL</v>
          </cell>
          <cell r="B8088">
            <v>2016</v>
          </cell>
          <cell r="C8088" t="str">
            <v>mac_tfpz</v>
          </cell>
          <cell r="D8088">
            <v>0.40215650200843811</v>
          </cell>
          <cell r="F8088" t="str">
            <v>14 Aug 2024</v>
          </cell>
        </row>
        <row r="8089">
          <cell r="A8089" t="str">
            <v>NPL</v>
          </cell>
          <cell r="B8089">
            <v>2024</v>
          </cell>
          <cell r="C8089" t="str">
            <v>matfpz</v>
          </cell>
          <cell r="D8089">
            <v>0.50951564311981201</v>
          </cell>
          <cell r="F8089" t="str">
            <v>14 Aug 2024</v>
          </cell>
        </row>
        <row r="8090">
          <cell r="A8090" t="str">
            <v>NPL</v>
          </cell>
          <cell r="B8090">
            <v>2006</v>
          </cell>
          <cell r="C8090" t="str">
            <v>mac_tfpz</v>
          </cell>
          <cell r="D8090">
            <v>0.62431895732879639</v>
          </cell>
          <cell r="F8090" t="str">
            <v>14 Aug 2024</v>
          </cell>
        </row>
        <row r="8091">
          <cell r="A8091" t="str">
            <v>NPL</v>
          </cell>
          <cell r="B8091">
            <v>2011</v>
          </cell>
          <cell r="C8091" t="str">
            <v>magap_</v>
          </cell>
          <cell r="D8091">
            <v>1.1444014310836792</v>
          </cell>
          <cell r="F8091" t="str">
            <v>14 Aug 2024</v>
          </cell>
        </row>
        <row r="8092">
          <cell r="A8092" t="str">
            <v>NPL</v>
          </cell>
          <cell r="B8092">
            <v>2022</v>
          </cell>
          <cell r="C8092" t="str">
            <v>masrvfc</v>
          </cell>
          <cell r="D8092">
            <v>5.3166213035583496</v>
          </cell>
          <cell r="F8092" t="str">
            <v>14 Aug 2024</v>
          </cell>
        </row>
        <row r="8093">
          <cell r="A8093" t="str">
            <v>NPL</v>
          </cell>
          <cell r="B8093">
            <v>2015</v>
          </cell>
          <cell r="C8093" t="str">
            <v>maconz</v>
          </cell>
          <cell r="D8093">
            <v>2.5827038288116455</v>
          </cell>
          <cell r="F8093" t="str">
            <v>14 Aug 2024</v>
          </cell>
        </row>
        <row r="8094">
          <cell r="A8094" t="str">
            <v>NPL</v>
          </cell>
          <cell r="B8094">
            <v>2017</v>
          </cell>
          <cell r="C8094" t="str">
            <v>magdpz</v>
          </cell>
          <cell r="D8094">
            <v>8.9772796630859375</v>
          </cell>
          <cell r="F8094" t="str">
            <v>14 Aug 2024</v>
          </cell>
        </row>
        <row r="8095">
          <cell r="A8095" t="str">
            <v>NPL</v>
          </cell>
          <cell r="B8095">
            <v>2020</v>
          </cell>
          <cell r="C8095" t="str">
            <v>mar_expz</v>
          </cell>
          <cell r="D8095">
            <v>7.5059304237365723</v>
          </cell>
          <cell r="F8095" t="str">
            <v>14 Aug 2024</v>
          </cell>
        </row>
        <row r="8096">
          <cell r="A8096" t="str">
            <v>NPL</v>
          </cell>
          <cell r="B8096">
            <v>2014</v>
          </cell>
          <cell r="C8096" t="str">
            <v>mar_con</v>
          </cell>
          <cell r="D8096">
            <v>80.334518432617188</v>
          </cell>
          <cell r="F8096" t="str">
            <v>14 Aug 2024</v>
          </cell>
        </row>
        <row r="8097">
          <cell r="A8097" t="str">
            <v>NPL</v>
          </cell>
          <cell r="B8097">
            <v>2008</v>
          </cell>
          <cell r="C8097" t="str">
            <v>matfpz</v>
          </cell>
          <cell r="D8097">
            <v>0.73238354921340942</v>
          </cell>
          <cell r="F8097" t="str">
            <v>14 Aug 2024</v>
          </cell>
        </row>
        <row r="8098">
          <cell r="A8098" t="str">
            <v>NPL</v>
          </cell>
          <cell r="B8098">
            <v>2017</v>
          </cell>
          <cell r="C8098" t="str">
            <v>mapanusatls</v>
          </cell>
          <cell r="D8098">
            <v>106.21250152587891</v>
          </cell>
          <cell r="F8098" t="str">
            <v>14 Aug 2024</v>
          </cell>
        </row>
        <row r="8099">
          <cell r="A8099" t="str">
            <v>NPL</v>
          </cell>
          <cell r="B8099">
            <v>2010</v>
          </cell>
          <cell r="C8099" t="str">
            <v>maimpz</v>
          </cell>
          <cell r="D8099">
            <v>28.257671356201172</v>
          </cell>
          <cell r="F8099" t="str">
            <v>14 Aug 2024</v>
          </cell>
        </row>
        <row r="8100">
          <cell r="A8100" t="str">
            <v>NPL</v>
          </cell>
          <cell r="B8100">
            <v>2021</v>
          </cell>
          <cell r="C8100" t="str">
            <v>maexpz</v>
          </cell>
          <cell r="D8100">
            <v>-21.319478988647461</v>
          </cell>
          <cell r="F8100" t="str">
            <v>14 Aug 2024</v>
          </cell>
        </row>
        <row r="8101">
          <cell r="A8101" t="str">
            <v>NPL</v>
          </cell>
          <cell r="B8101">
            <v>2015</v>
          </cell>
          <cell r="C8101" t="str">
            <v>mar_srvfc</v>
          </cell>
          <cell r="D8101">
            <v>53.491714477539063</v>
          </cell>
          <cell r="F8101" t="str">
            <v>14 Aug 2024</v>
          </cell>
        </row>
        <row r="8102">
          <cell r="A8102" t="str">
            <v>NPL</v>
          </cell>
          <cell r="B8102">
            <v>2009</v>
          </cell>
          <cell r="C8102" t="str">
            <v>madebt_</v>
          </cell>
          <cell r="D8102">
            <v>35.620288848876953</v>
          </cell>
          <cell r="F8102" t="str">
            <v>14 Aug 2024</v>
          </cell>
        </row>
        <row r="8103">
          <cell r="A8103" t="str">
            <v>NPL</v>
          </cell>
          <cell r="B8103">
            <v>2011</v>
          </cell>
          <cell r="C8103" t="str">
            <v>madebt_</v>
          </cell>
          <cell r="D8103">
            <v>28.451934814453125</v>
          </cell>
          <cell r="F8103" t="str">
            <v>14 Aug 2024</v>
          </cell>
        </row>
        <row r="8104">
          <cell r="A8104" t="str">
            <v>NPL</v>
          </cell>
          <cell r="B8104">
            <v>2019</v>
          </cell>
          <cell r="C8104" t="str">
            <v>mapanusatls</v>
          </cell>
          <cell r="D8104">
            <v>112.87983703613281</v>
          </cell>
          <cell r="F8104" t="str">
            <v>14 Aug 2024</v>
          </cell>
        </row>
        <row r="8105">
          <cell r="A8105" t="str">
            <v>NPL</v>
          </cell>
          <cell r="B8105">
            <v>2018</v>
          </cell>
          <cell r="C8105" t="str">
            <v>madeficit_</v>
          </cell>
          <cell r="D8105">
            <v>-5.8333320617675781</v>
          </cell>
          <cell r="F8105" t="str">
            <v>14 Aug 2024</v>
          </cell>
        </row>
        <row r="8106">
          <cell r="A8106" t="str">
            <v>NPL</v>
          </cell>
          <cell r="B8106">
            <v>2005</v>
          </cell>
          <cell r="C8106" t="str">
            <v>maexpz</v>
          </cell>
          <cell r="D8106">
            <v>-3.0344557762145996</v>
          </cell>
          <cell r="F8106" t="str">
            <v>14 Aug 2024</v>
          </cell>
        </row>
        <row r="8107">
          <cell r="A8107" t="str">
            <v>NPL</v>
          </cell>
          <cell r="B8107">
            <v>2024</v>
          </cell>
          <cell r="C8107" t="str">
            <v>magdpz</v>
          </cell>
          <cell r="D8107">
            <v>3.2999999523162842</v>
          </cell>
          <cell r="F8107" t="str">
            <v>14 Aug 2024</v>
          </cell>
        </row>
        <row r="8108">
          <cell r="A8108" t="str">
            <v>NPL</v>
          </cell>
          <cell r="B8108">
            <v>2024</v>
          </cell>
          <cell r="C8108" t="str">
            <v>maconz</v>
          </cell>
          <cell r="D8108">
            <v>3.5</v>
          </cell>
          <cell r="F8108" t="str">
            <v>14 Aug 2024</v>
          </cell>
        </row>
        <row r="8109">
          <cell r="A8109" t="str">
            <v>NPL</v>
          </cell>
          <cell r="B8109">
            <v>2016</v>
          </cell>
          <cell r="C8109" t="str">
            <v>madeficit_</v>
          </cell>
          <cell r="D8109">
            <v>1.2056564092636108</v>
          </cell>
          <cell r="F8109" t="str">
            <v>14 Aug 2024</v>
          </cell>
        </row>
        <row r="8110">
          <cell r="A8110" t="str">
            <v>NPL</v>
          </cell>
          <cell r="B8110">
            <v>2024</v>
          </cell>
          <cell r="C8110" t="str">
            <v>magovz</v>
          </cell>
          <cell r="D8110">
            <v>-16.533502578735352</v>
          </cell>
          <cell r="F8110" t="str">
            <v>14 Aug 2024</v>
          </cell>
        </row>
        <row r="8111">
          <cell r="A8111" t="str">
            <v>NPL</v>
          </cell>
          <cell r="B8111">
            <v>2026</v>
          </cell>
          <cell r="C8111" t="str">
            <v>mainvz</v>
          </cell>
          <cell r="D8111">
            <v>12.134384155273438</v>
          </cell>
          <cell r="F8111" t="str">
            <v>14 Aug 2024</v>
          </cell>
        </row>
        <row r="8112">
          <cell r="A8112" t="str">
            <v>NPL</v>
          </cell>
          <cell r="B8112">
            <v>2017</v>
          </cell>
          <cell r="C8112" t="str">
            <v>mainvz</v>
          </cell>
          <cell r="D8112">
            <v>23.082668304443359</v>
          </cell>
          <cell r="F8112" t="str">
            <v>14 Aug 2024</v>
          </cell>
        </row>
        <row r="8113">
          <cell r="A8113" t="str">
            <v>NPL</v>
          </cell>
          <cell r="B8113">
            <v>2025</v>
          </cell>
          <cell r="C8113" t="str">
            <v>mar_agrfc</v>
          </cell>
          <cell r="D8113">
            <v>28.469663619995117</v>
          </cell>
          <cell r="F8113" t="str">
            <v>14 Aug 2024</v>
          </cell>
        </row>
        <row r="8114">
          <cell r="A8114" t="str">
            <v>NPL</v>
          </cell>
          <cell r="B8114">
            <v>2018</v>
          </cell>
          <cell r="C8114" t="str">
            <v>maindfc</v>
          </cell>
          <cell r="D8114">
            <v>10.364486694335938</v>
          </cell>
          <cell r="F8114" t="str">
            <v>14 Aug 2024</v>
          </cell>
        </row>
        <row r="8115">
          <cell r="A8115" t="str">
            <v>NPL</v>
          </cell>
          <cell r="B8115">
            <v>2015</v>
          </cell>
          <cell r="C8115" t="str">
            <v>mainvz</v>
          </cell>
          <cell r="D8115">
            <v>14.994149208068848</v>
          </cell>
          <cell r="F8115" t="str">
            <v>14 Aug 2024</v>
          </cell>
        </row>
        <row r="8116">
          <cell r="A8116" t="str">
            <v>NPL</v>
          </cell>
          <cell r="B8116">
            <v>2009</v>
          </cell>
          <cell r="C8116" t="str">
            <v>mar_agrfc</v>
          </cell>
          <cell r="D8116">
            <v>35.570598602294922</v>
          </cell>
          <cell r="F8116" t="str">
            <v>14 Aug 2024</v>
          </cell>
        </row>
        <row r="8117">
          <cell r="A8117" t="str">
            <v>NPL</v>
          </cell>
          <cell r="B8117">
            <v>2005</v>
          </cell>
          <cell r="C8117" t="str">
            <v>maimpz</v>
          </cell>
          <cell r="D8117">
            <v>6.8903312683105469</v>
          </cell>
          <cell r="F8117" t="str">
            <v>14 Aug 2024</v>
          </cell>
        </row>
        <row r="8118">
          <cell r="A8118" t="str">
            <v>NPL</v>
          </cell>
          <cell r="B8118">
            <v>2015</v>
          </cell>
          <cell r="C8118" t="str">
            <v>mac_labz</v>
          </cell>
          <cell r="D8118">
            <v>0.99092334508895874</v>
          </cell>
          <cell r="F8118" t="str">
            <v>14 Aug 2024</v>
          </cell>
        </row>
        <row r="8119">
          <cell r="A8119" t="str">
            <v>NPL</v>
          </cell>
          <cell r="B8119">
            <v>2011</v>
          </cell>
          <cell r="C8119" t="str">
            <v>mareer</v>
          </cell>
          <cell r="D8119">
            <v>93.098098754882813</v>
          </cell>
          <cell r="F8119" t="str">
            <v>14 Aug 2024</v>
          </cell>
        </row>
        <row r="8120">
          <cell r="A8120" t="str">
            <v>NPL</v>
          </cell>
          <cell r="B8120">
            <v>2016</v>
          </cell>
          <cell r="C8120" t="str">
            <v>mar_con</v>
          </cell>
          <cell r="D8120">
            <v>82.195831298828125</v>
          </cell>
          <cell r="F8120" t="str">
            <v>14 Aug 2024</v>
          </cell>
        </row>
        <row r="8121">
          <cell r="A8121" t="str">
            <v>NPL</v>
          </cell>
          <cell r="B8121">
            <v>2009</v>
          </cell>
          <cell r="C8121" t="str">
            <v>malabz</v>
          </cell>
          <cell r="D8121">
            <v>1.5463286638259888</v>
          </cell>
          <cell r="F8121" t="str">
            <v>14 Aug 2024</v>
          </cell>
        </row>
        <row r="8122">
          <cell r="A8122" t="str">
            <v>NPL</v>
          </cell>
          <cell r="B8122">
            <v>2009</v>
          </cell>
          <cell r="C8122" t="str">
            <v>madeficit_</v>
          </cell>
          <cell r="D8122">
            <v>-2.0540754795074463</v>
          </cell>
          <cell r="F8122" t="str">
            <v>14 Aug 2024</v>
          </cell>
        </row>
        <row r="8123">
          <cell r="A8123" t="str">
            <v>NPL</v>
          </cell>
          <cell r="B8123">
            <v>2025</v>
          </cell>
          <cell r="C8123" t="str">
            <v>matfpz</v>
          </cell>
          <cell r="D8123">
            <v>1.0372954607009888</v>
          </cell>
          <cell r="F8123" t="str">
            <v>14 Aug 2024</v>
          </cell>
        </row>
        <row r="8124">
          <cell r="A8124" t="str">
            <v>NPL</v>
          </cell>
          <cell r="B8124">
            <v>2013</v>
          </cell>
          <cell r="C8124" t="str">
            <v>maimpz</v>
          </cell>
          <cell r="D8124">
            <v>14.134912490844727</v>
          </cell>
          <cell r="F8124" t="str">
            <v>14 Aug 2024</v>
          </cell>
        </row>
        <row r="8125">
          <cell r="A8125" t="str">
            <v>NPL</v>
          </cell>
          <cell r="B8125">
            <v>2019</v>
          </cell>
          <cell r="C8125" t="str">
            <v>mar_impz</v>
          </cell>
          <cell r="D8125">
            <v>49.338668823242188</v>
          </cell>
          <cell r="F8125" t="str">
            <v>14 Aug 2024</v>
          </cell>
        </row>
        <row r="8126">
          <cell r="A8126" t="str">
            <v>NPL</v>
          </cell>
          <cell r="B8126">
            <v>2014</v>
          </cell>
          <cell r="C8126" t="str">
            <v>madeficit_</v>
          </cell>
          <cell r="D8126">
            <v>1.8202325105667114</v>
          </cell>
          <cell r="F8126" t="str">
            <v>14 Aug 2024</v>
          </cell>
        </row>
        <row r="8127">
          <cell r="A8127" t="str">
            <v>NPL</v>
          </cell>
          <cell r="B8127">
            <v>2015</v>
          </cell>
          <cell r="C8127" t="str">
            <v>maimpz</v>
          </cell>
          <cell r="D8127">
            <v>9.5833826065063477</v>
          </cell>
          <cell r="F8127" t="str">
            <v>14 Aug 2024</v>
          </cell>
        </row>
        <row r="8128">
          <cell r="A8128" t="str">
            <v>NPL</v>
          </cell>
          <cell r="B8128">
            <v>2022</v>
          </cell>
          <cell r="C8128" t="str">
            <v>mar_con</v>
          </cell>
          <cell r="D8128">
            <v>84.047080993652344</v>
          </cell>
          <cell r="F8128" t="str">
            <v>14 Aug 2024</v>
          </cell>
        </row>
        <row r="8129">
          <cell r="A8129" t="str">
            <v>NPL</v>
          </cell>
          <cell r="B8129">
            <v>2007</v>
          </cell>
          <cell r="C8129" t="str">
            <v>macab_</v>
          </cell>
          <cell r="D8129">
            <v>-0.10843192785978317</v>
          </cell>
          <cell r="F8129" t="str">
            <v>14 Aug 2024</v>
          </cell>
        </row>
        <row r="8130">
          <cell r="A8130" t="str">
            <v>NPL</v>
          </cell>
          <cell r="B8130">
            <v>2017</v>
          </cell>
          <cell r="C8130" t="str">
            <v>mareer</v>
          </cell>
          <cell r="D8130">
            <v>99.948532104492188</v>
          </cell>
          <cell r="F8130" t="str">
            <v>14 Aug 2024</v>
          </cell>
        </row>
        <row r="8131">
          <cell r="A8131" t="str">
            <v>NPL</v>
          </cell>
          <cell r="B8131">
            <v>2021</v>
          </cell>
          <cell r="C8131" t="str">
            <v>madebt_</v>
          </cell>
          <cell r="D8131">
            <v>39.922267913818359</v>
          </cell>
          <cell r="F8131" t="str">
            <v>14 Aug 2024</v>
          </cell>
        </row>
        <row r="8132">
          <cell r="A8132" t="str">
            <v>NPL</v>
          </cell>
          <cell r="B8132">
            <v>2014</v>
          </cell>
          <cell r="C8132" t="str">
            <v>maimpz</v>
          </cell>
          <cell r="D8132">
            <v>21.008852005004883</v>
          </cell>
          <cell r="F8132" t="str">
            <v>14 Aug 2024</v>
          </cell>
        </row>
        <row r="8133">
          <cell r="A8133" t="str">
            <v>NPL</v>
          </cell>
          <cell r="B8133">
            <v>2008</v>
          </cell>
          <cell r="C8133" t="str">
            <v>mar_srvfc</v>
          </cell>
          <cell r="D8133">
            <v>47.943744659423828</v>
          </cell>
          <cell r="F8133" t="str">
            <v>14 Aug 2024</v>
          </cell>
        </row>
        <row r="8134">
          <cell r="A8134" t="str">
            <v>NPL</v>
          </cell>
          <cell r="B8134">
            <v>2014</v>
          </cell>
          <cell r="C8134" t="str">
            <v>mataxfc</v>
          </cell>
          <cell r="D8134">
            <v>9.0834980010986328</v>
          </cell>
          <cell r="F8134" t="str">
            <v>14 Aug 2024</v>
          </cell>
        </row>
        <row r="8135">
          <cell r="A8135" t="str">
            <v>NPL</v>
          </cell>
          <cell r="B8135">
            <v>2009</v>
          </cell>
          <cell r="C8135" t="str">
            <v>mar_taxfc</v>
          </cell>
          <cell r="D8135">
            <v>8.4461088180541992</v>
          </cell>
          <cell r="F8135" t="str">
            <v>14 Aug 2024</v>
          </cell>
        </row>
        <row r="8136">
          <cell r="A8136" t="str">
            <v>NPL</v>
          </cell>
          <cell r="B8136">
            <v>2005</v>
          </cell>
          <cell r="C8136" t="str">
            <v>maindfc</v>
          </cell>
          <cell r="D8136">
            <v>3.0120618343353271</v>
          </cell>
          <cell r="F8136" t="str">
            <v>14 Aug 2024</v>
          </cell>
        </row>
        <row r="8137">
          <cell r="A8137" t="str">
            <v>NPL</v>
          </cell>
          <cell r="B8137">
            <v>2021</v>
          </cell>
          <cell r="C8137" t="str">
            <v>madeficit_</v>
          </cell>
          <cell r="D8137">
            <v>-3.9966030120849609</v>
          </cell>
          <cell r="F8137" t="str">
            <v>14 Aug 2024</v>
          </cell>
        </row>
        <row r="8138">
          <cell r="A8138" t="str">
            <v>NPL</v>
          </cell>
          <cell r="B8138">
            <v>2015</v>
          </cell>
          <cell r="C8138" t="str">
            <v>mar_impz</v>
          </cell>
          <cell r="D8138">
            <v>37.199886322021484</v>
          </cell>
          <cell r="F8138" t="str">
            <v>14 Aug 2024</v>
          </cell>
        </row>
        <row r="8139">
          <cell r="A8139" t="str">
            <v>NPL</v>
          </cell>
          <cell r="B8139">
            <v>2005</v>
          </cell>
          <cell r="C8139" t="str">
            <v>mafdi_</v>
          </cell>
          <cell r="D8139">
            <v>-2.0183777436614037E-2</v>
          </cell>
          <cell r="F8139" t="str">
            <v>14 Aug 2024</v>
          </cell>
        </row>
        <row r="8140">
          <cell r="A8140" t="str">
            <v>NPL</v>
          </cell>
          <cell r="B8140">
            <v>2017</v>
          </cell>
          <cell r="C8140" t="str">
            <v>maagrfc</v>
          </cell>
          <cell r="D8140">
            <v>5.1747283935546875</v>
          </cell>
          <cell r="F8140" t="str">
            <v>14 Aug 2024</v>
          </cell>
        </row>
        <row r="8141">
          <cell r="A8141" t="str">
            <v>NPL</v>
          </cell>
          <cell r="B8141">
            <v>2023</v>
          </cell>
          <cell r="C8141" t="str">
            <v>matfpz</v>
          </cell>
          <cell r="D8141">
            <v>-0.60810589790344238</v>
          </cell>
          <cell r="F8141" t="str">
            <v>14 Aug 2024</v>
          </cell>
        </row>
        <row r="8142">
          <cell r="A8142" t="str">
            <v>NPL</v>
          </cell>
          <cell r="B8142">
            <v>2009</v>
          </cell>
          <cell r="C8142" t="str">
            <v>maexpz</v>
          </cell>
          <cell r="D8142">
            <v>3.8723282814025879</v>
          </cell>
          <cell r="F8142" t="str">
            <v>14 Aug 2024</v>
          </cell>
        </row>
        <row r="8143">
          <cell r="A8143" t="str">
            <v>NPL</v>
          </cell>
          <cell r="B8143">
            <v>2026</v>
          </cell>
          <cell r="C8143" t="str">
            <v>mac_labz</v>
          </cell>
          <cell r="D8143">
            <v>1.0030738115310669</v>
          </cell>
          <cell r="F8143" t="str">
            <v>14 Aug 2024</v>
          </cell>
        </row>
        <row r="8144">
          <cell r="A8144" t="str">
            <v>NPL</v>
          </cell>
          <cell r="B8144">
            <v>2014</v>
          </cell>
          <cell r="C8144" t="str">
            <v>mar_indfc</v>
          </cell>
          <cell r="D8144">
            <v>14.864632606506348</v>
          </cell>
          <cell r="F8144" t="str">
            <v>14 Aug 2024</v>
          </cell>
        </row>
        <row r="8145">
          <cell r="A8145" t="str">
            <v>NPL</v>
          </cell>
          <cell r="B8145">
            <v>2011</v>
          </cell>
          <cell r="C8145" t="str">
            <v>masrvfc</v>
          </cell>
          <cell r="D8145">
            <v>8.5140819549560547</v>
          </cell>
          <cell r="F8145" t="str">
            <v>14 Aug 2024</v>
          </cell>
        </row>
        <row r="8146">
          <cell r="A8146" t="str">
            <v>NPL</v>
          </cell>
          <cell r="B8146">
            <v>2022</v>
          </cell>
          <cell r="C8146" t="str">
            <v>maconz</v>
          </cell>
          <cell r="D8146">
            <v>6.8311347961425781</v>
          </cell>
          <cell r="F8146" t="str">
            <v>14 Aug 2024</v>
          </cell>
        </row>
        <row r="8147">
          <cell r="A8147" t="str">
            <v>NPL</v>
          </cell>
          <cell r="B8147">
            <v>2023</v>
          </cell>
          <cell r="C8147" t="str">
            <v>mac_tfpz</v>
          </cell>
          <cell r="D8147">
            <v>-0.60810589790344238</v>
          </cell>
          <cell r="F8147" t="str">
            <v>14 Aug 2024</v>
          </cell>
        </row>
        <row r="8148">
          <cell r="A8148" t="str">
            <v>NPL</v>
          </cell>
          <cell r="B8148">
            <v>2008</v>
          </cell>
          <cell r="C8148" t="str">
            <v>madebt_</v>
          </cell>
          <cell r="D8148">
            <v>39.214164733886719</v>
          </cell>
          <cell r="F8148" t="str">
            <v>14 Aug 2024</v>
          </cell>
        </row>
        <row r="8149">
          <cell r="A8149" t="str">
            <v>NPL</v>
          </cell>
          <cell r="B8149">
            <v>2009</v>
          </cell>
          <cell r="C8149" t="str">
            <v>maconz</v>
          </cell>
          <cell r="D8149">
            <v>5.6705431938171387</v>
          </cell>
          <cell r="F8149" t="str">
            <v>14 Aug 2024</v>
          </cell>
        </row>
        <row r="8150">
          <cell r="A8150" t="str">
            <v>NPL</v>
          </cell>
          <cell r="B8150">
            <v>2018</v>
          </cell>
          <cell r="C8150" t="str">
            <v>mapanusatls</v>
          </cell>
          <cell r="D8150">
            <v>104.37300109863281</v>
          </cell>
          <cell r="F8150" t="str">
            <v>14 Aug 2024</v>
          </cell>
        </row>
        <row r="8151">
          <cell r="A8151" t="str">
            <v>NPL</v>
          </cell>
          <cell r="B8151">
            <v>2023</v>
          </cell>
          <cell r="C8151" t="str">
            <v>macab_</v>
          </cell>
          <cell r="D8151">
            <v>-1.3409020900726318</v>
          </cell>
          <cell r="F8151" t="str">
            <v>14 Aug 2024</v>
          </cell>
        </row>
        <row r="8152">
          <cell r="A8152" t="str">
            <v>NPL</v>
          </cell>
          <cell r="B8152">
            <v>2010</v>
          </cell>
          <cell r="C8152" t="str">
            <v>maindfc</v>
          </cell>
          <cell r="D8152">
            <v>3.9995899200439453</v>
          </cell>
          <cell r="F8152" t="str">
            <v>14 Aug 2024</v>
          </cell>
        </row>
        <row r="8153">
          <cell r="A8153" t="str">
            <v>NPL</v>
          </cell>
          <cell r="B8153">
            <v>2006</v>
          </cell>
          <cell r="C8153" t="str">
            <v>mafdi_</v>
          </cell>
          <cell r="D8153">
            <v>6.2815889716148376E-2</v>
          </cell>
          <cell r="F8153" t="str">
            <v>14 Aug 2024</v>
          </cell>
        </row>
        <row r="8154">
          <cell r="A8154" t="str">
            <v>NPL</v>
          </cell>
          <cell r="B8154">
            <v>2014</v>
          </cell>
          <cell r="C8154" t="str">
            <v>mainvz</v>
          </cell>
          <cell r="D8154">
            <v>12.523296356201172</v>
          </cell>
          <cell r="F8154" t="str">
            <v>14 Aug 2024</v>
          </cell>
        </row>
        <row r="8155">
          <cell r="A8155" t="str">
            <v>NPL</v>
          </cell>
          <cell r="B8155">
            <v>2015</v>
          </cell>
          <cell r="C8155" t="str">
            <v>mar_con</v>
          </cell>
          <cell r="D8155">
            <v>79.257980346679688</v>
          </cell>
          <cell r="F8155" t="str">
            <v>14 Aug 2024</v>
          </cell>
        </row>
        <row r="8156">
          <cell r="A8156" t="str">
            <v>NPL</v>
          </cell>
          <cell r="B8156">
            <v>2016</v>
          </cell>
          <cell r="C8156" t="str">
            <v>maconz</v>
          </cell>
          <cell r="D8156">
            <v>4.1558551788330078</v>
          </cell>
          <cell r="F8156" t="str">
            <v>14 Aug 2024</v>
          </cell>
        </row>
        <row r="8157">
          <cell r="A8157" t="str">
            <v>NPL</v>
          </cell>
          <cell r="B8157">
            <v>2019</v>
          </cell>
          <cell r="C8157" t="str">
            <v>masrvfc</v>
          </cell>
          <cell r="D8157">
            <v>6.7632627487182617</v>
          </cell>
          <cell r="F8157" t="str">
            <v>14 Aug 2024</v>
          </cell>
        </row>
        <row r="8158">
          <cell r="A8158" t="str">
            <v>NPL</v>
          </cell>
          <cell r="B8158">
            <v>2024</v>
          </cell>
          <cell r="C8158" t="str">
            <v>mar_taxfc</v>
          </cell>
          <cell r="D8158">
            <v>11.411042213439941</v>
          </cell>
          <cell r="F8158" t="str">
            <v>14 Aug 2024</v>
          </cell>
        </row>
        <row r="8159">
          <cell r="A8159" t="str">
            <v>NPL</v>
          </cell>
          <cell r="B8159">
            <v>2011</v>
          </cell>
          <cell r="C8159" t="str">
            <v>mar_agrfc</v>
          </cell>
          <cell r="D8159">
            <v>33.447193145751953</v>
          </cell>
          <cell r="F8159" t="str">
            <v>14 Aug 2024</v>
          </cell>
        </row>
        <row r="8160">
          <cell r="A8160" t="str">
            <v>NPL</v>
          </cell>
          <cell r="B8160">
            <v>2012</v>
          </cell>
          <cell r="C8160" t="str">
            <v>madeficit_</v>
          </cell>
          <cell r="D8160">
            <v>-0.54973036050796509</v>
          </cell>
          <cell r="F8160" t="str">
            <v>14 Aug 2024</v>
          </cell>
        </row>
        <row r="8161">
          <cell r="A8161" t="str">
            <v>NPL</v>
          </cell>
          <cell r="B8161">
            <v>2012</v>
          </cell>
          <cell r="C8161" t="str">
            <v>mac_tfpz</v>
          </cell>
          <cell r="D8161">
            <v>0.55728238821029663</v>
          </cell>
          <cell r="F8161" t="str">
            <v>14 Aug 2024</v>
          </cell>
        </row>
        <row r="8162">
          <cell r="A8162" t="str">
            <v>NPL</v>
          </cell>
          <cell r="B8162">
            <v>2025</v>
          </cell>
          <cell r="C8162" t="str">
            <v>mapanusatls</v>
          </cell>
          <cell r="D8162">
            <v>132.86567687988281</v>
          </cell>
          <cell r="F8162" t="str">
            <v>14 Aug 2024</v>
          </cell>
        </row>
        <row r="8163">
          <cell r="A8163" t="str">
            <v>NPL</v>
          </cell>
          <cell r="B8163">
            <v>2012</v>
          </cell>
          <cell r="C8163" t="str">
            <v>macab_</v>
          </cell>
          <cell r="D8163">
            <v>4.320979118347168</v>
          </cell>
          <cell r="F8163" t="str">
            <v>14 Aug 2024</v>
          </cell>
        </row>
        <row r="8164">
          <cell r="A8164" t="str">
            <v>NPL</v>
          </cell>
          <cell r="B8164">
            <v>2009</v>
          </cell>
          <cell r="C8164" t="str">
            <v>mapanusatls</v>
          </cell>
          <cell r="D8164">
            <v>76.878509521484375</v>
          </cell>
          <cell r="F8164" t="str">
            <v>14 Aug 2024</v>
          </cell>
        </row>
        <row r="8165">
          <cell r="A8165" t="str">
            <v>NPL</v>
          </cell>
          <cell r="B8165">
            <v>2018</v>
          </cell>
          <cell r="C8165" t="str">
            <v>mar_expz</v>
          </cell>
          <cell r="D8165">
            <v>8.8035802841186523</v>
          </cell>
          <cell r="F8165" t="str">
            <v>14 Aug 2024</v>
          </cell>
        </row>
        <row r="8166">
          <cell r="A8166" t="str">
            <v>NPL</v>
          </cell>
          <cell r="B8166">
            <v>2025</v>
          </cell>
          <cell r="C8166" t="str">
            <v>mainvz</v>
          </cell>
          <cell r="D8166">
            <v>15.402238845825195</v>
          </cell>
          <cell r="F8166" t="str">
            <v>14 Aug 2024</v>
          </cell>
        </row>
        <row r="8167">
          <cell r="A8167" t="str">
            <v>NPL</v>
          </cell>
          <cell r="B8167">
            <v>2005</v>
          </cell>
          <cell r="C8167" t="str">
            <v>malabz</v>
          </cell>
          <cell r="D8167">
            <v>0</v>
          </cell>
          <cell r="F8167" t="str">
            <v>14 Aug 2024</v>
          </cell>
        </row>
        <row r="8168">
          <cell r="A8168" t="str">
            <v>NPL</v>
          </cell>
          <cell r="B8168">
            <v>2020</v>
          </cell>
          <cell r="C8168" t="str">
            <v>matfpz</v>
          </cell>
          <cell r="D8168">
            <v>-9.4357414245605469</v>
          </cell>
          <cell r="F8168" t="str">
            <v>14 Aug 2024</v>
          </cell>
        </row>
        <row r="8169">
          <cell r="A8169" t="str">
            <v>NPL</v>
          </cell>
          <cell r="B8169">
            <v>2008</v>
          </cell>
          <cell r="C8169" t="str">
            <v>mac_labz</v>
          </cell>
          <cell r="D8169">
            <v>1.0871433019638062</v>
          </cell>
          <cell r="F8169" t="str">
            <v>14 Aug 2024</v>
          </cell>
        </row>
        <row r="8170">
          <cell r="A8170" t="str">
            <v>NPL</v>
          </cell>
          <cell r="B8170">
            <v>2020</v>
          </cell>
          <cell r="C8170" t="str">
            <v>malabz</v>
          </cell>
          <cell r="D8170">
            <v>2.8098323345184326</v>
          </cell>
          <cell r="F8170" t="str">
            <v>14 Aug 2024</v>
          </cell>
        </row>
        <row r="8171">
          <cell r="A8171" t="str">
            <v>NPL</v>
          </cell>
          <cell r="B8171">
            <v>2026</v>
          </cell>
          <cell r="C8171" t="str">
            <v>madebt_</v>
          </cell>
          <cell r="D8171">
            <v>46.551071166992188</v>
          </cell>
          <cell r="F8171" t="str">
            <v>14 Aug 2024</v>
          </cell>
        </row>
        <row r="8172">
          <cell r="A8172" t="str">
            <v>NPL</v>
          </cell>
          <cell r="B8172">
            <v>2010</v>
          </cell>
          <cell r="C8172" t="str">
            <v>maagrfc</v>
          </cell>
          <cell r="D8172">
            <v>2.0117738246917725</v>
          </cell>
          <cell r="F8172" t="str">
            <v>14 Aug 2024</v>
          </cell>
        </row>
        <row r="8173">
          <cell r="A8173" t="str">
            <v>NPL</v>
          </cell>
          <cell r="B8173">
            <v>2018</v>
          </cell>
          <cell r="C8173" t="str">
            <v>maexpz</v>
          </cell>
          <cell r="D8173">
            <v>7.694145679473877</v>
          </cell>
          <cell r="F8173" t="str">
            <v>14 Aug 2024</v>
          </cell>
        </row>
        <row r="8174">
          <cell r="A8174" t="str">
            <v>NPL</v>
          </cell>
          <cell r="B8174">
            <v>2013</v>
          </cell>
          <cell r="C8174" t="str">
            <v>maexpz</v>
          </cell>
          <cell r="D8174">
            <v>12.947782516479492</v>
          </cell>
          <cell r="F8174" t="str">
            <v>14 Aug 2024</v>
          </cell>
        </row>
        <row r="8175">
          <cell r="A8175" t="str">
            <v>NPL</v>
          </cell>
          <cell r="B8175">
            <v>2020</v>
          </cell>
          <cell r="C8175" t="str">
            <v>mar_con</v>
          </cell>
          <cell r="D8175">
            <v>80.681037902832031</v>
          </cell>
          <cell r="F8175" t="str">
            <v>14 Aug 2024</v>
          </cell>
        </row>
        <row r="8176">
          <cell r="A8176" t="str">
            <v>NPL</v>
          </cell>
          <cell r="B8176">
            <v>2017</v>
          </cell>
          <cell r="C8176" t="str">
            <v>mar_indfc</v>
          </cell>
          <cell r="D8176">
            <v>15.147366523742676</v>
          </cell>
          <cell r="F8176" t="str">
            <v>14 Aug 2024</v>
          </cell>
        </row>
        <row r="8177">
          <cell r="A8177" t="str">
            <v>NPL</v>
          </cell>
          <cell r="B8177">
            <v>2018</v>
          </cell>
          <cell r="C8177" t="str">
            <v>mac_labz</v>
          </cell>
          <cell r="D8177">
            <v>1.4721826314926147</v>
          </cell>
          <cell r="F8177" t="str">
            <v>14 Aug 2024</v>
          </cell>
        </row>
        <row r="8178">
          <cell r="A8178" t="str">
            <v>NPL</v>
          </cell>
          <cell r="B8178">
            <v>2021</v>
          </cell>
          <cell r="C8178" t="str">
            <v>mar_con</v>
          </cell>
          <cell r="D8178">
            <v>83.088897705078125</v>
          </cell>
          <cell r="F8178" t="str">
            <v>14 Aug 2024</v>
          </cell>
        </row>
        <row r="8179">
          <cell r="A8179" t="str">
            <v>NPL</v>
          </cell>
          <cell r="B8179">
            <v>2008</v>
          </cell>
          <cell r="C8179" t="str">
            <v>maconz</v>
          </cell>
          <cell r="D8179">
            <v>1.2720916271209717</v>
          </cell>
          <cell r="F8179" t="str">
            <v>14 Aug 2024</v>
          </cell>
        </row>
        <row r="8180">
          <cell r="A8180" t="str">
            <v>NPL</v>
          </cell>
          <cell r="B8180">
            <v>2011</v>
          </cell>
          <cell r="C8180" t="str">
            <v>madeficit_</v>
          </cell>
          <cell r="D8180">
            <v>-0.8463776707649231</v>
          </cell>
          <cell r="F8180" t="str">
            <v>14 Aug 2024</v>
          </cell>
        </row>
        <row r="8181">
          <cell r="A8181" t="str">
            <v>NPL</v>
          </cell>
          <cell r="B8181">
            <v>2010</v>
          </cell>
          <cell r="C8181" t="str">
            <v>maexpz</v>
          </cell>
          <cell r="D8181">
            <v>-10.438140869140625</v>
          </cell>
          <cell r="F8181" t="str">
            <v>14 Aug 2024</v>
          </cell>
        </row>
        <row r="8182">
          <cell r="A8182" t="str">
            <v>NPL</v>
          </cell>
          <cell r="B8182">
            <v>2008</v>
          </cell>
          <cell r="C8182" t="str">
            <v>mataxfc</v>
          </cell>
          <cell r="D8182">
            <v>8.2852420806884766</v>
          </cell>
          <cell r="F8182" t="str">
            <v>14 Aug 2024</v>
          </cell>
        </row>
        <row r="8183">
          <cell r="A8183" t="str">
            <v>NPL</v>
          </cell>
          <cell r="B8183">
            <v>2015</v>
          </cell>
          <cell r="C8183" t="str">
            <v>mac_tfpz</v>
          </cell>
          <cell r="D8183">
            <v>0.39904963970184326</v>
          </cell>
          <cell r="F8183" t="str">
            <v>14 Aug 2024</v>
          </cell>
        </row>
        <row r="8184">
          <cell r="A8184" t="str">
            <v>NPL</v>
          </cell>
          <cell r="B8184">
            <v>2024</v>
          </cell>
          <cell r="C8184" t="str">
            <v>magap_</v>
          </cell>
          <cell r="D8184">
            <v>-2.9929308891296387</v>
          </cell>
          <cell r="F8184" t="str">
            <v>14 Aug 2024</v>
          </cell>
        </row>
        <row r="8185">
          <cell r="A8185" t="str">
            <v>NPL</v>
          </cell>
          <cell r="B8185">
            <v>2014</v>
          </cell>
          <cell r="C8185" t="str">
            <v>magdpz</v>
          </cell>
          <cell r="D8185">
            <v>6.0114827156066895</v>
          </cell>
          <cell r="F8185" t="str">
            <v>14 Aug 2024</v>
          </cell>
        </row>
        <row r="8186">
          <cell r="A8186" t="str">
            <v>NPL</v>
          </cell>
          <cell r="B8186">
            <v>2014</v>
          </cell>
          <cell r="C8186" t="str">
            <v>mar_srvfc</v>
          </cell>
          <cell r="D8186">
            <v>52.547195434570313</v>
          </cell>
          <cell r="F8186" t="str">
            <v>14 Aug 2024</v>
          </cell>
        </row>
        <row r="8187">
          <cell r="A8187" t="str">
            <v>NPL</v>
          </cell>
          <cell r="B8187">
            <v>2013</v>
          </cell>
          <cell r="C8187" t="str">
            <v>mar_expz</v>
          </cell>
          <cell r="D8187">
            <v>9.7796688079833984</v>
          </cell>
          <cell r="F8187" t="str">
            <v>14 Aug 2024</v>
          </cell>
        </row>
        <row r="8188">
          <cell r="A8188" t="str">
            <v>NPL</v>
          </cell>
          <cell r="B8188">
            <v>2026</v>
          </cell>
          <cell r="C8188" t="str">
            <v>maagrfc</v>
          </cell>
          <cell r="D8188">
            <v>2.5</v>
          </cell>
          <cell r="F8188" t="str">
            <v>14 Aug 2024</v>
          </cell>
        </row>
        <row r="8189">
          <cell r="A8189" t="str">
            <v>NPL</v>
          </cell>
          <cell r="B8189">
            <v>2015</v>
          </cell>
          <cell r="C8189" t="str">
            <v>matfpz</v>
          </cell>
          <cell r="D8189">
            <v>0.39904963970184326</v>
          </cell>
          <cell r="F8189" t="str">
            <v>14 Aug 2024</v>
          </cell>
        </row>
        <row r="8190">
          <cell r="A8190" t="str">
            <v>NPL</v>
          </cell>
          <cell r="B8190">
            <v>2022</v>
          </cell>
          <cell r="C8190" t="str">
            <v>mar_srvfc</v>
          </cell>
          <cell r="D8190">
            <v>54.116096496582031</v>
          </cell>
          <cell r="F8190" t="str">
            <v>14 Aug 2024</v>
          </cell>
        </row>
        <row r="8191">
          <cell r="A8191" t="str">
            <v>NPL</v>
          </cell>
          <cell r="B8191">
            <v>2024</v>
          </cell>
          <cell r="C8191" t="str">
            <v>maimpz</v>
          </cell>
          <cell r="D8191">
            <v>-4.5</v>
          </cell>
          <cell r="F8191" t="str">
            <v>14 Aug 2024</v>
          </cell>
        </row>
        <row r="8192">
          <cell r="A8192" t="str">
            <v>NPL</v>
          </cell>
          <cell r="B8192">
            <v>2016</v>
          </cell>
          <cell r="C8192" t="str">
            <v>mareer</v>
          </cell>
          <cell r="D8192">
            <v>101.61934661865234</v>
          </cell>
          <cell r="F8192" t="str">
            <v>14 Aug 2024</v>
          </cell>
        </row>
        <row r="8193">
          <cell r="A8193" t="str">
            <v>NPL</v>
          </cell>
          <cell r="B8193">
            <v>2023</v>
          </cell>
          <cell r="C8193" t="str">
            <v>mar_expz</v>
          </cell>
          <cell r="D8193">
            <v>7.4093823432922363</v>
          </cell>
          <cell r="F8193" t="str">
            <v>14 Aug 2024</v>
          </cell>
        </row>
        <row r="8194">
          <cell r="A8194" t="str">
            <v>NPL</v>
          </cell>
          <cell r="B8194">
            <v>2012</v>
          </cell>
          <cell r="C8194" t="str">
            <v>mac_labz</v>
          </cell>
          <cell r="D8194">
            <v>0.7618025541305542</v>
          </cell>
          <cell r="F8194" t="str">
            <v>14 Aug 2024</v>
          </cell>
        </row>
        <row r="8195">
          <cell r="A8195" t="str">
            <v>NPL</v>
          </cell>
          <cell r="B8195">
            <v>2021</v>
          </cell>
          <cell r="C8195" t="str">
            <v>mac_labz</v>
          </cell>
          <cell r="D8195">
            <v>2.3792662620544434</v>
          </cell>
          <cell r="F8195" t="str">
            <v>14 Aug 2024</v>
          </cell>
        </row>
        <row r="8196">
          <cell r="A8196" t="str">
            <v>NPL</v>
          </cell>
          <cell r="B8196">
            <v>2011</v>
          </cell>
          <cell r="C8196" t="str">
            <v>macab_</v>
          </cell>
          <cell r="D8196">
            <v>-0.82966989278793335</v>
          </cell>
          <cell r="F8196" t="str">
            <v>14 Aug 2024</v>
          </cell>
        </row>
        <row r="8197">
          <cell r="A8197" t="str">
            <v>NPL</v>
          </cell>
          <cell r="B8197">
            <v>2011</v>
          </cell>
          <cell r="C8197" t="str">
            <v>mainvz</v>
          </cell>
          <cell r="D8197">
            <v>19.920230865478516</v>
          </cell>
          <cell r="F8197" t="str">
            <v>14 Aug 2024</v>
          </cell>
        </row>
        <row r="8198">
          <cell r="A8198" t="str">
            <v>NPL</v>
          </cell>
          <cell r="B8198">
            <v>2025</v>
          </cell>
          <cell r="C8198" t="str">
            <v>masrvfc</v>
          </cell>
          <cell r="D8198">
            <v>5.4429378509521484</v>
          </cell>
          <cell r="F8198" t="str">
            <v>14 Aug 2024</v>
          </cell>
        </row>
        <row r="8199">
          <cell r="A8199" t="str">
            <v>NPL</v>
          </cell>
          <cell r="B8199">
            <v>2013</v>
          </cell>
          <cell r="C8199" t="str">
            <v>magovz</v>
          </cell>
          <cell r="D8199">
            <v>-3.5737357139587402</v>
          </cell>
          <cell r="F8199" t="str">
            <v>14 Aug 2024</v>
          </cell>
        </row>
        <row r="8200">
          <cell r="A8200" t="str">
            <v>NPL</v>
          </cell>
          <cell r="B8200">
            <v>2019</v>
          </cell>
          <cell r="C8200" t="str">
            <v>mainvz</v>
          </cell>
          <cell r="D8200">
            <v>11.346110343933105</v>
          </cell>
          <cell r="F8200" t="str">
            <v>14 Aug 2024</v>
          </cell>
        </row>
        <row r="8201">
          <cell r="A8201" t="str">
            <v>NPL</v>
          </cell>
          <cell r="B8201">
            <v>2024</v>
          </cell>
          <cell r="C8201" t="str">
            <v>mareer</v>
          </cell>
          <cell r="D8201">
            <v>106.0843505859375</v>
          </cell>
          <cell r="F8201" t="str">
            <v>14 Aug 2024</v>
          </cell>
        </row>
        <row r="8202">
          <cell r="A8202" t="str">
            <v>NPL</v>
          </cell>
          <cell r="B8202">
            <v>2008</v>
          </cell>
          <cell r="C8202" t="str">
            <v>mafdi_</v>
          </cell>
          <cell r="D8202">
            <v>-3.1519114971160889E-2</v>
          </cell>
          <cell r="F8202" t="str">
            <v>14 Aug 2024</v>
          </cell>
        </row>
        <row r="8203">
          <cell r="A8203" t="str">
            <v>NPL</v>
          </cell>
          <cell r="B8203">
            <v>2017</v>
          </cell>
          <cell r="C8203" t="str">
            <v>matfpz</v>
          </cell>
          <cell r="D8203">
            <v>0.45333868265151978</v>
          </cell>
          <cell r="F8203" t="str">
            <v>14 Aug 2024</v>
          </cell>
        </row>
        <row r="8204">
          <cell r="A8204" t="str">
            <v>NPL</v>
          </cell>
          <cell r="B8204">
            <v>2006</v>
          </cell>
          <cell r="C8204" t="str">
            <v>mar_srvfc</v>
          </cell>
          <cell r="D8204">
            <v>46.576015472412109</v>
          </cell>
          <cell r="F8204" t="str">
            <v>14 Aug 2024</v>
          </cell>
        </row>
        <row r="8205">
          <cell r="A8205" t="str">
            <v>NPL</v>
          </cell>
          <cell r="B8205">
            <v>2022</v>
          </cell>
          <cell r="C8205" t="str">
            <v>madebt_</v>
          </cell>
          <cell r="D8205">
            <v>40.796104431152344</v>
          </cell>
          <cell r="F8205" t="str">
            <v>14 Aug 2024</v>
          </cell>
        </row>
        <row r="8206">
          <cell r="A8206" t="str">
            <v>NPL</v>
          </cell>
          <cell r="B8206">
            <v>2018</v>
          </cell>
          <cell r="C8206" t="str">
            <v>maconz</v>
          </cell>
          <cell r="D8206">
            <v>6.169837474822998</v>
          </cell>
          <cell r="F8206" t="str">
            <v>14 Aug 2024</v>
          </cell>
        </row>
        <row r="8207">
          <cell r="A8207" t="str">
            <v>NPL</v>
          </cell>
          <cell r="B8207">
            <v>2008</v>
          </cell>
          <cell r="C8207" t="str">
            <v>maagrfc</v>
          </cell>
          <cell r="D8207">
            <v>5.8242597579956055</v>
          </cell>
          <cell r="F8207" t="str">
            <v>14 Aug 2024</v>
          </cell>
        </row>
        <row r="8208">
          <cell r="A8208" t="str">
            <v>NPL</v>
          </cell>
          <cell r="B8208">
            <v>2011</v>
          </cell>
          <cell r="C8208" t="str">
            <v>mapanusatls</v>
          </cell>
          <cell r="D8208">
            <v>72.273651123046875</v>
          </cell>
          <cell r="F8208" t="str">
            <v>14 Aug 2024</v>
          </cell>
        </row>
        <row r="8209">
          <cell r="A8209" t="str">
            <v>NPL</v>
          </cell>
          <cell r="B8209">
            <v>2012</v>
          </cell>
          <cell r="C8209" t="str">
            <v>maconz</v>
          </cell>
          <cell r="D8209">
            <v>3.035243034362793</v>
          </cell>
          <cell r="F8209" t="str">
            <v>14 Aug 2024</v>
          </cell>
        </row>
        <row r="8210">
          <cell r="A8210" t="str">
            <v>NPL</v>
          </cell>
          <cell r="B8210">
            <v>2018</v>
          </cell>
          <cell r="C8210" t="str">
            <v>mar_impz</v>
          </cell>
          <cell r="D8210">
            <v>49.731193542480469</v>
          </cell>
          <cell r="F8210" t="str">
            <v>14 Aug 2024</v>
          </cell>
        </row>
        <row r="8211">
          <cell r="A8211" t="str">
            <v>NPL</v>
          </cell>
          <cell r="B8211">
            <v>2008</v>
          </cell>
          <cell r="C8211" t="str">
            <v>mar_taxfc</v>
          </cell>
          <cell r="D8211">
            <v>7.752711296081543</v>
          </cell>
          <cell r="F8211" t="str">
            <v>14 Aug 2024</v>
          </cell>
        </row>
        <row r="8212">
          <cell r="A8212" t="str">
            <v>NPL</v>
          </cell>
          <cell r="B8212">
            <v>2010</v>
          </cell>
          <cell r="C8212" t="str">
            <v>mar_impz</v>
          </cell>
          <cell r="D8212">
            <v>40.056686401367188</v>
          </cell>
          <cell r="F8212" t="str">
            <v>14 Aug 2024</v>
          </cell>
        </row>
        <row r="8213">
          <cell r="A8213" t="str">
            <v>NPL</v>
          </cell>
          <cell r="B8213">
            <v>2019</v>
          </cell>
          <cell r="C8213" t="str">
            <v>madeficit_</v>
          </cell>
          <cell r="D8213">
            <v>-4.9869880676269531</v>
          </cell>
          <cell r="F8213" t="str">
            <v>14 Aug 2024</v>
          </cell>
        </row>
        <row r="8214">
          <cell r="A8214" t="str">
            <v>NPL</v>
          </cell>
          <cell r="B8214">
            <v>2018</v>
          </cell>
          <cell r="C8214" t="str">
            <v>madebt_</v>
          </cell>
          <cell r="D8214">
            <v>26.543088912963867</v>
          </cell>
          <cell r="F8214" t="str">
            <v>14 Aug 2024</v>
          </cell>
        </row>
        <row r="8215">
          <cell r="A8215" t="str">
            <v>NPL</v>
          </cell>
          <cell r="B8215">
            <v>2023</v>
          </cell>
          <cell r="C8215" t="str">
            <v>masrvfc</v>
          </cell>
          <cell r="D8215">
            <v>2.3303701877593994</v>
          </cell>
          <cell r="F8215" t="str">
            <v>14 Aug 2024</v>
          </cell>
        </row>
        <row r="8216">
          <cell r="A8216" t="str">
            <v>NPL</v>
          </cell>
          <cell r="B8216">
            <v>2019</v>
          </cell>
          <cell r="C8216" t="str">
            <v>mareer</v>
          </cell>
          <cell r="D8216">
            <v>100.77983856201172</v>
          </cell>
          <cell r="F8216" t="str">
            <v>14 Aug 2024</v>
          </cell>
        </row>
        <row r="8217">
          <cell r="A8217" t="str">
            <v>NPL</v>
          </cell>
          <cell r="B8217">
            <v>2016</v>
          </cell>
          <cell r="C8217" t="str">
            <v>mapanusatls</v>
          </cell>
          <cell r="D8217">
            <v>106.35185241699219</v>
          </cell>
          <cell r="F8217" t="str">
            <v>14 Aug 2024</v>
          </cell>
        </row>
        <row r="8218">
          <cell r="A8218" t="str">
            <v>NPL</v>
          </cell>
          <cell r="B8218">
            <v>2024</v>
          </cell>
          <cell r="C8218" t="str">
            <v>maindfc</v>
          </cell>
          <cell r="D8218">
            <v>2.9000000953674316</v>
          </cell>
          <cell r="F8218" t="str">
            <v>14 Aug 2024</v>
          </cell>
        </row>
        <row r="8219">
          <cell r="A8219" t="str">
            <v>NPL</v>
          </cell>
          <cell r="B8219">
            <v>2019</v>
          </cell>
          <cell r="C8219" t="str">
            <v>mar_srvfc</v>
          </cell>
          <cell r="D8219">
            <v>55.161735534667969</v>
          </cell>
          <cell r="F8219" t="str">
            <v>14 Aug 2024</v>
          </cell>
        </row>
        <row r="8220">
          <cell r="A8220" t="str">
            <v>NPL</v>
          </cell>
          <cell r="B8220">
            <v>2025</v>
          </cell>
          <cell r="C8220" t="str">
            <v>mac_tfpz</v>
          </cell>
          <cell r="D8220">
            <v>1.0372954607009888</v>
          </cell>
          <cell r="F8220" t="str">
            <v>14 Aug 2024</v>
          </cell>
        </row>
        <row r="8221">
          <cell r="A8221" t="str">
            <v>NPL</v>
          </cell>
          <cell r="B8221">
            <v>2009</v>
          </cell>
          <cell r="C8221" t="str">
            <v>macpiz</v>
          </cell>
          <cell r="D8221">
            <v>12.581871032714844</v>
          </cell>
          <cell r="F8221" t="str">
            <v>14 Aug 2024</v>
          </cell>
        </row>
        <row r="8222">
          <cell r="A8222" t="str">
            <v>NPL</v>
          </cell>
          <cell r="B8222">
            <v>2013</v>
          </cell>
          <cell r="C8222" t="str">
            <v>matfpz</v>
          </cell>
          <cell r="D8222">
            <v>0.48814341425895691</v>
          </cell>
          <cell r="F8222" t="str">
            <v>14 Aug 2024</v>
          </cell>
        </row>
        <row r="8223">
          <cell r="A8223" t="str">
            <v>NPL</v>
          </cell>
          <cell r="B8223">
            <v>2023</v>
          </cell>
          <cell r="C8223" t="str">
            <v>maindfc</v>
          </cell>
          <cell r="D8223">
            <v>0.58707523345947266</v>
          </cell>
          <cell r="F8223" t="str">
            <v>14 Aug 2024</v>
          </cell>
        </row>
        <row r="8224">
          <cell r="A8224" t="str">
            <v>NPL</v>
          </cell>
          <cell r="B8224">
            <v>2014</v>
          </cell>
          <cell r="C8224" t="str">
            <v>mareer</v>
          </cell>
          <cell r="D8224">
            <v>90.175407409667969</v>
          </cell>
          <cell r="F8224" t="str">
            <v>14 Aug 2024</v>
          </cell>
        </row>
        <row r="8225">
          <cell r="A8225" t="str">
            <v>NPL</v>
          </cell>
          <cell r="B8225">
            <v>2019</v>
          </cell>
          <cell r="C8225" t="str">
            <v>macab_</v>
          </cell>
          <cell r="D8225">
            <v>-6.9182486534118652</v>
          </cell>
          <cell r="F8225" t="str">
            <v>14 Aug 2024</v>
          </cell>
        </row>
        <row r="8226">
          <cell r="A8226" t="str">
            <v>NPL</v>
          </cell>
          <cell r="B8226">
            <v>2020</v>
          </cell>
          <cell r="C8226" t="str">
            <v>magap_</v>
          </cell>
          <cell r="D8226">
            <v>0.57851666212081909</v>
          </cell>
          <cell r="F8226" t="str">
            <v>14 Aug 2024</v>
          </cell>
        </row>
        <row r="8227">
          <cell r="A8227" t="str">
            <v>NPL</v>
          </cell>
          <cell r="B8227">
            <v>2025</v>
          </cell>
          <cell r="C8227" t="str">
            <v>madeficit_</v>
          </cell>
          <cell r="D8227">
            <v>-5.9718637466430664</v>
          </cell>
          <cell r="F8227" t="str">
            <v>14 Aug 2024</v>
          </cell>
        </row>
        <row r="8228">
          <cell r="A8228" t="str">
            <v>PAK</v>
          </cell>
          <cell r="B8228">
            <v>2017</v>
          </cell>
          <cell r="C8228" t="str">
            <v>mareer</v>
          </cell>
          <cell r="D8228">
            <v>99.5826416015625</v>
          </cell>
          <cell r="F8228" t="str">
            <v>14 Aug 2024</v>
          </cell>
        </row>
        <row r="8229">
          <cell r="A8229" t="str">
            <v>PAK</v>
          </cell>
          <cell r="B8229">
            <v>2022</v>
          </cell>
          <cell r="C8229" t="str">
            <v>magovz</v>
          </cell>
          <cell r="D8229">
            <v>-1.3299472332000732</v>
          </cell>
          <cell r="F8229" t="str">
            <v>14 Aug 2024</v>
          </cell>
        </row>
        <row r="8230">
          <cell r="A8230" t="str">
            <v>PAK</v>
          </cell>
          <cell r="B8230">
            <v>2007</v>
          </cell>
          <cell r="C8230" t="str">
            <v>mar_agrfc</v>
          </cell>
          <cell r="D8230">
            <v>26.726678848266602</v>
          </cell>
          <cell r="F8230" t="str">
            <v>14 Aug 2024</v>
          </cell>
        </row>
        <row r="8231">
          <cell r="A8231" t="str">
            <v>PAK</v>
          </cell>
          <cell r="B8231">
            <v>2017</v>
          </cell>
          <cell r="C8231" t="str">
            <v>magovz</v>
          </cell>
          <cell r="D8231">
            <v>4.4878396987915039</v>
          </cell>
          <cell r="F8231" t="str">
            <v>14 Aug 2024</v>
          </cell>
        </row>
        <row r="8232">
          <cell r="A8232" t="str">
            <v>PAK</v>
          </cell>
          <cell r="B8232">
            <v>2005</v>
          </cell>
          <cell r="C8232" t="str">
            <v>mataxfc</v>
          </cell>
          <cell r="D8232">
            <v>-5.5376071929931641</v>
          </cell>
          <cell r="F8232" t="str">
            <v>14 Aug 2024</v>
          </cell>
        </row>
        <row r="8233">
          <cell r="A8233" t="str">
            <v>PAK</v>
          </cell>
          <cell r="B8233">
            <v>2017</v>
          </cell>
          <cell r="C8233" t="str">
            <v>mapanusatls</v>
          </cell>
          <cell r="D8233">
            <v>104.80999755859375</v>
          </cell>
          <cell r="F8233" t="str">
            <v>14 Aug 2024</v>
          </cell>
        </row>
        <row r="8234">
          <cell r="A8234" t="str">
            <v>PAK</v>
          </cell>
          <cell r="B8234">
            <v>2013</v>
          </cell>
          <cell r="C8234" t="str">
            <v>masrvfc</v>
          </cell>
          <cell r="D8234">
            <v>5.1323370933532715</v>
          </cell>
          <cell r="F8234" t="str">
            <v>14 Aug 2024</v>
          </cell>
        </row>
        <row r="8235">
          <cell r="A8235" t="str">
            <v>PAK</v>
          </cell>
          <cell r="B8235">
            <v>2007</v>
          </cell>
          <cell r="C8235" t="str">
            <v>masrvfc</v>
          </cell>
          <cell r="D8235">
            <v>5.1866350173950195</v>
          </cell>
          <cell r="F8235" t="str">
            <v>14 Aug 2024</v>
          </cell>
        </row>
        <row r="8236">
          <cell r="A8236" t="str">
            <v>PAK</v>
          </cell>
          <cell r="B8236">
            <v>2018</v>
          </cell>
          <cell r="C8236" t="str">
            <v>maagrfc</v>
          </cell>
          <cell r="D8236">
            <v>3.8765013217926025</v>
          </cell>
          <cell r="F8236" t="str">
            <v>14 Aug 2024</v>
          </cell>
        </row>
        <row r="8237">
          <cell r="A8237" t="str">
            <v>PAK</v>
          </cell>
          <cell r="B8237">
            <v>2010</v>
          </cell>
          <cell r="C8237" t="str">
            <v>mafdi_</v>
          </cell>
          <cell r="D8237">
            <v>-1.0549066066741943</v>
          </cell>
          <cell r="F8237" t="str">
            <v>14 Aug 2024</v>
          </cell>
        </row>
        <row r="8238">
          <cell r="A8238" t="str">
            <v>PAK</v>
          </cell>
          <cell r="B8238">
            <v>2021</v>
          </cell>
          <cell r="C8238" t="str">
            <v>mareer</v>
          </cell>
          <cell r="D8238">
            <v>81.491386413574219</v>
          </cell>
          <cell r="F8238" t="str">
            <v>14 Aug 2024</v>
          </cell>
        </row>
        <row r="8239">
          <cell r="A8239" t="str">
            <v>PAK</v>
          </cell>
          <cell r="B8239">
            <v>2026</v>
          </cell>
          <cell r="C8239" t="str">
            <v>maconz</v>
          </cell>
          <cell r="D8239">
            <v>2.5155799388885498</v>
          </cell>
          <cell r="F8239" t="str">
            <v>14 Aug 2024</v>
          </cell>
        </row>
        <row r="8240">
          <cell r="A8240" t="str">
            <v>PAK</v>
          </cell>
          <cell r="B8240">
            <v>2012</v>
          </cell>
          <cell r="C8240" t="str">
            <v>mar_indfc</v>
          </cell>
          <cell r="D8240">
            <v>19.182773590087891</v>
          </cell>
          <cell r="F8240" t="str">
            <v>14 Aug 2024</v>
          </cell>
        </row>
        <row r="8241">
          <cell r="A8241" t="str">
            <v>PAK</v>
          </cell>
          <cell r="B8241">
            <v>2011</v>
          </cell>
          <cell r="C8241" t="str">
            <v>madebt_</v>
          </cell>
          <cell r="D8241">
            <v>57.381851196289063</v>
          </cell>
          <cell r="F8241" t="str">
            <v>14 Aug 2024</v>
          </cell>
        </row>
        <row r="8242">
          <cell r="A8242" t="str">
            <v>PAK</v>
          </cell>
          <cell r="B8242">
            <v>2011</v>
          </cell>
          <cell r="C8242" t="str">
            <v>maconz</v>
          </cell>
          <cell r="D8242">
            <v>4.0207157135009766</v>
          </cell>
          <cell r="F8242" t="str">
            <v>14 Aug 2024</v>
          </cell>
        </row>
        <row r="8243">
          <cell r="A8243" t="str">
            <v>PAK</v>
          </cell>
          <cell r="B8243">
            <v>2009</v>
          </cell>
          <cell r="C8243" t="str">
            <v>mac_labz</v>
          </cell>
          <cell r="D8243">
            <v>2.0030195713043213</v>
          </cell>
          <cell r="F8243" t="str">
            <v>14 Aug 2024</v>
          </cell>
        </row>
        <row r="8244">
          <cell r="A8244" t="str">
            <v>PAK</v>
          </cell>
          <cell r="B8244">
            <v>2010</v>
          </cell>
          <cell r="C8244" t="str">
            <v>madebt_</v>
          </cell>
          <cell r="D8244">
            <v>58.20819091796875</v>
          </cell>
          <cell r="F8244" t="str">
            <v>14 Aug 2024</v>
          </cell>
        </row>
        <row r="8245">
          <cell r="A8245" t="str">
            <v>PAK</v>
          </cell>
          <cell r="B8245">
            <v>2017</v>
          </cell>
          <cell r="C8245" t="str">
            <v>malabz</v>
          </cell>
          <cell r="D8245">
            <v>1.6483885049819946</v>
          </cell>
          <cell r="F8245" t="str">
            <v>14 Aug 2024</v>
          </cell>
        </row>
        <row r="8246">
          <cell r="A8246" t="str">
            <v>PAK</v>
          </cell>
          <cell r="B8246">
            <v>2016</v>
          </cell>
          <cell r="C8246" t="str">
            <v>mar_expz</v>
          </cell>
          <cell r="D8246">
            <v>8.7367162704467773</v>
          </cell>
          <cell r="F8246" t="str">
            <v>14 Aug 2024</v>
          </cell>
        </row>
        <row r="8247">
          <cell r="A8247" t="str">
            <v>PAK</v>
          </cell>
          <cell r="B8247">
            <v>2017</v>
          </cell>
          <cell r="C8247" t="str">
            <v>mar_indfc</v>
          </cell>
          <cell r="D8247">
            <v>19.468742370605469</v>
          </cell>
          <cell r="F8247" t="str">
            <v>14 Aug 2024</v>
          </cell>
        </row>
        <row r="8248">
          <cell r="A8248" t="str">
            <v>PAK</v>
          </cell>
          <cell r="B8248">
            <v>2020</v>
          </cell>
          <cell r="C8248" t="str">
            <v>mapanusatls</v>
          </cell>
          <cell r="D8248">
            <v>158.02999877929688</v>
          </cell>
          <cell r="F8248" t="str">
            <v>14 Aug 2024</v>
          </cell>
        </row>
        <row r="8249">
          <cell r="A8249" t="str">
            <v>PAK</v>
          </cell>
          <cell r="B8249">
            <v>2009</v>
          </cell>
          <cell r="C8249" t="str">
            <v>mac_tfpz</v>
          </cell>
          <cell r="D8249">
            <v>1.01658034324646</v>
          </cell>
          <cell r="F8249" t="str">
            <v>14 Aug 2024</v>
          </cell>
        </row>
        <row r="8250">
          <cell r="A8250" t="str">
            <v>PAK</v>
          </cell>
          <cell r="B8250">
            <v>2005</v>
          </cell>
          <cell r="C8250" t="str">
            <v>mar_agrfc</v>
          </cell>
          <cell r="D8250">
            <v>28.152961730957031</v>
          </cell>
          <cell r="F8250" t="str">
            <v>14 Aug 2024</v>
          </cell>
        </row>
        <row r="8251">
          <cell r="A8251" t="str">
            <v>PAK</v>
          </cell>
          <cell r="B8251">
            <v>2024</v>
          </cell>
          <cell r="C8251" t="str">
            <v>magovz</v>
          </cell>
          <cell r="D8251">
            <v>0.86963266134262085</v>
          </cell>
          <cell r="F8251" t="str">
            <v>14 Aug 2024</v>
          </cell>
        </row>
        <row r="8252">
          <cell r="A8252" t="str">
            <v>PAK</v>
          </cell>
          <cell r="B8252">
            <v>2014</v>
          </cell>
          <cell r="C8252" t="str">
            <v>malabz</v>
          </cell>
          <cell r="D8252">
            <v>1.6125394105911255</v>
          </cell>
          <cell r="F8252" t="str">
            <v>14 Aug 2024</v>
          </cell>
        </row>
        <row r="8253">
          <cell r="A8253" t="str">
            <v>PAK</v>
          </cell>
          <cell r="B8253">
            <v>2012</v>
          </cell>
          <cell r="C8253" t="str">
            <v>macpiz</v>
          </cell>
          <cell r="D8253">
            <v>11.00904655456543</v>
          </cell>
          <cell r="F8253" t="str">
            <v>14 Aug 2024</v>
          </cell>
        </row>
        <row r="8254">
          <cell r="A8254" t="str">
            <v>PAK</v>
          </cell>
          <cell r="B8254">
            <v>2009</v>
          </cell>
          <cell r="C8254" t="str">
            <v>maconz</v>
          </cell>
          <cell r="D8254">
            <v>0.62722253799438477</v>
          </cell>
          <cell r="F8254" t="str">
            <v>14 Aug 2024</v>
          </cell>
        </row>
        <row r="8255">
          <cell r="A8255" t="str">
            <v>PAK</v>
          </cell>
          <cell r="B8255">
            <v>2020</v>
          </cell>
          <cell r="C8255" t="str">
            <v>matfpz</v>
          </cell>
          <cell r="D8255">
            <v>1.5962436199188232</v>
          </cell>
          <cell r="F8255" t="str">
            <v>14 Aug 2024</v>
          </cell>
        </row>
        <row r="8256">
          <cell r="A8256" t="str">
            <v>PAK</v>
          </cell>
          <cell r="B8256">
            <v>2007</v>
          </cell>
          <cell r="C8256" t="str">
            <v>malabz</v>
          </cell>
          <cell r="D8256">
            <v>2.8427853584289551</v>
          </cell>
          <cell r="F8256" t="str">
            <v>14 Aug 2024</v>
          </cell>
        </row>
        <row r="8257">
          <cell r="A8257" t="str">
            <v>PAK</v>
          </cell>
          <cell r="B8257">
            <v>2005</v>
          </cell>
          <cell r="C8257" t="str">
            <v>maagrfc</v>
          </cell>
          <cell r="D8257">
            <v>6.7946505546569824</v>
          </cell>
          <cell r="F8257" t="str">
            <v>14 Aug 2024</v>
          </cell>
        </row>
        <row r="8258">
          <cell r="A8258" t="str">
            <v>PAK</v>
          </cell>
          <cell r="B8258">
            <v>2014</v>
          </cell>
          <cell r="C8258" t="str">
            <v>maimpz</v>
          </cell>
          <cell r="D8258">
            <v>4.4849653244018555</v>
          </cell>
          <cell r="F8258" t="str">
            <v>14 Aug 2024</v>
          </cell>
        </row>
        <row r="8259">
          <cell r="A8259" t="str">
            <v>PAK</v>
          </cell>
          <cell r="B8259">
            <v>2022</v>
          </cell>
          <cell r="C8259" t="str">
            <v>maagrfc</v>
          </cell>
          <cell r="D8259">
            <v>4.282956600189209</v>
          </cell>
          <cell r="F8259" t="str">
            <v>14 Aug 2024</v>
          </cell>
        </row>
        <row r="8260">
          <cell r="A8260" t="str">
            <v>PAK</v>
          </cell>
          <cell r="B8260">
            <v>2012</v>
          </cell>
          <cell r="C8260" t="str">
            <v>maexpz</v>
          </cell>
          <cell r="D8260">
            <v>-12.92573356628418</v>
          </cell>
          <cell r="F8260" t="str">
            <v>14 Aug 2024</v>
          </cell>
        </row>
        <row r="8261">
          <cell r="A8261" t="str">
            <v>PAK</v>
          </cell>
          <cell r="B8261">
            <v>2021</v>
          </cell>
          <cell r="C8261" t="str">
            <v>mar_impz</v>
          </cell>
          <cell r="D8261">
            <v>21.519990921020508</v>
          </cell>
          <cell r="F8261" t="str">
            <v>14 Aug 2024</v>
          </cell>
        </row>
        <row r="8262">
          <cell r="A8262" t="str">
            <v>PAK</v>
          </cell>
          <cell r="B8262">
            <v>2014</v>
          </cell>
          <cell r="C8262" t="str">
            <v>mar_con</v>
          </cell>
          <cell r="D8262">
            <v>80.667930603027344</v>
          </cell>
          <cell r="F8262" t="str">
            <v>14 Aug 2024</v>
          </cell>
        </row>
        <row r="8263">
          <cell r="A8263" t="str">
            <v>PAK</v>
          </cell>
          <cell r="B8263">
            <v>2008</v>
          </cell>
          <cell r="C8263" t="str">
            <v>mar_srvfc</v>
          </cell>
          <cell r="D8263">
            <v>54.457073211669922</v>
          </cell>
          <cell r="F8263" t="str">
            <v>14 Aug 2024</v>
          </cell>
        </row>
        <row r="8264">
          <cell r="A8264" t="str">
            <v>PAK</v>
          </cell>
          <cell r="B8264">
            <v>2016</v>
          </cell>
          <cell r="C8264" t="str">
            <v>mac_tfpz</v>
          </cell>
          <cell r="D8264">
            <v>1.7867007255554199</v>
          </cell>
          <cell r="F8264" t="str">
            <v>14 Aug 2024</v>
          </cell>
        </row>
        <row r="8265">
          <cell r="A8265" t="str">
            <v>PAK</v>
          </cell>
          <cell r="B8265">
            <v>2017</v>
          </cell>
          <cell r="C8265" t="str">
            <v>maconz</v>
          </cell>
          <cell r="D8265">
            <v>6.928246021270752</v>
          </cell>
          <cell r="F8265" t="str">
            <v>14 Aug 2024</v>
          </cell>
        </row>
        <row r="8266">
          <cell r="A8266" t="str">
            <v>PAK</v>
          </cell>
          <cell r="B8266">
            <v>2005</v>
          </cell>
          <cell r="C8266" t="str">
            <v>maimpz</v>
          </cell>
          <cell r="D8266">
            <v>35.050918579101563</v>
          </cell>
          <cell r="F8266" t="str">
            <v>14 Aug 2024</v>
          </cell>
        </row>
        <row r="8267">
          <cell r="A8267" t="str">
            <v>PAK</v>
          </cell>
          <cell r="B8267">
            <v>2007</v>
          </cell>
          <cell r="C8267" t="str">
            <v>mataxfc</v>
          </cell>
          <cell r="D8267">
            <v>-8.1043701171875</v>
          </cell>
          <cell r="F8267" t="str">
            <v>14 Aug 2024</v>
          </cell>
        </row>
        <row r="8268">
          <cell r="A8268" t="str">
            <v>PAK</v>
          </cell>
          <cell r="B8268">
            <v>2021</v>
          </cell>
          <cell r="C8268" t="str">
            <v>macab_</v>
          </cell>
          <cell r="D8268">
            <v>-0.80817854404449463</v>
          </cell>
          <cell r="F8268" t="str">
            <v>14 Aug 2024</v>
          </cell>
        </row>
        <row r="8269">
          <cell r="A8269" t="str">
            <v>PAK</v>
          </cell>
          <cell r="B8269">
            <v>2021</v>
          </cell>
          <cell r="C8269" t="str">
            <v>mar_taxfc</v>
          </cell>
          <cell r="D8269">
            <v>6.8861756324768066</v>
          </cell>
          <cell r="F8269" t="str">
            <v>14 Aug 2024</v>
          </cell>
        </row>
        <row r="8270">
          <cell r="A8270" t="str">
            <v>PAK</v>
          </cell>
          <cell r="B8270">
            <v>2020</v>
          </cell>
          <cell r="C8270" t="str">
            <v>maimpz</v>
          </cell>
          <cell r="D8270">
            <v>-5.0635161399841309</v>
          </cell>
          <cell r="F8270" t="str">
            <v>14 Aug 2024</v>
          </cell>
        </row>
        <row r="8271">
          <cell r="A8271" t="str">
            <v>PAK</v>
          </cell>
          <cell r="B8271">
            <v>2009</v>
          </cell>
          <cell r="C8271" t="str">
            <v>magap_</v>
          </cell>
          <cell r="D8271">
            <v>0.73765784502029419</v>
          </cell>
          <cell r="F8271" t="str">
            <v>14 Aug 2024</v>
          </cell>
        </row>
        <row r="8272">
          <cell r="A8272" t="str">
            <v>PAK</v>
          </cell>
          <cell r="B8272">
            <v>2006</v>
          </cell>
          <cell r="C8272" t="str">
            <v>maimpz</v>
          </cell>
          <cell r="D8272">
            <v>11.450454711914063</v>
          </cell>
          <cell r="F8272" t="str">
            <v>14 Aug 2024</v>
          </cell>
        </row>
        <row r="8273">
          <cell r="A8273" t="str">
            <v>PAK</v>
          </cell>
          <cell r="B8273">
            <v>2026</v>
          </cell>
          <cell r="C8273" t="str">
            <v>maimpz</v>
          </cell>
          <cell r="D8273">
            <v>1.611050009727478</v>
          </cell>
          <cell r="F8273" t="str">
            <v>14 Aug 2024</v>
          </cell>
        </row>
        <row r="8274">
          <cell r="A8274" t="str">
            <v>PAK</v>
          </cell>
          <cell r="B8274">
            <v>2013</v>
          </cell>
          <cell r="C8274" t="str">
            <v>mapanusatls</v>
          </cell>
          <cell r="D8274">
            <v>96.819999694824219</v>
          </cell>
          <cell r="F8274" t="str">
            <v>14 Aug 2024</v>
          </cell>
        </row>
        <row r="8275">
          <cell r="A8275" t="str">
            <v>PAK</v>
          </cell>
          <cell r="B8275">
            <v>2007</v>
          </cell>
          <cell r="C8275" t="str">
            <v>magdpz</v>
          </cell>
          <cell r="D8275">
            <v>4.4448142051696777</v>
          </cell>
          <cell r="F8275" t="str">
            <v>14 Aug 2024</v>
          </cell>
        </row>
        <row r="8276">
          <cell r="A8276" t="str">
            <v>PAK</v>
          </cell>
          <cell r="B8276">
            <v>2006</v>
          </cell>
          <cell r="C8276" t="str">
            <v>mainvz</v>
          </cell>
          <cell r="D8276">
            <v>19.160341262817383</v>
          </cell>
          <cell r="F8276" t="str">
            <v>14 Aug 2024</v>
          </cell>
        </row>
        <row r="8277">
          <cell r="A8277" t="str">
            <v>PAK</v>
          </cell>
          <cell r="B8277">
            <v>2011</v>
          </cell>
          <cell r="C8277" t="str">
            <v>mainvz</v>
          </cell>
          <cell r="D8277">
            <v>-8.6189384460449219</v>
          </cell>
          <cell r="F8277" t="str">
            <v>14 Aug 2024</v>
          </cell>
        </row>
        <row r="8278">
          <cell r="A8278" t="str">
            <v>PAK</v>
          </cell>
          <cell r="B8278">
            <v>2021</v>
          </cell>
          <cell r="C8278" t="str">
            <v>mac_tfpz</v>
          </cell>
          <cell r="D8278">
            <v>1.5337426662445068</v>
          </cell>
          <cell r="F8278" t="str">
            <v>14 Aug 2024</v>
          </cell>
        </row>
        <row r="8279">
          <cell r="A8279" t="str">
            <v>PAK</v>
          </cell>
          <cell r="B8279">
            <v>2023</v>
          </cell>
          <cell r="C8279" t="str">
            <v>mataxfc</v>
          </cell>
          <cell r="D8279">
            <v>2.9345355033874512</v>
          </cell>
          <cell r="F8279" t="str">
            <v>14 Aug 2024</v>
          </cell>
        </row>
        <row r="8280">
          <cell r="A8280" t="str">
            <v>PAK</v>
          </cell>
          <cell r="B8280">
            <v>2026</v>
          </cell>
          <cell r="C8280" t="str">
            <v>maagrfc</v>
          </cell>
          <cell r="D8280">
            <v>2.7306399345397949</v>
          </cell>
          <cell r="F8280" t="str">
            <v>14 Aug 2024</v>
          </cell>
        </row>
        <row r="8281">
          <cell r="A8281" t="str">
            <v>PAK</v>
          </cell>
          <cell r="B8281">
            <v>2021</v>
          </cell>
          <cell r="C8281" t="str">
            <v>maimpz</v>
          </cell>
          <cell r="D8281">
            <v>14.485978126525879</v>
          </cell>
          <cell r="F8281" t="str">
            <v>14 Aug 2024</v>
          </cell>
        </row>
        <row r="8282">
          <cell r="A8282" t="str">
            <v>PAK</v>
          </cell>
          <cell r="B8282">
            <v>2025</v>
          </cell>
          <cell r="C8282" t="str">
            <v>macpiz</v>
          </cell>
          <cell r="D8282">
            <v>15</v>
          </cell>
          <cell r="F8282" t="str">
            <v>14 Aug 2024</v>
          </cell>
        </row>
        <row r="8283">
          <cell r="A8283" t="str">
            <v>PAK</v>
          </cell>
          <cell r="B8283">
            <v>2022</v>
          </cell>
          <cell r="C8283" t="str">
            <v>mar_srvfc</v>
          </cell>
          <cell r="D8283">
            <v>58.283882141113281</v>
          </cell>
          <cell r="F8283" t="str">
            <v>14 Aug 2024</v>
          </cell>
        </row>
        <row r="8284">
          <cell r="A8284" t="str">
            <v>PAK</v>
          </cell>
          <cell r="B8284">
            <v>2005</v>
          </cell>
          <cell r="C8284" t="str">
            <v>masrvfc</v>
          </cell>
          <cell r="D8284">
            <v>8.2811393737792969</v>
          </cell>
          <cell r="F8284" t="str">
            <v>14 Aug 2024</v>
          </cell>
        </row>
        <row r="8285">
          <cell r="A8285" t="str">
            <v>PAK</v>
          </cell>
          <cell r="B8285">
            <v>2023</v>
          </cell>
          <cell r="C8285" t="str">
            <v>macab_</v>
          </cell>
          <cell r="D8285">
            <v>-0.66052258014678955</v>
          </cell>
          <cell r="F8285" t="str">
            <v>14 Aug 2024</v>
          </cell>
        </row>
        <row r="8286">
          <cell r="A8286" t="str">
            <v>PAK</v>
          </cell>
          <cell r="B8286">
            <v>2005</v>
          </cell>
          <cell r="C8286" t="str">
            <v>maconz</v>
          </cell>
          <cell r="D8286">
            <v>12.186525344848633</v>
          </cell>
          <cell r="F8286" t="str">
            <v>14 Aug 2024</v>
          </cell>
        </row>
        <row r="8287">
          <cell r="A8287" t="str">
            <v>PAK</v>
          </cell>
          <cell r="B8287">
            <v>2012</v>
          </cell>
          <cell r="C8287" t="str">
            <v>madebt_</v>
          </cell>
          <cell r="D8287">
            <v>59.428474426269531</v>
          </cell>
          <cell r="F8287" t="str">
            <v>14 Aug 2024</v>
          </cell>
        </row>
        <row r="8288">
          <cell r="A8288" t="str">
            <v>PAK</v>
          </cell>
          <cell r="B8288">
            <v>2018</v>
          </cell>
          <cell r="C8288" t="str">
            <v>macpiz</v>
          </cell>
          <cell r="D8288">
            <v>4.6846675872802734</v>
          </cell>
          <cell r="F8288" t="str">
            <v>14 Aug 2024</v>
          </cell>
        </row>
        <row r="8289">
          <cell r="A8289" t="str">
            <v>PAK</v>
          </cell>
          <cell r="B8289">
            <v>2016</v>
          </cell>
          <cell r="C8289" t="str">
            <v>mafdi_</v>
          </cell>
          <cell r="D8289">
            <v>-0.75692218542098999</v>
          </cell>
          <cell r="F8289" t="str">
            <v>14 Aug 2024</v>
          </cell>
        </row>
        <row r="8290">
          <cell r="A8290" t="str">
            <v>PAK</v>
          </cell>
          <cell r="B8290">
            <v>2023</v>
          </cell>
          <cell r="C8290" t="str">
            <v>maexpz</v>
          </cell>
          <cell r="D8290">
            <v>2.4161839485168457</v>
          </cell>
          <cell r="F8290" t="str">
            <v>14 Aug 2024</v>
          </cell>
        </row>
        <row r="8291">
          <cell r="A8291" t="str">
            <v>PAK</v>
          </cell>
          <cell r="B8291">
            <v>2026</v>
          </cell>
          <cell r="C8291" t="str">
            <v>magdpz</v>
          </cell>
          <cell r="D8291">
            <v>2.7452354431152344</v>
          </cell>
          <cell r="F8291" t="str">
            <v>14 Aug 2024</v>
          </cell>
        </row>
        <row r="8292">
          <cell r="A8292" t="str">
            <v>PAK</v>
          </cell>
          <cell r="B8292">
            <v>2016</v>
          </cell>
          <cell r="C8292" t="str">
            <v>mar_agrfc</v>
          </cell>
          <cell r="D8292">
            <v>23.95079231262207</v>
          </cell>
          <cell r="F8292" t="str">
            <v>14 Aug 2024</v>
          </cell>
        </row>
        <row r="8293">
          <cell r="A8293" t="str">
            <v>PAK</v>
          </cell>
          <cell r="B8293">
            <v>2024</v>
          </cell>
          <cell r="C8293" t="str">
            <v>mar_agrfc</v>
          </cell>
          <cell r="D8293">
            <v>23.460046768188477</v>
          </cell>
          <cell r="F8293" t="str">
            <v>14 Aug 2024</v>
          </cell>
        </row>
        <row r="8294">
          <cell r="A8294" t="str">
            <v>PAK</v>
          </cell>
          <cell r="B8294">
            <v>2019</v>
          </cell>
          <cell r="C8294" t="str">
            <v>maimpz</v>
          </cell>
          <cell r="D8294">
            <v>7.6119256019592285</v>
          </cell>
          <cell r="F8294" t="str">
            <v>14 Aug 2024</v>
          </cell>
        </row>
        <row r="8295">
          <cell r="A8295" t="str">
            <v>PAK</v>
          </cell>
          <cell r="B8295">
            <v>2009</v>
          </cell>
          <cell r="C8295" t="str">
            <v>madebt_</v>
          </cell>
          <cell r="D8295">
            <v>52.483360290527344</v>
          </cell>
          <cell r="F8295" t="str">
            <v>14 Aug 2024</v>
          </cell>
        </row>
        <row r="8296">
          <cell r="A8296" t="str">
            <v>PAK</v>
          </cell>
          <cell r="B8296">
            <v>2016</v>
          </cell>
          <cell r="C8296" t="str">
            <v>matfpz</v>
          </cell>
          <cell r="D8296">
            <v>1.7867007255554199</v>
          </cell>
          <cell r="F8296" t="str">
            <v>14 Aug 2024</v>
          </cell>
        </row>
        <row r="8297">
          <cell r="A8297" t="str">
            <v>PAK</v>
          </cell>
          <cell r="B8297">
            <v>2018</v>
          </cell>
          <cell r="C8297" t="str">
            <v>maindfc</v>
          </cell>
          <cell r="D8297">
            <v>9.1830339431762695</v>
          </cell>
          <cell r="F8297" t="str">
            <v>14 Aug 2024</v>
          </cell>
        </row>
        <row r="8298">
          <cell r="A8298" t="str">
            <v>PAK</v>
          </cell>
          <cell r="B8298">
            <v>2011</v>
          </cell>
          <cell r="C8298" t="str">
            <v>mar_con</v>
          </cell>
          <cell r="D8298">
            <v>79.839981079101563</v>
          </cell>
          <cell r="F8298" t="str">
            <v>14 Aug 2024</v>
          </cell>
        </row>
        <row r="8299">
          <cell r="A8299" t="str">
            <v>PAK</v>
          </cell>
          <cell r="B8299">
            <v>2020</v>
          </cell>
          <cell r="C8299" t="str">
            <v>magap_</v>
          </cell>
          <cell r="D8299">
            <v>-4.7647366523742676</v>
          </cell>
          <cell r="F8299" t="str">
            <v>14 Aug 2024</v>
          </cell>
        </row>
        <row r="8300">
          <cell r="A8300" t="str">
            <v>PAK</v>
          </cell>
          <cell r="B8300">
            <v>2006</v>
          </cell>
          <cell r="C8300" t="str">
            <v>masrvfc</v>
          </cell>
          <cell r="D8300">
            <v>8.5325384140014648</v>
          </cell>
          <cell r="F8300" t="str">
            <v>14 Aug 2024</v>
          </cell>
        </row>
        <row r="8301">
          <cell r="A8301" t="str">
            <v>PAK</v>
          </cell>
          <cell r="B8301">
            <v>2021</v>
          </cell>
          <cell r="C8301" t="str">
            <v>maconz</v>
          </cell>
          <cell r="D8301">
            <v>9.439723014831543</v>
          </cell>
          <cell r="F8301" t="str">
            <v>14 Aug 2024</v>
          </cell>
        </row>
        <row r="8302">
          <cell r="A8302" t="str">
            <v>PAK</v>
          </cell>
          <cell r="B8302">
            <v>2026</v>
          </cell>
          <cell r="C8302" t="str">
            <v>mac_tfpz</v>
          </cell>
          <cell r="D8302">
            <v>1.3687326908111572</v>
          </cell>
          <cell r="F8302" t="str">
            <v>14 Aug 2024</v>
          </cell>
        </row>
        <row r="8303">
          <cell r="A8303" t="str">
            <v>PAK</v>
          </cell>
          <cell r="B8303">
            <v>2024</v>
          </cell>
          <cell r="C8303" t="str">
            <v>mac_labz</v>
          </cell>
          <cell r="D8303">
            <v>1.8605291843414307</v>
          </cell>
          <cell r="F8303" t="str">
            <v>14 Aug 2024</v>
          </cell>
        </row>
        <row r="8304">
          <cell r="A8304" t="str">
            <v>PAK</v>
          </cell>
          <cell r="B8304">
            <v>2017</v>
          </cell>
          <cell r="C8304" t="str">
            <v>mar_expz</v>
          </cell>
          <cell r="D8304">
            <v>8.5726385116577148</v>
          </cell>
          <cell r="F8304" t="str">
            <v>14 Aug 2024</v>
          </cell>
        </row>
        <row r="8305">
          <cell r="A8305" t="str">
            <v>PAK</v>
          </cell>
          <cell r="B8305">
            <v>2012</v>
          </cell>
          <cell r="C8305" t="str">
            <v>mapanusatls</v>
          </cell>
          <cell r="D8305">
            <v>89.339996337890625</v>
          </cell>
          <cell r="F8305" t="str">
            <v>14 Aug 2024</v>
          </cell>
        </row>
        <row r="8306">
          <cell r="A8306" t="str">
            <v>PAK</v>
          </cell>
          <cell r="B8306">
            <v>2019</v>
          </cell>
          <cell r="C8306" t="str">
            <v>maagrfc</v>
          </cell>
          <cell r="D8306">
            <v>0.9391588568687439</v>
          </cell>
          <cell r="F8306" t="str">
            <v>14 Aug 2024</v>
          </cell>
        </row>
        <row r="8307">
          <cell r="A8307" t="str">
            <v>PAK</v>
          </cell>
          <cell r="B8307">
            <v>2007</v>
          </cell>
          <cell r="C8307" t="str">
            <v>macab_</v>
          </cell>
          <cell r="D8307">
            <v>-3.7355411052703857</v>
          </cell>
          <cell r="F8307" t="str">
            <v>14 Aug 2024</v>
          </cell>
        </row>
        <row r="8308">
          <cell r="A8308" t="str">
            <v>PAK</v>
          </cell>
          <cell r="B8308">
            <v>2015</v>
          </cell>
          <cell r="C8308" t="str">
            <v>magovz</v>
          </cell>
          <cell r="D8308">
            <v>1.8540446758270264</v>
          </cell>
          <cell r="F8308" t="str">
            <v>14 Aug 2024</v>
          </cell>
        </row>
        <row r="8309">
          <cell r="A8309" t="str">
            <v>PAK</v>
          </cell>
          <cell r="B8309">
            <v>2025</v>
          </cell>
          <cell r="C8309" t="str">
            <v>maconz</v>
          </cell>
          <cell r="D8309">
            <v>2.178380012512207</v>
          </cell>
          <cell r="F8309" t="str">
            <v>14 Aug 2024</v>
          </cell>
        </row>
        <row r="8310">
          <cell r="A8310" t="str">
            <v>PAK</v>
          </cell>
          <cell r="B8310">
            <v>2021</v>
          </cell>
          <cell r="C8310" t="str">
            <v>magap_</v>
          </cell>
          <cell r="D8310">
            <v>-2.2723214626312256</v>
          </cell>
          <cell r="F8310" t="str">
            <v>14 Aug 2024</v>
          </cell>
        </row>
        <row r="8311">
          <cell r="A8311" t="str">
            <v>PAK</v>
          </cell>
          <cell r="B8311">
            <v>2007</v>
          </cell>
          <cell r="C8311" t="str">
            <v>mac_tfpz</v>
          </cell>
          <cell r="D8311">
            <v>1.1772427558898926</v>
          </cell>
          <cell r="F8311" t="str">
            <v>14 Aug 2024</v>
          </cell>
        </row>
        <row r="8312">
          <cell r="A8312" t="str">
            <v>PAK</v>
          </cell>
          <cell r="B8312">
            <v>2014</v>
          </cell>
          <cell r="C8312" t="str">
            <v>mar_impz</v>
          </cell>
          <cell r="D8312">
            <v>15.196118354797363</v>
          </cell>
          <cell r="F8312" t="str">
            <v>14 Aug 2024</v>
          </cell>
        </row>
        <row r="8313">
          <cell r="A8313" t="str">
            <v>PAK</v>
          </cell>
          <cell r="B8313">
            <v>2008</v>
          </cell>
          <cell r="C8313" t="str">
            <v>maagrfc</v>
          </cell>
          <cell r="D8313">
            <v>0.81466680765151978</v>
          </cell>
          <cell r="F8313" t="str">
            <v>14 Aug 2024</v>
          </cell>
        </row>
        <row r="8314">
          <cell r="A8314" t="str">
            <v>PAK</v>
          </cell>
          <cell r="B8314">
            <v>2016</v>
          </cell>
          <cell r="C8314" t="str">
            <v>magovz</v>
          </cell>
          <cell r="D8314">
            <v>13.881223678588867</v>
          </cell>
          <cell r="F8314" t="str">
            <v>14 Aug 2024</v>
          </cell>
        </row>
        <row r="8315">
          <cell r="A8315" t="str">
            <v>PAK</v>
          </cell>
          <cell r="B8315">
            <v>2026</v>
          </cell>
          <cell r="C8315" t="str">
            <v>magap_</v>
          </cell>
          <cell r="D8315">
            <v>-7.4936318397521973</v>
          </cell>
          <cell r="F8315" t="str">
            <v>14 Aug 2024</v>
          </cell>
        </row>
        <row r="8316">
          <cell r="A8316" t="str">
            <v>PAK</v>
          </cell>
          <cell r="B8316">
            <v>2008</v>
          </cell>
          <cell r="C8316" t="str">
            <v>magovz</v>
          </cell>
          <cell r="D8316">
            <v>6.8503236770629883</v>
          </cell>
          <cell r="F8316" t="str">
            <v>14 Aug 2024</v>
          </cell>
        </row>
        <row r="8317">
          <cell r="A8317" t="str">
            <v>PAK</v>
          </cell>
          <cell r="B8317">
            <v>2006</v>
          </cell>
          <cell r="C8317" t="str">
            <v>maconz</v>
          </cell>
          <cell r="D8317">
            <v>1.6436126232147217</v>
          </cell>
          <cell r="F8317" t="str">
            <v>14 Aug 2024</v>
          </cell>
        </row>
        <row r="8318">
          <cell r="A8318" t="str">
            <v>PAK</v>
          </cell>
          <cell r="B8318">
            <v>2015</v>
          </cell>
          <cell r="C8318" t="str">
            <v>madebt_</v>
          </cell>
          <cell r="D8318">
            <v>60.021244049072266</v>
          </cell>
          <cell r="F8318" t="str">
            <v>14 Aug 2024</v>
          </cell>
        </row>
        <row r="8319">
          <cell r="A8319" t="str">
            <v>PAK</v>
          </cell>
          <cell r="B8319">
            <v>2012</v>
          </cell>
          <cell r="C8319" t="str">
            <v>mar_agrfc</v>
          </cell>
          <cell r="D8319">
            <v>25.778949737548828</v>
          </cell>
          <cell r="F8319" t="str">
            <v>14 Aug 2024</v>
          </cell>
        </row>
        <row r="8320">
          <cell r="A8320" t="str">
            <v>PAK</v>
          </cell>
          <cell r="B8320">
            <v>2021</v>
          </cell>
          <cell r="C8320" t="str">
            <v>mar_srvfc</v>
          </cell>
          <cell r="D8320">
            <v>58.014114379882813</v>
          </cell>
          <cell r="F8320" t="str">
            <v>14 Aug 2024</v>
          </cell>
        </row>
        <row r="8321">
          <cell r="A8321" t="str">
            <v>PAK</v>
          </cell>
          <cell r="B8321">
            <v>2022</v>
          </cell>
          <cell r="C8321" t="str">
            <v>maexpz</v>
          </cell>
          <cell r="D8321">
            <v>5.939122200012207</v>
          </cell>
          <cell r="F8321" t="str">
            <v>14 Aug 2024</v>
          </cell>
        </row>
        <row r="8322">
          <cell r="A8322" t="str">
            <v>PAK</v>
          </cell>
          <cell r="B8322">
            <v>2008</v>
          </cell>
          <cell r="C8322" t="str">
            <v>mar_con</v>
          </cell>
          <cell r="D8322">
            <v>80.459632873535156</v>
          </cell>
          <cell r="F8322" t="str">
            <v>14 Aug 2024</v>
          </cell>
        </row>
        <row r="8323">
          <cell r="A8323" t="str">
            <v>PAK</v>
          </cell>
          <cell r="B8323">
            <v>2008</v>
          </cell>
          <cell r="C8323" t="str">
            <v>masrvfc</v>
          </cell>
          <cell r="D8323">
            <v>4.7192726135253906</v>
          </cell>
          <cell r="F8323" t="str">
            <v>14 Aug 2024</v>
          </cell>
        </row>
        <row r="8324">
          <cell r="A8324" t="str">
            <v>PAK</v>
          </cell>
          <cell r="B8324">
            <v>2014</v>
          </cell>
          <cell r="C8324" t="str">
            <v>maexpz</v>
          </cell>
          <cell r="D8324">
            <v>-2.4829390048980713</v>
          </cell>
          <cell r="F8324" t="str">
            <v>14 Aug 2024</v>
          </cell>
        </row>
        <row r="8325">
          <cell r="A8325" t="str">
            <v>PAK</v>
          </cell>
          <cell r="B8325">
            <v>2024</v>
          </cell>
          <cell r="C8325" t="str">
            <v>mar_indfc</v>
          </cell>
          <cell r="D8325">
            <v>18.412052154541016</v>
          </cell>
          <cell r="F8325" t="str">
            <v>14 Aug 2024</v>
          </cell>
        </row>
        <row r="8326">
          <cell r="A8326" t="str">
            <v>PAK</v>
          </cell>
          <cell r="B8326">
            <v>2009</v>
          </cell>
          <cell r="C8326" t="str">
            <v>macpiz</v>
          </cell>
          <cell r="D8326">
            <v>17.040359497070313</v>
          </cell>
          <cell r="F8326" t="str">
            <v>14 Aug 2024</v>
          </cell>
        </row>
        <row r="8327">
          <cell r="A8327" t="str">
            <v>PAK</v>
          </cell>
          <cell r="B8327">
            <v>2021</v>
          </cell>
          <cell r="C8327" t="str">
            <v>madeficit_</v>
          </cell>
          <cell r="D8327">
            <v>-6.0403547286987305</v>
          </cell>
          <cell r="F8327" t="str">
            <v>14 Aug 2024</v>
          </cell>
        </row>
        <row r="8328">
          <cell r="A8328" t="str">
            <v>PAK</v>
          </cell>
          <cell r="B8328">
            <v>2005</v>
          </cell>
          <cell r="C8328" t="str">
            <v>mac_tfpz</v>
          </cell>
          <cell r="D8328">
            <v>1.3598570823669434</v>
          </cell>
          <cell r="F8328" t="str">
            <v>14 Aug 2024</v>
          </cell>
        </row>
        <row r="8329">
          <cell r="A8329" t="str">
            <v>PAK</v>
          </cell>
          <cell r="B8329">
            <v>2018</v>
          </cell>
          <cell r="C8329" t="str">
            <v>mar_impz</v>
          </cell>
          <cell r="D8329">
            <v>19.831130981445313</v>
          </cell>
          <cell r="F8329" t="str">
            <v>14 Aug 2024</v>
          </cell>
        </row>
        <row r="8330">
          <cell r="A8330" t="str">
            <v>PAK</v>
          </cell>
          <cell r="B8330">
            <v>2026</v>
          </cell>
          <cell r="C8330" t="str">
            <v>maexpz</v>
          </cell>
          <cell r="D8330">
            <v>3.66090989112854</v>
          </cell>
          <cell r="F8330" t="str">
            <v>14 Aug 2024</v>
          </cell>
        </row>
        <row r="8331">
          <cell r="A8331" t="str">
            <v>PAK</v>
          </cell>
          <cell r="B8331">
            <v>2009</v>
          </cell>
          <cell r="C8331" t="str">
            <v>malabz</v>
          </cell>
          <cell r="D8331">
            <v>2.8614566326141357</v>
          </cell>
          <cell r="F8331" t="str">
            <v>14 Aug 2024</v>
          </cell>
        </row>
        <row r="8332">
          <cell r="A8332" t="str">
            <v>PAK</v>
          </cell>
          <cell r="B8332">
            <v>2008</v>
          </cell>
          <cell r="C8332" t="str">
            <v>mainvz</v>
          </cell>
          <cell r="D8332">
            <v>3.7061200141906738</v>
          </cell>
          <cell r="F8332" t="str">
            <v>14 Aug 2024</v>
          </cell>
        </row>
        <row r="8333">
          <cell r="A8333" t="str">
            <v>PAK</v>
          </cell>
          <cell r="B8333">
            <v>2014</v>
          </cell>
          <cell r="C8333" t="str">
            <v>mainvz</v>
          </cell>
          <cell r="D8333">
            <v>3.3462553024291992</v>
          </cell>
          <cell r="F8333" t="str">
            <v>14 Aug 2024</v>
          </cell>
        </row>
        <row r="8334">
          <cell r="A8334" t="str">
            <v>PAK</v>
          </cell>
          <cell r="B8334">
            <v>2016</v>
          </cell>
          <cell r="C8334" t="str">
            <v>mainvz</v>
          </cell>
          <cell r="D8334">
            <v>9.3846654891967773</v>
          </cell>
          <cell r="F8334" t="str">
            <v>14 Aug 2024</v>
          </cell>
        </row>
        <row r="8335">
          <cell r="A8335" t="str">
            <v>PAK</v>
          </cell>
          <cell r="B8335">
            <v>2007</v>
          </cell>
          <cell r="C8335" t="str">
            <v>mar_con</v>
          </cell>
          <cell r="D8335">
            <v>80.804618835449219</v>
          </cell>
          <cell r="F8335" t="str">
            <v>14 Aug 2024</v>
          </cell>
        </row>
        <row r="8336">
          <cell r="A8336" t="str">
            <v>PAK</v>
          </cell>
          <cell r="B8336">
            <v>2022</v>
          </cell>
          <cell r="C8336" t="str">
            <v>madebt_</v>
          </cell>
          <cell r="D8336">
            <v>80.650321960449219</v>
          </cell>
          <cell r="F8336" t="str">
            <v>14 Aug 2024</v>
          </cell>
        </row>
        <row r="8337">
          <cell r="A8337" t="str">
            <v>PAK</v>
          </cell>
          <cell r="B8337">
            <v>2007</v>
          </cell>
          <cell r="C8337" t="str">
            <v>mar_impz</v>
          </cell>
          <cell r="D8337">
            <v>21.975618362426758</v>
          </cell>
          <cell r="F8337" t="str">
            <v>14 Aug 2024</v>
          </cell>
        </row>
        <row r="8338">
          <cell r="A8338" t="str">
            <v>PAK</v>
          </cell>
          <cell r="B8338">
            <v>2025</v>
          </cell>
          <cell r="C8338" t="str">
            <v>mar_taxfc</v>
          </cell>
          <cell r="D8338">
            <v>5.6456394195556641</v>
          </cell>
          <cell r="F8338" t="str">
            <v>14 Aug 2024</v>
          </cell>
        </row>
        <row r="8339">
          <cell r="A8339" t="str">
            <v>PAK</v>
          </cell>
          <cell r="B8339">
            <v>2016</v>
          </cell>
          <cell r="C8339" t="str">
            <v>magdpz</v>
          </cell>
          <cell r="D8339">
            <v>6.5738382339477539</v>
          </cell>
          <cell r="F8339" t="str">
            <v>14 Aug 2024</v>
          </cell>
        </row>
        <row r="8340">
          <cell r="A8340" t="str">
            <v>PAK</v>
          </cell>
          <cell r="B8340">
            <v>2021</v>
          </cell>
          <cell r="C8340" t="str">
            <v>matfpz</v>
          </cell>
          <cell r="D8340">
            <v>1.5337426662445068</v>
          </cell>
          <cell r="F8340" t="str">
            <v>14 Aug 2024</v>
          </cell>
        </row>
        <row r="8341">
          <cell r="A8341" t="str">
            <v>PAK</v>
          </cell>
          <cell r="B8341">
            <v>2011</v>
          </cell>
          <cell r="C8341" t="str">
            <v>magovz</v>
          </cell>
          <cell r="D8341">
            <v>-1.9851616621017456</v>
          </cell>
          <cell r="F8341" t="str">
            <v>14 Aug 2024</v>
          </cell>
        </row>
        <row r="8342">
          <cell r="A8342" t="str">
            <v>PAK</v>
          </cell>
          <cell r="B8342">
            <v>2010</v>
          </cell>
          <cell r="C8342" t="str">
            <v>maindfc</v>
          </cell>
          <cell r="D8342">
            <v>3.9523458480834961</v>
          </cell>
          <cell r="F8342" t="str">
            <v>14 Aug 2024</v>
          </cell>
        </row>
        <row r="8343">
          <cell r="A8343" t="str">
            <v>PAK</v>
          </cell>
          <cell r="B8343">
            <v>2015</v>
          </cell>
          <cell r="C8343" t="str">
            <v>matfpz</v>
          </cell>
          <cell r="D8343">
            <v>1.7258286476135254</v>
          </cell>
          <cell r="F8343" t="str">
            <v>14 Aug 2024</v>
          </cell>
        </row>
        <row r="8344">
          <cell r="A8344" t="str">
            <v>PAK</v>
          </cell>
          <cell r="B8344">
            <v>2019</v>
          </cell>
          <cell r="C8344" t="str">
            <v>mafdi_</v>
          </cell>
          <cell r="D8344">
            <v>-0.44747132062911987</v>
          </cell>
          <cell r="F8344" t="str">
            <v>14 Aug 2024</v>
          </cell>
        </row>
        <row r="8345">
          <cell r="A8345" t="str">
            <v>PAK</v>
          </cell>
          <cell r="B8345">
            <v>2005</v>
          </cell>
          <cell r="C8345" t="str">
            <v>mainvz</v>
          </cell>
          <cell r="D8345">
            <v>9.4500513076782227</v>
          </cell>
          <cell r="F8345" t="str">
            <v>14 Aug 2024</v>
          </cell>
        </row>
        <row r="8346">
          <cell r="A8346" t="str">
            <v>PAK</v>
          </cell>
          <cell r="B8346">
            <v>2024</v>
          </cell>
          <cell r="C8346" t="str">
            <v>magap_</v>
          </cell>
          <cell r="D8346">
            <v>-6.4831981658935547</v>
          </cell>
          <cell r="F8346" t="str">
            <v>14 Aug 2024</v>
          </cell>
        </row>
        <row r="8347">
          <cell r="A8347" t="str">
            <v>PAK</v>
          </cell>
          <cell r="B8347">
            <v>2013</v>
          </cell>
          <cell r="C8347" t="str">
            <v>malabz</v>
          </cell>
          <cell r="D8347">
            <v>1.7423508167266846</v>
          </cell>
          <cell r="F8347" t="str">
            <v>14 Aug 2024</v>
          </cell>
        </row>
        <row r="8348">
          <cell r="A8348" t="str">
            <v>PAK</v>
          </cell>
          <cell r="B8348">
            <v>2022</v>
          </cell>
          <cell r="C8348" t="str">
            <v>maindfc</v>
          </cell>
          <cell r="D8348">
            <v>6.948371410369873</v>
          </cell>
          <cell r="F8348" t="str">
            <v>14 Aug 2024</v>
          </cell>
        </row>
        <row r="8349">
          <cell r="A8349" t="str">
            <v>PAK</v>
          </cell>
          <cell r="B8349">
            <v>2018</v>
          </cell>
          <cell r="C8349" t="str">
            <v>mataxfc</v>
          </cell>
          <cell r="D8349">
            <v>6.9412107467651367</v>
          </cell>
          <cell r="F8349" t="str">
            <v>14 Aug 2024</v>
          </cell>
        </row>
        <row r="8350">
          <cell r="A8350" t="str">
            <v>PAK</v>
          </cell>
          <cell r="B8350">
            <v>2026</v>
          </cell>
          <cell r="C8350" t="str">
            <v>masrvfc</v>
          </cell>
          <cell r="D8350">
            <v>2.8733956813812256</v>
          </cell>
          <cell r="F8350" t="str">
            <v>14 Aug 2024</v>
          </cell>
        </row>
        <row r="8351">
          <cell r="A8351" t="str">
            <v>PAK</v>
          </cell>
          <cell r="B8351">
            <v>2006</v>
          </cell>
          <cell r="C8351" t="str">
            <v>mar_expz</v>
          </cell>
          <cell r="D8351">
            <v>12.517058372497559</v>
          </cell>
          <cell r="F8351" t="str">
            <v>14 Aug 2024</v>
          </cell>
        </row>
        <row r="8352">
          <cell r="A8352" t="str">
            <v>PAK</v>
          </cell>
          <cell r="B8352">
            <v>2009</v>
          </cell>
          <cell r="C8352" t="str">
            <v>matfpz</v>
          </cell>
          <cell r="D8352">
            <v>1.01658034324646</v>
          </cell>
          <cell r="F8352" t="str">
            <v>14 Aug 2024</v>
          </cell>
        </row>
        <row r="8353">
          <cell r="A8353" t="str">
            <v>PAK</v>
          </cell>
          <cell r="B8353">
            <v>2014</v>
          </cell>
          <cell r="C8353" t="str">
            <v>maagrfc</v>
          </cell>
          <cell r="D8353">
            <v>2.4185366630554199</v>
          </cell>
          <cell r="F8353" t="str">
            <v>14 Aug 2024</v>
          </cell>
        </row>
        <row r="8354">
          <cell r="A8354" t="str">
            <v>PAK</v>
          </cell>
          <cell r="B8354">
            <v>2023</v>
          </cell>
          <cell r="C8354" t="str">
            <v>magdpz</v>
          </cell>
          <cell r="D8354">
            <v>-4.8553263768553734E-3</v>
          </cell>
          <cell r="F8354" t="str">
            <v>14 Aug 2024</v>
          </cell>
        </row>
        <row r="8355">
          <cell r="A8355" t="str">
            <v>PAK</v>
          </cell>
          <cell r="B8355">
            <v>2011</v>
          </cell>
          <cell r="C8355" t="str">
            <v>magdpz</v>
          </cell>
          <cell r="D8355">
            <v>2.6801168918609619</v>
          </cell>
          <cell r="F8355" t="str">
            <v>14 Aug 2024</v>
          </cell>
        </row>
        <row r="8356">
          <cell r="A8356" t="str">
            <v>PAK</v>
          </cell>
          <cell r="B8356">
            <v>2021</v>
          </cell>
          <cell r="C8356" t="str">
            <v>mar_expz</v>
          </cell>
          <cell r="D8356">
            <v>10.09014892578125</v>
          </cell>
          <cell r="F8356" t="str">
            <v>14 Aug 2024</v>
          </cell>
        </row>
        <row r="8357">
          <cell r="A8357" t="str">
            <v>PAK</v>
          </cell>
          <cell r="B8357">
            <v>2013</v>
          </cell>
          <cell r="C8357" t="str">
            <v>matfpz</v>
          </cell>
          <cell r="D8357">
            <v>1.4554884433746338</v>
          </cell>
          <cell r="F8357" t="str">
            <v>14 Aug 2024</v>
          </cell>
        </row>
        <row r="8358">
          <cell r="A8358" t="str">
            <v>PAK</v>
          </cell>
          <cell r="B8358">
            <v>2009</v>
          </cell>
          <cell r="C8358" t="str">
            <v>macab_</v>
          </cell>
          <cell r="D8358">
            <v>-4.9515032768249512</v>
          </cell>
          <cell r="F8358" t="str">
            <v>14 Aug 2024</v>
          </cell>
        </row>
        <row r="8359">
          <cell r="A8359" t="str">
            <v>PAK</v>
          </cell>
          <cell r="B8359">
            <v>2011</v>
          </cell>
          <cell r="C8359" t="str">
            <v>mar_impz</v>
          </cell>
          <cell r="D8359">
            <v>16.986839294433594</v>
          </cell>
          <cell r="F8359" t="str">
            <v>14 Aug 2024</v>
          </cell>
        </row>
        <row r="8360">
          <cell r="A8360" t="str">
            <v>PAK</v>
          </cell>
          <cell r="B8360">
            <v>2006</v>
          </cell>
          <cell r="C8360" t="str">
            <v>mar_con</v>
          </cell>
          <cell r="D8360">
            <v>80.326789855957031</v>
          </cell>
          <cell r="F8360" t="str">
            <v>14 Aug 2024</v>
          </cell>
        </row>
        <row r="8361">
          <cell r="A8361" t="str">
            <v>PAK</v>
          </cell>
          <cell r="B8361">
            <v>2009</v>
          </cell>
          <cell r="C8361" t="str">
            <v>madeficit_</v>
          </cell>
          <cell r="D8361">
            <v>-4.4056735038757324</v>
          </cell>
          <cell r="F8361" t="str">
            <v>14 Aug 2024</v>
          </cell>
        </row>
        <row r="8362">
          <cell r="A8362" t="str">
            <v>PAK</v>
          </cell>
          <cell r="B8362">
            <v>2014</v>
          </cell>
          <cell r="C8362" t="str">
            <v>mareer</v>
          </cell>
          <cell r="D8362">
            <v>87.312705993652344</v>
          </cell>
          <cell r="F8362" t="str">
            <v>14 Aug 2024</v>
          </cell>
        </row>
        <row r="8363">
          <cell r="A8363" t="str">
            <v>PAK</v>
          </cell>
          <cell r="B8363">
            <v>2016</v>
          </cell>
          <cell r="C8363" t="str">
            <v>madebt_</v>
          </cell>
          <cell r="D8363">
            <v>63.193981170654297</v>
          </cell>
          <cell r="F8363" t="str">
            <v>14 Aug 2024</v>
          </cell>
        </row>
        <row r="8364">
          <cell r="A8364" t="str">
            <v>PAK</v>
          </cell>
          <cell r="B8364">
            <v>2025</v>
          </cell>
          <cell r="C8364" t="str">
            <v>mainvz</v>
          </cell>
          <cell r="D8364">
            <v>1.2376124858856201</v>
          </cell>
          <cell r="F8364" t="str">
            <v>14 Aug 2024</v>
          </cell>
        </row>
        <row r="8365">
          <cell r="A8365" t="str">
            <v>PAK</v>
          </cell>
          <cell r="B8365">
            <v>2012</v>
          </cell>
          <cell r="C8365" t="str">
            <v>mar_impz</v>
          </cell>
          <cell r="D8365">
            <v>15.794416427612305</v>
          </cell>
          <cell r="F8365" t="str">
            <v>14 Aug 2024</v>
          </cell>
        </row>
        <row r="8366">
          <cell r="A8366" t="str">
            <v>PAK</v>
          </cell>
          <cell r="B8366">
            <v>2018</v>
          </cell>
          <cell r="C8366" t="str">
            <v>magap_</v>
          </cell>
          <cell r="D8366">
            <v>2.8943860530853271</v>
          </cell>
          <cell r="F8366" t="str">
            <v>14 Aug 2024</v>
          </cell>
        </row>
        <row r="8367">
          <cell r="A8367" t="str">
            <v>PAK</v>
          </cell>
          <cell r="B8367">
            <v>2024</v>
          </cell>
          <cell r="C8367" t="str">
            <v>mar_con</v>
          </cell>
          <cell r="D8367">
            <v>90.937301635742188</v>
          </cell>
          <cell r="F8367" t="str">
            <v>14 Aug 2024</v>
          </cell>
        </row>
        <row r="8368">
          <cell r="A8368" t="str">
            <v>PAK</v>
          </cell>
          <cell r="B8368">
            <v>2006</v>
          </cell>
          <cell r="C8368" t="str">
            <v>magap_</v>
          </cell>
          <cell r="D8368">
            <v>5.4989466667175293</v>
          </cell>
          <cell r="F8368" t="str">
            <v>14 Aug 2024</v>
          </cell>
        </row>
        <row r="8369">
          <cell r="A8369" t="str">
            <v>PAK</v>
          </cell>
          <cell r="B8369">
            <v>2025</v>
          </cell>
          <cell r="C8369" t="str">
            <v>mar_srvfc</v>
          </cell>
          <cell r="D8369">
            <v>58.176021575927734</v>
          </cell>
          <cell r="F8369" t="str">
            <v>14 Aug 2024</v>
          </cell>
        </row>
        <row r="8370">
          <cell r="A8370" t="str">
            <v>PAK</v>
          </cell>
          <cell r="B8370">
            <v>2013</v>
          </cell>
          <cell r="C8370" t="str">
            <v>mafdi_</v>
          </cell>
          <cell r="D8370">
            <v>-0.48637783527374268</v>
          </cell>
          <cell r="F8370" t="str">
            <v>14 Aug 2024</v>
          </cell>
        </row>
        <row r="8371">
          <cell r="A8371" t="str">
            <v>PAK</v>
          </cell>
          <cell r="B8371">
            <v>2018</v>
          </cell>
          <cell r="C8371" t="str">
            <v>madeficit_</v>
          </cell>
          <cell r="D8371">
            <v>-5.6734800338745117</v>
          </cell>
          <cell r="F8371" t="str">
            <v>14 Aug 2024</v>
          </cell>
        </row>
        <row r="8372">
          <cell r="A8372" t="str">
            <v>PAK</v>
          </cell>
          <cell r="B8372">
            <v>2017</v>
          </cell>
          <cell r="C8372" t="str">
            <v>mar_taxfc</v>
          </cell>
          <cell r="D8372">
            <v>7.0859384536743164</v>
          </cell>
          <cell r="F8372" t="str">
            <v>14 Aug 2024</v>
          </cell>
        </row>
        <row r="8373">
          <cell r="A8373" t="str">
            <v>PAK</v>
          </cell>
          <cell r="B8373">
            <v>2015</v>
          </cell>
          <cell r="C8373" t="str">
            <v>mar_con</v>
          </cell>
          <cell r="D8373">
            <v>79.75439453125</v>
          </cell>
          <cell r="F8373" t="str">
            <v>14 Aug 2024</v>
          </cell>
        </row>
        <row r="8374">
          <cell r="A8374" t="str">
            <v>PAK</v>
          </cell>
          <cell r="B8374">
            <v>2025</v>
          </cell>
          <cell r="C8374" t="str">
            <v>maagrfc</v>
          </cell>
          <cell r="D8374">
            <v>2.2275700569152832</v>
          </cell>
          <cell r="F8374" t="str">
            <v>14 Aug 2024</v>
          </cell>
        </row>
        <row r="8375">
          <cell r="A8375" t="str">
            <v>PAK</v>
          </cell>
          <cell r="B8375">
            <v>2010</v>
          </cell>
          <cell r="C8375" t="str">
            <v>mar_taxfc</v>
          </cell>
          <cell r="D8375">
            <v>3.9678115844726563</v>
          </cell>
          <cell r="F8375" t="str">
            <v>14 Aug 2024</v>
          </cell>
        </row>
        <row r="8376">
          <cell r="A8376" t="str">
            <v>PAK</v>
          </cell>
          <cell r="B8376">
            <v>2017</v>
          </cell>
          <cell r="C8376" t="str">
            <v>madebt_</v>
          </cell>
          <cell r="D8376">
            <v>63.837753295898438</v>
          </cell>
          <cell r="F8376" t="str">
            <v>14 Aug 2024</v>
          </cell>
        </row>
        <row r="8377">
          <cell r="A8377" t="str">
            <v>PAK</v>
          </cell>
          <cell r="B8377">
            <v>2019</v>
          </cell>
          <cell r="C8377" t="str">
            <v>mapanusatls</v>
          </cell>
          <cell r="D8377">
            <v>136.47999572753906</v>
          </cell>
          <cell r="F8377" t="str">
            <v>14 Aug 2024</v>
          </cell>
        </row>
        <row r="8378">
          <cell r="A8378" t="str">
            <v>PAK</v>
          </cell>
          <cell r="B8378">
            <v>2006</v>
          </cell>
          <cell r="C8378" t="str">
            <v>magovz</v>
          </cell>
          <cell r="D8378">
            <v>31.065195083618164</v>
          </cell>
          <cell r="F8378" t="str">
            <v>14 Aug 2024</v>
          </cell>
        </row>
        <row r="8379">
          <cell r="A8379" t="str">
            <v>PAK</v>
          </cell>
          <cell r="B8379">
            <v>2008</v>
          </cell>
          <cell r="C8379" t="str">
            <v>matfpz</v>
          </cell>
          <cell r="D8379">
            <v>1.0693857669830322</v>
          </cell>
          <cell r="F8379" t="str">
            <v>14 Aug 2024</v>
          </cell>
        </row>
        <row r="8380">
          <cell r="A8380" t="str">
            <v>PAK</v>
          </cell>
          <cell r="B8380">
            <v>2015</v>
          </cell>
          <cell r="C8380" t="str">
            <v>mareer</v>
          </cell>
          <cell r="D8380">
            <v>100</v>
          </cell>
          <cell r="F8380" t="str">
            <v>14 Aug 2024</v>
          </cell>
        </row>
        <row r="8381">
          <cell r="A8381" t="str">
            <v>PAK</v>
          </cell>
          <cell r="B8381">
            <v>2020</v>
          </cell>
          <cell r="C8381" t="str">
            <v>mar_con</v>
          </cell>
          <cell r="D8381">
            <v>84.578521728515625</v>
          </cell>
          <cell r="F8381" t="str">
            <v>14 Aug 2024</v>
          </cell>
        </row>
        <row r="8382">
          <cell r="A8382" t="str">
            <v>PAK</v>
          </cell>
          <cell r="B8382">
            <v>2011</v>
          </cell>
          <cell r="C8382" t="str">
            <v>masrvfc</v>
          </cell>
          <cell r="D8382">
            <v>2.8582837581634521</v>
          </cell>
          <cell r="F8382" t="str">
            <v>14 Aug 2024</v>
          </cell>
        </row>
        <row r="8383">
          <cell r="A8383" t="str">
            <v>PAK</v>
          </cell>
          <cell r="B8383">
            <v>2020</v>
          </cell>
          <cell r="C8383" t="str">
            <v>maindfc</v>
          </cell>
          <cell r="D8383">
            <v>-5.7451357841491699</v>
          </cell>
          <cell r="F8383" t="str">
            <v>14 Aug 2024</v>
          </cell>
        </row>
        <row r="8384">
          <cell r="A8384" t="str">
            <v>PAK</v>
          </cell>
          <cell r="B8384">
            <v>2019</v>
          </cell>
          <cell r="C8384" t="str">
            <v>macab_</v>
          </cell>
          <cell r="D8384">
            <v>-4.1861624717712402</v>
          </cell>
          <cell r="F8384" t="str">
            <v>14 Aug 2024</v>
          </cell>
        </row>
        <row r="8385">
          <cell r="A8385" t="str">
            <v>PAK</v>
          </cell>
          <cell r="B8385">
            <v>2013</v>
          </cell>
          <cell r="C8385" t="str">
            <v>mac_tfpz</v>
          </cell>
          <cell r="D8385">
            <v>1.4554884433746338</v>
          </cell>
          <cell r="F8385" t="str">
            <v>14 Aug 2024</v>
          </cell>
        </row>
        <row r="8386">
          <cell r="A8386" t="str">
            <v>PAK</v>
          </cell>
          <cell r="B8386">
            <v>2023</v>
          </cell>
          <cell r="C8386" t="str">
            <v>maagrfc</v>
          </cell>
          <cell r="D8386">
            <v>2.2517201900482178</v>
          </cell>
          <cell r="F8386" t="str">
            <v>14 Aug 2024</v>
          </cell>
        </row>
        <row r="8387">
          <cell r="A8387" t="str">
            <v>PAK</v>
          </cell>
          <cell r="B8387">
            <v>2021</v>
          </cell>
          <cell r="C8387" t="str">
            <v>maindfc</v>
          </cell>
          <cell r="D8387">
            <v>8.1977176666259766</v>
          </cell>
          <cell r="F8387" t="str">
            <v>14 Aug 2024</v>
          </cell>
        </row>
        <row r="8388">
          <cell r="A8388" t="str">
            <v>PAK</v>
          </cell>
          <cell r="B8388">
            <v>2024</v>
          </cell>
          <cell r="C8388" t="str">
            <v>malabz</v>
          </cell>
          <cell r="D8388">
            <v>2.6578989028930664</v>
          </cell>
          <cell r="F8388" t="str">
            <v>14 Aug 2024</v>
          </cell>
        </row>
        <row r="8389">
          <cell r="A8389" t="str">
            <v>PAK</v>
          </cell>
          <cell r="B8389">
            <v>2012</v>
          </cell>
          <cell r="C8389" t="str">
            <v>macab_</v>
          </cell>
          <cell r="D8389">
            <v>-1.862396240234375</v>
          </cell>
          <cell r="F8389" t="str">
            <v>14 Aug 2024</v>
          </cell>
        </row>
        <row r="8390">
          <cell r="A8390" t="str">
            <v>PAK</v>
          </cell>
          <cell r="B8390">
            <v>2009</v>
          </cell>
          <cell r="C8390" t="str">
            <v>mar_srvfc</v>
          </cell>
          <cell r="D8390">
            <v>54.874969482421875</v>
          </cell>
          <cell r="F8390" t="str">
            <v>14 Aug 2024</v>
          </cell>
        </row>
        <row r="8391">
          <cell r="A8391" t="str">
            <v>PAK</v>
          </cell>
          <cell r="B8391">
            <v>2026</v>
          </cell>
          <cell r="C8391" t="str">
            <v>macpiz</v>
          </cell>
          <cell r="D8391">
            <v>11.5</v>
          </cell>
          <cell r="F8391" t="str">
            <v>14 Aug 2024</v>
          </cell>
        </row>
        <row r="8392">
          <cell r="A8392" t="str">
            <v>PAK</v>
          </cell>
          <cell r="B8392">
            <v>2012</v>
          </cell>
          <cell r="C8392" t="str">
            <v>magap_</v>
          </cell>
          <cell r="D8392">
            <v>-3.3660061359405518</v>
          </cell>
          <cell r="F8392" t="str">
            <v>14 Aug 2024</v>
          </cell>
        </row>
        <row r="8393">
          <cell r="A8393" t="str">
            <v>PAK</v>
          </cell>
          <cell r="B8393">
            <v>2022</v>
          </cell>
          <cell r="C8393" t="str">
            <v>madeficit_</v>
          </cell>
          <cell r="D8393">
            <v>-7.8308982849121094</v>
          </cell>
          <cell r="F8393" t="str">
            <v>14 Aug 2024</v>
          </cell>
        </row>
        <row r="8394">
          <cell r="A8394" t="str">
            <v>PAK</v>
          </cell>
          <cell r="B8394">
            <v>2021</v>
          </cell>
          <cell r="C8394" t="str">
            <v>mar_agrfc</v>
          </cell>
          <cell r="D8394">
            <v>23.02752685546875</v>
          </cell>
          <cell r="F8394" t="str">
            <v>14 Aug 2024</v>
          </cell>
        </row>
        <row r="8395">
          <cell r="A8395" t="str">
            <v>PAK</v>
          </cell>
          <cell r="B8395">
            <v>2026</v>
          </cell>
          <cell r="C8395" t="str">
            <v>mac_labz</v>
          </cell>
          <cell r="D8395">
            <v>1.8280426263809204</v>
          </cell>
          <cell r="F8395" t="str">
            <v>14 Aug 2024</v>
          </cell>
        </row>
        <row r="8396">
          <cell r="A8396" t="str">
            <v>PAK</v>
          </cell>
          <cell r="B8396">
            <v>2017</v>
          </cell>
          <cell r="C8396" t="str">
            <v>mar_srvfc</v>
          </cell>
          <cell r="D8396">
            <v>57.128200531005859</v>
          </cell>
          <cell r="F8396" t="str">
            <v>14 Aug 2024</v>
          </cell>
        </row>
        <row r="8397">
          <cell r="A8397" t="str">
            <v>PAK</v>
          </cell>
          <cell r="B8397">
            <v>2024</v>
          </cell>
          <cell r="C8397" t="str">
            <v>mar_expz</v>
          </cell>
          <cell r="D8397">
            <v>10.489782333374023</v>
          </cell>
          <cell r="F8397" t="str">
            <v>14 Aug 2024</v>
          </cell>
        </row>
        <row r="8398">
          <cell r="A8398" t="str">
            <v>PAK</v>
          </cell>
          <cell r="B8398">
            <v>2009</v>
          </cell>
          <cell r="C8398" t="str">
            <v>masrvfc</v>
          </cell>
          <cell r="D8398">
            <v>1.8386834859848022</v>
          </cell>
          <cell r="F8398" t="str">
            <v>14 Aug 2024</v>
          </cell>
        </row>
        <row r="8399">
          <cell r="A8399" t="str">
            <v>PAK</v>
          </cell>
          <cell r="B8399">
            <v>2015</v>
          </cell>
          <cell r="C8399" t="str">
            <v>mac_tfpz</v>
          </cell>
          <cell r="D8399">
            <v>1.7258286476135254</v>
          </cell>
          <cell r="F8399" t="str">
            <v>14 Aug 2024</v>
          </cell>
        </row>
        <row r="8400">
          <cell r="A8400" t="str">
            <v>PAK</v>
          </cell>
          <cell r="B8400">
            <v>2014</v>
          </cell>
          <cell r="C8400" t="str">
            <v>magap_</v>
          </cell>
          <cell r="D8400">
            <v>-1.7515426874160767</v>
          </cell>
          <cell r="F8400" t="str">
            <v>14 Aug 2024</v>
          </cell>
        </row>
        <row r="8401">
          <cell r="A8401" t="str">
            <v>PAK</v>
          </cell>
          <cell r="B8401">
            <v>2016</v>
          </cell>
          <cell r="C8401" t="str">
            <v>madeficit_</v>
          </cell>
          <cell r="D8401">
            <v>-4.0352849960327148</v>
          </cell>
          <cell r="F8401" t="str">
            <v>14 Aug 2024</v>
          </cell>
        </row>
        <row r="8402">
          <cell r="A8402" t="str">
            <v>PAK</v>
          </cell>
          <cell r="B8402">
            <v>2012</v>
          </cell>
          <cell r="C8402" t="str">
            <v>magdpz</v>
          </cell>
          <cell r="D8402">
            <v>3.0275838375091553</v>
          </cell>
          <cell r="F8402" t="str">
            <v>14 Aug 2024</v>
          </cell>
        </row>
        <row r="8403">
          <cell r="A8403" t="str">
            <v>PAK</v>
          </cell>
          <cell r="B8403">
            <v>2024</v>
          </cell>
          <cell r="C8403" t="str">
            <v>mar_srvfc</v>
          </cell>
          <cell r="D8403">
            <v>58.127899169921875</v>
          </cell>
          <cell r="F8403" t="str">
            <v>14 Aug 2024</v>
          </cell>
        </row>
        <row r="8404">
          <cell r="A8404" t="str">
            <v>PAK</v>
          </cell>
          <cell r="B8404">
            <v>2022</v>
          </cell>
          <cell r="C8404" t="str">
            <v>maconz</v>
          </cell>
          <cell r="D8404">
            <v>7.1360883712768555</v>
          </cell>
          <cell r="F8404" t="str">
            <v>14 Aug 2024</v>
          </cell>
        </row>
        <row r="8405">
          <cell r="A8405" t="str">
            <v>PAK</v>
          </cell>
          <cell r="B8405">
            <v>2018</v>
          </cell>
          <cell r="C8405" t="str">
            <v>mac_tfpz</v>
          </cell>
          <cell r="D8405">
            <v>1.7396020889282227</v>
          </cell>
          <cell r="F8405" t="str">
            <v>14 Aug 2024</v>
          </cell>
        </row>
        <row r="8406">
          <cell r="A8406" t="str">
            <v>PAK</v>
          </cell>
          <cell r="B8406">
            <v>2011</v>
          </cell>
          <cell r="C8406" t="str">
            <v>mar_agrfc</v>
          </cell>
          <cell r="D8406">
            <v>25.770282745361328</v>
          </cell>
          <cell r="F8406" t="str">
            <v>14 Aug 2024</v>
          </cell>
        </row>
        <row r="8407">
          <cell r="A8407" t="str">
            <v>PAK</v>
          </cell>
          <cell r="B8407">
            <v>2005</v>
          </cell>
          <cell r="C8407" t="str">
            <v>maexpz</v>
          </cell>
          <cell r="D8407">
            <v>17.589345932006836</v>
          </cell>
          <cell r="F8407" t="str">
            <v>14 Aug 2024</v>
          </cell>
        </row>
        <row r="8408">
          <cell r="A8408" t="str">
            <v>PAK</v>
          </cell>
          <cell r="B8408">
            <v>2025</v>
          </cell>
          <cell r="C8408" t="str">
            <v>mar_indfc</v>
          </cell>
          <cell r="D8408">
            <v>18.389026641845703</v>
          </cell>
          <cell r="F8408" t="str">
            <v>14 Aug 2024</v>
          </cell>
        </row>
        <row r="8409">
          <cell r="A8409" t="str">
            <v>PAK</v>
          </cell>
          <cell r="B8409">
            <v>2018</v>
          </cell>
          <cell r="C8409" t="str">
            <v>matfpz</v>
          </cell>
          <cell r="D8409">
            <v>1.7396020889282227</v>
          </cell>
          <cell r="F8409" t="str">
            <v>14 Aug 2024</v>
          </cell>
        </row>
        <row r="8410">
          <cell r="A8410" t="str">
            <v>PAK</v>
          </cell>
          <cell r="B8410">
            <v>2025</v>
          </cell>
          <cell r="C8410" t="str">
            <v>mac_tfpz</v>
          </cell>
          <cell r="D8410">
            <v>1.3843319416046143</v>
          </cell>
          <cell r="F8410" t="str">
            <v>14 Aug 2024</v>
          </cell>
        </row>
        <row r="8411">
          <cell r="A8411" t="str">
            <v>PAK</v>
          </cell>
          <cell r="B8411">
            <v>2018</v>
          </cell>
          <cell r="C8411" t="str">
            <v>mar_taxfc</v>
          </cell>
          <cell r="D8411">
            <v>7.1424045562744141</v>
          </cell>
          <cell r="F8411" t="str">
            <v>14 Aug 2024</v>
          </cell>
        </row>
        <row r="8412">
          <cell r="A8412" t="str">
            <v>PAK</v>
          </cell>
          <cell r="B8412">
            <v>2019</v>
          </cell>
          <cell r="C8412" t="str">
            <v>magap_</v>
          </cell>
          <cell r="D8412">
            <v>0.50782817602157593</v>
          </cell>
          <cell r="F8412" t="str">
            <v>14 Aug 2024</v>
          </cell>
        </row>
        <row r="8413">
          <cell r="A8413" t="str">
            <v>PAK</v>
          </cell>
          <cell r="B8413">
            <v>2025</v>
          </cell>
          <cell r="C8413" t="str">
            <v>maindfc</v>
          </cell>
          <cell r="D8413">
            <v>2.2090699672698975</v>
          </cell>
          <cell r="F8413" t="str">
            <v>14 Aug 2024</v>
          </cell>
        </row>
        <row r="8414">
          <cell r="A8414" t="str">
            <v>PAK</v>
          </cell>
          <cell r="B8414">
            <v>2013</v>
          </cell>
          <cell r="C8414" t="str">
            <v>magovz</v>
          </cell>
          <cell r="D8414">
            <v>6.5163240432739258</v>
          </cell>
          <cell r="F8414" t="str">
            <v>14 Aug 2024</v>
          </cell>
        </row>
        <row r="8415">
          <cell r="A8415" t="str">
            <v>PAK</v>
          </cell>
          <cell r="B8415">
            <v>2026</v>
          </cell>
          <cell r="C8415" t="str">
            <v>mar_srvfc</v>
          </cell>
          <cell r="D8415">
            <v>58.248588562011719</v>
          </cell>
          <cell r="F8415" t="str">
            <v>14 Aug 2024</v>
          </cell>
        </row>
        <row r="8416">
          <cell r="A8416" t="str">
            <v>PAK</v>
          </cell>
          <cell r="B8416">
            <v>2020</v>
          </cell>
          <cell r="C8416" t="str">
            <v>mafdi_</v>
          </cell>
          <cell r="D8416">
            <v>-0.88155651092529297</v>
          </cell>
          <cell r="F8416" t="str">
            <v>14 Aug 2024</v>
          </cell>
        </row>
        <row r="8417">
          <cell r="A8417" t="str">
            <v>PAK</v>
          </cell>
          <cell r="B8417">
            <v>2023</v>
          </cell>
          <cell r="C8417" t="str">
            <v>mainvz</v>
          </cell>
          <cell r="D8417">
            <v>-16.325872421264648</v>
          </cell>
          <cell r="F8417" t="str">
            <v>14 Aug 2024</v>
          </cell>
        </row>
        <row r="8418">
          <cell r="A8418" t="str">
            <v>PAK</v>
          </cell>
          <cell r="B8418">
            <v>2024</v>
          </cell>
          <cell r="C8418" t="str">
            <v>mapanusatls</v>
          </cell>
          <cell r="D8418">
            <v>285.9881591796875</v>
          </cell>
          <cell r="F8418" t="str">
            <v>14 Aug 2024</v>
          </cell>
        </row>
        <row r="8419">
          <cell r="A8419" t="str">
            <v>PAK</v>
          </cell>
          <cell r="B8419">
            <v>2017</v>
          </cell>
          <cell r="C8419" t="str">
            <v>mac_labz</v>
          </cell>
          <cell r="D8419">
            <v>1.153872013092041</v>
          </cell>
          <cell r="F8419" t="str">
            <v>14 Aug 2024</v>
          </cell>
        </row>
        <row r="8420">
          <cell r="A8420" t="str">
            <v>PAK</v>
          </cell>
          <cell r="B8420">
            <v>2025</v>
          </cell>
          <cell r="C8420" t="str">
            <v>malabz</v>
          </cell>
          <cell r="D8420">
            <v>2.6364994049072266</v>
          </cell>
          <cell r="F8420" t="str">
            <v>14 Aug 2024</v>
          </cell>
        </row>
        <row r="8421">
          <cell r="A8421" t="str">
            <v>PAK</v>
          </cell>
          <cell r="B8421">
            <v>2024</v>
          </cell>
          <cell r="C8421" t="str">
            <v>macab_</v>
          </cell>
          <cell r="D8421">
            <v>-0.65457099676132202</v>
          </cell>
          <cell r="F8421" t="str">
            <v>14 Aug 2024</v>
          </cell>
        </row>
        <row r="8422">
          <cell r="A8422" t="str">
            <v>PAK</v>
          </cell>
          <cell r="B8422">
            <v>2020</v>
          </cell>
          <cell r="C8422" t="str">
            <v>mac_labz</v>
          </cell>
          <cell r="D8422">
            <v>1.5720599889755249</v>
          </cell>
          <cell r="F8422" t="str">
            <v>14 Aug 2024</v>
          </cell>
        </row>
        <row r="8423">
          <cell r="A8423" t="str">
            <v>PAK</v>
          </cell>
          <cell r="B8423">
            <v>2021</v>
          </cell>
          <cell r="C8423" t="str">
            <v>maexpz</v>
          </cell>
          <cell r="D8423">
            <v>6.5212135314941406</v>
          </cell>
          <cell r="F8423" t="str">
            <v>14 Aug 2024</v>
          </cell>
        </row>
        <row r="8424">
          <cell r="A8424" t="str">
            <v>PAK</v>
          </cell>
          <cell r="B8424">
            <v>2005</v>
          </cell>
          <cell r="C8424" t="str">
            <v>mar_taxfc</v>
          </cell>
          <cell r="D8424">
            <v>4.9208240509033203</v>
          </cell>
          <cell r="F8424" t="str">
            <v>14 Aug 2024</v>
          </cell>
        </row>
        <row r="8425">
          <cell r="A8425" t="str">
            <v>PAK</v>
          </cell>
          <cell r="B8425">
            <v>2012</v>
          </cell>
          <cell r="C8425" t="str">
            <v>maindfc</v>
          </cell>
          <cell r="D8425">
            <v>2.3324079513549805</v>
          </cell>
          <cell r="F8425" t="str">
            <v>14 Aug 2024</v>
          </cell>
        </row>
        <row r="8426">
          <cell r="A8426" t="str">
            <v>PAK</v>
          </cell>
          <cell r="B8426">
            <v>2018</v>
          </cell>
          <cell r="C8426" t="str">
            <v>malabz</v>
          </cell>
          <cell r="D8426">
            <v>1.9798544645309448</v>
          </cell>
          <cell r="F8426" t="str">
            <v>14 Aug 2024</v>
          </cell>
        </row>
        <row r="8427">
          <cell r="A8427" t="str">
            <v>PAK</v>
          </cell>
          <cell r="B8427">
            <v>2014</v>
          </cell>
          <cell r="C8427" t="str">
            <v>mar_taxfc</v>
          </cell>
          <cell r="D8427">
            <v>4.3394618034362793</v>
          </cell>
          <cell r="F8427" t="str">
            <v>14 Aug 2024</v>
          </cell>
        </row>
        <row r="8428">
          <cell r="A8428" t="str">
            <v>PAK</v>
          </cell>
          <cell r="B8428">
            <v>2011</v>
          </cell>
          <cell r="C8428" t="str">
            <v>macpiz</v>
          </cell>
          <cell r="D8428">
            <v>13.65074348449707</v>
          </cell>
          <cell r="F8428" t="str">
            <v>14 Aug 2024</v>
          </cell>
        </row>
        <row r="8429">
          <cell r="A8429" t="str">
            <v>PAK</v>
          </cell>
          <cell r="B8429">
            <v>2026</v>
          </cell>
          <cell r="C8429" t="str">
            <v>mainvz</v>
          </cell>
          <cell r="D8429">
            <v>1.981342077255249</v>
          </cell>
          <cell r="F8429" t="str">
            <v>14 Aug 2024</v>
          </cell>
        </row>
        <row r="8430">
          <cell r="A8430" t="str">
            <v>PAK</v>
          </cell>
          <cell r="B8430">
            <v>2005</v>
          </cell>
          <cell r="C8430" t="str">
            <v>mac_labz</v>
          </cell>
          <cell r="D8430">
            <v>0</v>
          </cell>
          <cell r="F8430" t="str">
            <v>14 Aug 2024</v>
          </cell>
        </row>
        <row r="8431">
          <cell r="A8431" t="str">
            <v>PAK</v>
          </cell>
          <cell r="B8431">
            <v>2005</v>
          </cell>
          <cell r="C8431" t="str">
            <v>magovz</v>
          </cell>
          <cell r="D8431">
            <v>1.299885630607605</v>
          </cell>
          <cell r="F8431" t="str">
            <v>14 Aug 2024</v>
          </cell>
        </row>
        <row r="8432">
          <cell r="A8432" t="str">
            <v>PAK</v>
          </cell>
          <cell r="B8432">
            <v>2005</v>
          </cell>
          <cell r="C8432" t="str">
            <v>malabz</v>
          </cell>
          <cell r="D8432">
            <v>0</v>
          </cell>
          <cell r="F8432" t="str">
            <v>14 Aug 2024</v>
          </cell>
        </row>
        <row r="8433">
          <cell r="A8433" t="str">
            <v>PAK</v>
          </cell>
          <cell r="B8433">
            <v>2018</v>
          </cell>
          <cell r="C8433" t="str">
            <v>mar_con</v>
          </cell>
          <cell r="D8433">
            <v>83.4329833984375</v>
          </cell>
          <cell r="F8433" t="str">
            <v>14 Aug 2024</v>
          </cell>
        </row>
        <row r="8434">
          <cell r="A8434" t="str">
            <v>PAK</v>
          </cell>
          <cell r="B8434">
            <v>2005</v>
          </cell>
          <cell r="C8434" t="str">
            <v>mar_con</v>
          </cell>
          <cell r="D8434">
            <v>83.810356140136719</v>
          </cell>
          <cell r="F8434" t="str">
            <v>14 Aug 2024</v>
          </cell>
        </row>
        <row r="8435">
          <cell r="A8435" t="str">
            <v>PAK</v>
          </cell>
          <cell r="B8435">
            <v>2005</v>
          </cell>
          <cell r="C8435" t="str">
            <v>mar_impz</v>
          </cell>
          <cell r="D8435">
            <v>21.81559944152832</v>
          </cell>
          <cell r="F8435" t="str">
            <v>14 Aug 2024</v>
          </cell>
        </row>
        <row r="8436">
          <cell r="A8436" t="str">
            <v>PAK</v>
          </cell>
          <cell r="B8436">
            <v>2005</v>
          </cell>
          <cell r="C8436" t="str">
            <v>mar_srvfc</v>
          </cell>
          <cell r="D8436">
            <v>52.840599060058594</v>
          </cell>
          <cell r="F8436" t="str">
            <v>14 Aug 2024</v>
          </cell>
        </row>
        <row r="8437">
          <cell r="A8437" t="str">
            <v>PAK</v>
          </cell>
          <cell r="B8437">
            <v>2005</v>
          </cell>
          <cell r="C8437" t="str">
            <v>mareer</v>
          </cell>
          <cell r="D8437">
            <v>0</v>
          </cell>
          <cell r="F8437" t="str">
            <v>14 Aug 2024</v>
          </cell>
        </row>
        <row r="8438">
          <cell r="A8438" t="str">
            <v>PAK</v>
          </cell>
          <cell r="B8438">
            <v>2006</v>
          </cell>
          <cell r="C8438" t="str">
            <v>madebt_</v>
          </cell>
          <cell r="D8438">
            <v>45.560443878173828</v>
          </cell>
          <cell r="F8438" t="str">
            <v>14 Aug 2024</v>
          </cell>
        </row>
        <row r="8439">
          <cell r="A8439" t="str">
            <v>PAK</v>
          </cell>
          <cell r="B8439">
            <v>2018</v>
          </cell>
          <cell r="C8439" t="str">
            <v>mar_indfc</v>
          </cell>
          <cell r="D8439">
            <v>20.035263061523438</v>
          </cell>
          <cell r="F8439" t="str">
            <v>14 Aug 2024</v>
          </cell>
        </row>
        <row r="8440">
          <cell r="A8440" t="str">
            <v>PAK</v>
          </cell>
          <cell r="B8440">
            <v>2015</v>
          </cell>
          <cell r="C8440" t="str">
            <v>magap_</v>
          </cell>
          <cell r="D8440">
            <v>-1.101483941078186</v>
          </cell>
          <cell r="F8440" t="str">
            <v>14 Aug 2024</v>
          </cell>
        </row>
        <row r="8441">
          <cell r="A8441" t="str">
            <v>PAK</v>
          </cell>
          <cell r="B8441">
            <v>2007</v>
          </cell>
          <cell r="C8441" t="str">
            <v>mac_labz</v>
          </cell>
          <cell r="D8441">
            <v>1.9899498224258423</v>
          </cell>
          <cell r="F8441" t="str">
            <v>14 Aug 2024</v>
          </cell>
        </row>
        <row r="8442">
          <cell r="A8442" t="str">
            <v>PAK</v>
          </cell>
          <cell r="B8442">
            <v>2007</v>
          </cell>
          <cell r="C8442" t="str">
            <v>maconz</v>
          </cell>
          <cell r="D8442">
            <v>5.0661077499389648</v>
          </cell>
          <cell r="F8442" t="str">
            <v>14 Aug 2024</v>
          </cell>
        </row>
        <row r="8443">
          <cell r="A8443" t="str">
            <v>PAK</v>
          </cell>
          <cell r="B8443">
            <v>2023</v>
          </cell>
          <cell r="C8443" t="str">
            <v>magap_</v>
          </cell>
          <cell r="D8443">
            <v>-5.1787729263305664</v>
          </cell>
          <cell r="F8443" t="str">
            <v>14 Aug 2024</v>
          </cell>
        </row>
        <row r="8444">
          <cell r="A8444" t="str">
            <v>PAK</v>
          </cell>
          <cell r="B8444">
            <v>2007</v>
          </cell>
          <cell r="C8444" t="str">
            <v>maindfc</v>
          </cell>
          <cell r="D8444">
            <v>7.2662849426269531</v>
          </cell>
          <cell r="F8444" t="str">
            <v>14 Aug 2024</v>
          </cell>
        </row>
        <row r="8445">
          <cell r="A8445" t="str">
            <v>PAK</v>
          </cell>
          <cell r="B8445">
            <v>2007</v>
          </cell>
          <cell r="C8445" t="str">
            <v>matfpz</v>
          </cell>
          <cell r="D8445">
            <v>1.1772427558898926</v>
          </cell>
          <cell r="F8445" t="str">
            <v>14 Aug 2024</v>
          </cell>
        </row>
        <row r="8446">
          <cell r="A8446" t="str">
            <v>PAK</v>
          </cell>
          <cell r="B8446">
            <v>2024</v>
          </cell>
          <cell r="C8446" t="str">
            <v>masrvfc</v>
          </cell>
          <cell r="D8446">
            <v>1.2441463470458984</v>
          </cell>
          <cell r="F8446" t="str">
            <v>14 Aug 2024</v>
          </cell>
        </row>
        <row r="8447">
          <cell r="A8447" t="str">
            <v>PAK</v>
          </cell>
          <cell r="B8447">
            <v>2022</v>
          </cell>
          <cell r="C8447" t="str">
            <v>mar_taxfc</v>
          </cell>
          <cell r="D8447">
            <v>5.4755940437316895</v>
          </cell>
          <cell r="F8447" t="str">
            <v>14 Aug 2024</v>
          </cell>
        </row>
        <row r="8448">
          <cell r="A8448" t="str">
            <v>PAK</v>
          </cell>
          <cell r="B8448">
            <v>2008</v>
          </cell>
          <cell r="C8448" t="str">
            <v>macab_</v>
          </cell>
          <cell r="D8448">
            <v>-6.8299670219421387</v>
          </cell>
          <cell r="F8448" t="str">
            <v>14 Aug 2024</v>
          </cell>
        </row>
        <row r="8449">
          <cell r="A8449" t="str">
            <v>PAK</v>
          </cell>
          <cell r="B8449">
            <v>2008</v>
          </cell>
          <cell r="C8449" t="str">
            <v>maconz</v>
          </cell>
          <cell r="D8449">
            <v>1.6844514608383179</v>
          </cell>
          <cell r="F8449" t="str">
            <v>14 Aug 2024</v>
          </cell>
        </row>
        <row r="8450">
          <cell r="A8450" t="str">
            <v>PAK</v>
          </cell>
          <cell r="B8450">
            <v>2008</v>
          </cell>
          <cell r="C8450" t="str">
            <v>maexpz</v>
          </cell>
          <cell r="D8450">
            <v>2.3838856220245361</v>
          </cell>
          <cell r="F8450" t="str">
            <v>14 Aug 2024</v>
          </cell>
        </row>
        <row r="8451">
          <cell r="A8451" t="str">
            <v>PAK</v>
          </cell>
          <cell r="B8451">
            <v>2008</v>
          </cell>
          <cell r="C8451" t="str">
            <v>mafdi_</v>
          </cell>
          <cell r="D8451">
            <v>-2.6263422966003418</v>
          </cell>
          <cell r="F8451" t="str">
            <v>14 Aug 2024</v>
          </cell>
        </row>
        <row r="8452">
          <cell r="A8452" t="str">
            <v>PAK</v>
          </cell>
          <cell r="B8452">
            <v>2008</v>
          </cell>
          <cell r="C8452" t="str">
            <v>maindfc</v>
          </cell>
          <cell r="D8452">
            <v>8.7765111923217773</v>
          </cell>
          <cell r="F8452" t="str">
            <v>14 Aug 2024</v>
          </cell>
        </row>
        <row r="8453">
          <cell r="A8453" t="str">
            <v>PAK</v>
          </cell>
          <cell r="B8453">
            <v>2024</v>
          </cell>
          <cell r="C8453" t="str">
            <v>magdpz</v>
          </cell>
          <cell r="D8453">
            <v>1.7583043575286865</v>
          </cell>
          <cell r="F8453" t="str">
            <v>14 Aug 2024</v>
          </cell>
        </row>
        <row r="8454">
          <cell r="A8454" t="str">
            <v>PAK</v>
          </cell>
          <cell r="B8454">
            <v>2008</v>
          </cell>
          <cell r="C8454" t="str">
            <v>mapanusatls</v>
          </cell>
          <cell r="D8454">
            <v>62.259998321533203</v>
          </cell>
          <cell r="F8454" t="str">
            <v>14 Aug 2024</v>
          </cell>
        </row>
        <row r="8455">
          <cell r="A8455" t="str">
            <v>PAK</v>
          </cell>
          <cell r="B8455">
            <v>2020</v>
          </cell>
          <cell r="C8455" t="str">
            <v>maagrfc</v>
          </cell>
          <cell r="D8455">
            <v>3.9146010875701904</v>
          </cell>
          <cell r="F8455" t="str">
            <v>14 Aug 2024</v>
          </cell>
        </row>
        <row r="8456">
          <cell r="A8456" t="str">
            <v>PAK</v>
          </cell>
          <cell r="B8456">
            <v>2009</v>
          </cell>
          <cell r="C8456" t="str">
            <v>magdpz</v>
          </cell>
          <cell r="D8456">
            <v>3.472550630569458</v>
          </cell>
          <cell r="F8456" t="str">
            <v>14 Aug 2024</v>
          </cell>
        </row>
        <row r="8457">
          <cell r="A8457" t="str">
            <v>PAK</v>
          </cell>
          <cell r="B8457">
            <v>2009</v>
          </cell>
          <cell r="C8457" t="str">
            <v>maimpz</v>
          </cell>
          <cell r="D8457">
            <v>-13.390266418457031</v>
          </cell>
          <cell r="F8457" t="str">
            <v>14 Aug 2024</v>
          </cell>
        </row>
        <row r="8458">
          <cell r="A8458" t="str">
            <v>PAK</v>
          </cell>
          <cell r="B8458">
            <v>2009</v>
          </cell>
          <cell r="C8458" t="str">
            <v>maindfc</v>
          </cell>
          <cell r="D8458">
            <v>-4.1457452774047852</v>
          </cell>
          <cell r="F8458" t="str">
            <v>14 Aug 2024</v>
          </cell>
        </row>
        <row r="8459">
          <cell r="A8459" t="str">
            <v>PAK</v>
          </cell>
          <cell r="B8459">
            <v>2024</v>
          </cell>
          <cell r="C8459" t="str">
            <v>maagrfc</v>
          </cell>
          <cell r="D8459">
            <v>3.0488400459289551</v>
          </cell>
          <cell r="F8459" t="str">
            <v>14 Aug 2024</v>
          </cell>
        </row>
        <row r="8460">
          <cell r="A8460" t="str">
            <v>PAK</v>
          </cell>
          <cell r="B8460">
            <v>2009</v>
          </cell>
          <cell r="C8460" t="str">
            <v>mar_con</v>
          </cell>
          <cell r="D8460">
            <v>78.247123718261719</v>
          </cell>
          <cell r="F8460" t="str">
            <v>14 Aug 2024</v>
          </cell>
        </row>
        <row r="8461">
          <cell r="A8461" t="str">
            <v>PAK</v>
          </cell>
          <cell r="B8461">
            <v>2009</v>
          </cell>
          <cell r="C8461" t="str">
            <v>mar_expz</v>
          </cell>
          <cell r="D8461">
            <v>11.295425415039063</v>
          </cell>
          <cell r="F8461" t="str">
            <v>14 Aug 2024</v>
          </cell>
        </row>
        <row r="8462">
          <cell r="A8462" t="str">
            <v>PAK</v>
          </cell>
          <cell r="B8462">
            <v>2009</v>
          </cell>
          <cell r="C8462" t="str">
            <v>mar_taxfc</v>
          </cell>
          <cell r="D8462">
            <v>4.7491283416748047</v>
          </cell>
          <cell r="F8462" t="str">
            <v>14 Aug 2024</v>
          </cell>
        </row>
        <row r="8463">
          <cell r="A8463" t="str">
            <v>PAK</v>
          </cell>
          <cell r="B8463">
            <v>2009</v>
          </cell>
          <cell r="C8463" t="str">
            <v>mareer</v>
          </cell>
          <cell r="D8463">
            <v>80.225997924804688</v>
          </cell>
          <cell r="F8463" t="str">
            <v>14 Aug 2024</v>
          </cell>
        </row>
        <row r="8464">
          <cell r="A8464" t="str">
            <v>PAK</v>
          </cell>
          <cell r="B8464">
            <v>2010</v>
          </cell>
          <cell r="C8464" t="str">
            <v>mac_tfpz</v>
          </cell>
          <cell r="D8464">
            <v>1.0367035865783691</v>
          </cell>
          <cell r="F8464" t="str">
            <v>14 Aug 2024</v>
          </cell>
        </row>
        <row r="8465">
          <cell r="A8465" t="str">
            <v>PAK</v>
          </cell>
          <cell r="B8465">
            <v>2010</v>
          </cell>
          <cell r="C8465" t="str">
            <v>maconz</v>
          </cell>
          <cell r="D8465">
            <v>2.2332065105438232</v>
          </cell>
          <cell r="F8465" t="str">
            <v>14 Aug 2024</v>
          </cell>
        </row>
        <row r="8466">
          <cell r="A8466" t="str">
            <v>PAK</v>
          </cell>
          <cell r="B8466">
            <v>2010</v>
          </cell>
          <cell r="C8466" t="str">
            <v>mapanusatls</v>
          </cell>
          <cell r="D8466">
            <v>83.919998168945313</v>
          </cell>
          <cell r="F8466" t="str">
            <v>14 Aug 2024</v>
          </cell>
        </row>
        <row r="8467">
          <cell r="A8467" t="str">
            <v>PAK</v>
          </cell>
          <cell r="B8467">
            <v>2010</v>
          </cell>
          <cell r="C8467" t="str">
            <v>mar_impz</v>
          </cell>
          <cell r="D8467">
            <v>18.047439575195313</v>
          </cell>
          <cell r="F8467" t="str">
            <v>14 Aug 2024</v>
          </cell>
        </row>
        <row r="8468">
          <cell r="A8468" t="str">
            <v>PAK</v>
          </cell>
          <cell r="B8468">
            <v>2011</v>
          </cell>
          <cell r="C8468" t="str">
            <v>madeficit_</v>
          </cell>
          <cell r="D8468">
            <v>-5.8226356506347656</v>
          </cell>
          <cell r="F8468" t="str">
            <v>14 Aug 2024</v>
          </cell>
        </row>
        <row r="8469">
          <cell r="A8469" t="str">
            <v>PAK</v>
          </cell>
          <cell r="B8469">
            <v>2011</v>
          </cell>
          <cell r="C8469" t="str">
            <v>mareer</v>
          </cell>
          <cell r="D8469">
            <v>84.815391540527344</v>
          </cell>
          <cell r="F8469" t="str">
            <v>14 Aug 2024</v>
          </cell>
        </row>
        <row r="8470">
          <cell r="A8470" t="str">
            <v>PAK</v>
          </cell>
          <cell r="B8470">
            <v>2012</v>
          </cell>
          <cell r="C8470" t="str">
            <v>mafdi_</v>
          </cell>
          <cell r="D8470">
            <v>-0.29747161269187927</v>
          </cell>
          <cell r="F8470" t="str">
            <v>14 Aug 2024</v>
          </cell>
        </row>
        <row r="8471">
          <cell r="A8471" t="str">
            <v>PAK</v>
          </cell>
          <cell r="B8471">
            <v>2012</v>
          </cell>
          <cell r="C8471" t="str">
            <v>magovz</v>
          </cell>
          <cell r="D8471">
            <v>1.7899967432022095</v>
          </cell>
          <cell r="F8471" t="str">
            <v>14 Aug 2024</v>
          </cell>
        </row>
        <row r="8472">
          <cell r="A8472" t="str">
            <v>PAK</v>
          </cell>
          <cell r="B8472">
            <v>2018</v>
          </cell>
          <cell r="C8472" t="str">
            <v>maconz</v>
          </cell>
          <cell r="D8472">
            <v>7.2072267532348633</v>
          </cell>
          <cell r="F8472" t="str">
            <v>14 Aug 2024</v>
          </cell>
        </row>
        <row r="8473">
          <cell r="A8473" t="str">
            <v>PAK</v>
          </cell>
          <cell r="B8473">
            <v>2025</v>
          </cell>
          <cell r="C8473" t="str">
            <v>matfpz</v>
          </cell>
          <cell r="D8473">
            <v>1.3843319416046143</v>
          </cell>
          <cell r="F8473" t="str">
            <v>14 Aug 2024</v>
          </cell>
        </row>
        <row r="8474">
          <cell r="A8474" t="str">
            <v>PAK</v>
          </cell>
          <cell r="B8474">
            <v>2012</v>
          </cell>
          <cell r="C8474" t="str">
            <v>maimpz</v>
          </cell>
          <cell r="D8474">
            <v>-4.2046332359313965</v>
          </cell>
          <cell r="F8474" t="str">
            <v>14 Aug 2024</v>
          </cell>
        </row>
        <row r="8475">
          <cell r="A8475" t="str">
            <v>PAK</v>
          </cell>
          <cell r="B8475">
            <v>2014</v>
          </cell>
          <cell r="C8475" t="str">
            <v>mar_indfc</v>
          </cell>
          <cell r="D8475">
            <v>18.824743270874023</v>
          </cell>
          <cell r="F8475" t="str">
            <v>14 Aug 2024</v>
          </cell>
        </row>
        <row r="8476">
          <cell r="A8476" t="str">
            <v>PAK</v>
          </cell>
          <cell r="B8476">
            <v>2013</v>
          </cell>
          <cell r="C8476" t="str">
            <v>macpiz</v>
          </cell>
          <cell r="D8476">
            <v>7.3595786094665527</v>
          </cell>
          <cell r="F8476" t="str">
            <v>14 Aug 2024</v>
          </cell>
        </row>
        <row r="8477">
          <cell r="A8477" t="str">
            <v>PAK</v>
          </cell>
          <cell r="B8477">
            <v>2014</v>
          </cell>
          <cell r="C8477" t="str">
            <v>macpiz</v>
          </cell>
          <cell r="D8477">
            <v>8.6184749603271484</v>
          </cell>
          <cell r="F8477" t="str">
            <v>14 Aug 2024</v>
          </cell>
        </row>
        <row r="8478">
          <cell r="A8478" t="str">
            <v>PAK</v>
          </cell>
          <cell r="B8478">
            <v>2010</v>
          </cell>
          <cell r="C8478" t="str">
            <v>macpiz</v>
          </cell>
          <cell r="D8478">
            <v>10.101010322570801</v>
          </cell>
          <cell r="F8478" t="str">
            <v>14 Aug 2024</v>
          </cell>
        </row>
        <row r="8479">
          <cell r="A8479" t="str">
            <v>PAK</v>
          </cell>
          <cell r="B8479">
            <v>2007</v>
          </cell>
          <cell r="C8479" t="str">
            <v>magap_</v>
          </cell>
          <cell r="D8479">
            <v>4.8370471000671387</v>
          </cell>
          <cell r="F8479" t="str">
            <v>14 Aug 2024</v>
          </cell>
        </row>
        <row r="8480">
          <cell r="A8480" t="str">
            <v>PAK</v>
          </cell>
          <cell r="B8480">
            <v>2014</v>
          </cell>
          <cell r="C8480" t="str">
            <v>maindfc</v>
          </cell>
          <cell r="D8480">
            <v>4.3370347023010254</v>
          </cell>
          <cell r="F8480" t="str">
            <v>14 Aug 2024</v>
          </cell>
        </row>
        <row r="8481">
          <cell r="A8481" t="str">
            <v>PAK</v>
          </cell>
          <cell r="B8481">
            <v>2014</v>
          </cell>
          <cell r="C8481" t="str">
            <v>matfpz</v>
          </cell>
          <cell r="D8481">
            <v>1.6102883815765381</v>
          </cell>
          <cell r="F8481" t="str">
            <v>14 Aug 2024</v>
          </cell>
        </row>
        <row r="8482">
          <cell r="A8482" t="str">
            <v>PAK</v>
          </cell>
          <cell r="B8482">
            <v>2015</v>
          </cell>
          <cell r="C8482" t="str">
            <v>mac_labz</v>
          </cell>
          <cell r="D8482">
            <v>1.0491613149642944</v>
          </cell>
          <cell r="F8482" t="str">
            <v>14 Aug 2024</v>
          </cell>
        </row>
        <row r="8483">
          <cell r="A8483" t="str">
            <v>PAK</v>
          </cell>
          <cell r="B8483">
            <v>2015</v>
          </cell>
          <cell r="C8483" t="str">
            <v>macab_</v>
          </cell>
          <cell r="D8483">
            <v>-0.93842953443527222</v>
          </cell>
          <cell r="F8483" t="str">
            <v>14 Aug 2024</v>
          </cell>
        </row>
        <row r="8484">
          <cell r="A8484" t="str">
            <v>PAK</v>
          </cell>
          <cell r="B8484">
            <v>2015</v>
          </cell>
          <cell r="C8484" t="str">
            <v>madeficit_</v>
          </cell>
          <cell r="D8484">
            <v>-4.7142596244812012</v>
          </cell>
          <cell r="F8484" t="str">
            <v>14 Aug 2024</v>
          </cell>
        </row>
        <row r="8485">
          <cell r="A8485" t="str">
            <v>PAK</v>
          </cell>
          <cell r="B8485">
            <v>2015</v>
          </cell>
          <cell r="C8485" t="str">
            <v>magdpz</v>
          </cell>
          <cell r="D8485">
            <v>4.2179422378540039</v>
          </cell>
          <cell r="F8485" t="str">
            <v>14 Aug 2024</v>
          </cell>
        </row>
        <row r="8486">
          <cell r="A8486" t="str">
            <v>PAK</v>
          </cell>
          <cell r="B8486">
            <v>2015</v>
          </cell>
          <cell r="C8486" t="str">
            <v>mar_impz</v>
          </cell>
          <cell r="D8486">
            <v>14.436042785644531</v>
          </cell>
          <cell r="F8486" t="str">
            <v>14 Aug 2024</v>
          </cell>
        </row>
        <row r="8487">
          <cell r="A8487" t="str">
            <v>PAK</v>
          </cell>
          <cell r="B8487">
            <v>2015</v>
          </cell>
          <cell r="C8487" t="str">
            <v>mar_srvfc</v>
          </cell>
          <cell r="D8487">
            <v>56.062576293945313</v>
          </cell>
          <cell r="F8487" t="str">
            <v>14 Aug 2024</v>
          </cell>
        </row>
        <row r="8488">
          <cell r="A8488" t="str">
            <v>PAK</v>
          </cell>
          <cell r="B8488">
            <v>2015</v>
          </cell>
          <cell r="C8488" t="str">
            <v>malabz</v>
          </cell>
          <cell r="D8488">
            <v>1.4988018274307251</v>
          </cell>
          <cell r="F8488" t="str">
            <v>14 Aug 2024</v>
          </cell>
        </row>
        <row r="8489">
          <cell r="A8489" t="str">
            <v>PAK</v>
          </cell>
          <cell r="B8489">
            <v>2016</v>
          </cell>
          <cell r="C8489" t="str">
            <v>maagrfc</v>
          </cell>
          <cell r="D8489">
            <v>0.40543478727340698</v>
          </cell>
          <cell r="F8489" t="str">
            <v>14 Aug 2024</v>
          </cell>
        </row>
        <row r="8490">
          <cell r="A8490" t="str">
            <v>PAK</v>
          </cell>
          <cell r="B8490">
            <v>2021</v>
          </cell>
          <cell r="C8490" t="str">
            <v>magovz</v>
          </cell>
          <cell r="D8490">
            <v>1.8168853521347046</v>
          </cell>
          <cell r="F8490" t="str">
            <v>14 Aug 2024</v>
          </cell>
        </row>
        <row r="8491">
          <cell r="A8491" t="str">
            <v>PAK</v>
          </cell>
          <cell r="B8491">
            <v>2016</v>
          </cell>
          <cell r="C8491" t="str">
            <v>malabz</v>
          </cell>
          <cell r="D8491">
            <v>1.4064071178436279</v>
          </cell>
          <cell r="F8491" t="str">
            <v>14 Aug 2024</v>
          </cell>
        </row>
        <row r="8492">
          <cell r="A8492" t="str">
            <v>PAK</v>
          </cell>
          <cell r="B8492">
            <v>2016</v>
          </cell>
          <cell r="C8492" t="str">
            <v>mar_impz</v>
          </cell>
          <cell r="D8492">
            <v>15.964861869812012</v>
          </cell>
          <cell r="F8492" t="str">
            <v>14 Aug 2024</v>
          </cell>
        </row>
        <row r="8493">
          <cell r="A8493" t="str">
            <v>PAK</v>
          </cell>
          <cell r="B8493">
            <v>2016</v>
          </cell>
          <cell r="C8493" t="str">
            <v>mar_srvfc</v>
          </cell>
          <cell r="D8493">
            <v>56.580230712890625</v>
          </cell>
          <cell r="F8493" t="str">
            <v>14 Aug 2024</v>
          </cell>
        </row>
        <row r="8494">
          <cell r="A8494" t="str">
            <v>PAK</v>
          </cell>
          <cell r="B8494">
            <v>2017</v>
          </cell>
          <cell r="C8494" t="str">
            <v>maagrfc</v>
          </cell>
          <cell r="D8494">
            <v>2.216285228729248</v>
          </cell>
          <cell r="F8494" t="str">
            <v>14 Aug 2024</v>
          </cell>
        </row>
        <row r="8495">
          <cell r="A8495" t="str">
            <v>PAK</v>
          </cell>
          <cell r="B8495">
            <v>2017</v>
          </cell>
          <cell r="C8495" t="str">
            <v>maexpz</v>
          </cell>
          <cell r="D8495">
            <v>2.4713525772094727</v>
          </cell>
          <cell r="F8495" t="str">
            <v>14 Aug 2024</v>
          </cell>
        </row>
        <row r="8496">
          <cell r="A8496" t="str">
            <v>PAK</v>
          </cell>
          <cell r="B8496">
            <v>2017</v>
          </cell>
          <cell r="C8496" t="str">
            <v>mafdi_</v>
          </cell>
          <cell r="D8496">
            <v>-0.68393790721893311</v>
          </cell>
          <cell r="F8496" t="str">
            <v>14 Aug 2024</v>
          </cell>
        </row>
        <row r="8497">
          <cell r="A8497" t="str">
            <v>PAK</v>
          </cell>
          <cell r="B8497">
            <v>2015</v>
          </cell>
          <cell r="C8497" t="str">
            <v>maexpz</v>
          </cell>
          <cell r="D8497">
            <v>-3.8293483257293701</v>
          </cell>
          <cell r="F8497" t="str">
            <v>14 Aug 2024</v>
          </cell>
        </row>
        <row r="8498">
          <cell r="A8498" t="str">
            <v>PAK</v>
          </cell>
          <cell r="B8498">
            <v>2017</v>
          </cell>
          <cell r="C8498" t="str">
            <v>maimpz</v>
          </cell>
          <cell r="D8498">
            <v>18.983634948730469</v>
          </cell>
          <cell r="F8498" t="str">
            <v>14 Aug 2024</v>
          </cell>
        </row>
        <row r="8499">
          <cell r="A8499" t="str">
            <v>PAK</v>
          </cell>
          <cell r="B8499">
            <v>2022</v>
          </cell>
          <cell r="C8499" t="str">
            <v>mapanusatls</v>
          </cell>
          <cell r="D8499">
            <v>177.80633544921875</v>
          </cell>
          <cell r="F8499" t="str">
            <v>14 Aug 2024</v>
          </cell>
        </row>
        <row r="8500">
          <cell r="A8500" t="str">
            <v>PAK</v>
          </cell>
          <cell r="B8500">
            <v>2017</v>
          </cell>
          <cell r="C8500" t="str">
            <v>mar_con</v>
          </cell>
          <cell r="D8500">
            <v>82.611534118652344</v>
          </cell>
          <cell r="F8500" t="str">
            <v>14 Aug 2024</v>
          </cell>
        </row>
        <row r="8501">
          <cell r="A8501" t="str">
            <v>PAK</v>
          </cell>
          <cell r="B8501">
            <v>2017</v>
          </cell>
          <cell r="C8501" t="str">
            <v>mar_impz</v>
          </cell>
          <cell r="D8501">
            <v>18.189308166503906</v>
          </cell>
          <cell r="F8501" t="str">
            <v>14 Aug 2024</v>
          </cell>
        </row>
        <row r="8502">
          <cell r="A8502" t="str">
            <v>PAK</v>
          </cell>
          <cell r="B8502">
            <v>2010</v>
          </cell>
          <cell r="C8502" t="str">
            <v>mar_agrfc</v>
          </cell>
          <cell r="D8502">
            <v>25.893693923950195</v>
          </cell>
          <cell r="F8502" t="str">
            <v>14 Aug 2024</v>
          </cell>
        </row>
        <row r="8503">
          <cell r="A8503" t="str">
            <v>PAK</v>
          </cell>
          <cell r="B8503">
            <v>2018</v>
          </cell>
          <cell r="C8503" t="str">
            <v>maexpz</v>
          </cell>
          <cell r="D8503">
            <v>10.040596961975098</v>
          </cell>
          <cell r="F8503" t="str">
            <v>14 Aug 2024</v>
          </cell>
        </row>
        <row r="8504">
          <cell r="A8504" t="str">
            <v>PAK</v>
          </cell>
          <cell r="B8504">
            <v>2018</v>
          </cell>
          <cell r="C8504" t="str">
            <v>mafdi_</v>
          </cell>
          <cell r="D8504">
            <v>-0.77834230661392212</v>
          </cell>
          <cell r="F8504" t="str">
            <v>14 Aug 2024</v>
          </cell>
        </row>
        <row r="8505">
          <cell r="A8505" t="str">
            <v>PAK</v>
          </cell>
          <cell r="B8505">
            <v>2018</v>
          </cell>
          <cell r="C8505" t="str">
            <v>maimpz</v>
          </cell>
          <cell r="D8505">
            <v>15.733280181884766</v>
          </cell>
          <cell r="F8505" t="str">
            <v>14 Aug 2024</v>
          </cell>
        </row>
        <row r="8506">
          <cell r="A8506" t="str">
            <v>PAK</v>
          </cell>
          <cell r="B8506">
            <v>2018</v>
          </cell>
          <cell r="C8506" t="str">
            <v>mapanusatls</v>
          </cell>
          <cell r="D8506">
            <v>110.04000091552734</v>
          </cell>
          <cell r="F8506" t="str">
            <v>14 Aug 2024</v>
          </cell>
        </row>
        <row r="8507">
          <cell r="A8507" t="str">
            <v>PAK</v>
          </cell>
          <cell r="B8507">
            <v>2016</v>
          </cell>
          <cell r="C8507" t="str">
            <v>maexpz</v>
          </cell>
          <cell r="D8507">
            <v>1.4499074220657349</v>
          </cell>
          <cell r="F8507" t="str">
            <v>14 Aug 2024</v>
          </cell>
        </row>
        <row r="8508">
          <cell r="A8508" t="str">
            <v>PAK</v>
          </cell>
          <cell r="B8508">
            <v>2010</v>
          </cell>
          <cell r="C8508" t="str">
            <v>matfpz</v>
          </cell>
          <cell r="D8508">
            <v>1.0367035865783691</v>
          </cell>
          <cell r="F8508" t="str">
            <v>14 Aug 2024</v>
          </cell>
        </row>
        <row r="8509">
          <cell r="A8509" t="str">
            <v>PAK</v>
          </cell>
          <cell r="B8509">
            <v>2018</v>
          </cell>
          <cell r="C8509" t="str">
            <v>mar_expz</v>
          </cell>
          <cell r="D8509">
            <v>8.8866996765136719</v>
          </cell>
          <cell r="F8509" t="str">
            <v>14 Aug 2024</v>
          </cell>
        </row>
        <row r="8510">
          <cell r="A8510" t="str">
            <v>PAK</v>
          </cell>
          <cell r="B8510">
            <v>2018</v>
          </cell>
          <cell r="C8510" t="str">
            <v>masrvfc</v>
          </cell>
          <cell r="D8510">
            <v>5.952782154083252</v>
          </cell>
          <cell r="F8510" t="str">
            <v>14 Aug 2024</v>
          </cell>
        </row>
        <row r="8511">
          <cell r="A8511" t="str">
            <v>PAK</v>
          </cell>
          <cell r="B8511">
            <v>2019</v>
          </cell>
          <cell r="C8511" t="str">
            <v>macpiz</v>
          </cell>
          <cell r="D8511">
            <v>6.7991251945495605</v>
          </cell>
          <cell r="F8511" t="str">
            <v>14 Aug 2024</v>
          </cell>
        </row>
        <row r="8512">
          <cell r="A8512" t="str">
            <v>PAK</v>
          </cell>
          <cell r="B8512">
            <v>2019</v>
          </cell>
          <cell r="C8512" t="str">
            <v>maexpz</v>
          </cell>
          <cell r="D8512">
            <v>13.172348976135254</v>
          </cell>
          <cell r="F8512" t="str">
            <v>14 Aug 2024</v>
          </cell>
        </row>
        <row r="8513">
          <cell r="A8513" t="str">
            <v>PAK</v>
          </cell>
          <cell r="B8513">
            <v>2019</v>
          </cell>
          <cell r="C8513" t="str">
            <v>magdpz</v>
          </cell>
          <cell r="D8513">
            <v>2.4976370334625244</v>
          </cell>
          <cell r="F8513" t="str">
            <v>14 Aug 2024</v>
          </cell>
        </row>
        <row r="8514">
          <cell r="A8514" t="str">
            <v>PAK</v>
          </cell>
          <cell r="B8514">
            <v>2019</v>
          </cell>
          <cell r="C8514" t="str">
            <v>mainvz</v>
          </cell>
          <cell r="D8514">
            <v>-11.06342601776123</v>
          </cell>
          <cell r="F8514" t="str">
            <v>14 Aug 2024</v>
          </cell>
        </row>
        <row r="8515">
          <cell r="A8515" t="str">
            <v>PAK</v>
          </cell>
          <cell r="B8515">
            <v>2011</v>
          </cell>
          <cell r="C8515" t="str">
            <v>matfpz</v>
          </cell>
          <cell r="D8515">
            <v>1.1341029405593872</v>
          </cell>
          <cell r="F8515" t="str">
            <v>14 Aug 2024</v>
          </cell>
        </row>
        <row r="8516">
          <cell r="A8516" t="str">
            <v>PAK</v>
          </cell>
          <cell r="B8516">
            <v>2019</v>
          </cell>
          <cell r="C8516" t="str">
            <v>mar_impz</v>
          </cell>
          <cell r="D8516">
            <v>20.820638656616211</v>
          </cell>
          <cell r="F8516" t="str">
            <v>14 Aug 2024</v>
          </cell>
        </row>
        <row r="8517">
          <cell r="A8517" t="str">
            <v>PAK</v>
          </cell>
          <cell r="B8517">
            <v>2019</v>
          </cell>
          <cell r="C8517" t="str">
            <v>matfpz</v>
          </cell>
          <cell r="D8517">
            <v>1.6664537191390991</v>
          </cell>
          <cell r="F8517" t="str">
            <v>14 Aug 2024</v>
          </cell>
        </row>
        <row r="8518">
          <cell r="A8518" t="str">
            <v>PAK</v>
          </cell>
          <cell r="B8518">
            <v>2026</v>
          </cell>
          <cell r="C8518" t="str">
            <v>madeficit_</v>
          </cell>
          <cell r="D8518">
            <v>-7.4699664115905762</v>
          </cell>
          <cell r="F8518" t="str">
            <v>14 Aug 2024</v>
          </cell>
        </row>
        <row r="8519">
          <cell r="A8519" t="str">
            <v>PAK</v>
          </cell>
          <cell r="B8519">
            <v>2020</v>
          </cell>
          <cell r="C8519" t="str">
            <v>malabz</v>
          </cell>
          <cell r="D8519">
            <v>2.2458000183105469</v>
          </cell>
          <cell r="F8519" t="str">
            <v>14 Aug 2024</v>
          </cell>
        </row>
        <row r="8520">
          <cell r="A8520" t="str">
            <v>PAK</v>
          </cell>
          <cell r="B8520">
            <v>2020</v>
          </cell>
          <cell r="C8520" t="str">
            <v>mar_impz</v>
          </cell>
          <cell r="D8520">
            <v>20.021472930908203</v>
          </cell>
          <cell r="F8520" t="str">
            <v>14 Aug 2024</v>
          </cell>
        </row>
        <row r="8521">
          <cell r="A8521" t="str">
            <v>PAK</v>
          </cell>
          <cell r="B8521">
            <v>2020</v>
          </cell>
          <cell r="C8521" t="str">
            <v>masrvfc</v>
          </cell>
          <cell r="D8521">
            <v>-1.2089881896972656</v>
          </cell>
          <cell r="F8521" t="str">
            <v>14 Aug 2024</v>
          </cell>
        </row>
        <row r="8522">
          <cell r="A8522" t="str">
            <v>PAK</v>
          </cell>
          <cell r="B8522">
            <v>2024</v>
          </cell>
          <cell r="C8522" t="str">
            <v>mac_tfpz</v>
          </cell>
          <cell r="D8522">
            <v>1.4073634147644043</v>
          </cell>
          <cell r="F8522" t="str">
            <v>14 Aug 2024</v>
          </cell>
        </row>
        <row r="8523">
          <cell r="A8523" t="str">
            <v>PAK</v>
          </cell>
          <cell r="B8523">
            <v>2021</v>
          </cell>
          <cell r="C8523" t="str">
            <v>mac_labz</v>
          </cell>
          <cell r="D8523">
            <v>1.6733530759811401</v>
          </cell>
          <cell r="F8523" t="str">
            <v>14 Aug 2024</v>
          </cell>
        </row>
        <row r="8524">
          <cell r="A8524" t="str">
            <v>PAK</v>
          </cell>
          <cell r="B8524">
            <v>2021</v>
          </cell>
          <cell r="C8524" t="str">
            <v>mar_con</v>
          </cell>
          <cell r="D8524">
            <v>86.901817321777344</v>
          </cell>
          <cell r="F8524" t="str">
            <v>14 Aug 2024</v>
          </cell>
        </row>
        <row r="8525">
          <cell r="A8525" t="str">
            <v>PAK</v>
          </cell>
          <cell r="B8525">
            <v>2021</v>
          </cell>
          <cell r="C8525" t="str">
            <v>masrvfc</v>
          </cell>
          <cell r="D8525">
            <v>5.9093494415283203</v>
          </cell>
          <cell r="F8525" t="str">
            <v>14 Aug 2024</v>
          </cell>
        </row>
        <row r="8526">
          <cell r="A8526" t="str">
            <v>PAK</v>
          </cell>
          <cell r="B8526">
            <v>2010</v>
          </cell>
          <cell r="C8526" t="str">
            <v>mainvz</v>
          </cell>
          <cell r="D8526">
            <v>-7.6944961547851563</v>
          </cell>
          <cell r="F8526" t="str">
            <v>14 Aug 2024</v>
          </cell>
        </row>
        <row r="8527">
          <cell r="A8527" t="str">
            <v>PAK</v>
          </cell>
          <cell r="B8527">
            <v>2022</v>
          </cell>
          <cell r="C8527" t="str">
            <v>maimpz</v>
          </cell>
          <cell r="D8527">
            <v>11.019148826599121</v>
          </cell>
          <cell r="F8527" t="str">
            <v>14 Aug 2024</v>
          </cell>
        </row>
        <row r="8528">
          <cell r="A8528" t="str">
            <v>PAK</v>
          </cell>
          <cell r="B8528">
            <v>2022</v>
          </cell>
          <cell r="C8528" t="str">
            <v>malabz</v>
          </cell>
          <cell r="D8528">
            <v>2.5166051387786865</v>
          </cell>
          <cell r="F8528" t="str">
            <v>14 Aug 2024</v>
          </cell>
        </row>
        <row r="8529">
          <cell r="A8529" t="str">
            <v>PAK</v>
          </cell>
          <cell r="B8529">
            <v>2017</v>
          </cell>
          <cell r="C8529" t="str">
            <v>macab_</v>
          </cell>
          <cell r="D8529">
            <v>-3.6172060966491699</v>
          </cell>
          <cell r="F8529" t="str">
            <v>14 Aug 2024</v>
          </cell>
        </row>
        <row r="8530">
          <cell r="A8530" t="str">
            <v>PAK</v>
          </cell>
          <cell r="B8530">
            <v>2022</v>
          </cell>
          <cell r="C8530" t="str">
            <v>mar_agrfc</v>
          </cell>
          <cell r="D8530">
            <v>22.618528366088867</v>
          </cell>
          <cell r="F8530" t="str">
            <v>14 Aug 2024</v>
          </cell>
        </row>
        <row r="8531">
          <cell r="A8531" t="str">
            <v>PAK</v>
          </cell>
          <cell r="B8531">
            <v>2022</v>
          </cell>
          <cell r="C8531" t="str">
            <v>mar_indfc</v>
          </cell>
          <cell r="D8531">
            <v>19.097591400146484</v>
          </cell>
          <cell r="F8531" t="str">
            <v>14 Aug 2024</v>
          </cell>
        </row>
        <row r="8532">
          <cell r="A8532" t="str">
            <v>PAK</v>
          </cell>
          <cell r="B8532">
            <v>2015</v>
          </cell>
          <cell r="C8532" t="str">
            <v>mar_taxfc</v>
          </cell>
          <cell r="D8532">
            <v>4.7478947639465332</v>
          </cell>
          <cell r="F8532" t="str">
            <v>14 Aug 2024</v>
          </cell>
        </row>
        <row r="8533">
          <cell r="A8533" t="str">
            <v>PAK</v>
          </cell>
          <cell r="B8533">
            <v>2010</v>
          </cell>
          <cell r="C8533" t="str">
            <v>macab_</v>
          </cell>
          <cell r="D8533">
            <v>-2.0063204765319824</v>
          </cell>
          <cell r="F8533" t="str">
            <v>14 Aug 2024</v>
          </cell>
        </row>
        <row r="8534">
          <cell r="A8534" t="str">
            <v>PAK</v>
          </cell>
          <cell r="B8534">
            <v>2023</v>
          </cell>
          <cell r="C8534" t="str">
            <v>madeficit_</v>
          </cell>
          <cell r="D8534">
            <v>-7.7161436080932617</v>
          </cell>
          <cell r="F8534" t="str">
            <v>14 Aug 2024</v>
          </cell>
        </row>
        <row r="8535">
          <cell r="A8535" t="str">
            <v>PAK</v>
          </cell>
          <cell r="B8535">
            <v>2010</v>
          </cell>
          <cell r="C8535" t="str">
            <v>mar_srvfc</v>
          </cell>
          <cell r="D8535">
            <v>55.0697021484375</v>
          </cell>
          <cell r="F8535" t="str">
            <v>14 Aug 2024</v>
          </cell>
        </row>
        <row r="8536">
          <cell r="A8536" t="str">
            <v>PAK</v>
          </cell>
          <cell r="B8536">
            <v>2023</v>
          </cell>
          <cell r="C8536" t="str">
            <v>maimpz</v>
          </cell>
          <cell r="D8536">
            <v>-0.30656397342681885</v>
          </cell>
          <cell r="F8536" t="str">
            <v>14 Aug 2024</v>
          </cell>
        </row>
        <row r="8537">
          <cell r="A8537" t="str">
            <v>PAK</v>
          </cell>
          <cell r="B8537">
            <v>2017</v>
          </cell>
          <cell r="C8537" t="str">
            <v>mainvz</v>
          </cell>
          <cell r="D8537">
            <v>7.730687141418457</v>
          </cell>
          <cell r="F8537" t="str">
            <v>14 Aug 2024</v>
          </cell>
        </row>
        <row r="8538">
          <cell r="A8538" t="str">
            <v>PAK</v>
          </cell>
          <cell r="B8538">
            <v>2023</v>
          </cell>
          <cell r="C8538" t="str">
            <v>mapanusatls</v>
          </cell>
          <cell r="D8538">
            <v>248.45329284667969</v>
          </cell>
          <cell r="F8538" t="str">
            <v>14 Aug 2024</v>
          </cell>
        </row>
        <row r="8539">
          <cell r="A8539" t="str">
            <v>PAK</v>
          </cell>
          <cell r="B8539">
            <v>2019</v>
          </cell>
          <cell r="C8539" t="str">
            <v>madeficit_</v>
          </cell>
          <cell r="D8539">
            <v>-7.7899942398071289</v>
          </cell>
          <cell r="F8539" t="str">
            <v>14 Aug 2024</v>
          </cell>
        </row>
        <row r="8540">
          <cell r="A8540" t="str">
            <v>PAK</v>
          </cell>
          <cell r="B8540">
            <v>2023</v>
          </cell>
          <cell r="C8540" t="str">
            <v>mar_agrfc</v>
          </cell>
          <cell r="D8540">
            <v>23.166244506835938</v>
          </cell>
          <cell r="F8540" t="str">
            <v>14 Aug 2024</v>
          </cell>
        </row>
        <row r="8541">
          <cell r="A8541" t="str">
            <v>PAK</v>
          </cell>
          <cell r="B8541">
            <v>2007</v>
          </cell>
          <cell r="C8541" t="str">
            <v>mar_taxfc</v>
          </cell>
          <cell r="D8541">
            <v>4.6387763023376465</v>
          </cell>
          <cell r="F8541" t="str">
            <v>14 Aug 2024</v>
          </cell>
        </row>
        <row r="8542">
          <cell r="A8542" t="str">
            <v>PAK</v>
          </cell>
          <cell r="B8542">
            <v>2024</v>
          </cell>
          <cell r="C8542" t="str">
            <v>maimpz</v>
          </cell>
          <cell r="D8542">
            <v>0.32888001203536987</v>
          </cell>
          <cell r="F8542" t="str">
            <v>14 Aug 2024</v>
          </cell>
        </row>
        <row r="8543">
          <cell r="A8543" t="str">
            <v>PAK</v>
          </cell>
          <cell r="B8543">
            <v>2025</v>
          </cell>
          <cell r="C8543" t="str">
            <v>madebt_</v>
          </cell>
          <cell r="D8543">
            <v>72.214729309082031</v>
          </cell>
          <cell r="F8543" t="str">
            <v>14 Aug 2024</v>
          </cell>
        </row>
        <row r="8544">
          <cell r="A8544" t="str">
            <v>PAK</v>
          </cell>
          <cell r="B8544">
            <v>2005</v>
          </cell>
          <cell r="C8544" t="str">
            <v>magdpz</v>
          </cell>
          <cell r="D8544">
            <v>7.2765746116638184</v>
          </cell>
          <cell r="F8544" t="str">
            <v>14 Aug 2024</v>
          </cell>
        </row>
        <row r="8545">
          <cell r="A8545" t="str">
            <v>PAK</v>
          </cell>
          <cell r="B8545">
            <v>2025</v>
          </cell>
          <cell r="C8545" t="str">
            <v>madeficit_</v>
          </cell>
          <cell r="D8545">
            <v>-7.605891227722168</v>
          </cell>
          <cell r="F8545" t="str">
            <v>14 Aug 2024</v>
          </cell>
        </row>
        <row r="8546">
          <cell r="A8546" t="str">
            <v>PAK</v>
          </cell>
          <cell r="B8546">
            <v>2023</v>
          </cell>
          <cell r="C8546" t="str">
            <v>mar_indfc</v>
          </cell>
          <cell r="D8546">
            <v>18.410659790039063</v>
          </cell>
          <cell r="F8546" t="str">
            <v>14 Aug 2024</v>
          </cell>
        </row>
        <row r="8547">
          <cell r="A8547" t="str">
            <v>PAK</v>
          </cell>
          <cell r="B8547">
            <v>2025</v>
          </cell>
          <cell r="C8547" t="str">
            <v>magovz</v>
          </cell>
          <cell r="D8547">
            <v>1.4094730615615845</v>
          </cell>
          <cell r="F8547" t="str">
            <v>14 Aug 2024</v>
          </cell>
        </row>
        <row r="8548">
          <cell r="A8548" t="str">
            <v>PAK</v>
          </cell>
          <cell r="B8548">
            <v>2025</v>
          </cell>
          <cell r="C8548" t="str">
            <v>mar_agrfc</v>
          </cell>
          <cell r="D8548">
            <v>23.43494987487793</v>
          </cell>
          <cell r="F8548" t="str">
            <v>14 Aug 2024</v>
          </cell>
        </row>
        <row r="8549">
          <cell r="A8549" t="str">
            <v>PAK</v>
          </cell>
          <cell r="B8549">
            <v>2025</v>
          </cell>
          <cell r="C8549" t="str">
            <v>mar_impz</v>
          </cell>
          <cell r="D8549">
            <v>22.173660278320313</v>
          </cell>
          <cell r="F8549" t="str">
            <v>14 Aug 2024</v>
          </cell>
        </row>
        <row r="8550">
          <cell r="A8550" t="str">
            <v>PAK</v>
          </cell>
          <cell r="B8550">
            <v>2025</v>
          </cell>
          <cell r="C8550" t="str">
            <v>mareer</v>
          </cell>
          <cell r="D8550">
            <v>74.895278930664063</v>
          </cell>
          <cell r="F8550" t="str">
            <v>14 Aug 2024</v>
          </cell>
        </row>
        <row r="8551">
          <cell r="A8551" t="str">
            <v>PAK</v>
          </cell>
          <cell r="B8551">
            <v>2026</v>
          </cell>
          <cell r="C8551" t="str">
            <v>mar_taxfc</v>
          </cell>
          <cell r="D8551">
            <v>5.6456403732299805</v>
          </cell>
          <cell r="F8551" t="str">
            <v>14 Aug 2024</v>
          </cell>
        </row>
        <row r="8552">
          <cell r="A8552" t="str">
            <v>PAK</v>
          </cell>
          <cell r="B8552">
            <v>2026</v>
          </cell>
          <cell r="C8552" t="str">
            <v>mareer</v>
          </cell>
          <cell r="D8552">
            <v>69.376113891601563</v>
          </cell>
          <cell r="F8552" t="str">
            <v>14 Aug 2024</v>
          </cell>
        </row>
        <row r="8553">
          <cell r="A8553" t="str">
            <v>PAK</v>
          </cell>
          <cell r="B8553">
            <v>2017</v>
          </cell>
          <cell r="C8553" t="str">
            <v>mac_tfpz</v>
          </cell>
          <cell r="D8553">
            <v>1.7854223251342773</v>
          </cell>
          <cell r="F8553" t="str">
            <v>14 Aug 2024</v>
          </cell>
        </row>
        <row r="8554">
          <cell r="A8554" t="str">
            <v>PAK</v>
          </cell>
          <cell r="B8554">
            <v>2026</v>
          </cell>
          <cell r="C8554" t="str">
            <v>mataxfc</v>
          </cell>
          <cell r="D8554">
            <v>2.7452499866485596</v>
          </cell>
          <cell r="F8554" t="str">
            <v>14 Aug 2024</v>
          </cell>
        </row>
        <row r="8555">
          <cell r="A8555" t="str">
            <v>PAK</v>
          </cell>
          <cell r="B8555">
            <v>2019</v>
          </cell>
          <cell r="C8555" t="str">
            <v>mar_con</v>
          </cell>
          <cell r="D8555">
            <v>85.934410095214844</v>
          </cell>
          <cell r="F8555" t="str">
            <v>14 Aug 2024</v>
          </cell>
        </row>
        <row r="8556">
          <cell r="A8556" t="str">
            <v>PAK</v>
          </cell>
          <cell r="B8556">
            <v>2007</v>
          </cell>
          <cell r="C8556" t="str">
            <v>madebt_</v>
          </cell>
          <cell r="D8556">
            <v>43.485877990722656</v>
          </cell>
          <cell r="F8556" t="str">
            <v>14 Aug 2024</v>
          </cell>
        </row>
        <row r="8557">
          <cell r="A8557" t="str">
            <v>PAK</v>
          </cell>
          <cell r="B8557">
            <v>2013</v>
          </cell>
          <cell r="C8557" t="str">
            <v>mainvz</v>
          </cell>
          <cell r="D8557">
            <v>2.4453492164611816</v>
          </cell>
          <cell r="F8557" t="str">
            <v>14 Aug 2024</v>
          </cell>
        </row>
        <row r="8558">
          <cell r="A8558" t="str">
            <v>PAK</v>
          </cell>
          <cell r="B8558">
            <v>2010</v>
          </cell>
          <cell r="C8558" t="str">
            <v>mac_labz</v>
          </cell>
          <cell r="D8558">
            <v>1.9995096921920776</v>
          </cell>
          <cell r="F8558" t="str">
            <v>14 Aug 2024</v>
          </cell>
        </row>
        <row r="8559">
          <cell r="A8559" t="str">
            <v>PAK</v>
          </cell>
          <cell r="B8559">
            <v>2019</v>
          </cell>
          <cell r="C8559" t="str">
            <v>mataxfc</v>
          </cell>
          <cell r="D8559">
            <v>-6.216033935546875</v>
          </cell>
          <cell r="F8559" t="str">
            <v>14 Aug 2024</v>
          </cell>
        </row>
        <row r="8560">
          <cell r="A8560" t="str">
            <v>PAK</v>
          </cell>
          <cell r="B8560">
            <v>2022</v>
          </cell>
          <cell r="C8560" t="str">
            <v>magdpz</v>
          </cell>
          <cell r="D8560">
            <v>4.7675395011901855</v>
          </cell>
          <cell r="F8560" t="str">
            <v>14 Aug 2024</v>
          </cell>
        </row>
        <row r="8561">
          <cell r="A8561" t="str">
            <v>PAK</v>
          </cell>
          <cell r="B8561">
            <v>2014</v>
          </cell>
          <cell r="C8561" t="str">
            <v>mac_labz</v>
          </cell>
          <cell r="D8561">
            <v>1.1287776231765747</v>
          </cell>
          <cell r="F8561" t="str">
            <v>14 Aug 2024</v>
          </cell>
        </row>
        <row r="8562">
          <cell r="A8562" t="str">
            <v>PAK</v>
          </cell>
          <cell r="B8562">
            <v>2007</v>
          </cell>
          <cell r="C8562" t="str">
            <v>mar_expz</v>
          </cell>
          <cell r="D8562">
            <v>12.351143836975098</v>
          </cell>
          <cell r="F8562" t="str">
            <v>14 Aug 2024</v>
          </cell>
        </row>
        <row r="8563">
          <cell r="A8563" t="str">
            <v>PAK</v>
          </cell>
          <cell r="B8563">
            <v>2009</v>
          </cell>
          <cell r="C8563" t="str">
            <v>mafdi_</v>
          </cell>
          <cell r="D8563">
            <v>-1.975682258605957</v>
          </cell>
          <cell r="F8563" t="str">
            <v>14 Aug 2024</v>
          </cell>
        </row>
        <row r="8564">
          <cell r="A8564" t="str">
            <v>PAK</v>
          </cell>
          <cell r="B8564">
            <v>2005</v>
          </cell>
          <cell r="C8564" t="str">
            <v>macab_</v>
          </cell>
          <cell r="D8564">
            <v>-1.0523608922958374</v>
          </cell>
          <cell r="F8564" t="str">
            <v>14 Aug 2024</v>
          </cell>
        </row>
        <row r="8565">
          <cell r="A8565" t="str">
            <v>PAK</v>
          </cell>
          <cell r="B8565">
            <v>2010</v>
          </cell>
          <cell r="C8565" t="str">
            <v>maimpz</v>
          </cell>
          <cell r="D8565">
            <v>-2.2721409797668457</v>
          </cell>
          <cell r="F8565" t="str">
            <v>14 Aug 2024</v>
          </cell>
        </row>
        <row r="8566">
          <cell r="A8566" t="str">
            <v>PAK</v>
          </cell>
          <cell r="B8566">
            <v>2006</v>
          </cell>
          <cell r="C8566" t="str">
            <v>mac_labz</v>
          </cell>
          <cell r="D8566">
            <v>1.9650272130966187</v>
          </cell>
          <cell r="F8566" t="str">
            <v>14 Aug 2024</v>
          </cell>
        </row>
        <row r="8567">
          <cell r="A8567" t="str">
            <v>PAK</v>
          </cell>
          <cell r="B8567">
            <v>2023</v>
          </cell>
          <cell r="C8567" t="str">
            <v>mafdi_</v>
          </cell>
          <cell r="D8567">
            <v>-0.17436613142490387</v>
          </cell>
          <cell r="F8567" t="str">
            <v>14 Aug 2024</v>
          </cell>
        </row>
        <row r="8568">
          <cell r="A8568" t="str">
            <v>PAK</v>
          </cell>
          <cell r="B8568">
            <v>2005</v>
          </cell>
          <cell r="C8568" t="str">
            <v>mar_expz</v>
          </cell>
          <cell r="D8568">
            <v>11.9471435546875</v>
          </cell>
          <cell r="F8568" t="str">
            <v>14 Aug 2024</v>
          </cell>
        </row>
        <row r="8569">
          <cell r="A8569" t="str">
            <v>PAK</v>
          </cell>
          <cell r="B8569">
            <v>2026</v>
          </cell>
          <cell r="C8569" t="str">
            <v>magovz</v>
          </cell>
          <cell r="D8569">
            <v>2.0336029529571533</v>
          </cell>
          <cell r="F8569" t="str">
            <v>14 Aug 2024</v>
          </cell>
        </row>
        <row r="8570">
          <cell r="A8570" t="str">
            <v>PAK</v>
          </cell>
          <cell r="B8570">
            <v>2020</v>
          </cell>
          <cell r="C8570" t="str">
            <v>mac_tfpz</v>
          </cell>
          <cell r="D8570">
            <v>1.5962436199188232</v>
          </cell>
          <cell r="F8570" t="str">
            <v>14 Aug 2024</v>
          </cell>
        </row>
        <row r="8571">
          <cell r="A8571" t="str">
            <v>PAK</v>
          </cell>
          <cell r="B8571">
            <v>2020</v>
          </cell>
          <cell r="C8571" t="str">
            <v>macpiz</v>
          </cell>
          <cell r="D8571">
            <v>10.739175796508789</v>
          </cell>
          <cell r="F8571" t="str">
            <v>14 Aug 2024</v>
          </cell>
        </row>
        <row r="8572">
          <cell r="A8572" t="str">
            <v>PAK</v>
          </cell>
          <cell r="B8572">
            <v>2018</v>
          </cell>
          <cell r="C8572" t="str">
            <v>mainvz</v>
          </cell>
          <cell r="D8572">
            <v>10.29339599609375</v>
          </cell>
          <cell r="F8572" t="str">
            <v>14 Aug 2024</v>
          </cell>
        </row>
        <row r="8573">
          <cell r="A8573" t="str">
            <v>PAK</v>
          </cell>
          <cell r="B8573">
            <v>2007</v>
          </cell>
          <cell r="C8573" t="str">
            <v>magovz</v>
          </cell>
          <cell r="D8573">
            <v>-5.7328662872314453</v>
          </cell>
          <cell r="F8573" t="str">
            <v>14 Aug 2024</v>
          </cell>
        </row>
        <row r="8574">
          <cell r="A8574" t="str">
            <v>PAK</v>
          </cell>
          <cell r="B8574">
            <v>2005</v>
          </cell>
          <cell r="C8574" t="str">
            <v>matfpz</v>
          </cell>
          <cell r="D8574">
            <v>1.3598570823669434</v>
          </cell>
          <cell r="F8574" t="str">
            <v>14 Aug 2024</v>
          </cell>
        </row>
        <row r="8575">
          <cell r="A8575" t="str">
            <v>PAK</v>
          </cell>
          <cell r="B8575">
            <v>2024</v>
          </cell>
          <cell r="C8575" t="str">
            <v>mataxfc</v>
          </cell>
          <cell r="D8575">
            <v>1.758331298828125</v>
          </cell>
          <cell r="F8575" t="str">
            <v>14 Aug 2024</v>
          </cell>
        </row>
        <row r="8576">
          <cell r="A8576" t="str">
            <v>PAK</v>
          </cell>
          <cell r="B8576">
            <v>2024</v>
          </cell>
          <cell r="C8576" t="str">
            <v>madeficit_</v>
          </cell>
          <cell r="D8576">
            <v>-7.7161436080932617</v>
          </cell>
          <cell r="F8576" t="str">
            <v>14 Aug 2024</v>
          </cell>
        </row>
        <row r="8577">
          <cell r="A8577" t="str">
            <v>PAK</v>
          </cell>
          <cell r="B8577">
            <v>2008</v>
          </cell>
          <cell r="C8577" t="str">
            <v>macpiz</v>
          </cell>
          <cell r="D8577">
            <v>12.009132385253906</v>
          </cell>
          <cell r="F8577" t="str">
            <v>14 Aug 2024</v>
          </cell>
        </row>
        <row r="8578">
          <cell r="A8578" t="str">
            <v>PAK</v>
          </cell>
          <cell r="B8578">
            <v>2008</v>
          </cell>
          <cell r="C8578" t="str">
            <v>maimpz</v>
          </cell>
          <cell r="D8578">
            <v>4.0640225410461426</v>
          </cell>
          <cell r="F8578" t="str">
            <v>14 Aug 2024</v>
          </cell>
        </row>
        <row r="8579">
          <cell r="A8579" t="str">
            <v>PAK</v>
          </cell>
          <cell r="B8579">
            <v>2019</v>
          </cell>
          <cell r="C8579" t="str">
            <v>mareer</v>
          </cell>
          <cell r="D8579">
            <v>85.054840087890625</v>
          </cell>
          <cell r="F8579" t="str">
            <v>14 Aug 2024</v>
          </cell>
        </row>
        <row r="8580">
          <cell r="A8580" t="str">
            <v>PAK</v>
          </cell>
          <cell r="B8580">
            <v>2016</v>
          </cell>
          <cell r="C8580" t="str">
            <v>mapanusatls</v>
          </cell>
          <cell r="D8580">
            <v>104.33999633789063</v>
          </cell>
          <cell r="F8580" t="str">
            <v>14 Aug 2024</v>
          </cell>
        </row>
        <row r="8581">
          <cell r="A8581" t="str">
            <v>PAK</v>
          </cell>
          <cell r="B8581">
            <v>2024</v>
          </cell>
          <cell r="C8581" t="str">
            <v>macpiz</v>
          </cell>
          <cell r="D8581">
            <v>26</v>
          </cell>
          <cell r="F8581" t="str">
            <v>14 Aug 2024</v>
          </cell>
        </row>
        <row r="8582">
          <cell r="A8582" t="str">
            <v>PAK</v>
          </cell>
          <cell r="B8582">
            <v>2020</v>
          </cell>
          <cell r="C8582" t="str">
            <v>mar_srvfc</v>
          </cell>
          <cell r="D8582">
            <v>57.938045501708984</v>
          </cell>
          <cell r="F8582" t="str">
            <v>14 Aug 2024</v>
          </cell>
        </row>
        <row r="8583">
          <cell r="A8583" t="str">
            <v>PAK</v>
          </cell>
          <cell r="B8583">
            <v>2013</v>
          </cell>
          <cell r="C8583" t="str">
            <v>magap_</v>
          </cell>
          <cell r="D8583">
            <v>-2.3966293334960938</v>
          </cell>
          <cell r="F8583" t="str">
            <v>14 Aug 2024</v>
          </cell>
        </row>
        <row r="8584">
          <cell r="A8584" t="str">
            <v>PAK</v>
          </cell>
          <cell r="B8584">
            <v>2005</v>
          </cell>
          <cell r="C8584" t="str">
            <v>mapanusatls</v>
          </cell>
          <cell r="D8584">
            <v>59.130001068115234</v>
          </cell>
          <cell r="F8584" t="str">
            <v>14 Aug 2024</v>
          </cell>
        </row>
        <row r="8585">
          <cell r="A8585" t="str">
            <v>PAK</v>
          </cell>
          <cell r="B8585">
            <v>2020</v>
          </cell>
          <cell r="C8585" t="str">
            <v>maexpz</v>
          </cell>
          <cell r="D8585">
            <v>1.5153892040252686</v>
          </cell>
          <cell r="F8585" t="str">
            <v>14 Aug 2024</v>
          </cell>
        </row>
        <row r="8586">
          <cell r="A8586" t="str">
            <v>PAK</v>
          </cell>
          <cell r="B8586">
            <v>2016</v>
          </cell>
          <cell r="C8586" t="str">
            <v>maindfc</v>
          </cell>
          <cell r="D8586">
            <v>6.0149106979370117</v>
          </cell>
          <cell r="F8586" t="str">
            <v>14 Aug 2024</v>
          </cell>
        </row>
        <row r="8587">
          <cell r="A8587" t="str">
            <v>PAK</v>
          </cell>
          <cell r="B8587">
            <v>2023</v>
          </cell>
          <cell r="C8587" t="str">
            <v>mar_expz</v>
          </cell>
          <cell r="D8587">
            <v>10.450014114379883</v>
          </cell>
          <cell r="F8587" t="str">
            <v>14 Aug 2024</v>
          </cell>
        </row>
        <row r="8588">
          <cell r="A8588" t="str">
            <v>PAK</v>
          </cell>
          <cell r="B8588">
            <v>2013</v>
          </cell>
          <cell r="C8588" t="str">
            <v>maagrfc</v>
          </cell>
          <cell r="D8588">
            <v>3.1419456005096436</v>
          </cell>
          <cell r="F8588" t="str">
            <v>14 Aug 2024</v>
          </cell>
        </row>
        <row r="8589">
          <cell r="A8589" t="str">
            <v>PAK</v>
          </cell>
          <cell r="B8589">
            <v>2008</v>
          </cell>
          <cell r="C8589" t="str">
            <v>madebt_</v>
          </cell>
          <cell r="D8589">
            <v>48.148288726806641</v>
          </cell>
          <cell r="F8589" t="str">
            <v>14 Aug 2024</v>
          </cell>
        </row>
        <row r="8590">
          <cell r="A8590" t="str">
            <v>PAK</v>
          </cell>
          <cell r="B8590">
            <v>2023</v>
          </cell>
          <cell r="C8590" t="str">
            <v>masrvfc</v>
          </cell>
          <cell r="D8590">
            <v>7.2655543684959412E-2</v>
          </cell>
          <cell r="F8590" t="str">
            <v>14 Aug 2024</v>
          </cell>
        </row>
        <row r="8591">
          <cell r="A8591" t="str">
            <v>PAK</v>
          </cell>
          <cell r="B8591">
            <v>2024</v>
          </cell>
          <cell r="C8591" t="str">
            <v>mareer</v>
          </cell>
          <cell r="D8591">
            <v>74.549964904785156</v>
          </cell>
          <cell r="F8591" t="str">
            <v>14 Aug 2024</v>
          </cell>
        </row>
        <row r="8592">
          <cell r="A8592" t="str">
            <v>PAK</v>
          </cell>
          <cell r="B8592">
            <v>2006</v>
          </cell>
          <cell r="C8592" t="str">
            <v>mapanusatls</v>
          </cell>
          <cell r="D8592">
            <v>59.869998931884766</v>
          </cell>
          <cell r="F8592" t="str">
            <v>14 Aug 2024</v>
          </cell>
        </row>
        <row r="8593">
          <cell r="A8593" t="str">
            <v>PAK</v>
          </cell>
          <cell r="B8593">
            <v>2020</v>
          </cell>
          <cell r="C8593" t="str">
            <v>mataxfc</v>
          </cell>
          <cell r="D8593">
            <v>-6.3658723831176758</v>
          </cell>
          <cell r="F8593" t="str">
            <v>14 Aug 2024</v>
          </cell>
        </row>
        <row r="8594">
          <cell r="A8594" t="str">
            <v>PAK</v>
          </cell>
          <cell r="B8594">
            <v>2013</v>
          </cell>
          <cell r="C8594" t="str">
            <v>maconz</v>
          </cell>
          <cell r="D8594">
            <v>2.9545531272888184</v>
          </cell>
          <cell r="F8594" t="str">
            <v>14 Aug 2024</v>
          </cell>
        </row>
        <row r="8595">
          <cell r="A8595" t="str">
            <v>PAK</v>
          </cell>
          <cell r="B8595">
            <v>2005</v>
          </cell>
          <cell r="C8595" t="str">
            <v>mafdi_</v>
          </cell>
          <cell r="D8595">
            <v>-1.0009090900421143</v>
          </cell>
          <cell r="F8595" t="str">
            <v>14 Aug 2024</v>
          </cell>
        </row>
        <row r="8596">
          <cell r="A8596" t="str">
            <v>PAK</v>
          </cell>
          <cell r="B8596">
            <v>2025</v>
          </cell>
          <cell r="C8596" t="str">
            <v>maexpz</v>
          </cell>
          <cell r="D8596">
            <v>3.1718199253082275</v>
          </cell>
          <cell r="F8596" t="str">
            <v>14 Aug 2024</v>
          </cell>
        </row>
        <row r="8597">
          <cell r="A8597" t="str">
            <v>PAK</v>
          </cell>
          <cell r="B8597">
            <v>2018</v>
          </cell>
          <cell r="C8597" t="str">
            <v>mar_srvfc</v>
          </cell>
          <cell r="D8597">
            <v>57.051212310791016</v>
          </cell>
          <cell r="F8597" t="str">
            <v>14 Aug 2024</v>
          </cell>
        </row>
        <row r="8598">
          <cell r="A8598" t="str">
            <v>PAK</v>
          </cell>
          <cell r="B8598">
            <v>2007</v>
          </cell>
          <cell r="C8598" t="str">
            <v>mafdi_</v>
          </cell>
          <cell r="D8598">
            <v>-2.7296931743621826</v>
          </cell>
          <cell r="F8598" t="str">
            <v>14 Aug 2024</v>
          </cell>
        </row>
        <row r="8599">
          <cell r="A8599" t="str">
            <v>PAK</v>
          </cell>
          <cell r="B8599">
            <v>2008</v>
          </cell>
          <cell r="C8599" t="str">
            <v>mar_expz</v>
          </cell>
          <cell r="D8599">
            <v>12.38300609588623</v>
          </cell>
          <cell r="F8599" t="str">
            <v>14 Aug 2024</v>
          </cell>
        </row>
        <row r="8600">
          <cell r="A8600" t="str">
            <v>PAK</v>
          </cell>
          <cell r="B8600">
            <v>2026</v>
          </cell>
          <cell r="C8600" t="str">
            <v>mar_con</v>
          </cell>
          <cell r="D8600">
            <v>90.593360900878906</v>
          </cell>
          <cell r="F8600" t="str">
            <v>14 Aug 2024</v>
          </cell>
        </row>
        <row r="8601">
          <cell r="A8601" t="str">
            <v>PAK</v>
          </cell>
          <cell r="B8601">
            <v>2020</v>
          </cell>
          <cell r="C8601" t="str">
            <v>mar_agrfc</v>
          </cell>
          <cell r="D8601">
            <v>23.528894424438477</v>
          </cell>
          <cell r="F8601" t="str">
            <v>14 Aug 2024</v>
          </cell>
        </row>
        <row r="8602">
          <cell r="A8602" t="str">
            <v>PAK</v>
          </cell>
          <cell r="B8602">
            <v>2013</v>
          </cell>
          <cell r="C8602" t="str">
            <v>mareer</v>
          </cell>
          <cell r="D8602">
            <v>87.611846923828125</v>
          </cell>
          <cell r="F8602" t="str">
            <v>14 Aug 2024</v>
          </cell>
        </row>
        <row r="8603">
          <cell r="A8603" t="str">
            <v>PAK</v>
          </cell>
          <cell r="B8603">
            <v>2014</v>
          </cell>
          <cell r="C8603" t="str">
            <v>mar_agrfc</v>
          </cell>
          <cell r="D8603">
            <v>25.320339202880859</v>
          </cell>
          <cell r="F8603" t="str">
            <v>14 Aug 2024</v>
          </cell>
        </row>
        <row r="8604">
          <cell r="A8604" t="str">
            <v>PAK</v>
          </cell>
          <cell r="B8604">
            <v>2023</v>
          </cell>
          <cell r="C8604" t="str">
            <v>macpiz</v>
          </cell>
          <cell r="D8604">
            <v>29.185766220092773</v>
          </cell>
          <cell r="F8604" t="str">
            <v>14 Aug 2024</v>
          </cell>
        </row>
        <row r="8605">
          <cell r="A8605" t="str">
            <v>PAK</v>
          </cell>
          <cell r="B8605">
            <v>2023</v>
          </cell>
          <cell r="C8605" t="str">
            <v>mar_srvfc</v>
          </cell>
          <cell r="D8605">
            <v>58.423095703125</v>
          </cell>
          <cell r="F8605" t="str">
            <v>14 Aug 2024</v>
          </cell>
        </row>
        <row r="8606">
          <cell r="A8606" t="str">
            <v>PAK</v>
          </cell>
          <cell r="B8606">
            <v>2021</v>
          </cell>
          <cell r="C8606" t="str">
            <v>madebt_</v>
          </cell>
          <cell r="D8606">
            <v>77.635162353515625</v>
          </cell>
          <cell r="F8606" t="str">
            <v>14 Aug 2024</v>
          </cell>
        </row>
        <row r="8607">
          <cell r="A8607" t="str">
            <v>PAK</v>
          </cell>
          <cell r="B8607">
            <v>2011</v>
          </cell>
          <cell r="C8607" t="str">
            <v>maagrfc</v>
          </cell>
          <cell r="D8607">
            <v>2.7125422954559326</v>
          </cell>
          <cell r="F8607" t="str">
            <v>14 Aug 2024</v>
          </cell>
        </row>
        <row r="8608">
          <cell r="A8608" t="str">
            <v>PAK</v>
          </cell>
          <cell r="B8608">
            <v>2026</v>
          </cell>
          <cell r="C8608" t="str">
            <v>matfpz</v>
          </cell>
          <cell r="D8608">
            <v>1.3687326908111572</v>
          </cell>
          <cell r="F8608" t="str">
            <v>14 Aug 2024</v>
          </cell>
        </row>
        <row r="8609">
          <cell r="A8609" t="str">
            <v>PAK</v>
          </cell>
          <cell r="B8609">
            <v>2013</v>
          </cell>
          <cell r="C8609" t="str">
            <v>mar_srvfc</v>
          </cell>
          <cell r="D8609">
            <v>55.714488983154297</v>
          </cell>
          <cell r="F8609" t="str">
            <v>14 Aug 2024</v>
          </cell>
        </row>
        <row r="8610">
          <cell r="A8610" t="str">
            <v>PAK</v>
          </cell>
          <cell r="B8610">
            <v>2016</v>
          </cell>
          <cell r="C8610" t="str">
            <v>maimpz</v>
          </cell>
          <cell r="D8610">
            <v>17.860315322875977</v>
          </cell>
          <cell r="F8610" t="str">
            <v>14 Aug 2024</v>
          </cell>
        </row>
        <row r="8611">
          <cell r="A8611" t="str">
            <v>PAK</v>
          </cell>
          <cell r="B8611">
            <v>2016</v>
          </cell>
          <cell r="C8611" t="str">
            <v>masrvfc</v>
          </cell>
          <cell r="D8611">
            <v>5.0325565338134766</v>
          </cell>
          <cell r="F8611" t="str">
            <v>14 Aug 2024</v>
          </cell>
        </row>
        <row r="8612">
          <cell r="A8612" t="str">
            <v>PAK</v>
          </cell>
          <cell r="B8612">
            <v>2015</v>
          </cell>
          <cell r="C8612" t="str">
            <v>mar_agrfc</v>
          </cell>
          <cell r="D8612">
            <v>24.825325012207031</v>
          </cell>
          <cell r="F8612" t="str">
            <v>14 Aug 2024</v>
          </cell>
        </row>
        <row r="8613">
          <cell r="A8613" t="str">
            <v>PAK</v>
          </cell>
          <cell r="B8613">
            <v>2025</v>
          </cell>
          <cell r="C8613" t="str">
            <v>maimpz</v>
          </cell>
          <cell r="D8613">
            <v>1.2309399843215942</v>
          </cell>
          <cell r="F8613" t="str">
            <v>14 Aug 2024</v>
          </cell>
        </row>
        <row r="8614">
          <cell r="A8614" t="str">
            <v>PAK</v>
          </cell>
          <cell r="B8614">
            <v>2026</v>
          </cell>
          <cell r="C8614" t="str">
            <v>macab_</v>
          </cell>
          <cell r="D8614">
            <v>-0.68742674589157104</v>
          </cell>
          <cell r="F8614" t="str">
            <v>14 Aug 2024</v>
          </cell>
        </row>
        <row r="8615">
          <cell r="A8615" t="str">
            <v>PAK</v>
          </cell>
          <cell r="B8615">
            <v>2007</v>
          </cell>
          <cell r="C8615" t="str">
            <v>mar_srvfc</v>
          </cell>
          <cell r="D8615">
            <v>54.314395904541016</v>
          </cell>
          <cell r="F8615" t="str">
            <v>14 Aug 2024</v>
          </cell>
        </row>
        <row r="8616">
          <cell r="A8616" t="str">
            <v>PAK</v>
          </cell>
          <cell r="B8616">
            <v>2025</v>
          </cell>
          <cell r="C8616" t="str">
            <v>masrvfc</v>
          </cell>
          <cell r="D8616">
            <v>2.4217739105224609</v>
          </cell>
          <cell r="F8616" t="str">
            <v>14 Aug 2024</v>
          </cell>
        </row>
        <row r="8617">
          <cell r="A8617" t="str">
            <v>PAK</v>
          </cell>
          <cell r="B8617">
            <v>2022</v>
          </cell>
          <cell r="C8617" t="str">
            <v>mar_con</v>
          </cell>
          <cell r="D8617">
            <v>88.866462707519531</v>
          </cell>
          <cell r="F8617" t="str">
            <v>14 Aug 2024</v>
          </cell>
        </row>
        <row r="8618">
          <cell r="A8618" t="str">
            <v>PAK</v>
          </cell>
          <cell r="B8618">
            <v>2019</v>
          </cell>
          <cell r="C8618" t="str">
            <v>mar_indfc</v>
          </cell>
          <cell r="D8618">
            <v>19.477222442626953</v>
          </cell>
          <cell r="F8618" t="str">
            <v>14 Aug 2024</v>
          </cell>
        </row>
        <row r="8619">
          <cell r="A8619" t="str">
            <v>PAK</v>
          </cell>
          <cell r="B8619">
            <v>2009</v>
          </cell>
          <cell r="C8619" t="str">
            <v>mar_agrfc</v>
          </cell>
          <cell r="D8619">
            <v>26.397518157958984</v>
          </cell>
          <cell r="F8619" t="str">
            <v>14 Aug 2024</v>
          </cell>
        </row>
        <row r="8620">
          <cell r="A8620" t="str">
            <v>PAK</v>
          </cell>
          <cell r="B8620">
            <v>2021</v>
          </cell>
          <cell r="C8620" t="str">
            <v>maagrfc</v>
          </cell>
          <cell r="D8620">
            <v>3.5166616439819336</v>
          </cell>
          <cell r="F8620" t="str">
            <v>14 Aug 2024</v>
          </cell>
        </row>
        <row r="8621">
          <cell r="A8621" t="str">
            <v>PAK</v>
          </cell>
          <cell r="B8621">
            <v>2006</v>
          </cell>
          <cell r="C8621" t="str">
            <v>mac_tfpz</v>
          </cell>
          <cell r="D8621">
            <v>1.2929133176803589</v>
          </cell>
          <cell r="F8621" t="str">
            <v>14 Aug 2024</v>
          </cell>
        </row>
        <row r="8622">
          <cell r="A8622" t="str">
            <v>PAK</v>
          </cell>
          <cell r="B8622">
            <v>2022</v>
          </cell>
          <cell r="C8622" t="str">
            <v>masrvfc</v>
          </cell>
          <cell r="D8622">
            <v>6.6623373031616211</v>
          </cell>
          <cell r="F8622" t="str">
            <v>14 Aug 2024</v>
          </cell>
        </row>
        <row r="8623">
          <cell r="A8623" t="str">
            <v>PAK</v>
          </cell>
          <cell r="B8623">
            <v>2025</v>
          </cell>
          <cell r="C8623" t="str">
            <v>mataxfc</v>
          </cell>
          <cell r="D8623">
            <v>2.3370482921600342</v>
          </cell>
          <cell r="F8623" t="str">
            <v>14 Aug 2024</v>
          </cell>
        </row>
        <row r="8624">
          <cell r="A8624" t="str">
            <v>PAK</v>
          </cell>
          <cell r="B8624">
            <v>2006</v>
          </cell>
          <cell r="C8624" t="str">
            <v>maagrfc</v>
          </cell>
          <cell r="D8624">
            <v>1.8879657983779907</v>
          </cell>
          <cell r="F8624" t="str">
            <v>14 Aug 2024</v>
          </cell>
        </row>
        <row r="8625">
          <cell r="A8625" t="str">
            <v>PAK</v>
          </cell>
          <cell r="B8625">
            <v>2019</v>
          </cell>
          <cell r="C8625" t="str">
            <v>mar_expz</v>
          </cell>
          <cell r="D8625">
            <v>9.8122129440307617</v>
          </cell>
          <cell r="F8625" t="str">
            <v>14 Aug 2024</v>
          </cell>
        </row>
        <row r="8626">
          <cell r="A8626" t="str">
            <v>PAK</v>
          </cell>
          <cell r="B8626">
            <v>2007</v>
          </cell>
          <cell r="C8626" t="str">
            <v>mapanusatls</v>
          </cell>
          <cell r="D8626">
            <v>60.639999389648438</v>
          </cell>
          <cell r="F8626" t="str">
            <v>14 Aug 2024</v>
          </cell>
        </row>
        <row r="8627">
          <cell r="A8627" t="str">
            <v>PAK</v>
          </cell>
          <cell r="B8627">
            <v>2016</v>
          </cell>
          <cell r="C8627" t="str">
            <v>maconz</v>
          </cell>
          <cell r="D8627">
            <v>7.8152999877929688</v>
          </cell>
          <cell r="F8627" t="str">
            <v>14 Aug 2024</v>
          </cell>
        </row>
        <row r="8628">
          <cell r="A8628" t="str">
            <v>PAK</v>
          </cell>
          <cell r="B8628">
            <v>2026</v>
          </cell>
          <cell r="C8628" t="str">
            <v>mar_impz</v>
          </cell>
          <cell r="D8628">
            <v>21.928888320922852</v>
          </cell>
          <cell r="F8628" t="str">
            <v>14 Aug 2024</v>
          </cell>
        </row>
        <row r="8629">
          <cell r="A8629" t="str">
            <v>PAK</v>
          </cell>
          <cell r="B8629">
            <v>2020</v>
          </cell>
          <cell r="C8629" t="str">
            <v>magdpz</v>
          </cell>
          <cell r="D8629">
            <v>-1.2740874290466309</v>
          </cell>
          <cell r="F8629" t="str">
            <v>14 Aug 2024</v>
          </cell>
        </row>
        <row r="8630">
          <cell r="A8630" t="str">
            <v>PAK</v>
          </cell>
          <cell r="B8630">
            <v>2018</v>
          </cell>
          <cell r="C8630" t="str">
            <v>macab_</v>
          </cell>
          <cell r="D8630">
            <v>-5.389711856842041</v>
          </cell>
          <cell r="F8630" t="str">
            <v>14 Aug 2024</v>
          </cell>
        </row>
        <row r="8631">
          <cell r="A8631" t="str">
            <v>PAK</v>
          </cell>
          <cell r="B8631">
            <v>2009</v>
          </cell>
          <cell r="C8631" t="str">
            <v>mapanusatls</v>
          </cell>
          <cell r="D8631">
            <v>78.629997253417969</v>
          </cell>
          <cell r="F8631" t="str">
            <v>14 Aug 2024</v>
          </cell>
        </row>
        <row r="8632">
          <cell r="A8632" t="str">
            <v>PAK</v>
          </cell>
          <cell r="B8632">
            <v>2015</v>
          </cell>
          <cell r="C8632" t="str">
            <v>mainvz</v>
          </cell>
          <cell r="D8632">
            <v>13.66021728515625</v>
          </cell>
          <cell r="F8632" t="str">
            <v>14 Aug 2024</v>
          </cell>
        </row>
        <row r="8633">
          <cell r="A8633" t="str">
            <v>PAK</v>
          </cell>
          <cell r="B8633">
            <v>2006</v>
          </cell>
          <cell r="C8633" t="str">
            <v>mar_srvfc</v>
          </cell>
          <cell r="D8633">
            <v>54.275165557861328</v>
          </cell>
          <cell r="F8633" t="str">
            <v>14 Aug 2024</v>
          </cell>
        </row>
        <row r="8634">
          <cell r="A8634" t="str">
            <v>PAK</v>
          </cell>
          <cell r="B8634">
            <v>2013</v>
          </cell>
          <cell r="C8634" t="str">
            <v>mar_agrfc</v>
          </cell>
          <cell r="D8634">
            <v>25.601625442504883</v>
          </cell>
          <cell r="F8634" t="str">
            <v>14 Aug 2024</v>
          </cell>
        </row>
        <row r="8635">
          <cell r="A8635" t="str">
            <v>PAK</v>
          </cell>
          <cell r="B8635">
            <v>2020</v>
          </cell>
          <cell r="C8635" t="str">
            <v>mar_indfc</v>
          </cell>
          <cell r="D8635">
            <v>18.533058166503906</v>
          </cell>
          <cell r="F8635" t="str">
            <v>14 Aug 2024</v>
          </cell>
        </row>
        <row r="8636">
          <cell r="A8636" t="str">
            <v>PAK</v>
          </cell>
          <cell r="B8636">
            <v>2012</v>
          </cell>
          <cell r="C8636" t="str">
            <v>matfpz</v>
          </cell>
          <cell r="D8636">
            <v>1.2850496768951416</v>
          </cell>
          <cell r="F8636" t="str">
            <v>14 Aug 2024</v>
          </cell>
        </row>
        <row r="8637">
          <cell r="A8637" t="str">
            <v>PAK</v>
          </cell>
          <cell r="B8637">
            <v>2020</v>
          </cell>
          <cell r="C8637" t="str">
            <v>mar_expz</v>
          </cell>
          <cell r="D8637">
            <v>10.089454650878906</v>
          </cell>
          <cell r="F8637" t="str">
            <v>14 Aug 2024</v>
          </cell>
        </row>
        <row r="8638">
          <cell r="A8638" t="str">
            <v>PAK</v>
          </cell>
          <cell r="B8638">
            <v>2019</v>
          </cell>
          <cell r="C8638" t="str">
            <v>masrvfc</v>
          </cell>
          <cell r="D8638">
            <v>5.004554271697998</v>
          </cell>
          <cell r="F8638" t="str">
            <v>14 Aug 2024</v>
          </cell>
        </row>
        <row r="8639">
          <cell r="A8639" t="str">
            <v>PAK</v>
          </cell>
          <cell r="B8639">
            <v>2022</v>
          </cell>
          <cell r="C8639" t="str">
            <v>magap_</v>
          </cell>
          <cell r="D8639">
            <v>-1.4317954778671265</v>
          </cell>
          <cell r="F8639" t="str">
            <v>14 Aug 2024</v>
          </cell>
        </row>
        <row r="8640">
          <cell r="A8640" t="str">
            <v>PAK</v>
          </cell>
          <cell r="B8640">
            <v>2018</v>
          </cell>
          <cell r="C8640" t="str">
            <v>mac_labz</v>
          </cell>
          <cell r="D8640">
            <v>1.3858981132507324</v>
          </cell>
          <cell r="F8640" t="str">
            <v>14 Aug 2024</v>
          </cell>
        </row>
        <row r="8641">
          <cell r="A8641" t="str">
            <v>PAK</v>
          </cell>
          <cell r="B8641">
            <v>2016</v>
          </cell>
          <cell r="C8641" t="str">
            <v>mareer</v>
          </cell>
          <cell r="D8641">
            <v>97.844978332519531</v>
          </cell>
          <cell r="F8641" t="str">
            <v>14 Aug 2024</v>
          </cell>
        </row>
        <row r="8642">
          <cell r="A8642" t="str">
            <v>PAK</v>
          </cell>
          <cell r="B8642">
            <v>2021</v>
          </cell>
          <cell r="C8642" t="str">
            <v>magdpz</v>
          </cell>
          <cell r="D8642">
            <v>6.5138859748840332</v>
          </cell>
          <cell r="F8642" t="str">
            <v>14 Aug 2024</v>
          </cell>
        </row>
        <row r="8643">
          <cell r="A8643" t="str">
            <v>PAK</v>
          </cell>
          <cell r="B8643">
            <v>2024</v>
          </cell>
          <cell r="C8643" t="str">
            <v>maexpz</v>
          </cell>
          <cell r="D8643">
            <v>2.1455600261688232</v>
          </cell>
          <cell r="F8643" t="str">
            <v>14 Aug 2024</v>
          </cell>
        </row>
        <row r="8644">
          <cell r="A8644" t="str">
            <v>PAK</v>
          </cell>
          <cell r="B8644">
            <v>2020</v>
          </cell>
          <cell r="C8644" t="str">
            <v>maconz</v>
          </cell>
          <cell r="D8644">
            <v>-2.8317999839782715</v>
          </cell>
          <cell r="F8644" t="str">
            <v>14 Aug 2024</v>
          </cell>
        </row>
        <row r="8645">
          <cell r="A8645" t="str">
            <v>PAK</v>
          </cell>
          <cell r="B8645">
            <v>2014</v>
          </cell>
          <cell r="C8645" t="str">
            <v>maconz</v>
          </cell>
          <cell r="D8645">
            <v>5.6980137825012207</v>
          </cell>
          <cell r="F8645" t="str">
            <v>14 Aug 2024</v>
          </cell>
        </row>
        <row r="8646">
          <cell r="A8646" t="str">
            <v>PAK</v>
          </cell>
          <cell r="B8646">
            <v>2025</v>
          </cell>
          <cell r="C8646" t="str">
            <v>mapanusatls</v>
          </cell>
          <cell r="D8646">
            <v>322</v>
          </cell>
          <cell r="F8646" t="str">
            <v>14 Aug 2024</v>
          </cell>
        </row>
        <row r="8647">
          <cell r="A8647" t="str">
            <v>PAK</v>
          </cell>
          <cell r="B8647">
            <v>2018</v>
          </cell>
          <cell r="C8647" t="str">
            <v>magdpz</v>
          </cell>
          <cell r="D8647">
            <v>6.1517024040222168</v>
          </cell>
          <cell r="F8647" t="str">
            <v>14 Aug 2024</v>
          </cell>
        </row>
        <row r="8648">
          <cell r="A8648" t="str">
            <v>PAK</v>
          </cell>
          <cell r="B8648">
            <v>2005</v>
          </cell>
          <cell r="C8648" t="str">
            <v>mar_indfc</v>
          </cell>
          <cell r="D8648">
            <v>19.006437301635742</v>
          </cell>
          <cell r="F8648" t="str">
            <v>14 Aug 2024</v>
          </cell>
        </row>
        <row r="8649">
          <cell r="A8649" t="str">
            <v>PAK</v>
          </cell>
          <cell r="B8649">
            <v>2020</v>
          </cell>
          <cell r="C8649" t="str">
            <v>madeficit_</v>
          </cell>
          <cell r="D8649">
            <v>-7.0315694808959961</v>
          </cell>
          <cell r="F8649" t="str">
            <v>14 Aug 2024</v>
          </cell>
        </row>
        <row r="8650">
          <cell r="A8650" t="str">
            <v>PAK</v>
          </cell>
          <cell r="B8650">
            <v>2015</v>
          </cell>
          <cell r="C8650" t="str">
            <v>mapanusatls</v>
          </cell>
          <cell r="D8650">
            <v>101.43000030517578</v>
          </cell>
          <cell r="F8650" t="str">
            <v>14 Aug 2024</v>
          </cell>
        </row>
        <row r="8651">
          <cell r="A8651" t="str">
            <v>PAK</v>
          </cell>
          <cell r="B8651">
            <v>2024</v>
          </cell>
          <cell r="C8651" t="str">
            <v>matfpz</v>
          </cell>
          <cell r="D8651">
            <v>1.4073634147644043</v>
          </cell>
          <cell r="F8651" t="str">
            <v>14 Aug 2024</v>
          </cell>
        </row>
        <row r="8652">
          <cell r="A8652" t="str">
            <v>PAK</v>
          </cell>
          <cell r="B8652">
            <v>2026</v>
          </cell>
          <cell r="C8652" t="str">
            <v>madebt_</v>
          </cell>
          <cell r="D8652">
            <v>73.337120056152344</v>
          </cell>
          <cell r="F8652" t="str">
            <v>14 Aug 2024</v>
          </cell>
        </row>
        <row r="8653">
          <cell r="A8653" t="str">
            <v>PAK</v>
          </cell>
          <cell r="B8653">
            <v>2014</v>
          </cell>
          <cell r="C8653" t="str">
            <v>madeficit_</v>
          </cell>
          <cell r="D8653">
            <v>-4.274810791015625</v>
          </cell>
          <cell r="F8653" t="str">
            <v>14 Aug 2024</v>
          </cell>
        </row>
        <row r="8654">
          <cell r="A8654" t="str">
            <v>PAK</v>
          </cell>
          <cell r="B8654">
            <v>2014</v>
          </cell>
          <cell r="C8654" t="str">
            <v>magdpz</v>
          </cell>
          <cell r="D8654">
            <v>4.1164283752441406</v>
          </cell>
          <cell r="F8654" t="str">
            <v>14 Aug 2024</v>
          </cell>
        </row>
        <row r="8655">
          <cell r="A8655" t="str">
            <v>PAK</v>
          </cell>
          <cell r="B8655">
            <v>2017</v>
          </cell>
          <cell r="C8655" t="str">
            <v>matfpz</v>
          </cell>
          <cell r="D8655">
            <v>1.7854223251342773</v>
          </cell>
          <cell r="F8655" t="str">
            <v>14 Aug 2024</v>
          </cell>
        </row>
        <row r="8656">
          <cell r="A8656" t="str">
            <v>PAK</v>
          </cell>
          <cell r="B8656">
            <v>2020</v>
          </cell>
          <cell r="C8656" t="str">
            <v>madebt_</v>
          </cell>
          <cell r="D8656">
            <v>84.032058715820313</v>
          </cell>
          <cell r="F8656" t="str">
            <v>14 Aug 2024</v>
          </cell>
        </row>
        <row r="8657">
          <cell r="A8657" t="str">
            <v>PAK</v>
          </cell>
          <cell r="B8657">
            <v>2019</v>
          </cell>
          <cell r="C8657" t="str">
            <v>mar_srvfc</v>
          </cell>
          <cell r="D8657">
            <v>58.093841552734375</v>
          </cell>
          <cell r="F8657" t="str">
            <v>14 Aug 2024</v>
          </cell>
        </row>
        <row r="8658">
          <cell r="A8658" t="str">
            <v>PAK</v>
          </cell>
          <cell r="B8658">
            <v>2015</v>
          </cell>
          <cell r="C8658" t="str">
            <v>mafdi_</v>
          </cell>
          <cell r="D8658">
            <v>-0.32003280520439148</v>
          </cell>
          <cell r="F8658" t="str">
            <v>14 Aug 2024</v>
          </cell>
        </row>
        <row r="8659">
          <cell r="A8659" t="str">
            <v>PAK</v>
          </cell>
          <cell r="B8659">
            <v>2009</v>
          </cell>
          <cell r="C8659" t="str">
            <v>maagrfc</v>
          </cell>
          <cell r="D8659">
            <v>3.4128334522247314</v>
          </cell>
          <cell r="F8659" t="str">
            <v>14 Aug 2024</v>
          </cell>
        </row>
        <row r="8660">
          <cell r="A8660" t="str">
            <v>PAK</v>
          </cell>
          <cell r="B8660">
            <v>2007</v>
          </cell>
          <cell r="C8660" t="str">
            <v>maimpz</v>
          </cell>
          <cell r="D8660">
            <v>0.11436034739017487</v>
          </cell>
          <cell r="F8660" t="str">
            <v>14 Aug 2024</v>
          </cell>
        </row>
        <row r="8661">
          <cell r="A8661" t="str">
            <v>PAK</v>
          </cell>
          <cell r="B8661">
            <v>2024</v>
          </cell>
          <cell r="C8661" t="str">
            <v>madebt_</v>
          </cell>
          <cell r="D8661">
            <v>72.763053894042969</v>
          </cell>
          <cell r="F8661" t="str">
            <v>14 Aug 2024</v>
          </cell>
        </row>
        <row r="8662">
          <cell r="A8662" t="str">
            <v>PAK</v>
          </cell>
          <cell r="B8662">
            <v>2011</v>
          </cell>
          <cell r="C8662" t="str">
            <v>maexpz</v>
          </cell>
          <cell r="D8662">
            <v>2.7775769233703613</v>
          </cell>
          <cell r="F8662" t="str">
            <v>14 Aug 2024</v>
          </cell>
        </row>
        <row r="8663">
          <cell r="A8663" t="str">
            <v>PAK</v>
          </cell>
          <cell r="B8663">
            <v>2012</v>
          </cell>
          <cell r="C8663" t="str">
            <v>mac_tfpz</v>
          </cell>
          <cell r="D8663">
            <v>1.2850496768951416</v>
          </cell>
          <cell r="F8663" t="str">
            <v>14 Aug 2024</v>
          </cell>
        </row>
        <row r="8664">
          <cell r="A8664" t="str">
            <v>PAK</v>
          </cell>
          <cell r="B8664">
            <v>2012</v>
          </cell>
          <cell r="C8664" t="str">
            <v>mareer</v>
          </cell>
          <cell r="D8664">
            <v>89.762588500976563</v>
          </cell>
          <cell r="F8664" t="str">
            <v>14 Aug 2024</v>
          </cell>
        </row>
        <row r="8665">
          <cell r="A8665" t="str">
            <v>PAK</v>
          </cell>
          <cell r="B8665">
            <v>2023</v>
          </cell>
          <cell r="C8665" t="str">
            <v>maindfc</v>
          </cell>
          <cell r="D8665">
            <v>-3.7567925453186035</v>
          </cell>
          <cell r="F8665" t="str">
            <v>14 Aug 2024</v>
          </cell>
        </row>
        <row r="8666">
          <cell r="A8666" t="str">
            <v>PAK</v>
          </cell>
          <cell r="B8666">
            <v>2011</v>
          </cell>
          <cell r="C8666" t="str">
            <v>mafdi_</v>
          </cell>
          <cell r="D8666">
            <v>-0.68998867273330688</v>
          </cell>
          <cell r="F8666" t="str">
            <v>14 Aug 2024</v>
          </cell>
        </row>
        <row r="8667">
          <cell r="A8667" t="str">
            <v>PAK</v>
          </cell>
          <cell r="B8667">
            <v>2013</v>
          </cell>
          <cell r="C8667" t="str">
            <v>mataxfc</v>
          </cell>
          <cell r="D8667">
            <v>19.977035522460938</v>
          </cell>
          <cell r="F8667" t="str">
            <v>14 Aug 2024</v>
          </cell>
        </row>
        <row r="8668">
          <cell r="A8668" t="str">
            <v>PAK</v>
          </cell>
          <cell r="B8668">
            <v>2006</v>
          </cell>
          <cell r="C8668" t="str">
            <v>mareer</v>
          </cell>
          <cell r="D8668">
            <v>84.768218994140625</v>
          </cell>
          <cell r="F8668" t="str">
            <v>14 Aug 2024</v>
          </cell>
        </row>
        <row r="8669">
          <cell r="A8669" t="str">
            <v>PAK</v>
          </cell>
          <cell r="B8669">
            <v>2012</v>
          </cell>
          <cell r="C8669" t="str">
            <v>malabz</v>
          </cell>
          <cell r="D8669">
            <v>2.1204347610473633</v>
          </cell>
          <cell r="F8669" t="str">
            <v>14 Aug 2024</v>
          </cell>
        </row>
        <row r="8670">
          <cell r="A8670" t="str">
            <v>PAK</v>
          </cell>
          <cell r="B8670">
            <v>2008</v>
          </cell>
          <cell r="C8670" t="str">
            <v>mar_taxfc</v>
          </cell>
          <cell r="D8670">
            <v>2.3099930286407471</v>
          </cell>
          <cell r="F8670" t="str">
            <v>14 Aug 2024</v>
          </cell>
        </row>
        <row r="8671">
          <cell r="A8671" t="str">
            <v>PAK</v>
          </cell>
          <cell r="B8671">
            <v>2010</v>
          </cell>
          <cell r="C8671" t="str">
            <v>maexpz</v>
          </cell>
          <cell r="D8671">
            <v>7.8540787696838379</v>
          </cell>
          <cell r="F8671" t="str">
            <v>14 Aug 2024</v>
          </cell>
        </row>
        <row r="8672">
          <cell r="A8672" t="str">
            <v>PAK</v>
          </cell>
          <cell r="B8672">
            <v>2023</v>
          </cell>
          <cell r="C8672" t="str">
            <v>mac_labz</v>
          </cell>
          <cell r="D8672">
            <v>1.8577154874801636</v>
          </cell>
          <cell r="F8672" t="str">
            <v>14 Aug 2024</v>
          </cell>
        </row>
        <row r="8673">
          <cell r="A8673" t="str">
            <v>PAK</v>
          </cell>
          <cell r="B8673">
            <v>2010</v>
          </cell>
          <cell r="C8673" t="str">
            <v>magovz</v>
          </cell>
          <cell r="D8673">
            <v>-3.0661065578460693</v>
          </cell>
          <cell r="F8673" t="str">
            <v>14 Aug 2024</v>
          </cell>
        </row>
        <row r="8674">
          <cell r="A8674" t="str">
            <v>PAK</v>
          </cell>
          <cell r="B8674">
            <v>2011</v>
          </cell>
          <cell r="C8674" t="str">
            <v>malabz</v>
          </cell>
          <cell r="D8674">
            <v>2.6045231819152832</v>
          </cell>
          <cell r="F8674" t="str">
            <v>14 Aug 2024</v>
          </cell>
        </row>
        <row r="8675">
          <cell r="A8675" t="str">
            <v>PAK</v>
          </cell>
          <cell r="B8675">
            <v>2026</v>
          </cell>
          <cell r="C8675" t="str">
            <v>mar_indfc</v>
          </cell>
          <cell r="D8675">
            <v>18.319789886474609</v>
          </cell>
          <cell r="F8675" t="str">
            <v>14 Aug 2024</v>
          </cell>
        </row>
        <row r="8676">
          <cell r="A8676" t="str">
            <v>PAK</v>
          </cell>
          <cell r="B8676">
            <v>2010</v>
          </cell>
          <cell r="C8676" t="str">
            <v>maagrfc</v>
          </cell>
          <cell r="D8676">
            <v>0.3126775324344635</v>
          </cell>
          <cell r="F8676" t="str">
            <v>14 Aug 2024</v>
          </cell>
        </row>
        <row r="8677">
          <cell r="A8677" t="str">
            <v>PAK</v>
          </cell>
          <cell r="B8677">
            <v>2022</v>
          </cell>
          <cell r="C8677" t="str">
            <v>mac_labz</v>
          </cell>
          <cell r="D8677">
            <v>1.7616235017776489</v>
          </cell>
          <cell r="F8677" t="str">
            <v>14 Aug 2024</v>
          </cell>
        </row>
        <row r="8678">
          <cell r="A8678" t="str">
            <v>PAK</v>
          </cell>
          <cell r="B8678">
            <v>2022</v>
          </cell>
          <cell r="C8678" t="str">
            <v>matfpz</v>
          </cell>
          <cell r="D8678">
            <v>1.4812303781509399</v>
          </cell>
          <cell r="F8678" t="str">
            <v>14 Aug 2024</v>
          </cell>
        </row>
        <row r="8679">
          <cell r="A8679" t="str">
            <v>PAK</v>
          </cell>
          <cell r="B8679">
            <v>2013</v>
          </cell>
          <cell r="C8679" t="str">
            <v>magdpz</v>
          </cell>
          <cell r="D8679">
            <v>4.3668651580810547</v>
          </cell>
          <cell r="F8679" t="str">
            <v>14 Aug 2024</v>
          </cell>
        </row>
        <row r="8680">
          <cell r="A8680" t="str">
            <v>PAK</v>
          </cell>
          <cell r="B8680">
            <v>2006</v>
          </cell>
          <cell r="C8680" t="str">
            <v>macab_</v>
          </cell>
          <cell r="D8680">
            <v>-3.0833845138549805</v>
          </cell>
          <cell r="F8680" t="str">
            <v>14 Aug 2024</v>
          </cell>
        </row>
        <row r="8681">
          <cell r="A8681" t="str">
            <v>PAK</v>
          </cell>
          <cell r="B8681">
            <v>2021</v>
          </cell>
          <cell r="C8681" t="str">
            <v>mar_indfc</v>
          </cell>
          <cell r="D8681">
            <v>18.958358764648438</v>
          </cell>
          <cell r="F8681" t="str">
            <v>14 Aug 2024</v>
          </cell>
        </row>
        <row r="8682">
          <cell r="A8682" t="str">
            <v>PAK</v>
          </cell>
          <cell r="B8682">
            <v>2014</v>
          </cell>
          <cell r="C8682" t="str">
            <v>mataxfc</v>
          </cell>
          <cell r="D8682">
            <v>18.941501617431641</v>
          </cell>
          <cell r="F8682" t="str">
            <v>14 Aug 2024</v>
          </cell>
        </row>
        <row r="8683">
          <cell r="A8683" t="str">
            <v>PAK</v>
          </cell>
          <cell r="B8683">
            <v>2019</v>
          </cell>
          <cell r="C8683" t="str">
            <v>mac_labz</v>
          </cell>
          <cell r="D8683">
            <v>1.452683687210083</v>
          </cell>
          <cell r="F8683" t="str">
            <v>14 Aug 2024</v>
          </cell>
        </row>
        <row r="8684">
          <cell r="A8684" t="str">
            <v>PAK</v>
          </cell>
          <cell r="B8684">
            <v>2014</v>
          </cell>
          <cell r="C8684" t="str">
            <v>mar_srvfc</v>
          </cell>
          <cell r="D8684">
            <v>55.854915618896484</v>
          </cell>
          <cell r="F8684" t="str">
            <v>14 Aug 2024</v>
          </cell>
        </row>
        <row r="8685">
          <cell r="A8685" t="str">
            <v>PAK</v>
          </cell>
          <cell r="B8685">
            <v>2006</v>
          </cell>
          <cell r="C8685" t="str">
            <v>mar_agrfc</v>
          </cell>
          <cell r="D8685">
            <v>27.14691162109375</v>
          </cell>
          <cell r="F8685" t="str">
            <v>14 Aug 2024</v>
          </cell>
        </row>
        <row r="8686">
          <cell r="A8686" t="str">
            <v>PAK</v>
          </cell>
          <cell r="B8686">
            <v>2017</v>
          </cell>
          <cell r="C8686" t="str">
            <v>magdpz</v>
          </cell>
          <cell r="D8686">
            <v>4.4326257705688477</v>
          </cell>
          <cell r="F8686" t="str">
            <v>14 Aug 2024</v>
          </cell>
        </row>
        <row r="8687">
          <cell r="A8687" t="str">
            <v>PAK</v>
          </cell>
          <cell r="B8687">
            <v>2014</v>
          </cell>
          <cell r="C8687" t="str">
            <v>mac_tfpz</v>
          </cell>
          <cell r="D8687">
            <v>1.6102883815765381</v>
          </cell>
          <cell r="F8687" t="str">
            <v>14 Aug 2024</v>
          </cell>
        </row>
        <row r="8688">
          <cell r="A8688" t="str">
            <v>PAK</v>
          </cell>
          <cell r="B8688">
            <v>2021</v>
          </cell>
          <cell r="C8688" t="str">
            <v>mapanusatls</v>
          </cell>
          <cell r="D8688">
            <v>160.02000427246094</v>
          </cell>
          <cell r="F8688" t="str">
            <v>14 Aug 2024</v>
          </cell>
        </row>
        <row r="8689">
          <cell r="A8689" t="str">
            <v>PAK</v>
          </cell>
          <cell r="B8689">
            <v>2012</v>
          </cell>
          <cell r="C8689" t="str">
            <v>maconz</v>
          </cell>
          <cell r="D8689">
            <v>3.9449758529663086</v>
          </cell>
          <cell r="F8689" t="str">
            <v>14 Aug 2024</v>
          </cell>
        </row>
        <row r="8690">
          <cell r="A8690" t="str">
            <v>PAK</v>
          </cell>
          <cell r="B8690">
            <v>2014</v>
          </cell>
          <cell r="C8690" t="str">
            <v>macab_</v>
          </cell>
          <cell r="D8690">
            <v>-1.1533364057540894</v>
          </cell>
          <cell r="F8690" t="str">
            <v>14 Aug 2024</v>
          </cell>
        </row>
        <row r="8691">
          <cell r="A8691" t="str">
            <v>PAK</v>
          </cell>
          <cell r="B8691">
            <v>2016</v>
          </cell>
          <cell r="C8691" t="str">
            <v>magap_</v>
          </cell>
          <cell r="D8691">
            <v>1.3639663457870483</v>
          </cell>
          <cell r="F8691" t="str">
            <v>14 Aug 2024</v>
          </cell>
        </row>
        <row r="8692">
          <cell r="A8692" t="str">
            <v>PAK</v>
          </cell>
          <cell r="B8692">
            <v>2021</v>
          </cell>
          <cell r="C8692" t="str">
            <v>mataxfc</v>
          </cell>
          <cell r="D8692">
            <v>18.621110916137695</v>
          </cell>
          <cell r="F8692" t="str">
            <v>14 Aug 2024</v>
          </cell>
        </row>
        <row r="8693">
          <cell r="A8693" t="str">
            <v>PAK</v>
          </cell>
          <cell r="B8693">
            <v>2006</v>
          </cell>
          <cell r="C8693" t="str">
            <v>maindfc</v>
          </cell>
          <cell r="D8693">
            <v>3.281611442565918</v>
          </cell>
          <cell r="F8693" t="str">
            <v>14 Aug 2024</v>
          </cell>
        </row>
        <row r="8694">
          <cell r="A8694" t="str">
            <v>PAK</v>
          </cell>
          <cell r="B8694">
            <v>2023</v>
          </cell>
          <cell r="C8694" t="str">
            <v>mar_taxfc</v>
          </cell>
          <cell r="D8694">
            <v>5.6456379890441895</v>
          </cell>
          <cell r="F8694" t="str">
            <v>14 Aug 2024</v>
          </cell>
        </row>
        <row r="8695">
          <cell r="A8695" t="str">
            <v>PAK</v>
          </cell>
          <cell r="B8695">
            <v>2012</v>
          </cell>
          <cell r="C8695" t="str">
            <v>mainvz</v>
          </cell>
          <cell r="D8695">
            <v>3.683396577835083</v>
          </cell>
          <cell r="F8695" t="str">
            <v>14 Aug 2024</v>
          </cell>
        </row>
        <row r="8696">
          <cell r="A8696" t="str">
            <v>PAK</v>
          </cell>
          <cell r="B8696">
            <v>2010</v>
          </cell>
          <cell r="C8696" t="str">
            <v>mar_expz</v>
          </cell>
          <cell r="D8696">
            <v>12.002335548400879</v>
          </cell>
          <cell r="F8696" t="str">
            <v>14 Aug 2024</v>
          </cell>
        </row>
        <row r="8697">
          <cell r="A8697" t="str">
            <v>PAK</v>
          </cell>
          <cell r="B8697">
            <v>2007</v>
          </cell>
          <cell r="C8697" t="str">
            <v>mar_indfc</v>
          </cell>
          <cell r="D8697">
            <v>18.95892333984375</v>
          </cell>
          <cell r="F8697" t="str">
            <v>14 Aug 2024</v>
          </cell>
        </row>
        <row r="8698">
          <cell r="A8698" t="str">
            <v>PAK</v>
          </cell>
          <cell r="B8698">
            <v>2014</v>
          </cell>
          <cell r="C8698" t="str">
            <v>magovz</v>
          </cell>
          <cell r="D8698">
            <v>0.30867594480514526</v>
          </cell>
          <cell r="F8698" t="str">
            <v>14 Aug 2024</v>
          </cell>
        </row>
        <row r="8699">
          <cell r="A8699" t="str">
            <v>PAK</v>
          </cell>
          <cell r="B8699">
            <v>2016</v>
          </cell>
          <cell r="C8699" t="str">
            <v>mar_taxfc</v>
          </cell>
          <cell r="D8699">
            <v>7.2663860321044922</v>
          </cell>
          <cell r="F8699" t="str">
            <v>14 Aug 2024</v>
          </cell>
        </row>
        <row r="8700">
          <cell r="A8700" t="str">
            <v>PAK</v>
          </cell>
          <cell r="B8700">
            <v>2006</v>
          </cell>
          <cell r="C8700" t="str">
            <v>matfpz</v>
          </cell>
          <cell r="D8700">
            <v>1.2929133176803589</v>
          </cell>
          <cell r="F8700" t="str">
            <v>14 Aug 2024</v>
          </cell>
        </row>
        <row r="8701">
          <cell r="A8701" t="str">
            <v>PAK</v>
          </cell>
          <cell r="B8701">
            <v>2013</v>
          </cell>
          <cell r="C8701" t="str">
            <v>mar_indfc</v>
          </cell>
          <cell r="D8701">
            <v>18.683883666992188</v>
          </cell>
          <cell r="F8701" t="str">
            <v>14 Aug 2024</v>
          </cell>
        </row>
        <row r="8702">
          <cell r="A8702" t="str">
            <v>PAK</v>
          </cell>
          <cell r="B8702">
            <v>2023</v>
          </cell>
          <cell r="C8702" t="str">
            <v>mar_con</v>
          </cell>
          <cell r="D8702">
            <v>90.998382568359375</v>
          </cell>
          <cell r="F8702" t="str">
            <v>14 Aug 2024</v>
          </cell>
        </row>
        <row r="8703">
          <cell r="A8703" t="str">
            <v>PAK</v>
          </cell>
          <cell r="B8703">
            <v>2011</v>
          </cell>
          <cell r="C8703" t="str">
            <v>maimpz</v>
          </cell>
          <cell r="D8703">
            <v>-3.3541138172149658</v>
          </cell>
          <cell r="F8703" t="str">
            <v>14 Aug 2024</v>
          </cell>
        </row>
        <row r="8704">
          <cell r="A8704" t="str">
            <v>PAK</v>
          </cell>
          <cell r="B8704">
            <v>2026</v>
          </cell>
          <cell r="C8704" t="str">
            <v>mafdi_</v>
          </cell>
          <cell r="D8704">
            <v>-0.38255661725997925</v>
          </cell>
          <cell r="F8704" t="str">
            <v>14 Aug 2024</v>
          </cell>
        </row>
        <row r="8705">
          <cell r="A8705" t="str">
            <v>PAK</v>
          </cell>
          <cell r="B8705">
            <v>2021</v>
          </cell>
          <cell r="C8705" t="str">
            <v>macpiz</v>
          </cell>
          <cell r="D8705">
            <v>8.8999996185302734</v>
          </cell>
          <cell r="F8705" t="str">
            <v>14 Aug 2024</v>
          </cell>
        </row>
        <row r="8706">
          <cell r="A8706" t="str">
            <v>PAK</v>
          </cell>
          <cell r="B8706">
            <v>2012</v>
          </cell>
          <cell r="C8706" t="str">
            <v>masrvfc</v>
          </cell>
          <cell r="D8706">
            <v>3.4845082759857178</v>
          </cell>
          <cell r="F8706" t="str">
            <v>14 Aug 2024</v>
          </cell>
        </row>
        <row r="8707">
          <cell r="A8707" t="str">
            <v>PAK</v>
          </cell>
          <cell r="B8707">
            <v>2017</v>
          </cell>
          <cell r="C8707" t="str">
            <v>macpiz</v>
          </cell>
          <cell r="D8707">
            <v>4.809999942779541</v>
          </cell>
          <cell r="F8707" t="str">
            <v>14 Aug 2024</v>
          </cell>
        </row>
        <row r="8708">
          <cell r="A8708" t="str">
            <v>PAK</v>
          </cell>
          <cell r="B8708">
            <v>2021</v>
          </cell>
          <cell r="C8708" t="str">
            <v>mainvz</v>
          </cell>
          <cell r="D8708">
            <v>3.6656239032745361</v>
          </cell>
          <cell r="F8708" t="str">
            <v>14 Aug 2024</v>
          </cell>
        </row>
        <row r="8709">
          <cell r="A8709" t="str">
            <v>PAK</v>
          </cell>
          <cell r="B8709">
            <v>2016</v>
          </cell>
          <cell r="C8709" t="str">
            <v>macpiz</v>
          </cell>
          <cell r="D8709">
            <v>2.8594939708709717</v>
          </cell>
          <cell r="F8709" t="str">
            <v>14 Aug 2024</v>
          </cell>
        </row>
        <row r="8710">
          <cell r="A8710" t="str">
            <v>PAK</v>
          </cell>
          <cell r="B8710">
            <v>2015</v>
          </cell>
          <cell r="C8710" t="str">
            <v>maindfc</v>
          </cell>
          <cell r="D8710">
            <v>5.3962416648864746</v>
          </cell>
          <cell r="F8710" t="str">
            <v>14 Aug 2024</v>
          </cell>
        </row>
        <row r="8711">
          <cell r="A8711" t="str">
            <v>PAK</v>
          </cell>
          <cell r="B8711">
            <v>2019</v>
          </cell>
          <cell r="C8711" t="str">
            <v>mar_agrfc</v>
          </cell>
          <cell r="D8711">
            <v>22.428934097290039</v>
          </cell>
          <cell r="F8711" t="str">
            <v>14 Aug 2024</v>
          </cell>
        </row>
        <row r="8712">
          <cell r="A8712" t="str">
            <v>PAK</v>
          </cell>
          <cell r="B8712">
            <v>2022</v>
          </cell>
          <cell r="C8712" t="str">
            <v>macpiz</v>
          </cell>
          <cell r="D8712">
            <v>12.145000457763672</v>
          </cell>
          <cell r="F8712" t="str">
            <v>14 Aug 2024</v>
          </cell>
        </row>
        <row r="8713">
          <cell r="A8713" t="str">
            <v>PAK</v>
          </cell>
          <cell r="B8713">
            <v>2013</v>
          </cell>
          <cell r="C8713" t="str">
            <v>macab_</v>
          </cell>
          <cell r="D8713">
            <v>-0.96502310037612915</v>
          </cell>
          <cell r="F8713" t="str">
            <v>14 Aug 2024</v>
          </cell>
        </row>
        <row r="8714">
          <cell r="A8714" t="str">
            <v>PAK</v>
          </cell>
          <cell r="B8714">
            <v>2010</v>
          </cell>
          <cell r="C8714" t="str">
            <v>magap_</v>
          </cell>
          <cell r="D8714">
            <v>-2.0510802268981934</v>
          </cell>
          <cell r="F8714" t="str">
            <v>14 Aug 2024</v>
          </cell>
        </row>
        <row r="8715">
          <cell r="A8715" t="str">
            <v>PAK</v>
          </cell>
          <cell r="B8715">
            <v>2024</v>
          </cell>
          <cell r="C8715" t="str">
            <v>mainvz</v>
          </cell>
          <cell r="D8715">
            <v>-0.47418093681335449</v>
          </cell>
          <cell r="F8715" t="str">
            <v>14 Aug 2024</v>
          </cell>
        </row>
        <row r="8716">
          <cell r="A8716" t="str">
            <v>PAK</v>
          </cell>
          <cell r="B8716">
            <v>2010</v>
          </cell>
          <cell r="C8716" t="str">
            <v>mareer</v>
          </cell>
          <cell r="D8716">
            <v>79.41949462890625</v>
          </cell>
          <cell r="F8716" t="str">
            <v>14 Aug 2024</v>
          </cell>
        </row>
        <row r="8717">
          <cell r="A8717" t="str">
            <v>PAK</v>
          </cell>
          <cell r="B8717">
            <v>2012</v>
          </cell>
          <cell r="C8717" t="str">
            <v>mar_expz</v>
          </cell>
          <cell r="D8717">
            <v>10.153460502624512</v>
          </cell>
          <cell r="F8717" t="str">
            <v>14 Aug 2024</v>
          </cell>
        </row>
        <row r="8718">
          <cell r="A8718" t="str">
            <v>PAK</v>
          </cell>
          <cell r="B8718">
            <v>2021</v>
          </cell>
          <cell r="C8718" t="str">
            <v>malabz</v>
          </cell>
          <cell r="D8718">
            <v>2.3905043601989746</v>
          </cell>
          <cell r="F8718" t="str">
            <v>14 Aug 2024</v>
          </cell>
        </row>
        <row r="8719">
          <cell r="A8719" t="str">
            <v>PAK</v>
          </cell>
          <cell r="B8719">
            <v>2019</v>
          </cell>
          <cell r="C8719" t="str">
            <v>madebt_</v>
          </cell>
          <cell r="D8719">
            <v>81.211334228515625</v>
          </cell>
          <cell r="F8719" t="str">
            <v>14 Aug 2024</v>
          </cell>
        </row>
        <row r="8720">
          <cell r="A8720" t="str">
            <v>PAK</v>
          </cell>
          <cell r="B8720">
            <v>2008</v>
          </cell>
          <cell r="C8720" t="str">
            <v>magdpz</v>
          </cell>
          <cell r="D8720">
            <v>2.1204409599304199</v>
          </cell>
          <cell r="F8720" t="str">
            <v>14 Aug 2024</v>
          </cell>
        </row>
        <row r="8721">
          <cell r="A8721" t="str">
            <v>PAK</v>
          </cell>
          <cell r="B8721">
            <v>2019</v>
          </cell>
          <cell r="C8721" t="str">
            <v>magovz</v>
          </cell>
          <cell r="D8721">
            <v>-1.5769902467727661</v>
          </cell>
          <cell r="F8721" t="str">
            <v>14 Aug 2024</v>
          </cell>
        </row>
        <row r="8722">
          <cell r="A8722" t="str">
            <v>PAK</v>
          </cell>
          <cell r="B8722">
            <v>2006</v>
          </cell>
          <cell r="C8722" t="str">
            <v>mar_impz</v>
          </cell>
          <cell r="D8722">
            <v>22.926176071166992</v>
          </cell>
          <cell r="F8722" t="str">
            <v>14 Aug 2024</v>
          </cell>
        </row>
        <row r="8723">
          <cell r="A8723" t="str">
            <v>PAK</v>
          </cell>
          <cell r="B8723">
            <v>2024</v>
          </cell>
          <cell r="C8723" t="str">
            <v>mar_taxfc</v>
          </cell>
          <cell r="D8723">
            <v>5.6456398963928223</v>
          </cell>
          <cell r="F8723" t="str">
            <v>14 Aug 2024</v>
          </cell>
        </row>
        <row r="8724">
          <cell r="A8724" t="str">
            <v>PAK</v>
          </cell>
          <cell r="B8724">
            <v>2007</v>
          </cell>
          <cell r="C8724" t="str">
            <v>macpiz</v>
          </cell>
          <cell r="D8724">
            <v>7.7755904197692871</v>
          </cell>
          <cell r="F8724" t="str">
            <v>14 Aug 2024</v>
          </cell>
        </row>
        <row r="8725">
          <cell r="A8725" t="str">
            <v>PAK</v>
          </cell>
          <cell r="B8725">
            <v>2020</v>
          </cell>
          <cell r="C8725" t="str">
            <v>mainvz</v>
          </cell>
          <cell r="D8725">
            <v>-6.6764364242553711</v>
          </cell>
          <cell r="F8725" t="str">
            <v>14 Aug 2024</v>
          </cell>
        </row>
        <row r="8726">
          <cell r="A8726" t="str">
            <v>PAK</v>
          </cell>
          <cell r="B8726">
            <v>2013</v>
          </cell>
          <cell r="C8726" t="str">
            <v>madebt_</v>
          </cell>
          <cell r="D8726">
            <v>60.124504089355469</v>
          </cell>
          <cell r="F8726" t="str">
            <v>14 Aug 2024</v>
          </cell>
        </row>
        <row r="8727">
          <cell r="A8727" t="str">
            <v>PAK</v>
          </cell>
          <cell r="B8727">
            <v>2026</v>
          </cell>
          <cell r="C8727" t="str">
            <v>malabz</v>
          </cell>
          <cell r="D8727">
            <v>2.6114895343780518</v>
          </cell>
          <cell r="F8727" t="str">
            <v>14 Aug 2024</v>
          </cell>
        </row>
        <row r="8728">
          <cell r="A8728" t="str">
            <v>PAK</v>
          </cell>
          <cell r="B8728">
            <v>2017</v>
          </cell>
          <cell r="C8728" t="str">
            <v>mar_agrfc</v>
          </cell>
          <cell r="D8728">
            <v>23.403057098388672</v>
          </cell>
          <cell r="F8728" t="str">
            <v>14 Aug 2024</v>
          </cell>
        </row>
        <row r="8729">
          <cell r="A8729" t="str">
            <v>PAK</v>
          </cell>
          <cell r="B8729">
            <v>2018</v>
          </cell>
          <cell r="C8729" t="str">
            <v>madebt_</v>
          </cell>
          <cell r="D8729">
            <v>68.197593688964844</v>
          </cell>
          <cell r="F8729" t="str">
            <v>14 Aug 2024</v>
          </cell>
        </row>
        <row r="8730">
          <cell r="A8730" t="str">
            <v>PAK</v>
          </cell>
          <cell r="B8730">
            <v>2005</v>
          </cell>
          <cell r="C8730" t="str">
            <v>madeficit_</v>
          </cell>
          <cell r="D8730">
            <v>-2.3630411624908447</v>
          </cell>
          <cell r="F8730" t="str">
            <v>14 Aug 2024</v>
          </cell>
        </row>
        <row r="8731">
          <cell r="A8731" t="str">
            <v>PAK</v>
          </cell>
          <cell r="B8731">
            <v>2011</v>
          </cell>
          <cell r="C8731" t="str">
            <v>mac_tfpz</v>
          </cell>
          <cell r="D8731">
            <v>1.1341029405593872</v>
          </cell>
          <cell r="F8731" t="str">
            <v>14 Aug 2024</v>
          </cell>
        </row>
        <row r="8732">
          <cell r="A8732" t="str">
            <v>PAK</v>
          </cell>
          <cell r="B8732">
            <v>2020</v>
          </cell>
          <cell r="C8732" t="str">
            <v>magovz</v>
          </cell>
          <cell r="D8732">
            <v>8.5092678070068359</v>
          </cell>
          <cell r="F8732" t="str">
            <v>14 Aug 2024</v>
          </cell>
        </row>
        <row r="8733">
          <cell r="A8733" t="str">
            <v>PAK</v>
          </cell>
          <cell r="B8733">
            <v>2015</v>
          </cell>
          <cell r="C8733" t="str">
            <v>masrvfc</v>
          </cell>
          <cell r="D8733">
            <v>4.1975278854370117</v>
          </cell>
          <cell r="F8733" t="str">
            <v>14 Aug 2024</v>
          </cell>
        </row>
        <row r="8734">
          <cell r="A8734" t="str">
            <v>PAK</v>
          </cell>
          <cell r="B8734">
            <v>2011</v>
          </cell>
          <cell r="C8734" t="str">
            <v>mar_srvfc</v>
          </cell>
          <cell r="D8734">
            <v>54.885002136230469</v>
          </cell>
          <cell r="F8734" t="str">
            <v>14 Aug 2024</v>
          </cell>
        </row>
        <row r="8735">
          <cell r="A8735" t="str">
            <v>PAK</v>
          </cell>
          <cell r="B8735">
            <v>2006</v>
          </cell>
          <cell r="C8735" t="str">
            <v>mar_indfc</v>
          </cell>
          <cell r="D8735">
            <v>18.577922821044922</v>
          </cell>
          <cell r="F8735" t="str">
            <v>14 Aug 2024</v>
          </cell>
        </row>
        <row r="8736">
          <cell r="A8736" t="str">
            <v>PAK</v>
          </cell>
          <cell r="B8736">
            <v>2009</v>
          </cell>
          <cell r="C8736" t="str">
            <v>mataxfc</v>
          </cell>
          <cell r="D8736">
            <v>107.77630615234375</v>
          </cell>
          <cell r="F8736" t="str">
            <v>14 Aug 2024</v>
          </cell>
        </row>
        <row r="8737">
          <cell r="A8737" t="str">
            <v>PAK</v>
          </cell>
          <cell r="B8737">
            <v>2015</v>
          </cell>
          <cell r="C8737" t="str">
            <v>maimpz</v>
          </cell>
          <cell r="D8737">
            <v>-0.99479889869689941</v>
          </cell>
          <cell r="F8737" t="str">
            <v>14 Aug 2024</v>
          </cell>
        </row>
        <row r="8738">
          <cell r="A8738" t="str">
            <v>PAK</v>
          </cell>
          <cell r="B8738">
            <v>2010</v>
          </cell>
          <cell r="C8738" t="str">
            <v>malabz</v>
          </cell>
          <cell r="D8738">
            <v>2.8564424514770508</v>
          </cell>
          <cell r="F8738" t="str">
            <v>14 Aug 2024</v>
          </cell>
        </row>
        <row r="8739">
          <cell r="A8739" t="str">
            <v>PAK</v>
          </cell>
          <cell r="B8739">
            <v>2007</v>
          </cell>
          <cell r="C8739" t="str">
            <v>madeficit_</v>
          </cell>
          <cell r="D8739">
            <v>-3.1911017894744873</v>
          </cell>
          <cell r="F8739" t="str">
            <v>14 Aug 2024</v>
          </cell>
        </row>
        <row r="8740">
          <cell r="A8740" t="str">
            <v>PAK</v>
          </cell>
          <cell r="B8740">
            <v>2022</v>
          </cell>
          <cell r="C8740" t="str">
            <v>mar_impz</v>
          </cell>
          <cell r="D8740">
            <v>22.804115295410156</v>
          </cell>
          <cell r="F8740" t="str">
            <v>14 Aug 2024</v>
          </cell>
        </row>
        <row r="8741">
          <cell r="A8741" t="str">
            <v>PAK</v>
          </cell>
          <cell r="B8741">
            <v>2006</v>
          </cell>
          <cell r="C8741" t="str">
            <v>macpiz</v>
          </cell>
          <cell r="D8741">
            <v>7.8842577934265137</v>
          </cell>
          <cell r="F8741" t="str">
            <v>14 Aug 2024</v>
          </cell>
        </row>
        <row r="8742">
          <cell r="A8742" t="str">
            <v>PAK</v>
          </cell>
          <cell r="B8742">
            <v>2013</v>
          </cell>
          <cell r="C8742" t="str">
            <v>mar_impz</v>
          </cell>
          <cell r="D8742">
            <v>15.142518043518066</v>
          </cell>
          <cell r="F8742" t="str">
            <v>14 Aug 2024</v>
          </cell>
        </row>
        <row r="8743">
          <cell r="A8743" t="str">
            <v>PAK</v>
          </cell>
          <cell r="B8743">
            <v>2023</v>
          </cell>
          <cell r="C8743" t="str">
            <v>madebt_</v>
          </cell>
          <cell r="D8743">
            <v>81.387992858886719</v>
          </cell>
          <cell r="F8743" t="str">
            <v>14 Aug 2024</v>
          </cell>
        </row>
        <row r="8744">
          <cell r="A8744" t="str">
            <v>PAK</v>
          </cell>
          <cell r="B8744">
            <v>2011</v>
          </cell>
          <cell r="C8744" t="str">
            <v>magap_</v>
          </cell>
          <cell r="D8744">
            <v>-3.1361029148101807</v>
          </cell>
          <cell r="F8744" t="str">
            <v>14 Aug 2024</v>
          </cell>
        </row>
        <row r="8745">
          <cell r="A8745" t="str">
            <v>PAK</v>
          </cell>
          <cell r="B8745">
            <v>2006</v>
          </cell>
          <cell r="C8745" t="str">
            <v>mafdi_</v>
          </cell>
          <cell r="D8745">
            <v>-2.1317987442016602</v>
          </cell>
          <cell r="F8745" t="str">
            <v>14 Aug 2024</v>
          </cell>
        </row>
        <row r="8746">
          <cell r="A8746" t="str">
            <v>PAK</v>
          </cell>
          <cell r="B8746">
            <v>2025</v>
          </cell>
          <cell r="C8746" t="str">
            <v>mar_con</v>
          </cell>
          <cell r="D8746">
            <v>90.796310424804688</v>
          </cell>
          <cell r="F8746" t="str">
            <v>14 Aug 2024</v>
          </cell>
        </row>
        <row r="8747">
          <cell r="A8747" t="str">
            <v>PAK</v>
          </cell>
          <cell r="B8747">
            <v>2026</v>
          </cell>
          <cell r="C8747" t="str">
            <v>mapanusatls</v>
          </cell>
          <cell r="D8747">
            <v>375</v>
          </cell>
          <cell r="F8747" t="str">
            <v>14 Aug 2024</v>
          </cell>
        </row>
        <row r="8748">
          <cell r="A8748" t="str">
            <v>PAK</v>
          </cell>
          <cell r="B8748">
            <v>2015</v>
          </cell>
          <cell r="C8748" t="str">
            <v>mar_expz</v>
          </cell>
          <cell r="D8748">
            <v>9.1779813766479492</v>
          </cell>
          <cell r="F8748" t="str">
            <v>14 Aug 2024</v>
          </cell>
        </row>
        <row r="8749">
          <cell r="A8749" t="str">
            <v>PAK</v>
          </cell>
          <cell r="B8749">
            <v>2016</v>
          </cell>
          <cell r="C8749" t="str">
            <v>mar_con</v>
          </cell>
          <cell r="D8749">
            <v>80.683441162109375</v>
          </cell>
          <cell r="F8749" t="str">
            <v>14 Aug 2024</v>
          </cell>
        </row>
        <row r="8750">
          <cell r="A8750" t="str">
            <v>PAK</v>
          </cell>
          <cell r="B8750">
            <v>2008</v>
          </cell>
          <cell r="C8750" t="str">
            <v>magap_</v>
          </cell>
          <cell r="D8750">
            <v>2.0480222702026367</v>
          </cell>
          <cell r="F8750" t="str">
            <v>14 Aug 2024</v>
          </cell>
        </row>
        <row r="8751">
          <cell r="A8751" t="str">
            <v>PAK</v>
          </cell>
          <cell r="B8751">
            <v>2009</v>
          </cell>
          <cell r="C8751" t="str">
            <v>maexpz</v>
          </cell>
          <cell r="D8751">
            <v>-5.6152911186218262</v>
          </cell>
          <cell r="F8751" t="str">
            <v>14 Aug 2024</v>
          </cell>
        </row>
        <row r="8752">
          <cell r="A8752" t="str">
            <v>PAK</v>
          </cell>
          <cell r="B8752">
            <v>2023</v>
          </cell>
          <cell r="C8752" t="str">
            <v>malabz</v>
          </cell>
          <cell r="D8752">
            <v>2.6538791656494141</v>
          </cell>
          <cell r="F8752" t="str">
            <v>14 Aug 2024</v>
          </cell>
        </row>
        <row r="8753">
          <cell r="A8753" t="str">
            <v>PAK</v>
          </cell>
          <cell r="B8753">
            <v>2014</v>
          </cell>
          <cell r="C8753" t="str">
            <v>mapanusatls</v>
          </cell>
          <cell r="D8753">
            <v>103</v>
          </cell>
          <cell r="F8753" t="str">
            <v>14 Aug 2024</v>
          </cell>
        </row>
        <row r="8754">
          <cell r="A8754" t="str">
            <v>PAK</v>
          </cell>
          <cell r="B8754">
            <v>2014</v>
          </cell>
          <cell r="C8754" t="str">
            <v>mafdi_</v>
          </cell>
          <cell r="D8754">
            <v>-0.57924753427505493</v>
          </cell>
          <cell r="F8754" t="str">
            <v>14 Aug 2024</v>
          </cell>
        </row>
        <row r="8755">
          <cell r="A8755" t="str">
            <v>PAK</v>
          </cell>
          <cell r="B8755">
            <v>2025</v>
          </cell>
          <cell r="C8755" t="str">
            <v>magap_</v>
          </cell>
          <cell r="D8755">
            <v>-7.1791477203369141</v>
          </cell>
          <cell r="F8755" t="str">
            <v>14 Aug 2024</v>
          </cell>
        </row>
        <row r="8756">
          <cell r="A8756" t="str">
            <v>PAK</v>
          </cell>
          <cell r="B8756">
            <v>2025</v>
          </cell>
          <cell r="C8756" t="str">
            <v>mar_expz</v>
          </cell>
          <cell r="D8756">
            <v>10.575348854064941</v>
          </cell>
          <cell r="F8756" t="str">
            <v>14 Aug 2024</v>
          </cell>
        </row>
        <row r="8757">
          <cell r="A8757" t="str">
            <v>PAK</v>
          </cell>
          <cell r="B8757">
            <v>2015</v>
          </cell>
          <cell r="C8757" t="str">
            <v>macpiz</v>
          </cell>
          <cell r="D8757">
            <v>4.5263948440551758</v>
          </cell>
          <cell r="F8757" t="str">
            <v>14 Aug 2024</v>
          </cell>
        </row>
        <row r="8758">
          <cell r="A8758" t="str">
            <v>PAK</v>
          </cell>
          <cell r="B8758">
            <v>2013</v>
          </cell>
          <cell r="C8758" t="str">
            <v>mac_labz</v>
          </cell>
          <cell r="D8758">
            <v>1.219645619392395</v>
          </cell>
          <cell r="F8758" t="str">
            <v>14 Aug 2024</v>
          </cell>
        </row>
        <row r="8759">
          <cell r="A8759" t="str">
            <v>PAK</v>
          </cell>
          <cell r="B8759">
            <v>2025</v>
          </cell>
          <cell r="C8759" t="str">
            <v>mac_labz</v>
          </cell>
          <cell r="D8759">
            <v>1.8455495834350586</v>
          </cell>
          <cell r="F8759" t="str">
            <v>14 Aug 2024</v>
          </cell>
        </row>
        <row r="8760">
          <cell r="A8760" t="str">
            <v>PAK</v>
          </cell>
          <cell r="B8760">
            <v>2014</v>
          </cell>
          <cell r="C8760" t="str">
            <v>masrvfc</v>
          </cell>
          <cell r="D8760">
            <v>3.8173258304595947</v>
          </cell>
          <cell r="F8760" t="str">
            <v>14 Aug 2024</v>
          </cell>
        </row>
        <row r="8761">
          <cell r="A8761" t="str">
            <v>PAK</v>
          </cell>
          <cell r="B8761">
            <v>2013</v>
          </cell>
          <cell r="C8761" t="str">
            <v>maimpz</v>
          </cell>
          <cell r="D8761">
            <v>5.9230849146842957E-2</v>
          </cell>
          <cell r="F8761" t="str">
            <v>14 Aug 2024</v>
          </cell>
        </row>
        <row r="8762">
          <cell r="A8762" t="str">
            <v>PAK</v>
          </cell>
          <cell r="B8762">
            <v>2011</v>
          </cell>
          <cell r="C8762" t="str">
            <v>mapanusatls</v>
          </cell>
          <cell r="D8762">
            <v>85.569999694824219</v>
          </cell>
          <cell r="F8762" t="str">
            <v>14 Aug 2024</v>
          </cell>
        </row>
        <row r="8763">
          <cell r="A8763" t="str">
            <v>PAK</v>
          </cell>
          <cell r="B8763">
            <v>2007</v>
          </cell>
          <cell r="C8763" t="str">
            <v>maagrfc</v>
          </cell>
          <cell r="D8763">
            <v>3.4835498332977295</v>
          </cell>
          <cell r="F8763" t="str">
            <v>14 Aug 2024</v>
          </cell>
        </row>
        <row r="8764">
          <cell r="A8764" t="str">
            <v>PAK</v>
          </cell>
          <cell r="B8764">
            <v>2023</v>
          </cell>
          <cell r="C8764" t="str">
            <v>matfpz</v>
          </cell>
          <cell r="D8764">
            <v>1.4392781257629395</v>
          </cell>
          <cell r="F8764" t="str">
            <v>14 Aug 2024</v>
          </cell>
        </row>
        <row r="8765">
          <cell r="A8765" t="str">
            <v>PAK</v>
          </cell>
          <cell r="B8765">
            <v>2017</v>
          </cell>
          <cell r="C8765" t="str">
            <v>maindfc</v>
          </cell>
          <cell r="D8765">
            <v>4.607353687286377</v>
          </cell>
          <cell r="F8765" t="str">
            <v>14 Aug 2024</v>
          </cell>
        </row>
        <row r="8766">
          <cell r="A8766" t="str">
            <v>PAK</v>
          </cell>
          <cell r="B8766">
            <v>2024</v>
          </cell>
          <cell r="C8766" t="str">
            <v>maconz</v>
          </cell>
          <cell r="D8766">
            <v>1.690000057220459</v>
          </cell>
          <cell r="F8766" t="str">
            <v>14 Aug 2024</v>
          </cell>
        </row>
        <row r="8767">
          <cell r="A8767" t="str">
            <v>PAK</v>
          </cell>
          <cell r="B8767">
            <v>2013</v>
          </cell>
          <cell r="C8767" t="str">
            <v>maindfc</v>
          </cell>
          <cell r="D8767">
            <v>1.1553293466567993</v>
          </cell>
          <cell r="F8767" t="str">
            <v>14 Aug 2024</v>
          </cell>
        </row>
        <row r="8768">
          <cell r="A8768" t="str">
            <v>PAK</v>
          </cell>
          <cell r="B8768">
            <v>2008</v>
          </cell>
          <cell r="C8768" t="str">
            <v>madeficit_</v>
          </cell>
          <cell r="D8768">
            <v>-5.9028854370117188</v>
          </cell>
          <cell r="F8768" t="str">
            <v>14 Aug 2024</v>
          </cell>
        </row>
        <row r="8769">
          <cell r="A8769" t="str">
            <v>PAK</v>
          </cell>
          <cell r="B8769">
            <v>2008</v>
          </cell>
          <cell r="C8769" t="str">
            <v>mac_labz</v>
          </cell>
          <cell r="D8769">
            <v>1.9801157712936401</v>
          </cell>
          <cell r="F8769" t="str">
            <v>14 Aug 2024</v>
          </cell>
        </row>
        <row r="8770">
          <cell r="A8770" t="str">
            <v>PAK</v>
          </cell>
          <cell r="B8770">
            <v>2005</v>
          </cell>
          <cell r="C8770" t="str">
            <v>maindfc</v>
          </cell>
          <cell r="D8770">
            <v>9.0223493576049805</v>
          </cell>
          <cell r="F8770" t="str">
            <v>14 Aug 2024</v>
          </cell>
        </row>
        <row r="8771">
          <cell r="A8771" t="str">
            <v>PAK</v>
          </cell>
          <cell r="B8771">
            <v>2012</v>
          </cell>
          <cell r="C8771" t="str">
            <v>madeficit_</v>
          </cell>
          <cell r="D8771">
            <v>-5.9736027717590332</v>
          </cell>
          <cell r="F8771" t="str">
            <v>14 Aug 2024</v>
          </cell>
        </row>
        <row r="8772">
          <cell r="A8772" t="str">
            <v>PAK</v>
          </cell>
          <cell r="B8772">
            <v>2011</v>
          </cell>
          <cell r="C8772" t="str">
            <v>mac_labz</v>
          </cell>
          <cell r="D8772">
            <v>1.8231662511825562</v>
          </cell>
          <cell r="F8772" t="str">
            <v>14 Aug 2024</v>
          </cell>
        </row>
        <row r="8773">
          <cell r="A8773" t="str">
            <v>PAK</v>
          </cell>
          <cell r="B8773">
            <v>2022</v>
          </cell>
          <cell r="C8773" t="str">
            <v>macab_</v>
          </cell>
          <cell r="D8773">
            <v>-4.6642374992370605</v>
          </cell>
          <cell r="F8773" t="str">
            <v>14 Aug 2024</v>
          </cell>
        </row>
        <row r="8774">
          <cell r="A8774" t="str">
            <v>PAK</v>
          </cell>
          <cell r="B8774">
            <v>2025</v>
          </cell>
          <cell r="C8774" t="str">
            <v>mafdi_</v>
          </cell>
          <cell r="D8774">
            <v>-0.31481000781059265</v>
          </cell>
          <cell r="F8774" t="str">
            <v>14 Aug 2024</v>
          </cell>
        </row>
        <row r="8775">
          <cell r="A8775" t="str">
            <v>PAK</v>
          </cell>
          <cell r="B8775">
            <v>2024</v>
          </cell>
          <cell r="C8775" t="str">
            <v>mar_impz</v>
          </cell>
          <cell r="D8775">
            <v>22.415943145751953</v>
          </cell>
          <cell r="F8775" t="str">
            <v>14 Aug 2024</v>
          </cell>
        </row>
        <row r="8776">
          <cell r="A8776" t="str">
            <v>PAK</v>
          </cell>
          <cell r="B8776">
            <v>2026</v>
          </cell>
          <cell r="C8776" t="str">
            <v>mar_expz</v>
          </cell>
          <cell r="D8776">
            <v>10.669596672058105</v>
          </cell>
          <cell r="F8776" t="str">
            <v>14 Aug 2024</v>
          </cell>
        </row>
        <row r="8777">
          <cell r="A8777" t="str">
            <v>PAK</v>
          </cell>
          <cell r="B8777">
            <v>2007</v>
          </cell>
          <cell r="C8777" t="str">
            <v>maexpz</v>
          </cell>
          <cell r="D8777">
            <v>3.0603873729705811</v>
          </cell>
          <cell r="F8777" t="str">
            <v>14 Aug 2024</v>
          </cell>
        </row>
        <row r="8778">
          <cell r="A8778" t="str">
            <v>PAK</v>
          </cell>
          <cell r="B8778">
            <v>2008</v>
          </cell>
          <cell r="C8778" t="str">
            <v>malabz</v>
          </cell>
          <cell r="D8778">
            <v>2.8287367820739746</v>
          </cell>
          <cell r="F8778" t="str">
            <v>14 Aug 2024</v>
          </cell>
        </row>
        <row r="8779">
          <cell r="A8779" t="str">
            <v>PAK</v>
          </cell>
          <cell r="B8779">
            <v>2006</v>
          </cell>
          <cell r="C8779" t="str">
            <v>madeficit_</v>
          </cell>
          <cell r="D8779">
            <v>-2.9745163917541504</v>
          </cell>
          <cell r="F8779" t="str">
            <v>14 Aug 2024</v>
          </cell>
        </row>
        <row r="8780">
          <cell r="A8780" t="str">
            <v>PAK</v>
          </cell>
          <cell r="B8780">
            <v>2020</v>
          </cell>
          <cell r="C8780" t="str">
            <v>macab_</v>
          </cell>
          <cell r="D8780">
            <v>-1.4789007902145386</v>
          </cell>
          <cell r="F8780" t="str">
            <v>14 Aug 2024</v>
          </cell>
        </row>
        <row r="8781">
          <cell r="A8781" t="str">
            <v>PAK</v>
          </cell>
          <cell r="B8781">
            <v>2015</v>
          </cell>
          <cell r="C8781" t="str">
            <v>maconz</v>
          </cell>
          <cell r="D8781">
            <v>3.0377147197723389</v>
          </cell>
          <cell r="F8781" t="str">
            <v>14 Aug 2024</v>
          </cell>
        </row>
        <row r="8782">
          <cell r="A8782" t="str">
            <v>PAK</v>
          </cell>
          <cell r="B8782">
            <v>2012</v>
          </cell>
          <cell r="C8782" t="str">
            <v>maagrfc</v>
          </cell>
          <cell r="D8782">
            <v>3.2310233116149902</v>
          </cell>
          <cell r="F8782" t="str">
            <v>14 Aug 2024</v>
          </cell>
        </row>
        <row r="8783">
          <cell r="A8783" t="str">
            <v>PAK</v>
          </cell>
          <cell r="B8783">
            <v>2011</v>
          </cell>
          <cell r="C8783" t="str">
            <v>macab_</v>
          </cell>
          <cell r="D8783">
            <v>9.2808030545711517E-2</v>
          </cell>
          <cell r="F8783" t="str">
            <v>14 Aug 2024</v>
          </cell>
        </row>
        <row r="8784">
          <cell r="A8784" t="str">
            <v>PAK</v>
          </cell>
          <cell r="B8784">
            <v>2010</v>
          </cell>
          <cell r="C8784" t="str">
            <v>magdpz</v>
          </cell>
          <cell r="D8784">
            <v>1.5017175674438477</v>
          </cell>
          <cell r="F8784" t="str">
            <v>14 Aug 2024</v>
          </cell>
        </row>
        <row r="8785">
          <cell r="A8785" t="str">
            <v>PAK</v>
          </cell>
          <cell r="B8785">
            <v>2009</v>
          </cell>
          <cell r="C8785" t="str">
            <v>mainvz</v>
          </cell>
          <cell r="D8785">
            <v>-4.1355304718017578</v>
          </cell>
          <cell r="F8785" t="str">
            <v>14 Aug 2024</v>
          </cell>
        </row>
        <row r="8786">
          <cell r="A8786" t="str">
            <v>PAK</v>
          </cell>
          <cell r="B8786">
            <v>2009</v>
          </cell>
          <cell r="C8786" t="str">
            <v>mar_impz</v>
          </cell>
          <cell r="D8786">
            <v>18.744358062744141</v>
          </cell>
          <cell r="F8786" t="str">
            <v>14 Aug 2024</v>
          </cell>
        </row>
        <row r="8787">
          <cell r="A8787" t="str">
            <v>PAK</v>
          </cell>
          <cell r="B8787">
            <v>2015</v>
          </cell>
          <cell r="C8787" t="str">
            <v>mar_indfc</v>
          </cell>
          <cell r="D8787">
            <v>19.112100601196289</v>
          </cell>
          <cell r="F8787" t="str">
            <v>14 Aug 2024</v>
          </cell>
        </row>
        <row r="8788">
          <cell r="A8788" t="str">
            <v>PAK</v>
          </cell>
          <cell r="B8788">
            <v>2018</v>
          </cell>
          <cell r="C8788" t="str">
            <v>mar_agrfc</v>
          </cell>
          <cell r="D8788">
            <v>22.913522720336914</v>
          </cell>
          <cell r="F8788" t="str">
            <v>14 Aug 2024</v>
          </cell>
        </row>
        <row r="8789">
          <cell r="A8789" t="str">
            <v>PAK</v>
          </cell>
          <cell r="B8789">
            <v>2025</v>
          </cell>
          <cell r="C8789" t="str">
            <v>macab_</v>
          </cell>
          <cell r="D8789">
            <v>-0.65180373191833496</v>
          </cell>
          <cell r="F8789" t="str">
            <v>14 Aug 2024</v>
          </cell>
        </row>
        <row r="8790">
          <cell r="A8790" t="str">
            <v>PAK</v>
          </cell>
          <cell r="B8790">
            <v>2011</v>
          </cell>
          <cell r="C8790" t="str">
            <v>mataxfc</v>
          </cell>
          <cell r="D8790">
            <v>-10.533903121948242</v>
          </cell>
          <cell r="F8790" t="str">
            <v>14 Aug 2024</v>
          </cell>
        </row>
        <row r="8791">
          <cell r="A8791" t="str">
            <v>PAK</v>
          </cell>
          <cell r="B8791">
            <v>2012</v>
          </cell>
          <cell r="C8791" t="str">
            <v>mataxfc</v>
          </cell>
          <cell r="D8791">
            <v>-1.8778910636901855</v>
          </cell>
          <cell r="F8791" t="str">
            <v>14 Aug 2024</v>
          </cell>
        </row>
        <row r="8792">
          <cell r="A8792" t="str">
            <v>PAK</v>
          </cell>
          <cell r="B8792">
            <v>2022</v>
          </cell>
          <cell r="C8792" t="str">
            <v>mataxfc</v>
          </cell>
          <cell r="D8792">
            <v>-15.579201698303223</v>
          </cell>
          <cell r="F8792" t="str">
            <v>14 Aug 2024</v>
          </cell>
        </row>
        <row r="8793">
          <cell r="A8793" t="str">
            <v>PAK</v>
          </cell>
          <cell r="B8793">
            <v>2011</v>
          </cell>
          <cell r="C8793" t="str">
            <v>maindfc</v>
          </cell>
          <cell r="D8793">
            <v>4.8748111724853516</v>
          </cell>
          <cell r="F8793" t="str">
            <v>14 Aug 2024</v>
          </cell>
        </row>
        <row r="8794">
          <cell r="A8794" t="str">
            <v>PAK</v>
          </cell>
          <cell r="B8794">
            <v>2008</v>
          </cell>
          <cell r="C8794" t="str">
            <v>mac_tfpz</v>
          </cell>
          <cell r="D8794">
            <v>1.0693857669830322</v>
          </cell>
          <cell r="F8794" t="str">
            <v>14 Aug 2024</v>
          </cell>
        </row>
        <row r="8795">
          <cell r="A8795" t="str">
            <v>PAK</v>
          </cell>
          <cell r="B8795">
            <v>2023</v>
          </cell>
          <cell r="C8795" t="str">
            <v>mac_tfpz</v>
          </cell>
          <cell r="D8795">
            <v>1.4392781257629395</v>
          </cell>
          <cell r="F8795" t="str">
            <v>14 Aug 2024</v>
          </cell>
        </row>
        <row r="8796">
          <cell r="A8796" t="str">
            <v>PAK</v>
          </cell>
          <cell r="B8796">
            <v>2006</v>
          </cell>
          <cell r="C8796" t="str">
            <v>mataxfc</v>
          </cell>
          <cell r="D8796">
            <v>13.931563377380371</v>
          </cell>
          <cell r="F8796" t="str">
            <v>14 Aug 2024</v>
          </cell>
        </row>
        <row r="8797">
          <cell r="A8797" t="str">
            <v>PAK</v>
          </cell>
          <cell r="B8797">
            <v>2019</v>
          </cell>
          <cell r="C8797" t="str">
            <v>maconz</v>
          </cell>
          <cell r="D8797">
            <v>5.570648193359375</v>
          </cell>
          <cell r="F8797" t="str">
            <v>14 Aug 2024</v>
          </cell>
        </row>
        <row r="8798">
          <cell r="A8798" t="str">
            <v>PAK</v>
          </cell>
          <cell r="B8798">
            <v>2013</v>
          </cell>
          <cell r="C8798" t="str">
            <v>mar_expz</v>
          </cell>
          <cell r="D8798">
            <v>10.619052886962891</v>
          </cell>
          <cell r="F8798" t="str">
            <v>14 Aug 2024</v>
          </cell>
        </row>
        <row r="8799">
          <cell r="A8799" t="str">
            <v>PAK</v>
          </cell>
          <cell r="B8799">
            <v>2005</v>
          </cell>
          <cell r="C8799" t="str">
            <v>madebt_</v>
          </cell>
          <cell r="D8799">
            <v>47.911422729492188</v>
          </cell>
          <cell r="F8799" t="str">
            <v>14 Aug 2024</v>
          </cell>
        </row>
        <row r="8800">
          <cell r="A8800" t="str">
            <v>PAK</v>
          </cell>
          <cell r="B8800">
            <v>2012</v>
          </cell>
          <cell r="C8800" t="str">
            <v>mar_taxfc</v>
          </cell>
          <cell r="D8800">
            <v>3.2704982757568359</v>
          </cell>
          <cell r="F8800" t="str">
            <v>14 Aug 2024</v>
          </cell>
        </row>
        <row r="8801">
          <cell r="A8801" t="str">
            <v>PAK</v>
          </cell>
          <cell r="B8801">
            <v>2005</v>
          </cell>
          <cell r="C8801" t="str">
            <v>magap_</v>
          </cell>
          <cell r="D8801">
            <v>3.9635963439941406</v>
          </cell>
          <cell r="F8801" t="str">
            <v>14 Aug 2024</v>
          </cell>
        </row>
        <row r="8802">
          <cell r="A8802" t="str">
            <v>PAK</v>
          </cell>
          <cell r="B8802">
            <v>2022</v>
          </cell>
          <cell r="C8802" t="str">
            <v>mac_tfpz</v>
          </cell>
          <cell r="D8802">
            <v>1.4812303781509399</v>
          </cell>
          <cell r="F8802" t="str">
            <v>14 Aug 2024</v>
          </cell>
        </row>
        <row r="8803">
          <cell r="A8803" t="str">
            <v>PAK</v>
          </cell>
          <cell r="B8803">
            <v>2010</v>
          </cell>
          <cell r="C8803" t="str">
            <v>masrvfc</v>
          </cell>
          <cell r="D8803">
            <v>2.6274027824401855</v>
          </cell>
          <cell r="F8803" t="str">
            <v>14 Aug 2024</v>
          </cell>
        </row>
        <row r="8804">
          <cell r="A8804" t="str">
            <v>PAK</v>
          </cell>
          <cell r="B8804">
            <v>2016</v>
          </cell>
          <cell r="C8804" t="str">
            <v>mataxfc</v>
          </cell>
          <cell r="D8804">
            <v>59.275745391845703</v>
          </cell>
          <cell r="F8804" t="str">
            <v>14 Aug 2024</v>
          </cell>
        </row>
        <row r="8805">
          <cell r="A8805" t="str">
            <v>PAK</v>
          </cell>
          <cell r="B8805">
            <v>2009</v>
          </cell>
          <cell r="C8805" t="str">
            <v>magovz</v>
          </cell>
          <cell r="D8805">
            <v>12.5166015625</v>
          </cell>
          <cell r="F8805" t="str">
            <v>14 Aug 2024</v>
          </cell>
        </row>
        <row r="8806">
          <cell r="A8806" t="str">
            <v>PAK</v>
          </cell>
          <cell r="B8806">
            <v>2011</v>
          </cell>
          <cell r="C8806" t="str">
            <v>mar_expz</v>
          </cell>
          <cell r="D8806">
            <v>12.013728141784668</v>
          </cell>
          <cell r="F8806" t="str">
            <v>14 Aug 2024</v>
          </cell>
        </row>
        <row r="8807">
          <cell r="A8807" t="str">
            <v>PAK</v>
          </cell>
          <cell r="B8807">
            <v>2023</v>
          </cell>
          <cell r="C8807" t="str">
            <v>maconz</v>
          </cell>
          <cell r="D8807">
            <v>2.3940420150756836</v>
          </cell>
          <cell r="F8807" t="str">
            <v>14 Aug 2024</v>
          </cell>
        </row>
        <row r="8808">
          <cell r="A8808" t="str">
            <v>PAK</v>
          </cell>
          <cell r="B8808">
            <v>2014</v>
          </cell>
          <cell r="C8808" t="str">
            <v>madebt_</v>
          </cell>
          <cell r="D8808">
            <v>59.767066955566406</v>
          </cell>
          <cell r="F8808" t="str">
            <v>14 Aug 2024</v>
          </cell>
        </row>
        <row r="8809">
          <cell r="A8809" t="str">
            <v>PAK</v>
          </cell>
          <cell r="B8809">
            <v>2010</v>
          </cell>
          <cell r="C8809" t="str">
            <v>mataxfc</v>
          </cell>
          <cell r="D8809">
            <v>-14.559843063354492</v>
          </cell>
          <cell r="F8809" t="str">
            <v>14 Aug 2024</v>
          </cell>
        </row>
        <row r="8810">
          <cell r="A8810" t="str">
            <v>PAK</v>
          </cell>
          <cell r="B8810">
            <v>2026</v>
          </cell>
          <cell r="C8810" t="str">
            <v>maindfc</v>
          </cell>
          <cell r="D8810">
            <v>2.3583800792694092</v>
          </cell>
          <cell r="F8810" t="str">
            <v>14 Aug 2024</v>
          </cell>
        </row>
        <row r="8811">
          <cell r="A8811" t="str">
            <v>PAK</v>
          </cell>
          <cell r="B8811">
            <v>2015</v>
          </cell>
          <cell r="C8811" t="str">
            <v>mataxfc</v>
          </cell>
          <cell r="D8811">
            <v>13.58238697052002</v>
          </cell>
          <cell r="F8811" t="str">
            <v>14 Aug 2024</v>
          </cell>
        </row>
        <row r="8812">
          <cell r="A8812" t="str">
            <v>PAK</v>
          </cell>
          <cell r="B8812">
            <v>2023</v>
          </cell>
          <cell r="C8812" t="str">
            <v>magovz</v>
          </cell>
          <cell r="D8812">
            <v>-4.8811702728271484</v>
          </cell>
          <cell r="F8812" t="str">
            <v>14 Aug 2024</v>
          </cell>
        </row>
        <row r="8813">
          <cell r="A8813" t="str">
            <v>PAK</v>
          </cell>
          <cell r="B8813">
            <v>2016</v>
          </cell>
          <cell r="C8813" t="str">
            <v>mar_indfc</v>
          </cell>
          <cell r="D8813">
            <v>19.468975067138672</v>
          </cell>
          <cell r="F8813" t="str">
            <v>14 Aug 2024</v>
          </cell>
        </row>
        <row r="8814">
          <cell r="A8814" t="str">
            <v>PAK</v>
          </cell>
          <cell r="B8814">
            <v>2008</v>
          </cell>
          <cell r="C8814" t="str">
            <v>mareer</v>
          </cell>
          <cell r="D8814">
            <v>88.15008544921875</v>
          </cell>
          <cell r="F8814" t="str">
            <v>14 Aug 2024</v>
          </cell>
        </row>
        <row r="8815">
          <cell r="A8815" t="str">
            <v>PAK</v>
          </cell>
          <cell r="B8815">
            <v>2026</v>
          </cell>
          <cell r="C8815" t="str">
            <v>mar_agrfc</v>
          </cell>
          <cell r="D8815">
            <v>23.431621551513672</v>
          </cell>
          <cell r="F8815" t="str">
            <v>14 Aug 2024</v>
          </cell>
        </row>
        <row r="8816">
          <cell r="A8816" t="str">
            <v>PAK</v>
          </cell>
          <cell r="B8816">
            <v>2017</v>
          </cell>
          <cell r="C8816" t="str">
            <v>mataxfc</v>
          </cell>
          <cell r="D8816">
            <v>2.0108315944671631</v>
          </cell>
          <cell r="F8816" t="str">
            <v>14 Aug 2024</v>
          </cell>
        </row>
        <row r="8817">
          <cell r="A8817" t="str">
            <v>PAK</v>
          </cell>
          <cell r="B8817">
            <v>2013</v>
          </cell>
          <cell r="C8817" t="str">
            <v>mar_taxfc</v>
          </cell>
          <cell r="D8817">
            <v>3.7781486511230469</v>
          </cell>
          <cell r="F8817" t="str">
            <v>14 Aug 2024</v>
          </cell>
        </row>
        <row r="8818">
          <cell r="A8818" t="str">
            <v>PAK</v>
          </cell>
          <cell r="B8818">
            <v>2017</v>
          </cell>
          <cell r="C8818" t="str">
            <v>magap_</v>
          </cell>
          <cell r="D8818">
            <v>1.4401828050613403</v>
          </cell>
          <cell r="F8818" t="str">
            <v>14 Aug 2024</v>
          </cell>
        </row>
        <row r="8819">
          <cell r="A8819" t="str">
            <v>PAK</v>
          </cell>
          <cell r="B8819">
            <v>2007</v>
          </cell>
          <cell r="C8819" t="str">
            <v>mareer</v>
          </cell>
          <cell r="D8819">
            <v>85.409782409667969</v>
          </cell>
          <cell r="F8819" t="str">
            <v>14 Aug 2024</v>
          </cell>
        </row>
        <row r="8820">
          <cell r="A8820" t="str">
            <v>PAK</v>
          </cell>
          <cell r="B8820">
            <v>2008</v>
          </cell>
          <cell r="C8820" t="str">
            <v>mar_impz</v>
          </cell>
          <cell r="D8820">
            <v>22.393863677978516</v>
          </cell>
          <cell r="F8820" t="str">
            <v>14 Aug 2024</v>
          </cell>
        </row>
        <row r="8821">
          <cell r="A8821" t="str">
            <v>PAK</v>
          </cell>
          <cell r="B8821">
            <v>2007</v>
          </cell>
          <cell r="C8821" t="str">
            <v>mainvz</v>
          </cell>
          <cell r="D8821">
            <v>3.3886525630950928</v>
          </cell>
          <cell r="F8821" t="str">
            <v>14 Aug 2024</v>
          </cell>
        </row>
        <row r="8822">
          <cell r="A8822" t="str">
            <v>PAK</v>
          </cell>
          <cell r="B8822">
            <v>2019</v>
          </cell>
          <cell r="C8822" t="str">
            <v>mac_tfpz</v>
          </cell>
          <cell r="D8822">
            <v>1.6664537191390991</v>
          </cell>
          <cell r="F8822" t="str">
            <v>14 Aug 2024</v>
          </cell>
        </row>
        <row r="8823">
          <cell r="A8823" t="str">
            <v>PAK</v>
          </cell>
          <cell r="B8823">
            <v>2016</v>
          </cell>
          <cell r="C8823" t="str">
            <v>mac_labz</v>
          </cell>
          <cell r="D8823">
            <v>0.9844849705696106</v>
          </cell>
          <cell r="F8823" t="str">
            <v>14 Aug 2024</v>
          </cell>
        </row>
        <row r="8824">
          <cell r="A8824" t="str">
            <v>PAK</v>
          </cell>
          <cell r="B8824">
            <v>2013</v>
          </cell>
          <cell r="C8824" t="str">
            <v>madeficit_</v>
          </cell>
          <cell r="D8824">
            <v>-7.2068915367126465</v>
          </cell>
          <cell r="F8824" t="str">
            <v>14 Aug 2024</v>
          </cell>
        </row>
        <row r="8825">
          <cell r="A8825" t="str">
            <v>PAK</v>
          </cell>
          <cell r="B8825">
            <v>2018</v>
          </cell>
          <cell r="C8825" t="str">
            <v>mareer</v>
          </cell>
          <cell r="D8825">
            <v>96.782936096191406</v>
          </cell>
          <cell r="F8825" t="str">
            <v>14 Aug 2024</v>
          </cell>
        </row>
        <row r="8826">
          <cell r="A8826" t="str">
            <v>PAK</v>
          </cell>
          <cell r="B8826">
            <v>2012</v>
          </cell>
          <cell r="C8826" t="str">
            <v>mar_srvfc</v>
          </cell>
          <cell r="D8826">
            <v>55.038276672363281</v>
          </cell>
          <cell r="F8826" t="str">
            <v>14 Aug 2024</v>
          </cell>
        </row>
        <row r="8827">
          <cell r="A8827" t="str">
            <v>PAK</v>
          </cell>
          <cell r="B8827">
            <v>2015</v>
          </cell>
          <cell r="C8827" t="str">
            <v>maagrfc</v>
          </cell>
          <cell r="D8827">
            <v>1.7820504903793335</v>
          </cell>
          <cell r="F8827" t="str">
            <v>14 Aug 2024</v>
          </cell>
        </row>
        <row r="8828">
          <cell r="A8828" t="str">
            <v>PAK</v>
          </cell>
          <cell r="B8828">
            <v>2018</v>
          </cell>
          <cell r="C8828" t="str">
            <v>magovz</v>
          </cell>
          <cell r="D8828">
            <v>5.4868884086608887</v>
          </cell>
          <cell r="F8828" t="str">
            <v>14 Aug 2024</v>
          </cell>
        </row>
        <row r="8829">
          <cell r="A8829" t="str">
            <v>PAK</v>
          </cell>
          <cell r="B8829">
            <v>2017</v>
          </cell>
          <cell r="C8829" t="str">
            <v>masrvfc</v>
          </cell>
          <cell r="D8829">
            <v>5.6217169761657715</v>
          </cell>
          <cell r="F8829" t="str">
            <v>14 Aug 2024</v>
          </cell>
        </row>
        <row r="8830">
          <cell r="A8830" t="str">
            <v>PAK</v>
          </cell>
          <cell r="B8830">
            <v>2006</v>
          </cell>
          <cell r="C8830" t="str">
            <v>maexpz</v>
          </cell>
          <cell r="D8830">
            <v>11.11061954498291</v>
          </cell>
          <cell r="F8830" t="str">
            <v>14 Aug 2024</v>
          </cell>
        </row>
        <row r="8831">
          <cell r="A8831" t="str">
            <v>PAK</v>
          </cell>
          <cell r="B8831">
            <v>2021</v>
          </cell>
          <cell r="C8831" t="str">
            <v>mafdi_</v>
          </cell>
          <cell r="D8831">
            <v>-0.47229725122451782</v>
          </cell>
          <cell r="F8831" t="str">
            <v>14 Aug 2024</v>
          </cell>
        </row>
        <row r="8832">
          <cell r="A8832" t="str">
            <v>PAK</v>
          </cell>
          <cell r="B8832">
            <v>2019</v>
          </cell>
          <cell r="C8832" t="str">
            <v>maindfc</v>
          </cell>
          <cell r="D8832">
            <v>0.24780862033367157</v>
          </cell>
          <cell r="F8832" t="str">
            <v>14 Aug 2024</v>
          </cell>
        </row>
        <row r="8833">
          <cell r="A8833" t="str">
            <v>PAK</v>
          </cell>
          <cell r="B8833">
            <v>2006</v>
          </cell>
          <cell r="C8833" t="str">
            <v>mar_taxfc</v>
          </cell>
          <cell r="D8833">
            <v>5.305854320526123</v>
          </cell>
          <cell r="F8833" t="str">
            <v>14 Aug 2024</v>
          </cell>
        </row>
        <row r="8834">
          <cell r="A8834" t="str">
            <v>PAK</v>
          </cell>
          <cell r="B8834">
            <v>2022</v>
          </cell>
          <cell r="C8834" t="str">
            <v>mafdi_</v>
          </cell>
          <cell r="D8834">
            <v>-0.45412343740463257</v>
          </cell>
          <cell r="F8834" t="str">
            <v>14 Aug 2024</v>
          </cell>
        </row>
        <row r="8835">
          <cell r="A8835" t="str">
            <v>PAK</v>
          </cell>
          <cell r="B8835">
            <v>2008</v>
          </cell>
          <cell r="C8835" t="str">
            <v>mar_agrfc</v>
          </cell>
          <cell r="D8835">
            <v>25.797727584838867</v>
          </cell>
          <cell r="F8835" t="str">
            <v>14 Aug 2024</v>
          </cell>
        </row>
        <row r="8836">
          <cell r="A8836" t="str">
            <v>PAK</v>
          </cell>
          <cell r="B8836">
            <v>2011</v>
          </cell>
          <cell r="C8836" t="str">
            <v>mar_indfc</v>
          </cell>
          <cell r="D8836">
            <v>19.344717025756836</v>
          </cell>
          <cell r="F8836" t="str">
            <v>14 Aug 2024</v>
          </cell>
        </row>
        <row r="8837">
          <cell r="A8837" t="str">
            <v>PAK</v>
          </cell>
          <cell r="B8837">
            <v>2017</v>
          </cell>
          <cell r="C8837" t="str">
            <v>madeficit_</v>
          </cell>
          <cell r="D8837">
            <v>-5.1712327003479004</v>
          </cell>
          <cell r="F8837" t="str">
            <v>14 Aug 2024</v>
          </cell>
        </row>
        <row r="8838">
          <cell r="A8838" t="str">
            <v>PAK</v>
          </cell>
          <cell r="B8838">
            <v>2019</v>
          </cell>
          <cell r="C8838" t="str">
            <v>malabz</v>
          </cell>
          <cell r="D8838">
            <v>2.0752625465393066</v>
          </cell>
          <cell r="F8838" t="str">
            <v>14 Aug 2024</v>
          </cell>
        </row>
        <row r="8839">
          <cell r="A8839" t="str">
            <v>PAK</v>
          </cell>
          <cell r="B8839">
            <v>2011</v>
          </cell>
          <cell r="C8839" t="str">
            <v>mar_taxfc</v>
          </cell>
          <cell r="D8839">
            <v>3.4396259784698486</v>
          </cell>
          <cell r="F8839" t="str">
            <v>14 Aug 2024</v>
          </cell>
        </row>
        <row r="8840">
          <cell r="A8840" t="str">
            <v>PAK</v>
          </cell>
          <cell r="B8840">
            <v>2013</v>
          </cell>
          <cell r="C8840" t="str">
            <v>maexpz</v>
          </cell>
          <cell r="D8840">
            <v>9.1526594161987305</v>
          </cell>
          <cell r="F8840" t="str">
            <v>14 Aug 2024</v>
          </cell>
        </row>
        <row r="8841">
          <cell r="A8841" t="str">
            <v>PAK</v>
          </cell>
          <cell r="B8841">
            <v>2022</v>
          </cell>
          <cell r="C8841" t="str">
            <v>mar_expz</v>
          </cell>
          <cell r="D8841">
            <v>10.202983856201172</v>
          </cell>
          <cell r="F8841" t="str">
            <v>14 Aug 2024</v>
          </cell>
        </row>
        <row r="8842">
          <cell r="A8842" t="str">
            <v>PAK</v>
          </cell>
          <cell r="B8842">
            <v>2014</v>
          </cell>
          <cell r="C8842" t="str">
            <v>mar_expz</v>
          </cell>
          <cell r="D8842">
            <v>9.9459695816040039</v>
          </cell>
          <cell r="F8842" t="str">
            <v>14 Aug 2024</v>
          </cell>
        </row>
        <row r="8843">
          <cell r="A8843" t="str">
            <v>PAK</v>
          </cell>
          <cell r="B8843">
            <v>2009</v>
          </cell>
          <cell r="C8843" t="str">
            <v>mar_indfc</v>
          </cell>
          <cell r="D8843">
            <v>18.727514266967773</v>
          </cell>
          <cell r="F8843" t="str">
            <v>14 Aug 2024</v>
          </cell>
        </row>
        <row r="8844">
          <cell r="A8844" t="str">
            <v>PAK</v>
          </cell>
          <cell r="B8844">
            <v>2020</v>
          </cell>
          <cell r="C8844" t="str">
            <v>mar_taxfc</v>
          </cell>
          <cell r="D8844">
            <v>6.1401729583740234</v>
          </cell>
          <cell r="F8844" t="str">
            <v>14 Aug 2024</v>
          </cell>
        </row>
        <row r="8845">
          <cell r="A8845" t="str">
            <v>PAK</v>
          </cell>
          <cell r="B8845">
            <v>2024</v>
          </cell>
          <cell r="C8845" t="str">
            <v>mafdi_</v>
          </cell>
          <cell r="D8845">
            <v>-0.33098000288009644</v>
          </cell>
          <cell r="F8845" t="str">
            <v>14 Aug 2024</v>
          </cell>
        </row>
        <row r="8846">
          <cell r="A8846" t="str">
            <v>PAK</v>
          </cell>
          <cell r="B8846">
            <v>2023</v>
          </cell>
          <cell r="C8846" t="str">
            <v>mar_impz</v>
          </cell>
          <cell r="D8846">
            <v>22.735311508178711</v>
          </cell>
          <cell r="F8846" t="str">
            <v>14 Aug 2024</v>
          </cell>
        </row>
        <row r="8847">
          <cell r="A8847" t="str">
            <v>PAK</v>
          </cell>
          <cell r="B8847">
            <v>2005</v>
          </cell>
          <cell r="C8847" t="str">
            <v>macpiz</v>
          </cell>
          <cell r="D8847">
            <v>9.2834348678588867</v>
          </cell>
          <cell r="F8847" t="str">
            <v>14 Aug 2024</v>
          </cell>
        </row>
        <row r="8848">
          <cell r="A8848" t="str">
            <v>PAK</v>
          </cell>
          <cell r="B8848">
            <v>2008</v>
          </cell>
          <cell r="C8848" t="str">
            <v>mataxfc</v>
          </cell>
          <cell r="D8848">
            <v>-47.989082336425781</v>
          </cell>
          <cell r="F8848" t="str">
            <v>14 Aug 2024</v>
          </cell>
        </row>
        <row r="8849">
          <cell r="A8849" t="str">
            <v>PAK</v>
          </cell>
          <cell r="B8849">
            <v>2010</v>
          </cell>
          <cell r="C8849" t="str">
            <v>mar_indfc</v>
          </cell>
          <cell r="D8849">
            <v>19.036605834960938</v>
          </cell>
          <cell r="F8849" t="str">
            <v>14 Aug 2024</v>
          </cell>
        </row>
        <row r="8850">
          <cell r="A8850" t="str">
            <v>PAK</v>
          </cell>
          <cell r="B8850">
            <v>2016</v>
          </cell>
          <cell r="C8850" t="str">
            <v>macab_</v>
          </cell>
          <cell r="D8850">
            <v>-1.5817569494247437</v>
          </cell>
          <cell r="F8850" t="str">
            <v>14 Aug 2024</v>
          </cell>
        </row>
        <row r="8851">
          <cell r="A8851" t="str">
            <v>PAK</v>
          </cell>
          <cell r="B8851">
            <v>2012</v>
          </cell>
          <cell r="C8851" t="str">
            <v>mar_con</v>
          </cell>
          <cell r="D8851">
            <v>80.5509033203125</v>
          </cell>
          <cell r="F8851" t="str">
            <v>14 Aug 2024</v>
          </cell>
        </row>
        <row r="8852">
          <cell r="A8852" t="str">
            <v>PAK</v>
          </cell>
          <cell r="B8852">
            <v>2020</v>
          </cell>
          <cell r="C8852" t="str">
            <v>mareer</v>
          </cell>
          <cell r="D8852">
            <v>79.662498474121094</v>
          </cell>
          <cell r="F8852" t="str">
            <v>14 Aug 2024</v>
          </cell>
        </row>
        <row r="8853">
          <cell r="A8853" t="str">
            <v>PAK</v>
          </cell>
          <cell r="B8853">
            <v>2006</v>
          </cell>
          <cell r="C8853" t="str">
            <v>magdpz</v>
          </cell>
          <cell r="D8853">
            <v>6.0516376495361328</v>
          </cell>
          <cell r="F8853" t="str">
            <v>14 Aug 2024</v>
          </cell>
        </row>
        <row r="8854">
          <cell r="A8854" t="str">
            <v>PAK</v>
          </cell>
          <cell r="B8854">
            <v>2012</v>
          </cell>
          <cell r="C8854" t="str">
            <v>mac_labz</v>
          </cell>
          <cell r="D8854">
            <v>1.4843043088912964</v>
          </cell>
          <cell r="F8854" t="str">
            <v>14 Aug 2024</v>
          </cell>
        </row>
        <row r="8855">
          <cell r="A8855" t="str">
            <v>PAK</v>
          </cell>
          <cell r="B8855">
            <v>2019</v>
          </cell>
          <cell r="C8855" t="str">
            <v>mar_taxfc</v>
          </cell>
          <cell r="D8855">
            <v>6.4957623481750488</v>
          </cell>
          <cell r="F8855" t="str">
            <v>14 Aug 2024</v>
          </cell>
        </row>
        <row r="8856">
          <cell r="A8856" t="str">
            <v>PAK</v>
          </cell>
          <cell r="B8856">
            <v>2024</v>
          </cell>
          <cell r="C8856" t="str">
            <v>maindfc</v>
          </cell>
          <cell r="D8856">
            <v>1.7660000324249268</v>
          </cell>
          <cell r="F8856" t="str">
            <v>14 Aug 2024</v>
          </cell>
        </row>
        <row r="8857">
          <cell r="A8857" t="str">
            <v>PAK</v>
          </cell>
          <cell r="B8857">
            <v>2006</v>
          </cell>
          <cell r="C8857" t="str">
            <v>malabz</v>
          </cell>
          <cell r="D8857">
            <v>2.8071815967559814</v>
          </cell>
          <cell r="F8857" t="str">
            <v>14 Aug 2024</v>
          </cell>
        </row>
        <row r="8858">
          <cell r="A8858" t="str">
            <v>PAK</v>
          </cell>
          <cell r="B8858">
            <v>2008</v>
          </cell>
          <cell r="C8858" t="str">
            <v>mar_indfc</v>
          </cell>
          <cell r="D8858">
            <v>19.745199203491211</v>
          </cell>
          <cell r="F8858" t="str">
            <v>14 Aug 2024</v>
          </cell>
        </row>
        <row r="8859">
          <cell r="A8859" t="str">
            <v>PAK</v>
          </cell>
          <cell r="B8859">
            <v>2010</v>
          </cell>
          <cell r="C8859" t="str">
            <v>madeficit_</v>
          </cell>
          <cell r="D8859">
            <v>-5.3225431442260742</v>
          </cell>
          <cell r="F8859" t="str">
            <v>14 Aug 2024</v>
          </cell>
        </row>
        <row r="8860">
          <cell r="A8860" t="str">
            <v>PAK</v>
          </cell>
          <cell r="B8860">
            <v>2022</v>
          </cell>
          <cell r="C8860" t="str">
            <v>mainvz</v>
          </cell>
          <cell r="D8860">
            <v>3.2702910900115967</v>
          </cell>
          <cell r="F8860" t="str">
            <v>14 Aug 2024</v>
          </cell>
        </row>
        <row r="8861">
          <cell r="A8861" t="str">
            <v>PAK</v>
          </cell>
          <cell r="B8861">
            <v>2025</v>
          </cell>
          <cell r="C8861" t="str">
            <v>magdpz</v>
          </cell>
          <cell r="D8861">
            <v>2.337050199508667</v>
          </cell>
          <cell r="F8861" t="str">
            <v>14 Aug 2024</v>
          </cell>
        </row>
        <row r="8862">
          <cell r="A8862" t="str">
            <v>PAK</v>
          </cell>
          <cell r="B8862">
            <v>2013</v>
          </cell>
          <cell r="C8862" t="str">
            <v>mar_con</v>
          </cell>
          <cell r="D8862">
            <v>79.46087646484375</v>
          </cell>
          <cell r="F8862" t="str">
            <v>14 Aug 2024</v>
          </cell>
        </row>
        <row r="8863">
          <cell r="A8863" t="str">
            <v>PAK</v>
          </cell>
          <cell r="B8863">
            <v>2010</v>
          </cell>
          <cell r="C8863" t="str">
            <v>mar_con</v>
          </cell>
          <cell r="D8863">
            <v>78.811019897460938</v>
          </cell>
          <cell r="F8863" t="str">
            <v>14 Aug 2024</v>
          </cell>
        </row>
        <row r="8864">
          <cell r="A8864" t="str">
            <v>PAK</v>
          </cell>
          <cell r="B8864">
            <v>2022</v>
          </cell>
          <cell r="C8864" t="str">
            <v>mareer</v>
          </cell>
          <cell r="D8864">
            <v>84.292007446289063</v>
          </cell>
          <cell r="F8864" t="str">
            <v>14 Aug 2024</v>
          </cell>
        </row>
        <row r="8865">
          <cell r="A8865" t="str">
            <v>PAK</v>
          </cell>
          <cell r="B8865">
            <v>2023</v>
          </cell>
          <cell r="C8865" t="str">
            <v>mareer</v>
          </cell>
          <cell r="D8865">
            <v>70.615020751953125</v>
          </cell>
          <cell r="F8865" t="str">
            <v>14 Aug 2024</v>
          </cell>
        </row>
        <row r="8866">
          <cell r="A8866" t="str">
            <v>BGD</v>
          </cell>
          <cell r="B8866">
            <v>1980</v>
          </cell>
          <cell r="C8866" t="str">
            <v>mfbxfstremtcd</v>
          </cell>
          <cell r="D8866">
            <v>336.79579999999999</v>
          </cell>
          <cell r="F8866" t="str">
            <v>SM 2024</v>
          </cell>
        </row>
        <row r="8867">
          <cell r="A8867" t="str">
            <v>BGD</v>
          </cell>
          <cell r="B8867">
            <v>1980</v>
          </cell>
          <cell r="C8867" t="str">
            <v>mfgdppckn</v>
          </cell>
          <cell r="D8867">
            <v>44475.508570167003</v>
          </cell>
          <cell r="F8867" t="str">
            <v>SM 2024</v>
          </cell>
        </row>
        <row r="8868">
          <cell r="A8868" t="str">
            <v>BGD</v>
          </cell>
          <cell r="B8868">
            <v>1980</v>
          </cell>
          <cell r="C8868" t="str">
            <v>mfnvagrtotlkn</v>
          </cell>
          <cell r="D8868">
            <v>963151.80270263297</v>
          </cell>
          <cell r="F8868" t="str">
            <v>SM 2024</v>
          </cell>
        </row>
        <row r="8869">
          <cell r="A8869" t="str">
            <v>BGD</v>
          </cell>
          <cell r="B8869">
            <v>1980</v>
          </cell>
          <cell r="C8869" t="str">
            <v>mfnvindconskn</v>
          </cell>
          <cell r="D8869">
            <v>117248.02697504044</v>
          </cell>
          <cell r="F8869" t="str">
            <v>SM 2024</v>
          </cell>
        </row>
        <row r="8870">
          <cell r="A8870" t="str">
            <v>BGD</v>
          </cell>
          <cell r="B8870">
            <v>1980</v>
          </cell>
          <cell r="C8870" t="str">
            <v>mfnvindrestkn</v>
          </cell>
          <cell r="D8870">
            <v>396430.23481798091</v>
          </cell>
          <cell r="F8870" t="str">
            <v>SM 2024</v>
          </cell>
        </row>
        <row r="8871">
          <cell r="A8871" t="str">
            <v>BGD</v>
          </cell>
          <cell r="B8871">
            <v>1980</v>
          </cell>
          <cell r="C8871" t="str">
            <v>mfnvindtotlkn</v>
          </cell>
          <cell r="D8871">
            <v>513678.26179302135</v>
          </cell>
          <cell r="F8871" t="str">
            <v>SM 2024</v>
          </cell>
        </row>
        <row r="8872">
          <cell r="A8872" t="str">
            <v>BGD</v>
          </cell>
          <cell r="B8872">
            <v>1980</v>
          </cell>
          <cell r="C8872" t="str">
            <v>mfnvsrvfinakn</v>
          </cell>
          <cell r="D8872">
            <v>59579.74631424142</v>
          </cell>
          <cell r="F8872" t="str">
            <v>SM 2024</v>
          </cell>
        </row>
        <row r="8873">
          <cell r="A8873" t="str">
            <v>BGD</v>
          </cell>
          <cell r="B8873">
            <v>1980</v>
          </cell>
          <cell r="C8873" t="str">
            <v>mfnvsrvrestkn</v>
          </cell>
          <cell r="D8873">
            <v>1667480.2077807069</v>
          </cell>
          <cell r="F8873" t="str">
            <v>SM 2024</v>
          </cell>
        </row>
        <row r="8874">
          <cell r="A8874" t="str">
            <v>BGD</v>
          </cell>
          <cell r="B8874">
            <v>1980</v>
          </cell>
          <cell r="C8874" t="str">
            <v>mfnvsrvtotlkn</v>
          </cell>
          <cell r="D8874">
            <v>2008262.700176304</v>
          </cell>
          <cell r="F8874" t="str">
            <v>SM 2024</v>
          </cell>
        </row>
        <row r="8875">
          <cell r="A8875" t="str">
            <v>BGD</v>
          </cell>
          <cell r="B8875">
            <v>1980</v>
          </cell>
          <cell r="C8875" t="str">
            <v>mfnvsrvtrnskn</v>
          </cell>
          <cell r="D8875">
            <v>281202.74608135561</v>
          </cell>
          <cell r="F8875" t="str">
            <v>SM 2024</v>
          </cell>
        </row>
        <row r="8876">
          <cell r="A8876" t="str">
            <v>BGD</v>
          </cell>
          <cell r="B8876">
            <v>1980</v>
          </cell>
          <cell r="C8876" t="str">
            <v>mfnygdpmktpkn</v>
          </cell>
          <cell r="D8876">
            <v>3541985.0270195296</v>
          </cell>
          <cell r="F8876" t="str">
            <v>SM 2024</v>
          </cell>
        </row>
        <row r="8877">
          <cell r="A8877" t="str">
            <v>BGD</v>
          </cell>
          <cell r="B8877">
            <v>1980</v>
          </cell>
          <cell r="C8877" t="str">
            <v>mfpop_totl</v>
          </cell>
          <cell r="D8877">
            <v>79639000</v>
          </cell>
          <cell r="F8877" t="str">
            <v>SM 2024</v>
          </cell>
        </row>
        <row r="8878">
          <cell r="A8878" t="str">
            <v>BGD</v>
          </cell>
          <cell r="B8878">
            <v>1981</v>
          </cell>
          <cell r="C8878" t="str">
            <v>mfbxfstremtcd</v>
          </cell>
          <cell r="D8878">
            <v>378.52280000000002</v>
          </cell>
          <cell r="F8878" t="str">
            <v>SM 2024</v>
          </cell>
        </row>
        <row r="8879">
          <cell r="A8879" t="str">
            <v>BGD</v>
          </cell>
          <cell r="B8879">
            <v>1981</v>
          </cell>
          <cell r="C8879" t="str">
            <v>mfgdppckn</v>
          </cell>
          <cell r="D8879">
            <v>46451.05411763701</v>
          </cell>
          <cell r="F8879" t="str">
            <v>SM 2024</v>
          </cell>
        </row>
        <row r="8880">
          <cell r="A8880" t="str">
            <v>BGD</v>
          </cell>
          <cell r="B8880">
            <v>1981</v>
          </cell>
          <cell r="C8880" t="str">
            <v>mfnvagrtotlkn</v>
          </cell>
          <cell r="D8880">
            <v>994973.22747866716</v>
          </cell>
          <cell r="F8880" t="str">
            <v>SM 2024</v>
          </cell>
        </row>
        <row r="8881">
          <cell r="A8881" t="str">
            <v>BGD</v>
          </cell>
          <cell r="B8881">
            <v>1981</v>
          </cell>
          <cell r="C8881" t="str">
            <v>mfnvindconskn</v>
          </cell>
          <cell r="D8881">
            <v>124623.84396393376</v>
          </cell>
          <cell r="F8881" t="str">
            <v>SM 2024</v>
          </cell>
        </row>
        <row r="8882">
          <cell r="A8882" t="str">
            <v>BGD</v>
          </cell>
          <cell r="B8882">
            <v>1981</v>
          </cell>
          <cell r="C8882" t="str">
            <v>mfnvindrestkn</v>
          </cell>
          <cell r="D8882">
            <v>414785.88531469717</v>
          </cell>
          <cell r="F8882" t="str">
            <v>SM 2024</v>
          </cell>
        </row>
        <row r="8883">
          <cell r="A8883" t="str">
            <v>BGD</v>
          </cell>
          <cell r="B8883">
            <v>1981</v>
          </cell>
          <cell r="C8883" t="str">
            <v>mfnvindtotlkn</v>
          </cell>
          <cell r="D8883">
            <v>539409.72927863093</v>
          </cell>
          <cell r="F8883" t="str">
            <v>SM 2024</v>
          </cell>
        </row>
        <row r="8884">
          <cell r="A8884" t="str">
            <v>BGD</v>
          </cell>
          <cell r="B8884">
            <v>1981</v>
          </cell>
          <cell r="C8884" t="str">
            <v>mfnvsrvfinakn</v>
          </cell>
          <cell r="D8884">
            <v>62936.877226282282</v>
          </cell>
          <cell r="F8884" t="str">
            <v>SM 2024</v>
          </cell>
        </row>
        <row r="8885">
          <cell r="A8885" t="str">
            <v>BGD</v>
          </cell>
          <cell r="B8885">
            <v>1981</v>
          </cell>
          <cell r="C8885" t="str">
            <v>mfnvsrvrestkn</v>
          </cell>
          <cell r="D8885">
            <v>1718281.2449152498</v>
          </cell>
          <cell r="F8885" t="str">
            <v>SM 2024</v>
          </cell>
        </row>
        <row r="8886">
          <cell r="A8886" t="str">
            <v>BGD</v>
          </cell>
          <cell r="B8886">
            <v>1981</v>
          </cell>
          <cell r="C8886" t="str">
            <v>mfnvsrvtotlkn</v>
          </cell>
          <cell r="D8886">
            <v>2077465.0354002118</v>
          </cell>
          <cell r="F8886" t="str">
            <v>SM 2024</v>
          </cell>
        </row>
        <row r="8887">
          <cell r="A8887" t="str">
            <v>BGD</v>
          </cell>
          <cell r="B8887">
            <v>1981</v>
          </cell>
          <cell r="C8887" t="str">
            <v>mfnvsrvtrnskn</v>
          </cell>
          <cell r="D8887">
            <v>296246.91325867991</v>
          </cell>
          <cell r="F8887" t="str">
            <v>SM 2024</v>
          </cell>
        </row>
        <row r="8888">
          <cell r="A8888" t="str">
            <v>BGD</v>
          </cell>
          <cell r="B8888">
            <v>1981</v>
          </cell>
          <cell r="C8888" t="str">
            <v>mfnygdpmktpkn</v>
          </cell>
          <cell r="D8888">
            <v>3798209.7930909432</v>
          </cell>
          <cell r="F8888" t="str">
            <v>SM 2024</v>
          </cell>
        </row>
        <row r="8889">
          <cell r="A8889" t="str">
            <v>BGD</v>
          </cell>
          <cell r="B8889">
            <v>1981</v>
          </cell>
          <cell r="C8889" t="str">
            <v>mfpop_totl</v>
          </cell>
          <cell r="D8889">
            <v>81768000</v>
          </cell>
          <cell r="F8889" t="str">
            <v>SM 2024</v>
          </cell>
        </row>
        <row r="8890">
          <cell r="A8890" t="str">
            <v>BGD</v>
          </cell>
          <cell r="B8890">
            <v>1982</v>
          </cell>
          <cell r="C8890" t="str">
            <v>mfbxfstremtcd</v>
          </cell>
          <cell r="D8890">
            <v>523.57349999999997</v>
          </cell>
          <cell r="F8890" t="str">
            <v>SM 2024</v>
          </cell>
        </row>
        <row r="8891">
          <cell r="A8891" t="str">
            <v>BGD</v>
          </cell>
          <cell r="B8891">
            <v>1982</v>
          </cell>
          <cell r="C8891" t="str">
            <v>mfgdppckn</v>
          </cell>
          <cell r="D8891">
            <v>46219.273245304925</v>
          </cell>
          <cell r="F8891" t="str">
            <v>SM 2024</v>
          </cell>
        </row>
        <row r="8892">
          <cell r="A8892" t="str">
            <v>BGD</v>
          </cell>
          <cell r="B8892">
            <v>1982</v>
          </cell>
          <cell r="C8892" t="str">
            <v>mfnvagrtotlkn</v>
          </cell>
          <cell r="D8892">
            <v>1005159.1384324603</v>
          </cell>
          <cell r="F8892" t="str">
            <v>SM 2024</v>
          </cell>
        </row>
        <row r="8893">
          <cell r="A8893" t="str">
            <v>BGD</v>
          </cell>
          <cell r="B8893">
            <v>1982</v>
          </cell>
          <cell r="C8893" t="str">
            <v>mfnvindconskn</v>
          </cell>
          <cell r="D8893">
            <v>133938.8955106971</v>
          </cell>
          <cell r="F8893" t="str">
            <v>SM 2024</v>
          </cell>
        </row>
        <row r="8894">
          <cell r="A8894" t="str">
            <v>BGD</v>
          </cell>
          <cell r="B8894">
            <v>1982</v>
          </cell>
          <cell r="C8894" t="str">
            <v>mfnvindrestkn</v>
          </cell>
          <cell r="D8894">
            <v>423689.6412123043</v>
          </cell>
          <cell r="F8894" t="str">
            <v>SM 2024</v>
          </cell>
        </row>
        <row r="8895">
          <cell r="A8895" t="str">
            <v>BGD</v>
          </cell>
          <cell r="B8895">
            <v>1982</v>
          </cell>
          <cell r="C8895" t="str">
            <v>mfnvindtotlkn</v>
          </cell>
          <cell r="D8895">
            <v>557628.53672300139</v>
          </cell>
          <cell r="F8895" t="str">
            <v>SM 2024</v>
          </cell>
        </row>
        <row r="8896">
          <cell r="A8896" t="str">
            <v>BGD</v>
          </cell>
          <cell r="B8896">
            <v>1982</v>
          </cell>
          <cell r="C8896" t="str">
            <v>mfnvsrvfinakn</v>
          </cell>
          <cell r="D8896">
            <v>63592.74787842283</v>
          </cell>
          <cell r="F8896" t="str">
            <v>SM 2024</v>
          </cell>
        </row>
        <row r="8897">
          <cell r="A8897" t="str">
            <v>BGD</v>
          </cell>
          <cell r="B8897">
            <v>1982</v>
          </cell>
          <cell r="C8897" t="str">
            <v>mfnvsrvrestkn</v>
          </cell>
          <cell r="D8897">
            <v>1765876.3257464054</v>
          </cell>
          <cell r="F8897" t="str">
            <v>SM 2024</v>
          </cell>
        </row>
        <row r="8898">
          <cell r="A8898" t="str">
            <v>BGD</v>
          </cell>
          <cell r="B8898">
            <v>1982</v>
          </cell>
          <cell r="C8898" t="str">
            <v>mfnvsrvtotlkn</v>
          </cell>
          <cell r="D8898">
            <v>2145924.0278159888</v>
          </cell>
          <cell r="F8898" t="str">
            <v>SM 2024</v>
          </cell>
        </row>
        <row r="8899">
          <cell r="A8899" t="str">
            <v>BGD</v>
          </cell>
          <cell r="B8899">
            <v>1982</v>
          </cell>
          <cell r="C8899" t="str">
            <v>mfnvsrvtrnskn</v>
          </cell>
          <cell r="D8899">
            <v>316454.95419116062</v>
          </cell>
          <cell r="F8899" t="str">
            <v>SM 2024</v>
          </cell>
        </row>
        <row r="8900">
          <cell r="A8900" t="str">
            <v>BGD</v>
          </cell>
          <cell r="B8900">
            <v>1982</v>
          </cell>
          <cell r="C8900" t="str">
            <v>mfnygdpmktpkn</v>
          </cell>
          <cell r="D8900">
            <v>3879276.0420249328</v>
          </cell>
          <cell r="F8900" t="str">
            <v>SM 2024</v>
          </cell>
        </row>
        <row r="8901">
          <cell r="A8901" t="str">
            <v>BGD</v>
          </cell>
          <cell r="B8901">
            <v>1982</v>
          </cell>
          <cell r="C8901" t="str">
            <v>mfpop_totl</v>
          </cell>
          <cell r="D8901">
            <v>83932000</v>
          </cell>
          <cell r="F8901" t="str">
            <v>SM 2024</v>
          </cell>
        </row>
        <row r="8902">
          <cell r="A8902" t="str">
            <v>BGD</v>
          </cell>
          <cell r="B8902">
            <v>1983</v>
          </cell>
          <cell r="C8902" t="str">
            <v>mfbxfstremtcd</v>
          </cell>
          <cell r="D8902">
            <v>637.82569999999998</v>
          </cell>
          <cell r="F8902" t="str">
            <v>SM 2024</v>
          </cell>
        </row>
        <row r="8903">
          <cell r="A8903" t="str">
            <v>BGD</v>
          </cell>
          <cell r="B8903">
            <v>1983</v>
          </cell>
          <cell r="C8903" t="str">
            <v>mfgdppckn</v>
          </cell>
          <cell r="D8903">
            <v>46781.274467719064</v>
          </cell>
          <cell r="F8903" t="str">
            <v>SM 2024</v>
          </cell>
        </row>
        <row r="8904">
          <cell r="A8904" t="str">
            <v>BGD</v>
          </cell>
          <cell r="B8904">
            <v>1983</v>
          </cell>
          <cell r="C8904" t="str">
            <v>mfnvagrtotlkn</v>
          </cell>
          <cell r="D8904">
            <v>1044257.2501982434</v>
          </cell>
          <cell r="F8904" t="str">
            <v>SM 2024</v>
          </cell>
        </row>
        <row r="8905">
          <cell r="A8905" t="str">
            <v>BGD</v>
          </cell>
          <cell r="B8905">
            <v>1983</v>
          </cell>
          <cell r="C8905" t="str">
            <v>mfnvindconskn</v>
          </cell>
          <cell r="D8905">
            <v>138915.89056095341</v>
          </cell>
          <cell r="F8905" t="str">
            <v>SM 2024</v>
          </cell>
        </row>
        <row r="8906">
          <cell r="A8906" t="str">
            <v>BGD</v>
          </cell>
          <cell r="B8906">
            <v>1983</v>
          </cell>
          <cell r="C8906" t="str">
            <v>mfnvindrestkn</v>
          </cell>
          <cell r="D8906">
            <v>440454.95889911859</v>
          </cell>
          <cell r="F8906" t="str">
            <v>SM 2024</v>
          </cell>
        </row>
        <row r="8907">
          <cell r="A8907" t="str">
            <v>BGD</v>
          </cell>
          <cell r="B8907">
            <v>1983</v>
          </cell>
          <cell r="C8907" t="str">
            <v>mfnvindtotlkn</v>
          </cell>
          <cell r="D8907">
            <v>579370.849460072</v>
          </cell>
          <cell r="F8907" t="str">
            <v>SM 2024</v>
          </cell>
        </row>
        <row r="8908">
          <cell r="A8908" t="str">
            <v>BGD</v>
          </cell>
          <cell r="B8908">
            <v>1983</v>
          </cell>
          <cell r="C8908" t="str">
            <v>mfnvsrvfinakn</v>
          </cell>
          <cell r="D8908">
            <v>64911.331446139935</v>
          </cell>
          <cell r="F8908" t="str">
            <v>SM 2024</v>
          </cell>
        </row>
        <row r="8909">
          <cell r="A8909" t="str">
            <v>BGD</v>
          </cell>
          <cell r="B8909">
            <v>1983</v>
          </cell>
          <cell r="C8909" t="str">
            <v>mfnvsrvrestkn</v>
          </cell>
          <cell r="D8909">
            <v>1829370.4725848981</v>
          </cell>
          <cell r="F8909" t="str">
            <v>SM 2024</v>
          </cell>
        </row>
        <row r="8910">
          <cell r="A8910" t="str">
            <v>BGD</v>
          </cell>
          <cell r="B8910">
            <v>1983</v>
          </cell>
          <cell r="C8910" t="str">
            <v>mfnvsrvtotlkn</v>
          </cell>
          <cell r="D8910">
            <v>2230888.4695057329</v>
          </cell>
          <cell r="F8910" t="str">
            <v>SM 2024</v>
          </cell>
        </row>
        <row r="8911">
          <cell r="A8911" t="str">
            <v>BGD</v>
          </cell>
          <cell r="B8911">
            <v>1983</v>
          </cell>
          <cell r="C8911" t="str">
            <v>mfnvsrvtrnskn</v>
          </cell>
          <cell r="D8911">
            <v>336606.66547469492</v>
          </cell>
          <cell r="F8911" t="str">
            <v>SM 2024</v>
          </cell>
        </row>
        <row r="8912">
          <cell r="A8912" t="str">
            <v>BGD</v>
          </cell>
          <cell r="B8912">
            <v>1983</v>
          </cell>
          <cell r="C8912" t="str">
            <v>mfnygdpmktpkn</v>
          </cell>
          <cell r="D8912">
            <v>4029832.5451982557</v>
          </cell>
          <cell r="F8912" t="str">
            <v>SM 2024</v>
          </cell>
        </row>
        <row r="8913">
          <cell r="A8913" t="str">
            <v>BGD</v>
          </cell>
          <cell r="B8913">
            <v>1983</v>
          </cell>
          <cell r="C8913" t="str">
            <v>mfpop_totl</v>
          </cell>
          <cell r="D8913">
            <v>86142000</v>
          </cell>
          <cell r="F8913" t="str">
            <v>SM 2024</v>
          </cell>
        </row>
        <row r="8914">
          <cell r="A8914" t="str">
            <v>BGD</v>
          </cell>
          <cell r="B8914">
            <v>1984</v>
          </cell>
          <cell r="C8914" t="str">
            <v>mfbxfstremtcd</v>
          </cell>
          <cell r="D8914">
            <v>497.74250000000001</v>
          </cell>
          <cell r="F8914" t="str">
            <v>SM 2024</v>
          </cell>
        </row>
        <row r="8915">
          <cell r="A8915" t="str">
            <v>BGD</v>
          </cell>
          <cell r="B8915">
            <v>1984</v>
          </cell>
          <cell r="C8915" t="str">
            <v>mfgdppckn</v>
          </cell>
          <cell r="D8915">
            <v>47766.80836909006</v>
          </cell>
          <cell r="F8915" t="str">
            <v>SM 2024</v>
          </cell>
        </row>
        <row r="8916">
          <cell r="A8916" t="str">
            <v>BGD</v>
          </cell>
          <cell r="B8916">
            <v>1984</v>
          </cell>
          <cell r="C8916" t="str">
            <v>mfnvagrtotlkn</v>
          </cell>
          <cell r="D8916">
            <v>1095479.0995188118</v>
          </cell>
          <cell r="F8916" t="str">
            <v>SM 2024</v>
          </cell>
        </row>
        <row r="8917">
          <cell r="A8917" t="str">
            <v>BGD</v>
          </cell>
          <cell r="B8917">
            <v>1984</v>
          </cell>
          <cell r="C8917" t="str">
            <v>mfnvindconskn</v>
          </cell>
          <cell r="D8917">
            <v>151677.84746346861</v>
          </cell>
          <cell r="F8917" t="str">
            <v>SM 2024</v>
          </cell>
        </row>
        <row r="8918">
          <cell r="A8918" t="str">
            <v>BGD</v>
          </cell>
          <cell r="B8918">
            <v>1984</v>
          </cell>
          <cell r="C8918" t="str">
            <v>mfnvindrestkn</v>
          </cell>
          <cell r="D8918">
            <v>483478.19016407715</v>
          </cell>
          <cell r="F8918" t="str">
            <v>SM 2024</v>
          </cell>
        </row>
        <row r="8919">
          <cell r="A8919" t="str">
            <v>BGD</v>
          </cell>
          <cell r="B8919">
            <v>1984</v>
          </cell>
          <cell r="C8919" t="str">
            <v>mfnvindtotlkn</v>
          </cell>
          <cell r="D8919">
            <v>635156.03762754577</v>
          </cell>
          <cell r="F8919" t="str">
            <v>SM 2024</v>
          </cell>
        </row>
        <row r="8920">
          <cell r="A8920" t="str">
            <v>BGD</v>
          </cell>
          <cell r="B8920">
            <v>1984</v>
          </cell>
          <cell r="C8920" t="str">
            <v>mfnvsrvfinakn</v>
          </cell>
          <cell r="D8920">
            <v>68863.347962100772</v>
          </cell>
          <cell r="F8920" t="str">
            <v>SM 2024</v>
          </cell>
        </row>
        <row r="8921">
          <cell r="A8921" t="str">
            <v>BGD</v>
          </cell>
          <cell r="B8921">
            <v>1984</v>
          </cell>
          <cell r="C8921" t="str">
            <v>mfnvsrvrestkn</v>
          </cell>
          <cell r="D8921">
            <v>1898574.9153364706</v>
          </cell>
          <cell r="F8921" t="str">
            <v>SM 2024</v>
          </cell>
        </row>
        <row r="8922">
          <cell r="A8922" t="str">
            <v>BGD</v>
          </cell>
          <cell r="B8922">
            <v>1984</v>
          </cell>
          <cell r="C8922" t="str">
            <v>mfnvsrvtotlkn</v>
          </cell>
          <cell r="D8922">
            <v>2323776.683771444</v>
          </cell>
          <cell r="F8922" t="str">
            <v>SM 2024</v>
          </cell>
        </row>
        <row r="8923">
          <cell r="A8923" t="str">
            <v>BGD</v>
          </cell>
          <cell r="B8923">
            <v>1984</v>
          </cell>
          <cell r="C8923" t="str">
            <v>mfnvsrvtrnskn</v>
          </cell>
          <cell r="D8923">
            <v>356338.42047287279</v>
          </cell>
          <cell r="F8923" t="str">
            <v>SM 2024</v>
          </cell>
        </row>
        <row r="8924">
          <cell r="A8924" t="str">
            <v>BGD</v>
          </cell>
          <cell r="B8924">
            <v>1984</v>
          </cell>
          <cell r="C8924" t="str">
            <v>mfnygdpmktpkn</v>
          </cell>
          <cell r="D8924">
            <v>4223397.8955698358</v>
          </cell>
          <cell r="F8924" t="str">
            <v>SM 2024</v>
          </cell>
        </row>
        <row r="8925">
          <cell r="A8925" t="str">
            <v>BGD</v>
          </cell>
          <cell r="B8925">
            <v>1984</v>
          </cell>
          <cell r="C8925" t="str">
            <v>mfpop_totl</v>
          </cell>
          <cell r="D8925">
            <v>88417000</v>
          </cell>
          <cell r="F8925" t="str">
            <v>SM 2024</v>
          </cell>
        </row>
        <row r="8926">
          <cell r="A8926" t="str">
            <v>BGD</v>
          </cell>
          <cell r="B8926">
            <v>1985</v>
          </cell>
          <cell r="C8926" t="str">
            <v>mfbxfstremtcd</v>
          </cell>
          <cell r="D8926">
            <v>499.72949999999997</v>
          </cell>
          <cell r="F8926" t="str">
            <v>SM 2024</v>
          </cell>
        </row>
        <row r="8927">
          <cell r="A8927" t="str">
            <v>BGD</v>
          </cell>
          <cell r="B8927">
            <v>1985</v>
          </cell>
          <cell r="C8927" t="str">
            <v>mfgdppckn</v>
          </cell>
          <cell r="D8927">
            <v>48086.735622560394</v>
          </cell>
          <cell r="F8927" t="str">
            <v>SM 2024</v>
          </cell>
        </row>
        <row r="8928">
          <cell r="A8928" t="str">
            <v>BGD</v>
          </cell>
          <cell r="B8928">
            <v>1985</v>
          </cell>
          <cell r="C8928" t="str">
            <v>mfnvagrtotlkn</v>
          </cell>
          <cell r="D8928">
            <v>1097565.2293618864</v>
          </cell>
          <cell r="F8928" t="str">
            <v>SM 2024</v>
          </cell>
        </row>
        <row r="8929">
          <cell r="A8929" t="str">
            <v>BGD</v>
          </cell>
          <cell r="B8929">
            <v>1985</v>
          </cell>
          <cell r="C8929" t="str">
            <v>mfnvindconskn</v>
          </cell>
          <cell r="D8929">
            <v>160096.143145321</v>
          </cell>
          <cell r="F8929" t="str">
            <v>SM 2024</v>
          </cell>
        </row>
        <row r="8930">
          <cell r="A8930" t="str">
            <v>BGD</v>
          </cell>
          <cell r="B8930">
            <v>1985</v>
          </cell>
          <cell r="C8930" t="str">
            <v>mfnvindrestkn</v>
          </cell>
          <cell r="D8930">
            <v>514366.11606946675</v>
          </cell>
          <cell r="F8930" t="str">
            <v>SM 2024</v>
          </cell>
        </row>
        <row r="8931">
          <cell r="A8931" t="str">
            <v>BGD</v>
          </cell>
          <cell r="B8931">
            <v>1985</v>
          </cell>
          <cell r="C8931" t="str">
            <v>mfnvindtotlkn</v>
          </cell>
          <cell r="D8931">
            <v>674462.25921478774</v>
          </cell>
          <cell r="F8931" t="str">
            <v>SM 2024</v>
          </cell>
        </row>
        <row r="8932">
          <cell r="A8932" t="str">
            <v>BGD</v>
          </cell>
          <cell r="B8932">
            <v>1985</v>
          </cell>
          <cell r="C8932" t="str">
            <v>mfnvsrvfinakn</v>
          </cell>
          <cell r="D8932">
            <v>71637.707709799404</v>
          </cell>
          <cell r="F8932" t="str">
            <v>SM 2024</v>
          </cell>
        </row>
        <row r="8933">
          <cell r="A8933" t="str">
            <v>BGD</v>
          </cell>
          <cell r="B8933">
            <v>1985</v>
          </cell>
          <cell r="C8933" t="str">
            <v>mfnvsrvrestkn</v>
          </cell>
          <cell r="D8933">
            <v>1959317.2557864843</v>
          </cell>
          <cell r="F8933" t="str">
            <v>SM 2024</v>
          </cell>
        </row>
        <row r="8934">
          <cell r="A8934" t="str">
            <v>BGD</v>
          </cell>
          <cell r="B8934">
            <v>1985</v>
          </cell>
          <cell r="C8934" t="str">
            <v>mfnvsrvtotlkn</v>
          </cell>
          <cell r="D8934">
            <v>2405770.5390637321</v>
          </cell>
          <cell r="F8934" t="str">
            <v>SM 2024</v>
          </cell>
        </row>
        <row r="8935">
          <cell r="A8935" t="str">
            <v>BGD</v>
          </cell>
          <cell r="B8935">
            <v>1985</v>
          </cell>
          <cell r="C8935" t="str">
            <v>mfnvsrvtrnskn</v>
          </cell>
          <cell r="D8935">
            <v>374815.57556744834</v>
          </cell>
          <cell r="F8935" t="str">
            <v>SM 2024</v>
          </cell>
        </row>
        <row r="8936">
          <cell r="A8936" t="str">
            <v>BGD</v>
          </cell>
          <cell r="B8936">
            <v>1985</v>
          </cell>
          <cell r="C8936" t="str">
            <v>mfnygdpmktpkn</v>
          </cell>
          <cell r="D8936">
            <v>4364544.4720460717</v>
          </cell>
          <cell r="F8936" t="str">
            <v>SM 2024</v>
          </cell>
        </row>
        <row r="8937">
          <cell r="A8937" t="str">
            <v>BGD</v>
          </cell>
          <cell r="B8937">
            <v>1985</v>
          </cell>
          <cell r="C8937" t="str">
            <v>mfpop_totl</v>
          </cell>
          <cell r="D8937">
            <v>90764000</v>
          </cell>
          <cell r="F8937" t="str">
            <v>SM 2024</v>
          </cell>
        </row>
        <row r="8938">
          <cell r="A8938" t="str">
            <v>BGD</v>
          </cell>
          <cell r="B8938">
            <v>1986</v>
          </cell>
          <cell r="C8938" t="str">
            <v>mfbxfstremtcd</v>
          </cell>
          <cell r="D8938">
            <v>572.25490000000002</v>
          </cell>
          <cell r="F8938" t="str">
            <v>SM 2024</v>
          </cell>
        </row>
        <row r="8939">
          <cell r="A8939" t="str">
            <v>BGD</v>
          </cell>
          <cell r="B8939">
            <v>1986</v>
          </cell>
          <cell r="C8939" t="str">
            <v>mfgdppckn</v>
          </cell>
          <cell r="D8939">
            <v>48790.548245651473</v>
          </cell>
          <cell r="F8939" t="str">
            <v>SM 2024</v>
          </cell>
        </row>
        <row r="8940">
          <cell r="A8940" t="str">
            <v>BGD</v>
          </cell>
          <cell r="B8940">
            <v>1986</v>
          </cell>
          <cell r="C8940" t="str">
            <v>mfnvagrtotlkn</v>
          </cell>
          <cell r="D8940">
            <v>1134059.6181457378</v>
          </cell>
          <cell r="F8940" t="str">
            <v>SM 2024</v>
          </cell>
        </row>
        <row r="8941">
          <cell r="A8941" t="str">
            <v>BGD</v>
          </cell>
          <cell r="B8941">
            <v>1986</v>
          </cell>
          <cell r="C8941" t="str">
            <v>mfnvindconskn</v>
          </cell>
          <cell r="D8941">
            <v>168407.94906821521</v>
          </cell>
          <cell r="F8941" t="str">
            <v>SM 2024</v>
          </cell>
        </row>
        <row r="8942">
          <cell r="A8942" t="str">
            <v>BGD</v>
          </cell>
          <cell r="B8942">
            <v>1986</v>
          </cell>
          <cell r="C8942" t="str">
            <v>mfnvindrestkn</v>
          </cell>
          <cell r="D8942">
            <v>552649.2516165456</v>
          </cell>
          <cell r="F8942" t="str">
            <v>SM 2024</v>
          </cell>
        </row>
        <row r="8943">
          <cell r="A8943" t="str">
            <v>BGD</v>
          </cell>
          <cell r="B8943">
            <v>1986</v>
          </cell>
          <cell r="C8943" t="str">
            <v>mfnvindtotlkn</v>
          </cell>
          <cell r="D8943">
            <v>721057.20068476081</v>
          </cell>
          <cell r="F8943" t="str">
            <v>SM 2024</v>
          </cell>
        </row>
        <row r="8944">
          <cell r="A8944" t="str">
            <v>BGD</v>
          </cell>
          <cell r="B8944">
            <v>1986</v>
          </cell>
          <cell r="C8944" t="str">
            <v>mfnvsrvfinakn</v>
          </cell>
          <cell r="D8944">
            <v>76215.132059256022</v>
          </cell>
          <cell r="F8944" t="str">
            <v>SM 2024</v>
          </cell>
        </row>
        <row r="8945">
          <cell r="A8945" t="str">
            <v>BGD</v>
          </cell>
          <cell r="B8945">
            <v>1986</v>
          </cell>
          <cell r="C8945" t="str">
            <v>mfnvsrvrestkn</v>
          </cell>
          <cell r="D8945">
            <v>2037108.6233025361</v>
          </cell>
          <cell r="F8945" t="str">
            <v>SM 2024</v>
          </cell>
        </row>
        <row r="8946">
          <cell r="A8946" t="str">
            <v>BGD</v>
          </cell>
          <cell r="B8946">
            <v>1986</v>
          </cell>
          <cell r="C8946" t="str">
            <v>mfnvsrvtotlkn</v>
          </cell>
          <cell r="D8946">
            <v>2502568.1375029199</v>
          </cell>
          <cell r="F8946" t="str">
            <v>SM 2024</v>
          </cell>
        </row>
        <row r="8947">
          <cell r="A8947" t="str">
            <v>BGD</v>
          </cell>
          <cell r="B8947">
            <v>1986</v>
          </cell>
          <cell r="C8947" t="str">
            <v>mfnvsrvtrnskn</v>
          </cell>
          <cell r="D8947">
            <v>389244.38214112766</v>
          </cell>
          <cell r="F8947" t="str">
            <v>SM 2024</v>
          </cell>
        </row>
        <row r="8948">
          <cell r="A8948" t="str">
            <v>BGD</v>
          </cell>
          <cell r="B8948">
            <v>1986</v>
          </cell>
          <cell r="C8948" t="str">
            <v>mfnygdpmktpkn</v>
          </cell>
          <cell r="D8948">
            <v>4546693.6099157697</v>
          </cell>
          <cell r="F8948" t="str">
            <v>SM 2024</v>
          </cell>
        </row>
        <row r="8949">
          <cell r="A8949" t="str">
            <v>BGD</v>
          </cell>
          <cell r="B8949">
            <v>1986</v>
          </cell>
          <cell r="C8949" t="str">
            <v>mfpop_totl</v>
          </cell>
          <cell r="D8949">
            <v>93188000</v>
          </cell>
          <cell r="F8949" t="str">
            <v>SM 2024</v>
          </cell>
        </row>
        <row r="8950">
          <cell r="A8950" t="str">
            <v>BGD</v>
          </cell>
          <cell r="B8950">
            <v>1987</v>
          </cell>
          <cell r="C8950" t="str">
            <v>mfbxfstremtcd</v>
          </cell>
          <cell r="D8950">
            <v>743.13649999999996</v>
          </cell>
          <cell r="F8950" t="str">
            <v>SM 2024</v>
          </cell>
        </row>
        <row r="8951">
          <cell r="A8951" t="str">
            <v>BGD</v>
          </cell>
          <cell r="B8951">
            <v>1987</v>
          </cell>
          <cell r="C8951" t="str">
            <v>mfgdppckn</v>
          </cell>
          <cell r="D8951">
            <v>49317.067489461202</v>
          </cell>
          <cell r="F8951" t="str">
            <v>SM 2024</v>
          </cell>
        </row>
        <row r="8952">
          <cell r="A8952" t="str">
            <v>BGD</v>
          </cell>
          <cell r="B8952">
            <v>1987</v>
          </cell>
          <cell r="C8952" t="str">
            <v>mfnvagrtotlkn</v>
          </cell>
          <cell r="D8952">
            <v>1135137.3536182696</v>
          </cell>
          <cell r="F8952" t="str">
            <v>SM 2024</v>
          </cell>
        </row>
        <row r="8953">
          <cell r="A8953" t="str">
            <v>BGD</v>
          </cell>
          <cell r="B8953">
            <v>1987</v>
          </cell>
          <cell r="C8953" t="str">
            <v>mfnvindconskn</v>
          </cell>
          <cell r="D8953">
            <v>181912.53192135994</v>
          </cell>
          <cell r="F8953" t="str">
            <v>SM 2024</v>
          </cell>
        </row>
        <row r="8954">
          <cell r="A8954" t="str">
            <v>BGD</v>
          </cell>
          <cell r="B8954">
            <v>1987</v>
          </cell>
          <cell r="C8954" t="str">
            <v>mfnvindrestkn</v>
          </cell>
          <cell r="D8954">
            <v>601349.49784123339</v>
          </cell>
          <cell r="F8954" t="str">
            <v>SM 2024</v>
          </cell>
        </row>
        <row r="8955">
          <cell r="A8955" t="str">
            <v>BGD</v>
          </cell>
          <cell r="B8955">
            <v>1987</v>
          </cell>
          <cell r="C8955" t="str">
            <v>mfnvindtotlkn</v>
          </cell>
          <cell r="D8955">
            <v>783262.02976259333</v>
          </cell>
          <cell r="F8955" t="str">
            <v>SM 2024</v>
          </cell>
        </row>
        <row r="8956">
          <cell r="A8956" t="str">
            <v>BGD</v>
          </cell>
          <cell r="B8956">
            <v>1987</v>
          </cell>
          <cell r="C8956" t="str">
            <v>mfnvsrvfinakn</v>
          </cell>
          <cell r="D8956">
            <v>79785.396707139691</v>
          </cell>
          <cell r="F8956" t="str">
            <v>SM 2024</v>
          </cell>
        </row>
        <row r="8957">
          <cell r="A8957" t="str">
            <v>BGD</v>
          </cell>
          <cell r="B8957">
            <v>1987</v>
          </cell>
          <cell r="C8957" t="str">
            <v>mfnvsrvrestkn</v>
          </cell>
          <cell r="D8957">
            <v>2110442.4090997586</v>
          </cell>
          <cell r="F8957" t="str">
            <v>SM 2024</v>
          </cell>
        </row>
        <row r="8958">
          <cell r="A8958" t="str">
            <v>BGD</v>
          </cell>
          <cell r="B8958">
            <v>1987</v>
          </cell>
          <cell r="C8958" t="str">
            <v>mfnvsrvtotlkn</v>
          </cell>
          <cell r="D8958">
            <v>2596819.1146964198</v>
          </cell>
          <cell r="F8958" t="str">
            <v>SM 2024</v>
          </cell>
        </row>
        <row r="8959">
          <cell r="A8959" t="str">
            <v>BGD</v>
          </cell>
          <cell r="B8959">
            <v>1987</v>
          </cell>
          <cell r="C8959" t="str">
            <v>mfnvsrvtrnskn</v>
          </cell>
          <cell r="D8959">
            <v>406591.30888952158</v>
          </cell>
          <cell r="F8959" t="str">
            <v>SM 2024</v>
          </cell>
        </row>
        <row r="8960">
          <cell r="A8960" t="str">
            <v>BGD</v>
          </cell>
          <cell r="B8960">
            <v>1987</v>
          </cell>
          <cell r="C8960" t="str">
            <v>mfnygdpmktpkn</v>
          </cell>
          <cell r="D8960">
            <v>4718213.1637842432</v>
          </cell>
          <cell r="F8960" t="str">
            <v>SM 2024</v>
          </cell>
        </row>
        <row r="8961">
          <cell r="A8961" t="str">
            <v>BGD</v>
          </cell>
          <cell r="B8961">
            <v>1987</v>
          </cell>
          <cell r="C8961" t="str">
            <v>mfpop_totl</v>
          </cell>
          <cell r="D8961">
            <v>95671000.000000015</v>
          </cell>
          <cell r="F8961" t="str">
            <v>SM 2024</v>
          </cell>
        </row>
        <row r="8962">
          <cell r="A8962" t="str">
            <v>BGD</v>
          </cell>
          <cell r="B8962">
            <v>1988</v>
          </cell>
          <cell r="C8962" t="str">
            <v>mfbxfstremtcd</v>
          </cell>
          <cell r="D8962">
            <v>759.03250000000003</v>
          </cell>
          <cell r="F8962" t="str">
            <v>SM 2024</v>
          </cell>
        </row>
        <row r="8963">
          <cell r="A8963" t="str">
            <v>BGD</v>
          </cell>
          <cell r="B8963">
            <v>1988</v>
          </cell>
          <cell r="C8963" t="str">
            <v>mfgdppckn</v>
          </cell>
          <cell r="D8963">
            <v>49214.931995515268</v>
          </cell>
          <cell r="F8963" t="str">
            <v>SM 2024</v>
          </cell>
        </row>
        <row r="8964">
          <cell r="A8964" t="str">
            <v>BGD</v>
          </cell>
          <cell r="B8964">
            <v>1988</v>
          </cell>
          <cell r="C8964" t="str">
            <v>mfnvagrtotlkn</v>
          </cell>
          <cell r="D8964">
            <v>1130187.6509472737</v>
          </cell>
          <cell r="F8964" t="str">
            <v>SM 2024</v>
          </cell>
        </row>
        <row r="8965">
          <cell r="A8965" t="str">
            <v>BGD</v>
          </cell>
          <cell r="B8965">
            <v>1988</v>
          </cell>
          <cell r="C8965" t="str">
            <v>mfnvindconskn</v>
          </cell>
          <cell r="D8965">
            <v>191908.55745304003</v>
          </cell>
          <cell r="F8965" t="str">
            <v>SM 2024</v>
          </cell>
        </row>
        <row r="8966">
          <cell r="A8966" t="str">
            <v>BGD</v>
          </cell>
          <cell r="B8966">
            <v>1988</v>
          </cell>
          <cell r="C8966" t="str">
            <v>mfnvindrestkn</v>
          </cell>
          <cell r="D8966">
            <v>615814.95586646209</v>
          </cell>
          <cell r="F8966" t="str">
            <v>SM 2024</v>
          </cell>
        </row>
        <row r="8967">
          <cell r="A8967" t="str">
            <v>BGD</v>
          </cell>
          <cell r="B8967">
            <v>1988</v>
          </cell>
          <cell r="C8967" t="str">
            <v>mfnvindtotlkn</v>
          </cell>
          <cell r="D8967">
            <v>807723.51331950212</v>
          </cell>
          <cell r="F8967" t="str">
            <v>SM 2024</v>
          </cell>
        </row>
        <row r="8968">
          <cell r="A8968" t="str">
            <v>BGD</v>
          </cell>
          <cell r="B8968">
            <v>1988</v>
          </cell>
          <cell r="C8968" t="str">
            <v>mfnvsrvfinakn</v>
          </cell>
          <cell r="D8968">
            <v>81885.706722615083</v>
          </cell>
          <cell r="F8968" t="str">
            <v>SM 2024</v>
          </cell>
        </row>
        <row r="8969">
          <cell r="A8969" t="str">
            <v>BGD</v>
          </cell>
          <cell r="B8969">
            <v>1988</v>
          </cell>
          <cell r="C8969" t="str">
            <v>mfnvsrvrestkn</v>
          </cell>
          <cell r="D8969">
            <v>2174478.6688683825</v>
          </cell>
          <cell r="F8969" t="str">
            <v>SM 2024</v>
          </cell>
        </row>
        <row r="8970">
          <cell r="A8970" t="str">
            <v>BGD</v>
          </cell>
          <cell r="B8970">
            <v>1988</v>
          </cell>
          <cell r="C8970" t="str">
            <v>mfnvsrvtotlkn</v>
          </cell>
          <cell r="D8970">
            <v>2676876.4276738749</v>
          </cell>
          <cell r="F8970" t="str">
            <v>SM 2024</v>
          </cell>
        </row>
        <row r="8971">
          <cell r="A8971" t="str">
            <v>BGD</v>
          </cell>
          <cell r="B8971">
            <v>1988</v>
          </cell>
          <cell r="C8971" t="str">
            <v>mfnvsrvtrnskn</v>
          </cell>
          <cell r="D8971">
            <v>420512.05208287743</v>
          </cell>
          <cell r="F8971" t="str">
            <v>SM 2024</v>
          </cell>
        </row>
        <row r="8972">
          <cell r="A8972" t="str">
            <v>BGD</v>
          </cell>
          <cell r="B8972">
            <v>1988</v>
          </cell>
          <cell r="C8972" t="str">
            <v>mfnygdpmktpkn</v>
          </cell>
          <cell r="D8972">
            <v>4832217.3129116623</v>
          </cell>
          <cell r="F8972" t="str">
            <v>SM 2024</v>
          </cell>
        </row>
        <row r="8973">
          <cell r="A8973" t="str">
            <v>BGD</v>
          </cell>
          <cell r="B8973">
            <v>1988</v>
          </cell>
          <cell r="C8973" t="str">
            <v>mfpop_totl</v>
          </cell>
          <cell r="D8973">
            <v>98186000</v>
          </cell>
          <cell r="F8973" t="str">
            <v>SM 2024</v>
          </cell>
        </row>
        <row r="8974">
          <cell r="A8974" t="str">
            <v>BGD</v>
          </cell>
          <cell r="B8974">
            <v>1989</v>
          </cell>
          <cell r="C8974" t="str">
            <v>mfbxfstremtcd</v>
          </cell>
          <cell r="D8974">
            <v>753.07150000000001</v>
          </cell>
          <cell r="F8974" t="str">
            <v>SM 2024</v>
          </cell>
        </row>
        <row r="8975">
          <cell r="A8975" t="str">
            <v>BGD</v>
          </cell>
          <cell r="B8975">
            <v>1989</v>
          </cell>
          <cell r="C8975" t="str">
            <v>mfgdppckn</v>
          </cell>
          <cell r="D8975">
            <v>49349.889523898921</v>
          </cell>
          <cell r="F8975" t="str">
            <v>SM 2024</v>
          </cell>
        </row>
        <row r="8976">
          <cell r="A8976" t="str">
            <v>BGD</v>
          </cell>
          <cell r="B8976">
            <v>1989</v>
          </cell>
          <cell r="C8976" t="str">
            <v>mfnvagrtotlkn</v>
          </cell>
          <cell r="D8976">
            <v>1128186.9106806803</v>
          </cell>
          <cell r="F8976" t="str">
            <v>SM 2024</v>
          </cell>
        </row>
        <row r="8977">
          <cell r="A8977" t="str">
            <v>BGD</v>
          </cell>
          <cell r="B8977">
            <v>1989</v>
          </cell>
          <cell r="C8977" t="str">
            <v>mfnvindconskn</v>
          </cell>
          <cell r="D8977">
            <v>200360.48147982662</v>
          </cell>
          <cell r="F8977" t="str">
            <v>SM 2024</v>
          </cell>
        </row>
        <row r="8978">
          <cell r="A8978" t="str">
            <v>BGD</v>
          </cell>
          <cell r="B8978">
            <v>1989</v>
          </cell>
          <cell r="C8978" t="str">
            <v>mfnvindrestkn</v>
          </cell>
          <cell r="D8978">
            <v>637888.08405960456</v>
          </cell>
          <cell r="F8978" t="str">
            <v>SM 2024</v>
          </cell>
        </row>
        <row r="8979">
          <cell r="A8979" t="str">
            <v>BGD</v>
          </cell>
          <cell r="B8979">
            <v>1989</v>
          </cell>
          <cell r="C8979" t="str">
            <v>mfnvindtotlkn</v>
          </cell>
          <cell r="D8979">
            <v>838248.56553943118</v>
          </cell>
          <cell r="F8979" t="str">
            <v>SM 2024</v>
          </cell>
        </row>
        <row r="8980">
          <cell r="A8980" t="str">
            <v>BGD</v>
          </cell>
          <cell r="B8980">
            <v>1989</v>
          </cell>
          <cell r="C8980" t="str">
            <v>mfnvsrvfinakn</v>
          </cell>
          <cell r="D8980">
            <v>83208.73928655732</v>
          </cell>
          <cell r="F8980" t="str">
            <v>SM 2024</v>
          </cell>
        </row>
        <row r="8981">
          <cell r="A8981" t="str">
            <v>BGD</v>
          </cell>
          <cell r="B8981">
            <v>1989</v>
          </cell>
          <cell r="C8981" t="str">
            <v>mfnvsrvrestkn</v>
          </cell>
          <cell r="D8981">
            <v>2248260.400073071</v>
          </cell>
          <cell r="F8981" t="str">
            <v>SM 2024</v>
          </cell>
        </row>
        <row r="8982">
          <cell r="A8982" t="str">
            <v>BGD</v>
          </cell>
          <cell r="B8982">
            <v>1989</v>
          </cell>
          <cell r="C8982" t="str">
            <v>mfnvsrvtotlkn</v>
          </cell>
          <cell r="D8982">
            <v>2765315.1401639697</v>
          </cell>
          <cell r="F8982" t="str">
            <v>SM 2024</v>
          </cell>
        </row>
        <row r="8983">
          <cell r="A8983" t="str">
            <v>BGD</v>
          </cell>
          <cell r="B8983">
            <v>1989</v>
          </cell>
          <cell r="C8983" t="str">
            <v>mfnvsrvtrnskn</v>
          </cell>
          <cell r="D8983">
            <v>433846.00080434128</v>
          </cell>
          <cell r="F8983" t="str">
            <v>SM 2024</v>
          </cell>
        </row>
        <row r="8984">
          <cell r="A8984" t="str">
            <v>BGD</v>
          </cell>
          <cell r="B8984">
            <v>1989</v>
          </cell>
          <cell r="C8984" t="str">
            <v>mfnygdpmktpkn</v>
          </cell>
          <cell r="D8984">
            <v>4969287.1256090011</v>
          </cell>
          <cell r="F8984" t="str">
            <v>SM 2024</v>
          </cell>
        </row>
        <row r="8985">
          <cell r="A8985" t="str">
            <v>BGD</v>
          </cell>
          <cell r="B8985">
            <v>1989</v>
          </cell>
          <cell r="C8985" t="str">
            <v>mfpop_totl</v>
          </cell>
          <cell r="D8985">
            <v>100694999.99999999</v>
          </cell>
          <cell r="F8985" t="str">
            <v>SM 2024</v>
          </cell>
        </row>
        <row r="8986">
          <cell r="A8986" t="str">
            <v>BGD</v>
          </cell>
          <cell r="B8986">
            <v>1990</v>
          </cell>
          <cell r="C8986" t="str">
            <v>mfbxfstremtcd</v>
          </cell>
          <cell r="D8986">
            <v>773.93499999999995</v>
          </cell>
          <cell r="F8986" t="str">
            <v>SM 2024</v>
          </cell>
        </row>
        <row r="8987">
          <cell r="A8987" t="str">
            <v>BGD</v>
          </cell>
          <cell r="B8987">
            <v>1990</v>
          </cell>
          <cell r="C8987" t="str">
            <v>mfgdppckn</v>
          </cell>
          <cell r="D8987">
            <v>50873.03993822309</v>
          </cell>
          <cell r="F8987" t="str">
            <v>SM 2024</v>
          </cell>
        </row>
        <row r="8988">
          <cell r="A8988" t="str">
            <v>BGD</v>
          </cell>
          <cell r="B8988">
            <v>1990</v>
          </cell>
          <cell r="C8988" t="str">
            <v>mfnvagrtotlkn</v>
          </cell>
          <cell r="D8988">
            <v>1232111.8085532063</v>
          </cell>
          <cell r="F8988" t="str">
            <v>SM 2024</v>
          </cell>
        </row>
        <row r="8989">
          <cell r="A8989" t="str">
            <v>BGD</v>
          </cell>
          <cell r="B8989">
            <v>1990</v>
          </cell>
          <cell r="C8989" t="str">
            <v>mfnvindconskn</v>
          </cell>
          <cell r="D8989">
            <v>210073.46844164433</v>
          </cell>
          <cell r="F8989" t="str">
            <v>SM 2024</v>
          </cell>
        </row>
        <row r="8990">
          <cell r="A8990" t="str">
            <v>BGD</v>
          </cell>
          <cell r="B8990">
            <v>1990</v>
          </cell>
          <cell r="C8990" t="str">
            <v>mfnvindrestkn</v>
          </cell>
          <cell r="D8990">
            <v>689346.54168185394</v>
          </cell>
          <cell r="F8990" t="str">
            <v>SM 2024</v>
          </cell>
        </row>
        <row r="8991">
          <cell r="A8991" t="str">
            <v>BGD</v>
          </cell>
          <cell r="B8991">
            <v>1990</v>
          </cell>
          <cell r="C8991" t="str">
            <v>mfnvindtotlkn</v>
          </cell>
          <cell r="D8991">
            <v>899420.01012349827</v>
          </cell>
          <cell r="F8991" t="str">
            <v>SM 2024</v>
          </cell>
        </row>
        <row r="8992">
          <cell r="A8992" t="str">
            <v>BGD</v>
          </cell>
          <cell r="B8992">
            <v>1990</v>
          </cell>
          <cell r="C8992" t="str">
            <v>mfnvsrvfinakn</v>
          </cell>
          <cell r="D8992">
            <v>84198.848976971334</v>
          </cell>
          <cell r="F8992" t="str">
            <v>SM 2024</v>
          </cell>
        </row>
        <row r="8993">
          <cell r="A8993" t="str">
            <v>BGD</v>
          </cell>
          <cell r="B8993">
            <v>1990</v>
          </cell>
          <cell r="C8993" t="str">
            <v>mfnvsrvrestkn</v>
          </cell>
          <cell r="D8993">
            <v>2313392.6082668686</v>
          </cell>
          <cell r="F8993" t="str">
            <v>SM 2024</v>
          </cell>
        </row>
        <row r="8994">
          <cell r="A8994" t="str">
            <v>BGD</v>
          </cell>
          <cell r="B8994">
            <v>1990</v>
          </cell>
          <cell r="C8994" t="str">
            <v>mfnvsrvtotlkn</v>
          </cell>
          <cell r="D8994">
            <v>2852456.2543102847</v>
          </cell>
          <cell r="F8994" t="str">
            <v>SM 2024</v>
          </cell>
        </row>
        <row r="8995">
          <cell r="A8995" t="str">
            <v>BGD</v>
          </cell>
          <cell r="B8995">
            <v>1990</v>
          </cell>
          <cell r="C8995" t="str">
            <v>mfnvsrvtrnskn</v>
          </cell>
          <cell r="D8995">
            <v>454864.79706644459</v>
          </cell>
          <cell r="F8995" t="str">
            <v>SM 2024</v>
          </cell>
        </row>
        <row r="8996">
          <cell r="A8996" t="str">
            <v>BGD</v>
          </cell>
          <cell r="B8996">
            <v>1990</v>
          </cell>
          <cell r="C8996" t="str">
            <v>mfnygdpmktpkn</v>
          </cell>
          <cell r="D8996">
            <v>5248673.2765063522</v>
          </cell>
          <cell r="F8996" t="str">
            <v>SM 2024</v>
          </cell>
        </row>
        <row r="8997">
          <cell r="A8997" t="str">
            <v>BGD</v>
          </cell>
          <cell r="B8997">
            <v>1990</v>
          </cell>
          <cell r="C8997" t="str">
            <v>mfpop_totl</v>
          </cell>
          <cell r="D8997">
            <v>103172000</v>
          </cell>
          <cell r="F8997" t="str">
            <v>SM 2024</v>
          </cell>
        </row>
        <row r="8998">
          <cell r="A8998" t="str">
            <v>BGD</v>
          </cell>
          <cell r="B8998">
            <v>1991</v>
          </cell>
          <cell r="C8998" t="str">
            <v>mfbxfstremtcd</v>
          </cell>
          <cell r="D8998">
            <v>764</v>
          </cell>
          <cell r="F8998" t="str">
            <v>SM 2024</v>
          </cell>
        </row>
        <row r="8999">
          <cell r="A8999" t="str">
            <v>BGD</v>
          </cell>
          <cell r="B8999">
            <v>1991</v>
          </cell>
          <cell r="C8999" t="str">
            <v>mfgdppckn</v>
          </cell>
          <cell r="D8999">
            <v>51436.107325232108</v>
          </cell>
          <cell r="F8999" t="str">
            <v>SM 2024</v>
          </cell>
        </row>
        <row r="9000">
          <cell r="A9000" t="str">
            <v>BGD</v>
          </cell>
          <cell r="B9000">
            <v>1991</v>
          </cell>
          <cell r="C9000" t="str">
            <v>mfnvagrtotlkn</v>
          </cell>
          <cell r="D9000">
            <v>1258345.3570318643</v>
          </cell>
          <cell r="F9000" t="str">
            <v>SM 2024</v>
          </cell>
        </row>
        <row r="9001">
          <cell r="A9001" t="str">
            <v>BGD</v>
          </cell>
          <cell r="B9001">
            <v>1991</v>
          </cell>
          <cell r="C9001" t="str">
            <v>mfnvindconskn</v>
          </cell>
          <cell r="D9001">
            <v>211317.71720420849</v>
          </cell>
          <cell r="F9001" t="str">
            <v>SM 2024</v>
          </cell>
        </row>
        <row r="9002">
          <cell r="A9002" t="str">
            <v>BGD</v>
          </cell>
          <cell r="B9002">
            <v>1991</v>
          </cell>
          <cell r="C9002" t="str">
            <v>mfnvindrestkn</v>
          </cell>
          <cell r="D9002">
            <v>730473.05573632428</v>
          </cell>
          <cell r="F9002" t="str">
            <v>SM 2024</v>
          </cell>
        </row>
        <row r="9003">
          <cell r="A9003" t="str">
            <v>BGD</v>
          </cell>
          <cell r="B9003">
            <v>1991</v>
          </cell>
          <cell r="C9003" t="str">
            <v>mfnvindtotlkn</v>
          </cell>
          <cell r="D9003">
            <v>941790.77294053277</v>
          </cell>
          <cell r="F9003" t="str">
            <v>SM 2024</v>
          </cell>
        </row>
        <row r="9004">
          <cell r="A9004" t="str">
            <v>BGD</v>
          </cell>
          <cell r="B9004">
            <v>1991</v>
          </cell>
          <cell r="C9004" t="str">
            <v>mfnvsrvfinakn</v>
          </cell>
          <cell r="D9004">
            <v>89609.739778757576</v>
          </cell>
          <cell r="F9004" t="str">
            <v>SM 2024</v>
          </cell>
        </row>
        <row r="9005">
          <cell r="A9005" t="str">
            <v>BGD</v>
          </cell>
          <cell r="B9005">
            <v>1991</v>
          </cell>
          <cell r="C9005" t="str">
            <v>mfnvsrvrestkn</v>
          </cell>
          <cell r="D9005">
            <v>2393912.2711109687</v>
          </cell>
          <cell r="F9005" t="str">
            <v>SM 2024</v>
          </cell>
        </row>
        <row r="9006">
          <cell r="A9006" t="str">
            <v>BGD</v>
          </cell>
          <cell r="B9006">
            <v>1991</v>
          </cell>
          <cell r="C9006" t="str">
            <v>mfnvsrvtotlkn</v>
          </cell>
          <cell r="D9006">
            <v>2949103.2853599736</v>
          </cell>
          <cell r="F9006" t="str">
            <v>SM 2024</v>
          </cell>
        </row>
        <row r="9007">
          <cell r="A9007" t="str">
            <v>BGD</v>
          </cell>
          <cell r="B9007">
            <v>1991</v>
          </cell>
          <cell r="C9007" t="str">
            <v>mfnvsrvtrnskn</v>
          </cell>
          <cell r="D9007">
            <v>465581.27447024756</v>
          </cell>
          <cell r="F9007" t="str">
            <v>SM 2024</v>
          </cell>
        </row>
        <row r="9008">
          <cell r="A9008" t="str">
            <v>BGD</v>
          </cell>
          <cell r="B9008">
            <v>1991</v>
          </cell>
          <cell r="C9008" t="str">
            <v>mfnygdpmktpkn</v>
          </cell>
          <cell r="D9008">
            <v>5431601.4974371856</v>
          </cell>
          <cell r="F9008" t="str">
            <v>SM 2024</v>
          </cell>
        </row>
        <row r="9009">
          <cell r="A9009" t="str">
            <v>BGD</v>
          </cell>
          <cell r="B9009">
            <v>1991</v>
          </cell>
          <cell r="C9009" t="str">
            <v>mfpop_totl</v>
          </cell>
          <cell r="D9009">
            <v>105599000</v>
          </cell>
          <cell r="F9009" t="str">
            <v>SM 2024</v>
          </cell>
        </row>
        <row r="9010">
          <cell r="A9010" t="str">
            <v>BGD</v>
          </cell>
          <cell r="B9010">
            <v>1992</v>
          </cell>
          <cell r="C9010" t="str">
            <v>mfbxfstremtcd</v>
          </cell>
          <cell r="D9010">
            <v>848</v>
          </cell>
          <cell r="F9010" t="str">
            <v>SM 2024</v>
          </cell>
        </row>
        <row r="9011">
          <cell r="A9011" t="str">
            <v>BGD</v>
          </cell>
          <cell r="B9011">
            <v>1992</v>
          </cell>
          <cell r="C9011" t="str">
            <v>mfgdppckn</v>
          </cell>
          <cell r="D9011">
            <v>53037.732324766599</v>
          </cell>
          <cell r="F9011" t="str">
            <v>SM 2024</v>
          </cell>
        </row>
        <row r="9012">
          <cell r="A9012" t="str">
            <v>BGD</v>
          </cell>
          <cell r="B9012">
            <v>1992</v>
          </cell>
          <cell r="C9012" t="str">
            <v>mfnvagrtotlkn</v>
          </cell>
          <cell r="D9012">
            <v>1287581.1379762683</v>
          </cell>
          <cell r="F9012" t="str">
            <v>SM 2024</v>
          </cell>
        </row>
        <row r="9013">
          <cell r="A9013" t="str">
            <v>BGD</v>
          </cell>
          <cell r="B9013">
            <v>1992</v>
          </cell>
          <cell r="C9013" t="str">
            <v>mfnvindconskn</v>
          </cell>
          <cell r="D9013">
            <v>223869.49695088516</v>
          </cell>
          <cell r="F9013" t="str">
            <v>SM 2024</v>
          </cell>
        </row>
        <row r="9014">
          <cell r="A9014" t="str">
            <v>BGD</v>
          </cell>
          <cell r="B9014">
            <v>1992</v>
          </cell>
          <cell r="C9014" t="str">
            <v>mfnvindrestkn</v>
          </cell>
          <cell r="D9014">
            <v>783744.94741438702</v>
          </cell>
          <cell r="F9014" t="str">
            <v>SM 2024</v>
          </cell>
        </row>
        <row r="9015">
          <cell r="A9015" t="str">
            <v>BGD</v>
          </cell>
          <cell r="B9015">
            <v>1992</v>
          </cell>
          <cell r="C9015" t="str">
            <v>mfnvindtotlkn</v>
          </cell>
          <cell r="D9015">
            <v>1007614.4443652722</v>
          </cell>
          <cell r="F9015" t="str">
            <v>SM 2024</v>
          </cell>
        </row>
        <row r="9016">
          <cell r="A9016" t="str">
            <v>BGD</v>
          </cell>
          <cell r="B9016">
            <v>1992</v>
          </cell>
          <cell r="C9016" t="str">
            <v>mfnvsrvfinakn</v>
          </cell>
          <cell r="D9016">
            <v>93383.259734720908</v>
          </cell>
          <cell r="F9016" t="str">
            <v>SM 2024</v>
          </cell>
        </row>
        <row r="9017">
          <cell r="A9017" t="str">
            <v>BGD</v>
          </cell>
          <cell r="B9017">
            <v>1992</v>
          </cell>
          <cell r="C9017" t="str">
            <v>mfnvsrvrestkn</v>
          </cell>
          <cell r="D9017">
            <v>2497814.345151376</v>
          </cell>
          <cell r="F9017" t="str">
            <v>SM 2024</v>
          </cell>
        </row>
        <row r="9018">
          <cell r="A9018" t="str">
            <v>BGD</v>
          </cell>
          <cell r="B9018">
            <v>1992</v>
          </cell>
          <cell r="C9018" t="str">
            <v>mfnvsrvtotlkn</v>
          </cell>
          <cell r="D9018">
            <v>3073004.5935512315</v>
          </cell>
          <cell r="F9018" t="str">
            <v>SM 2024</v>
          </cell>
        </row>
        <row r="9019">
          <cell r="A9019" t="str">
            <v>BGD</v>
          </cell>
          <cell r="B9019">
            <v>1992</v>
          </cell>
          <cell r="C9019" t="str">
            <v>mfnvsrvtrnskn</v>
          </cell>
          <cell r="D9019">
            <v>481806.98866513453</v>
          </cell>
          <cell r="F9019" t="str">
            <v>SM 2024</v>
          </cell>
        </row>
        <row r="9020">
          <cell r="A9020" t="str">
            <v>BGD</v>
          </cell>
          <cell r="B9020">
            <v>1992</v>
          </cell>
          <cell r="C9020" t="str">
            <v>mfnygdpmktpkn</v>
          </cell>
          <cell r="D9020">
            <v>5727226.4873575959</v>
          </cell>
          <cell r="F9020" t="str">
            <v>SM 2024</v>
          </cell>
        </row>
        <row r="9021">
          <cell r="A9021" t="str">
            <v>BGD</v>
          </cell>
          <cell r="B9021">
            <v>1992</v>
          </cell>
          <cell r="C9021" t="str">
            <v>mfpop_totl</v>
          </cell>
          <cell r="D9021">
            <v>107983999.99999999</v>
          </cell>
          <cell r="F9021" t="str">
            <v>SM 2024</v>
          </cell>
        </row>
        <row r="9022">
          <cell r="A9022" t="str">
            <v>BGD</v>
          </cell>
          <cell r="B9022">
            <v>1993</v>
          </cell>
          <cell r="C9022" t="str">
            <v>mfbxfstremtcd</v>
          </cell>
          <cell r="D9022">
            <v>944</v>
          </cell>
          <cell r="F9022" t="str">
            <v>SM 2024</v>
          </cell>
        </row>
        <row r="9023">
          <cell r="A9023" t="str">
            <v>BGD</v>
          </cell>
          <cell r="B9023">
            <v>1993</v>
          </cell>
          <cell r="C9023" t="str">
            <v>mfgdppckn</v>
          </cell>
          <cell r="D9023">
            <v>54345.391509155153</v>
          </cell>
          <cell r="F9023" t="str">
            <v>SM 2024</v>
          </cell>
        </row>
        <row r="9024">
          <cell r="A9024" t="str">
            <v>BGD</v>
          </cell>
          <cell r="B9024">
            <v>1993</v>
          </cell>
          <cell r="C9024" t="str">
            <v>mfnvagrtotlkn</v>
          </cell>
          <cell r="D9024">
            <v>1318342.4394852675</v>
          </cell>
          <cell r="F9024" t="str">
            <v>SM 2024</v>
          </cell>
        </row>
        <row r="9025">
          <cell r="A9025" t="str">
            <v>BGD</v>
          </cell>
          <cell r="B9025">
            <v>1993</v>
          </cell>
          <cell r="C9025" t="str">
            <v>mfnvindconskn</v>
          </cell>
          <cell r="D9025">
            <v>237278.79949338315</v>
          </cell>
          <cell r="F9025" t="str">
            <v>SM 2024</v>
          </cell>
        </row>
        <row r="9026">
          <cell r="A9026" t="str">
            <v>BGD</v>
          </cell>
          <cell r="B9026">
            <v>1993</v>
          </cell>
          <cell r="C9026" t="str">
            <v>mfnvindrestkn</v>
          </cell>
          <cell r="D9026">
            <v>851893.83830448659</v>
          </cell>
          <cell r="F9026" t="str">
            <v>SM 2024</v>
          </cell>
        </row>
        <row r="9027">
          <cell r="A9027" t="str">
            <v>BGD</v>
          </cell>
          <cell r="B9027">
            <v>1993</v>
          </cell>
          <cell r="C9027" t="str">
            <v>mfnvindtotlkn</v>
          </cell>
          <cell r="D9027">
            <v>1089172.6377978697</v>
          </cell>
          <cell r="F9027" t="str">
            <v>SM 2024</v>
          </cell>
        </row>
        <row r="9028">
          <cell r="A9028" t="str">
            <v>BGD</v>
          </cell>
          <cell r="B9028">
            <v>1993</v>
          </cell>
          <cell r="C9028" t="str">
            <v>mfnvsrvfinakn</v>
          </cell>
          <cell r="D9028">
            <v>96511.104577624661</v>
          </cell>
          <cell r="F9028" t="str">
            <v>SM 2024</v>
          </cell>
        </row>
        <row r="9029">
          <cell r="A9029" t="str">
            <v>BGD</v>
          </cell>
          <cell r="B9029">
            <v>1993</v>
          </cell>
          <cell r="C9029" t="str">
            <v>mfnvsrvrestkn</v>
          </cell>
          <cell r="D9029">
            <v>2597376.4501578766</v>
          </cell>
          <cell r="F9029" t="str">
            <v>SM 2024</v>
          </cell>
        </row>
        <row r="9030">
          <cell r="A9030" t="str">
            <v>BGD</v>
          </cell>
          <cell r="B9030">
            <v>1993</v>
          </cell>
          <cell r="C9030" t="str">
            <v>mfnvsrvtotlkn</v>
          </cell>
          <cell r="D9030">
            <v>3192142.0761036417</v>
          </cell>
          <cell r="F9030" t="str">
            <v>SM 2024</v>
          </cell>
        </row>
        <row r="9031">
          <cell r="A9031" t="str">
            <v>BGD</v>
          </cell>
          <cell r="B9031">
            <v>1993</v>
          </cell>
          <cell r="C9031" t="str">
            <v>mfnvsrvtrnskn</v>
          </cell>
          <cell r="D9031">
            <v>498254.5213681403</v>
          </cell>
          <cell r="F9031" t="str">
            <v>SM 2024</v>
          </cell>
        </row>
        <row r="9032">
          <cell r="A9032" t="str">
            <v>BGD</v>
          </cell>
          <cell r="B9032">
            <v>1993</v>
          </cell>
          <cell r="C9032" t="str">
            <v>mfnygdpmktpkn</v>
          </cell>
          <cell r="D9032">
            <v>5997068.2984267799</v>
          </cell>
          <cell r="F9032" t="str">
            <v>SM 2024</v>
          </cell>
        </row>
        <row r="9033">
          <cell r="A9033" t="str">
            <v>BGD</v>
          </cell>
          <cell r="B9033">
            <v>1993</v>
          </cell>
          <cell r="C9033" t="str">
            <v>mfpop_totl</v>
          </cell>
          <cell r="D9033">
            <v>110351000</v>
          </cell>
          <cell r="F9033" t="str">
            <v>SM 2024</v>
          </cell>
        </row>
        <row r="9034">
          <cell r="A9034" t="str">
            <v>BGD</v>
          </cell>
          <cell r="B9034">
            <v>1994</v>
          </cell>
          <cell r="C9034" t="str">
            <v>mfbxfstremtcd</v>
          </cell>
          <cell r="D9034">
            <v>1088.76</v>
          </cell>
          <cell r="F9034" t="str">
            <v>SM 2024</v>
          </cell>
        </row>
        <row r="9035">
          <cell r="A9035" t="str">
            <v>BGD</v>
          </cell>
          <cell r="B9035">
            <v>1994</v>
          </cell>
          <cell r="C9035" t="str">
            <v>mfgdppckn</v>
          </cell>
          <cell r="D9035">
            <v>55264.079884916478</v>
          </cell>
          <cell r="F9035" t="str">
            <v>SM 2024</v>
          </cell>
        </row>
        <row r="9036">
          <cell r="A9036" t="str">
            <v>BGD</v>
          </cell>
          <cell r="B9036">
            <v>1994</v>
          </cell>
          <cell r="C9036" t="str">
            <v>mfnvagrtotlkn</v>
          </cell>
          <cell r="D9036">
            <v>1328058.7336807714</v>
          </cell>
          <cell r="F9036" t="str">
            <v>SM 2024</v>
          </cell>
        </row>
        <row r="9037">
          <cell r="A9037" t="str">
            <v>BGD</v>
          </cell>
          <cell r="B9037">
            <v>1994</v>
          </cell>
          <cell r="C9037" t="str">
            <v>mfnvindconskn</v>
          </cell>
          <cell r="D9037">
            <v>259288.55125279329</v>
          </cell>
          <cell r="F9037" t="str">
            <v>SM 2024</v>
          </cell>
        </row>
        <row r="9038">
          <cell r="A9038" t="str">
            <v>BGD</v>
          </cell>
          <cell r="B9038">
            <v>1994</v>
          </cell>
          <cell r="C9038" t="str">
            <v>mfnvindrestkn</v>
          </cell>
          <cell r="D9038">
            <v>918430.21888693352</v>
          </cell>
          <cell r="F9038" t="str">
            <v>SM 2024</v>
          </cell>
        </row>
        <row r="9039">
          <cell r="A9039" t="str">
            <v>BGD</v>
          </cell>
          <cell r="B9039">
            <v>1994</v>
          </cell>
          <cell r="C9039" t="str">
            <v>mfnvindtotlkn</v>
          </cell>
          <cell r="D9039">
            <v>1177718.7701397268</v>
          </cell>
          <cell r="F9039" t="str">
            <v>SM 2024</v>
          </cell>
        </row>
        <row r="9040">
          <cell r="A9040" t="str">
            <v>BGD</v>
          </cell>
          <cell r="B9040">
            <v>1994</v>
          </cell>
          <cell r="C9040" t="str">
            <v>mfnvsrvfinakn</v>
          </cell>
          <cell r="D9040">
            <v>100879.2431025127</v>
          </cell>
          <cell r="F9040" t="str">
            <v>SM 2024</v>
          </cell>
        </row>
        <row r="9041">
          <cell r="A9041" t="str">
            <v>BGD</v>
          </cell>
          <cell r="B9041">
            <v>1994</v>
          </cell>
          <cell r="C9041" t="str">
            <v>mfnvsrvrestkn</v>
          </cell>
          <cell r="D9041">
            <v>2703579.5033784751</v>
          </cell>
          <cell r="F9041" t="str">
            <v>SM 2024</v>
          </cell>
        </row>
        <row r="9042">
          <cell r="A9042" t="str">
            <v>BGD</v>
          </cell>
          <cell r="B9042">
            <v>1994</v>
          </cell>
          <cell r="C9042" t="str">
            <v>mfnvsrvtotlkn</v>
          </cell>
          <cell r="D9042">
            <v>3321445.9738040958</v>
          </cell>
          <cell r="F9042" t="str">
            <v>SM 2024</v>
          </cell>
        </row>
        <row r="9043">
          <cell r="A9043" t="str">
            <v>BGD</v>
          </cell>
          <cell r="B9043">
            <v>1994</v>
          </cell>
          <cell r="C9043" t="str">
            <v>mfnvsrvtrnskn</v>
          </cell>
          <cell r="D9043">
            <v>516987.22732310771</v>
          </cell>
          <cell r="F9043" t="str">
            <v>SM 2024</v>
          </cell>
        </row>
        <row r="9044">
          <cell r="A9044" t="str">
            <v>BGD</v>
          </cell>
          <cell r="B9044">
            <v>1994</v>
          </cell>
          <cell r="C9044" t="str">
            <v>mfnygdpmktpkn</v>
          </cell>
          <cell r="D9044">
            <v>6230361.8380657136</v>
          </cell>
          <cell r="F9044" t="str">
            <v>SM 2024</v>
          </cell>
        </row>
        <row r="9045">
          <cell r="A9045" t="str">
            <v>BGD</v>
          </cell>
          <cell r="B9045">
            <v>1994</v>
          </cell>
          <cell r="C9045" t="str">
            <v>mfpop_totl</v>
          </cell>
          <cell r="D9045">
            <v>112738000</v>
          </cell>
          <cell r="F9045" t="str">
            <v>SM 2024</v>
          </cell>
        </row>
        <row r="9046">
          <cell r="A9046" t="str">
            <v>BGD</v>
          </cell>
          <cell r="B9046">
            <v>1995</v>
          </cell>
          <cell r="C9046" t="str">
            <v>mfbxfstremtcd</v>
          </cell>
          <cell r="D9046">
            <v>1197.6300000000001</v>
          </cell>
          <cell r="F9046" t="str">
            <v>SM 2024</v>
          </cell>
        </row>
        <row r="9047">
          <cell r="A9047" t="str">
            <v>BGD</v>
          </cell>
          <cell r="B9047">
            <v>1995</v>
          </cell>
          <cell r="C9047" t="str">
            <v>mfgdppckn</v>
          </cell>
          <cell r="D9047">
            <v>56867.552154466073</v>
          </cell>
          <cell r="F9047" t="str">
            <v>SM 2024</v>
          </cell>
        </row>
        <row r="9048">
          <cell r="A9048" t="str">
            <v>BGD</v>
          </cell>
          <cell r="B9048">
            <v>1995</v>
          </cell>
          <cell r="C9048" t="str">
            <v>mfnvagrtotlkn</v>
          </cell>
          <cell r="D9048">
            <v>1323111.7280759395</v>
          </cell>
          <cell r="F9048" t="str">
            <v>SM 2024</v>
          </cell>
        </row>
        <row r="9049">
          <cell r="A9049" t="str">
            <v>BGD</v>
          </cell>
          <cell r="B9049">
            <v>1995</v>
          </cell>
          <cell r="C9049" t="str">
            <v>mfnvindconskn</v>
          </cell>
          <cell r="D9049">
            <v>284081.04855550569</v>
          </cell>
          <cell r="F9049" t="str">
            <v>SM 2024</v>
          </cell>
        </row>
        <row r="9050">
          <cell r="A9050" t="str">
            <v>BGD</v>
          </cell>
          <cell r="B9050">
            <v>1995</v>
          </cell>
          <cell r="C9050" t="str">
            <v>mfnvindrestkn</v>
          </cell>
          <cell r="D9050">
            <v>1012992.0620837223</v>
          </cell>
          <cell r="F9050" t="str">
            <v>SM 2024</v>
          </cell>
        </row>
        <row r="9051">
          <cell r="A9051" t="str">
            <v>BGD</v>
          </cell>
          <cell r="B9051">
            <v>1995</v>
          </cell>
          <cell r="C9051" t="str">
            <v>mfnvindtotlkn</v>
          </cell>
          <cell r="D9051">
            <v>1297073.110639228</v>
          </cell>
          <cell r="F9051" t="str">
            <v>SM 2024</v>
          </cell>
        </row>
        <row r="9052">
          <cell r="A9052" t="str">
            <v>BGD</v>
          </cell>
          <cell r="B9052">
            <v>1995</v>
          </cell>
          <cell r="C9052" t="str">
            <v>mfnvsrvfinakn</v>
          </cell>
          <cell r="D9052">
            <v>105281.77543853824</v>
          </cell>
          <cell r="F9052" t="str">
            <v>SM 2024</v>
          </cell>
        </row>
        <row r="9053">
          <cell r="A9053" t="str">
            <v>BGD</v>
          </cell>
          <cell r="B9053">
            <v>1995</v>
          </cell>
          <cell r="C9053" t="str">
            <v>mfnvsrvrestkn</v>
          </cell>
          <cell r="D9053">
            <v>2825588.3084941986</v>
          </cell>
          <cell r="F9053" t="str">
            <v>SM 2024</v>
          </cell>
        </row>
        <row r="9054">
          <cell r="A9054" t="str">
            <v>BGD</v>
          </cell>
          <cell r="B9054">
            <v>1995</v>
          </cell>
          <cell r="C9054" t="str">
            <v>mfnvsrvtotlkn</v>
          </cell>
          <cell r="D9054">
            <v>3474021.5566783617</v>
          </cell>
          <cell r="F9054" t="str">
            <v>SM 2024</v>
          </cell>
        </row>
        <row r="9055">
          <cell r="A9055" t="str">
            <v>BGD</v>
          </cell>
          <cell r="B9055">
            <v>1995</v>
          </cell>
          <cell r="C9055" t="str">
            <v>mfnvsrvtrnskn</v>
          </cell>
          <cell r="D9055">
            <v>543151.47274562472</v>
          </cell>
          <cell r="F9055" t="str">
            <v>SM 2024</v>
          </cell>
        </row>
        <row r="9056">
          <cell r="A9056" t="str">
            <v>BGD</v>
          </cell>
          <cell r="B9056">
            <v>1995</v>
          </cell>
          <cell r="C9056" t="str">
            <v>mfnygdpmktpkn</v>
          </cell>
          <cell r="D9056">
            <v>6549435.9816298578</v>
          </cell>
          <cell r="F9056" t="str">
            <v>SM 2024</v>
          </cell>
        </row>
        <row r="9057">
          <cell r="A9057" t="str">
            <v>BGD</v>
          </cell>
          <cell r="B9057">
            <v>1995</v>
          </cell>
          <cell r="C9057" t="str">
            <v>mfpop_totl</v>
          </cell>
          <cell r="D9057">
            <v>115170000</v>
          </cell>
          <cell r="F9057" t="str">
            <v>SM 2024</v>
          </cell>
        </row>
        <row r="9058">
          <cell r="A9058" t="str">
            <v>BGD</v>
          </cell>
          <cell r="B9058">
            <v>1996</v>
          </cell>
          <cell r="C9058" t="str">
            <v>mfbxfstremtcd</v>
          </cell>
          <cell r="D9058">
            <v>1217.06</v>
          </cell>
          <cell r="F9058" t="str">
            <v>SM 2024</v>
          </cell>
        </row>
        <row r="9059">
          <cell r="A9059" t="str">
            <v>BGD</v>
          </cell>
          <cell r="B9059">
            <v>1996</v>
          </cell>
          <cell r="C9059" t="str">
            <v>mfgdppckn</v>
          </cell>
          <cell r="D9059">
            <v>58186.669616640349</v>
          </cell>
          <cell r="F9059" t="str">
            <v>SM 2024</v>
          </cell>
        </row>
        <row r="9060">
          <cell r="A9060" t="str">
            <v>BGD</v>
          </cell>
          <cell r="B9060">
            <v>1996</v>
          </cell>
          <cell r="C9060" t="str">
            <v>mfnvagrtotlkn</v>
          </cell>
          <cell r="D9060">
            <v>1362376.1441462496</v>
          </cell>
          <cell r="F9060" t="str">
            <v>SM 2024</v>
          </cell>
        </row>
        <row r="9061">
          <cell r="A9061" t="str">
            <v>BGD</v>
          </cell>
          <cell r="B9061">
            <v>1996</v>
          </cell>
          <cell r="C9061" t="str">
            <v>mfnvindconskn</v>
          </cell>
          <cell r="D9061">
            <v>308240.21202862496</v>
          </cell>
          <cell r="F9061" t="str">
            <v>SM 2024</v>
          </cell>
        </row>
        <row r="9062">
          <cell r="A9062" t="str">
            <v>BGD</v>
          </cell>
          <cell r="B9062">
            <v>1996</v>
          </cell>
          <cell r="C9062" t="str">
            <v>mfnvindrestkn</v>
          </cell>
          <cell r="D9062">
            <v>1076213.169015124</v>
          </cell>
          <cell r="F9062" t="str">
            <v>SM 2024</v>
          </cell>
        </row>
        <row r="9063">
          <cell r="A9063" t="str">
            <v>BGD</v>
          </cell>
          <cell r="B9063">
            <v>1996</v>
          </cell>
          <cell r="C9063" t="str">
            <v>mfnvindtotlkn</v>
          </cell>
          <cell r="D9063">
            <v>1384453.3810437489</v>
          </cell>
          <cell r="F9063" t="str">
            <v>SM 2024</v>
          </cell>
        </row>
        <row r="9064">
          <cell r="A9064" t="str">
            <v>BGD</v>
          </cell>
          <cell r="B9064">
            <v>1996</v>
          </cell>
          <cell r="C9064" t="str">
            <v>mfnvsrvfinakn</v>
          </cell>
          <cell r="D9064">
            <v>109495.87885011578</v>
          </cell>
          <cell r="F9064" t="str">
            <v>SM 2024</v>
          </cell>
        </row>
        <row r="9065">
          <cell r="A9065" t="str">
            <v>BGD</v>
          </cell>
          <cell r="B9065">
            <v>1996</v>
          </cell>
          <cell r="C9065" t="str">
            <v>mfnvsrvrestkn</v>
          </cell>
          <cell r="D9065">
            <v>2925096.8287087232</v>
          </cell>
          <cell r="F9065" t="str">
            <v>SM 2024</v>
          </cell>
        </row>
        <row r="9066">
          <cell r="A9066" t="str">
            <v>BGD</v>
          </cell>
          <cell r="B9066">
            <v>1996</v>
          </cell>
          <cell r="C9066" t="str">
            <v>mfnvsrvtotlkn</v>
          </cell>
          <cell r="D9066">
            <v>3606272.0147792017</v>
          </cell>
          <cell r="F9066" t="str">
            <v>SM 2024</v>
          </cell>
        </row>
        <row r="9067">
          <cell r="A9067" t="str">
            <v>BGD</v>
          </cell>
          <cell r="B9067">
            <v>1996</v>
          </cell>
          <cell r="C9067" t="str">
            <v>mfnvsrvtrnskn</v>
          </cell>
          <cell r="D9067">
            <v>571679.30722036259</v>
          </cell>
          <cell r="F9067" t="str">
            <v>SM 2024</v>
          </cell>
        </row>
        <row r="9068">
          <cell r="A9068" t="str">
            <v>BGD</v>
          </cell>
          <cell r="B9068">
            <v>1996</v>
          </cell>
          <cell r="C9068" t="str">
            <v>mfnygdpmktpkn</v>
          </cell>
          <cell r="D9068">
            <v>6845661.6803977378</v>
          </cell>
          <cell r="F9068" t="str">
            <v>SM 2024</v>
          </cell>
        </row>
        <row r="9069">
          <cell r="A9069" t="str">
            <v>BGD</v>
          </cell>
          <cell r="B9069">
            <v>1996</v>
          </cell>
          <cell r="C9069" t="str">
            <v>mfpop_totl</v>
          </cell>
          <cell r="D9069">
            <v>117650000</v>
          </cell>
          <cell r="F9069" t="str">
            <v>SM 2024</v>
          </cell>
        </row>
        <row r="9070">
          <cell r="A9070" t="str">
            <v>BGD</v>
          </cell>
          <cell r="B9070">
            <v>1997</v>
          </cell>
          <cell r="C9070" t="str">
            <v>mfbxfstremtcd</v>
          </cell>
          <cell r="D9070">
            <v>1475.42</v>
          </cell>
          <cell r="F9070" t="str">
            <v>SM 2024</v>
          </cell>
        </row>
        <row r="9071">
          <cell r="A9071" t="str">
            <v>BGD</v>
          </cell>
          <cell r="B9071">
            <v>1997</v>
          </cell>
          <cell r="C9071" t="str">
            <v>mfgdppckn</v>
          </cell>
          <cell r="D9071">
            <v>59528.672401251482</v>
          </cell>
          <cell r="F9071" t="str">
            <v>SM 2024</v>
          </cell>
        </row>
        <row r="9072">
          <cell r="A9072" t="str">
            <v>BGD</v>
          </cell>
          <cell r="B9072">
            <v>1997</v>
          </cell>
          <cell r="C9072" t="str">
            <v>mfnvagrtotlkn</v>
          </cell>
          <cell r="D9072">
            <v>1423936.0931520651</v>
          </cell>
          <cell r="F9072" t="str">
            <v>SM 2024</v>
          </cell>
        </row>
        <row r="9073">
          <cell r="A9073" t="str">
            <v>BGD</v>
          </cell>
          <cell r="B9073">
            <v>1997</v>
          </cell>
          <cell r="C9073" t="str">
            <v>mfnvindconskn</v>
          </cell>
          <cell r="D9073">
            <v>333396.03210380813</v>
          </cell>
          <cell r="F9073" t="str">
            <v>SM 2024</v>
          </cell>
        </row>
        <row r="9074">
          <cell r="A9074" t="str">
            <v>BGD</v>
          </cell>
          <cell r="B9074">
            <v>1997</v>
          </cell>
          <cell r="C9074" t="str">
            <v>mfnvindrestkn</v>
          </cell>
          <cell r="D9074">
            <v>1123401.7107059381</v>
          </cell>
          <cell r="F9074" t="str">
            <v>SM 2024</v>
          </cell>
        </row>
        <row r="9075">
          <cell r="A9075" t="str">
            <v>BGD</v>
          </cell>
          <cell r="B9075">
            <v>1997</v>
          </cell>
          <cell r="C9075" t="str">
            <v>mfnvindtotlkn</v>
          </cell>
          <cell r="D9075">
            <v>1456797.7428097462</v>
          </cell>
          <cell r="F9075" t="str">
            <v>SM 2024</v>
          </cell>
        </row>
        <row r="9076">
          <cell r="A9076" t="str">
            <v>BGD</v>
          </cell>
          <cell r="B9076">
            <v>1997</v>
          </cell>
          <cell r="C9076" t="str">
            <v>mfnvsrvfinakn</v>
          </cell>
          <cell r="D9076">
            <v>113551.4553193476</v>
          </cell>
          <cell r="F9076" t="str">
            <v>SM 2024</v>
          </cell>
        </row>
        <row r="9077">
          <cell r="A9077" t="str">
            <v>BGD</v>
          </cell>
          <cell r="B9077">
            <v>1997</v>
          </cell>
          <cell r="C9077" t="str">
            <v>mfnvsrvrestkn</v>
          </cell>
          <cell r="D9077">
            <v>3038732.6287726648</v>
          </cell>
          <cell r="F9077" t="str">
            <v>SM 2024</v>
          </cell>
        </row>
        <row r="9078">
          <cell r="A9078" t="str">
            <v>BGD</v>
          </cell>
          <cell r="B9078">
            <v>1997</v>
          </cell>
          <cell r="C9078" t="str">
            <v>mfnvsrvtotlkn</v>
          </cell>
          <cell r="D9078">
            <v>3753633.9981329134</v>
          </cell>
          <cell r="F9078" t="str">
            <v>SM 2024</v>
          </cell>
        </row>
        <row r="9079">
          <cell r="A9079" t="str">
            <v>BGD</v>
          </cell>
          <cell r="B9079">
            <v>1997</v>
          </cell>
          <cell r="C9079" t="str">
            <v>mfnvsrvtrnskn</v>
          </cell>
          <cell r="D9079">
            <v>601349.91404090112</v>
          </cell>
          <cell r="F9079" t="str">
            <v>SM 2024</v>
          </cell>
        </row>
        <row r="9080">
          <cell r="A9080" t="str">
            <v>BGD</v>
          </cell>
          <cell r="B9080">
            <v>1997</v>
          </cell>
          <cell r="C9080" t="str">
            <v>mfnygdpmktpkn</v>
          </cell>
          <cell r="D9080">
            <v>7153024.8044067798</v>
          </cell>
          <cell r="F9080" t="str">
            <v>SM 2024</v>
          </cell>
        </row>
        <row r="9081">
          <cell r="A9081" t="str">
            <v>BGD</v>
          </cell>
          <cell r="B9081">
            <v>1997</v>
          </cell>
          <cell r="C9081" t="str">
            <v>mfpop_totl</v>
          </cell>
          <cell r="D9081">
            <v>120161000.00000001</v>
          </cell>
          <cell r="F9081" t="str">
            <v>SM 2024</v>
          </cell>
        </row>
        <row r="9082">
          <cell r="A9082" t="str">
            <v>BGD</v>
          </cell>
          <cell r="B9082">
            <v>1998</v>
          </cell>
          <cell r="C9082" t="str">
            <v>mfbxfstremtcd</v>
          </cell>
          <cell r="D9082">
            <v>1525.43</v>
          </cell>
          <cell r="F9082" t="str">
            <v>SM 2024</v>
          </cell>
        </row>
        <row r="9083">
          <cell r="A9083" t="str">
            <v>BGD</v>
          </cell>
          <cell r="B9083">
            <v>1998</v>
          </cell>
          <cell r="C9083" t="str">
            <v>mfgdppckn</v>
          </cell>
          <cell r="D9083">
            <v>61323.401129705388</v>
          </cell>
          <cell r="F9083" t="str">
            <v>SM 2024</v>
          </cell>
        </row>
        <row r="9084">
          <cell r="A9084" t="str">
            <v>BGD</v>
          </cell>
          <cell r="B9084">
            <v>1998</v>
          </cell>
          <cell r="C9084" t="str">
            <v>mfnvagrtotlkn</v>
          </cell>
          <cell r="D9084">
            <v>1479973.8042965406</v>
          </cell>
          <cell r="F9084" t="str">
            <v>SM 2024</v>
          </cell>
        </row>
        <row r="9085">
          <cell r="A9085" t="str">
            <v>BGD</v>
          </cell>
          <cell r="B9085">
            <v>1998</v>
          </cell>
          <cell r="C9085" t="str">
            <v>mfnvindconskn</v>
          </cell>
          <cell r="D9085">
            <v>365693.04055462335</v>
          </cell>
          <cell r="F9085" t="str">
            <v>SM 2024</v>
          </cell>
        </row>
        <row r="9086">
          <cell r="A9086" t="str">
            <v>BGD</v>
          </cell>
          <cell r="B9086">
            <v>1998</v>
          </cell>
          <cell r="C9086" t="str">
            <v>mfnvindrestkn</v>
          </cell>
          <cell r="D9086">
            <v>1218238.0043636889</v>
          </cell>
          <cell r="F9086" t="str">
            <v>SM 2024</v>
          </cell>
        </row>
        <row r="9087">
          <cell r="A9087" t="str">
            <v>BGD</v>
          </cell>
          <cell r="B9087">
            <v>1998</v>
          </cell>
          <cell r="C9087" t="str">
            <v>mfnvindtotlkn</v>
          </cell>
          <cell r="D9087">
            <v>1583931.0449183122</v>
          </cell>
          <cell r="F9087" t="str">
            <v>SM 2024</v>
          </cell>
        </row>
        <row r="9088">
          <cell r="A9088" t="str">
            <v>BGD</v>
          </cell>
          <cell r="B9088">
            <v>1998</v>
          </cell>
          <cell r="C9088" t="str">
            <v>mfnvsrvfinakn</v>
          </cell>
          <cell r="D9088">
            <v>114556.56352576034</v>
          </cell>
          <cell r="F9088" t="str">
            <v>SM 2024</v>
          </cell>
        </row>
        <row r="9089">
          <cell r="A9089" t="str">
            <v>BGD</v>
          </cell>
          <cell r="B9089">
            <v>1998</v>
          </cell>
          <cell r="C9089" t="str">
            <v>mfnvsrvrestkn</v>
          </cell>
          <cell r="D9089">
            <v>3171200.7359768064</v>
          </cell>
          <cell r="F9089" t="str">
            <v>SM 2024</v>
          </cell>
        </row>
        <row r="9090">
          <cell r="A9090" t="str">
            <v>BGD</v>
          </cell>
          <cell r="B9090">
            <v>1998</v>
          </cell>
          <cell r="C9090" t="str">
            <v>mfnvsrvtotlkn</v>
          </cell>
          <cell r="D9090">
            <v>3924043.1829469572</v>
          </cell>
          <cell r="F9090" t="str">
            <v>SM 2024</v>
          </cell>
        </row>
        <row r="9091">
          <cell r="A9091" t="str">
            <v>BGD</v>
          </cell>
          <cell r="B9091">
            <v>1998</v>
          </cell>
          <cell r="C9091" t="str">
            <v>mfnvsrvtrnskn</v>
          </cell>
          <cell r="D9091">
            <v>638285.88344439049</v>
          </cell>
          <cell r="F9091" t="str">
            <v>SM 2024</v>
          </cell>
        </row>
        <row r="9092">
          <cell r="A9092" t="str">
            <v>BGD</v>
          </cell>
          <cell r="B9092">
            <v>1998</v>
          </cell>
          <cell r="C9092" t="str">
            <v>mfnygdpmktpkn</v>
          </cell>
          <cell r="D9092">
            <v>7523338.8207956469</v>
          </cell>
          <cell r="F9092" t="str">
            <v>SM 2024</v>
          </cell>
        </row>
        <row r="9093">
          <cell r="A9093" t="str">
            <v>BGD</v>
          </cell>
          <cell r="B9093">
            <v>1998</v>
          </cell>
          <cell r="C9093" t="str">
            <v>mfpop_totl</v>
          </cell>
          <cell r="D9093">
            <v>122683000</v>
          </cell>
          <cell r="F9093" t="str">
            <v>SM 2024</v>
          </cell>
        </row>
        <row r="9094">
          <cell r="A9094" t="str">
            <v>BGD</v>
          </cell>
          <cell r="B9094">
            <v>1999</v>
          </cell>
          <cell r="C9094" t="str">
            <v>mfbxfstremtcd</v>
          </cell>
          <cell r="D9094">
            <v>1705.74</v>
          </cell>
          <cell r="F9094" t="str">
            <v>SM 2024</v>
          </cell>
        </row>
        <row r="9095">
          <cell r="A9095" t="str">
            <v>BGD</v>
          </cell>
          <cell r="B9095">
            <v>1999</v>
          </cell>
          <cell r="C9095" t="str">
            <v>mfgdppckn</v>
          </cell>
          <cell r="D9095">
            <v>62901.913154742513</v>
          </cell>
          <cell r="F9095" t="str">
            <v>SM 2024</v>
          </cell>
        </row>
        <row r="9096">
          <cell r="A9096" t="str">
            <v>BGD</v>
          </cell>
          <cell r="B9096">
            <v>1999</v>
          </cell>
          <cell r="C9096" t="str">
            <v>mfnvagrtotlkn</v>
          </cell>
          <cell r="D9096">
            <v>1537419.6040938229</v>
          </cell>
          <cell r="F9096" t="str">
            <v>SM 2024</v>
          </cell>
        </row>
        <row r="9097">
          <cell r="A9097" t="str">
            <v>BGD</v>
          </cell>
          <cell r="B9097">
            <v>1999</v>
          </cell>
          <cell r="C9097" t="str">
            <v>mfnvindconskn</v>
          </cell>
          <cell r="D9097">
            <v>397816.67369710631</v>
          </cell>
          <cell r="F9097" t="str">
            <v>SM 2024</v>
          </cell>
        </row>
        <row r="9098">
          <cell r="A9098" t="str">
            <v>BGD</v>
          </cell>
          <cell r="B9098">
            <v>1999</v>
          </cell>
          <cell r="C9098" t="str">
            <v>mfnvindrestkn</v>
          </cell>
          <cell r="D9098">
            <v>1269133.0289974979</v>
          </cell>
          <cell r="F9098" t="str">
            <v>SM 2024</v>
          </cell>
        </row>
        <row r="9099">
          <cell r="A9099" t="str">
            <v>BGD</v>
          </cell>
          <cell r="B9099">
            <v>1999</v>
          </cell>
          <cell r="C9099" t="str">
            <v>mfnvindtotlkn</v>
          </cell>
          <cell r="D9099">
            <v>1666949.7026946042</v>
          </cell>
          <cell r="F9099" t="str">
            <v>SM 2024</v>
          </cell>
        </row>
        <row r="9100">
          <cell r="A9100" t="str">
            <v>BGD</v>
          </cell>
          <cell r="B9100">
            <v>1999</v>
          </cell>
          <cell r="C9100" t="str">
            <v>mfnvsrvfinakn</v>
          </cell>
          <cell r="D9100">
            <v>119197.86738800663</v>
          </cell>
          <cell r="F9100" t="str">
            <v>SM 2024</v>
          </cell>
        </row>
        <row r="9101">
          <cell r="A9101" t="str">
            <v>BGD</v>
          </cell>
          <cell r="B9101">
            <v>1999</v>
          </cell>
          <cell r="C9101" t="str">
            <v>mfnvsrvrestkn</v>
          </cell>
          <cell r="D9101">
            <v>3300958.0968060764</v>
          </cell>
          <cell r="F9101" t="str">
            <v>SM 2024</v>
          </cell>
        </row>
        <row r="9102">
          <cell r="A9102" t="str">
            <v>BGD</v>
          </cell>
          <cell r="B9102">
            <v>1999</v>
          </cell>
          <cell r="C9102" t="str">
            <v>mfnvsrvtotlkn</v>
          </cell>
          <cell r="D9102">
            <v>4098618.0609801188</v>
          </cell>
          <cell r="F9102" t="str">
            <v>SM 2024</v>
          </cell>
        </row>
        <row r="9103">
          <cell r="A9103" t="str">
            <v>BGD</v>
          </cell>
          <cell r="B9103">
            <v>1999</v>
          </cell>
          <cell r="C9103" t="str">
            <v>mfnvsrvtrnskn</v>
          </cell>
          <cell r="D9103">
            <v>678462.09678603557</v>
          </cell>
          <cell r="F9103" t="str">
            <v>SM 2024</v>
          </cell>
        </row>
        <row r="9104">
          <cell r="A9104" t="str">
            <v>BGD</v>
          </cell>
          <cell r="B9104">
            <v>1999</v>
          </cell>
          <cell r="C9104" t="str">
            <v>mfnygdpmktpkn</v>
          </cell>
          <cell r="D9104">
            <v>7874690.5078422148</v>
          </cell>
          <cell r="F9104" t="str">
            <v>SM 2024</v>
          </cell>
        </row>
        <row r="9105">
          <cell r="A9105" t="str">
            <v>BGD</v>
          </cell>
          <cell r="B9105">
            <v>1999</v>
          </cell>
          <cell r="C9105" t="str">
            <v>mfpop_totl</v>
          </cell>
          <cell r="D9105">
            <v>125190000</v>
          </cell>
          <cell r="F9105" t="str">
            <v>SM 2024</v>
          </cell>
        </row>
        <row r="9106">
          <cell r="A9106" t="str">
            <v>BGD</v>
          </cell>
          <cell r="B9106">
            <v>2000</v>
          </cell>
          <cell r="C9106" t="str">
            <v>mfbxfstremtcd</v>
          </cell>
          <cell r="D9106">
            <v>1949.32</v>
          </cell>
          <cell r="F9106" t="str">
            <v>SM 2024</v>
          </cell>
        </row>
        <row r="9107">
          <cell r="A9107" t="str">
            <v>BGD</v>
          </cell>
          <cell r="B9107">
            <v>2000</v>
          </cell>
          <cell r="C9107" t="str">
            <v>mfgdppckn</v>
          </cell>
          <cell r="D9107">
            <v>64951.049558891173</v>
          </cell>
          <cell r="F9107" t="str">
            <v>SM 2024</v>
          </cell>
        </row>
        <row r="9108">
          <cell r="A9108" t="str">
            <v>BGD</v>
          </cell>
          <cell r="B9108">
            <v>2000</v>
          </cell>
          <cell r="C9108" t="str">
            <v>mfnvagrtotlkn</v>
          </cell>
          <cell r="D9108">
            <v>1651039.0037907602</v>
          </cell>
          <cell r="F9108" t="str">
            <v>SM 2024</v>
          </cell>
        </row>
        <row r="9109">
          <cell r="A9109" t="str">
            <v>BGD</v>
          </cell>
          <cell r="B9109">
            <v>2000</v>
          </cell>
          <cell r="C9109" t="str">
            <v>mfnvindconskn</v>
          </cell>
          <cell r="D9109">
            <v>431526.45661987201</v>
          </cell>
          <cell r="F9109" t="str">
            <v>SM 2024</v>
          </cell>
        </row>
        <row r="9110">
          <cell r="A9110" t="str">
            <v>BGD</v>
          </cell>
          <cell r="B9110">
            <v>2000</v>
          </cell>
          <cell r="C9110" t="str">
            <v>mfnvindrestkn</v>
          </cell>
          <cell r="D9110">
            <v>1339703.8082174473</v>
          </cell>
          <cell r="F9110" t="str">
            <v>SM 2024</v>
          </cell>
        </row>
        <row r="9111">
          <cell r="A9111" t="str">
            <v>BGD</v>
          </cell>
          <cell r="B9111">
            <v>2000</v>
          </cell>
          <cell r="C9111" t="str">
            <v>mfnvindtotlkn</v>
          </cell>
          <cell r="D9111">
            <v>1771230.2648373193</v>
          </cell>
          <cell r="F9111" t="str">
            <v>SM 2024</v>
          </cell>
        </row>
        <row r="9112">
          <cell r="A9112" t="str">
            <v>BGD</v>
          </cell>
          <cell r="B9112">
            <v>2000</v>
          </cell>
          <cell r="C9112" t="str">
            <v>mfnvsrvfinakn</v>
          </cell>
          <cell r="D9112">
            <v>139822.50035083041</v>
          </cell>
          <cell r="F9112" t="str">
            <v>SM 2024</v>
          </cell>
        </row>
        <row r="9113">
          <cell r="A9113" t="str">
            <v>BGD</v>
          </cell>
          <cell r="B9113">
            <v>2000</v>
          </cell>
          <cell r="C9113" t="str">
            <v>mfnvsrvrestkn</v>
          </cell>
          <cell r="D9113">
            <v>3456065.7392050116</v>
          </cell>
          <cell r="F9113" t="str">
            <v>SM 2024</v>
          </cell>
        </row>
        <row r="9114">
          <cell r="A9114" t="str">
            <v>BGD</v>
          </cell>
          <cell r="B9114">
            <v>2000</v>
          </cell>
          <cell r="C9114" t="str">
            <v>mfnvsrvtotlkn</v>
          </cell>
          <cell r="D9114">
            <v>4315205.9934594193</v>
          </cell>
          <cell r="F9114" t="str">
            <v>SM 2024</v>
          </cell>
        </row>
        <row r="9115">
          <cell r="A9115" t="str">
            <v>BGD</v>
          </cell>
          <cell r="B9115">
            <v>2000</v>
          </cell>
          <cell r="C9115" t="str">
            <v>mfnvsrvtrnskn</v>
          </cell>
          <cell r="D9115">
            <v>719317.75390357734</v>
          </cell>
          <cell r="F9115" t="str">
            <v>SM 2024</v>
          </cell>
        </row>
        <row r="9116">
          <cell r="A9116" t="str">
            <v>BGD</v>
          </cell>
          <cell r="B9116">
            <v>2000</v>
          </cell>
          <cell r="C9116" t="str">
            <v>mfnygdpmktpkn</v>
          </cell>
          <cell r="D9116">
            <v>8291521.0845889291</v>
          </cell>
          <cell r="F9116" t="str">
            <v>SM 2024</v>
          </cell>
        </row>
        <row r="9117">
          <cell r="A9117" t="str">
            <v>BGD</v>
          </cell>
          <cell r="B9117">
            <v>2000</v>
          </cell>
          <cell r="C9117" t="str">
            <v>mfpop_totl</v>
          </cell>
          <cell r="D9117">
            <v>127657999.99999999</v>
          </cell>
          <cell r="F9117" t="str">
            <v>SM 2024</v>
          </cell>
        </row>
        <row r="9118">
          <cell r="A9118" t="str">
            <v>BGD</v>
          </cell>
          <cell r="B9118">
            <v>2001</v>
          </cell>
          <cell r="C9118" t="str">
            <v>mfbxfstremtcd</v>
          </cell>
          <cell r="D9118">
            <v>1882.08</v>
          </cell>
          <cell r="F9118" t="str">
            <v>SM 2024</v>
          </cell>
        </row>
        <row r="9119">
          <cell r="A9119" t="str">
            <v>BGD</v>
          </cell>
          <cell r="B9119">
            <v>2001</v>
          </cell>
          <cell r="C9119" t="str">
            <v>mfgdppckn</v>
          </cell>
          <cell r="D9119">
            <v>66973.421819362105</v>
          </cell>
          <cell r="F9119" t="str">
            <v>SM 2024</v>
          </cell>
        </row>
        <row r="9120">
          <cell r="A9120" t="str">
            <v>BGD</v>
          </cell>
          <cell r="B9120">
            <v>2001</v>
          </cell>
          <cell r="C9120" t="str">
            <v>mfnvagrtotlkn</v>
          </cell>
          <cell r="D9120">
            <v>1696573.4513237008</v>
          </cell>
          <cell r="F9120" t="str">
            <v>SM 2024</v>
          </cell>
        </row>
        <row r="9121">
          <cell r="A9121" t="str">
            <v>BGD</v>
          </cell>
          <cell r="B9121">
            <v>2001</v>
          </cell>
          <cell r="C9121" t="str">
            <v>mfnvindconskn</v>
          </cell>
          <cell r="D9121">
            <v>471871.35945070535</v>
          </cell>
          <cell r="F9121" t="str">
            <v>SM 2024</v>
          </cell>
        </row>
        <row r="9122">
          <cell r="A9122" t="str">
            <v>BGD</v>
          </cell>
          <cell r="B9122">
            <v>2001</v>
          </cell>
          <cell r="C9122" t="str">
            <v>mfnvindrestkn</v>
          </cell>
          <cell r="D9122">
            <v>1431522.4343463874</v>
          </cell>
          <cell r="F9122" t="str">
            <v>SM 2024</v>
          </cell>
        </row>
        <row r="9123">
          <cell r="A9123" t="str">
            <v>BGD</v>
          </cell>
          <cell r="B9123">
            <v>2001</v>
          </cell>
          <cell r="C9123" t="str">
            <v>mfnvindtotlkn</v>
          </cell>
          <cell r="D9123">
            <v>1903393.7937970927</v>
          </cell>
          <cell r="F9123" t="str">
            <v>SM 2024</v>
          </cell>
        </row>
        <row r="9124">
          <cell r="A9124" t="str">
            <v>BGD</v>
          </cell>
          <cell r="B9124">
            <v>2001</v>
          </cell>
          <cell r="C9124" t="str">
            <v>mfnvsrvfinakn</v>
          </cell>
          <cell r="D9124">
            <v>169469.67807564829</v>
          </cell>
          <cell r="F9124" t="str">
            <v>SM 2024</v>
          </cell>
        </row>
        <row r="9125">
          <cell r="A9125" t="str">
            <v>BGD</v>
          </cell>
          <cell r="B9125">
            <v>2001</v>
          </cell>
          <cell r="C9125" t="str">
            <v>mfnvsrvrestkn</v>
          </cell>
          <cell r="D9125">
            <v>3604072.0226910394</v>
          </cell>
          <cell r="F9125" t="str">
            <v>SM 2024</v>
          </cell>
        </row>
        <row r="9126">
          <cell r="A9126" t="str">
            <v>BGD</v>
          </cell>
          <cell r="B9126">
            <v>2001</v>
          </cell>
          <cell r="C9126" t="str">
            <v>mfnvsrvtotlkn</v>
          </cell>
          <cell r="D9126">
            <v>4546999.4090613741</v>
          </cell>
          <cell r="F9126" t="str">
            <v>SM 2024</v>
          </cell>
        </row>
        <row r="9127">
          <cell r="A9127" t="str">
            <v>BGD</v>
          </cell>
          <cell r="B9127">
            <v>2001</v>
          </cell>
          <cell r="C9127" t="str">
            <v>mfnvsrvtrnskn</v>
          </cell>
          <cell r="D9127">
            <v>773457.7082946864</v>
          </cell>
          <cell r="F9127" t="str">
            <v>SM 2024</v>
          </cell>
        </row>
        <row r="9128">
          <cell r="A9128" t="str">
            <v>BGD</v>
          </cell>
          <cell r="B9128">
            <v>2001</v>
          </cell>
          <cell r="C9128" t="str">
            <v>mfnygdpmktpkn</v>
          </cell>
          <cell r="D9128">
            <v>8712505.4710589964</v>
          </cell>
          <cell r="F9128" t="str">
            <v>SM 2024</v>
          </cell>
        </row>
        <row r="9129">
          <cell r="A9129" t="str">
            <v>BGD</v>
          </cell>
          <cell r="B9129">
            <v>2001</v>
          </cell>
          <cell r="C9129" t="str">
            <v>mfpop_totl</v>
          </cell>
          <cell r="D9129">
            <v>130088999.99999999</v>
          </cell>
          <cell r="F9129" t="str">
            <v>SM 2024</v>
          </cell>
        </row>
        <row r="9130">
          <cell r="A9130" t="str">
            <v>BGD</v>
          </cell>
          <cell r="B9130">
            <v>2002</v>
          </cell>
          <cell r="C9130" t="str">
            <v>mfbxfstremtcd</v>
          </cell>
          <cell r="D9130">
            <v>2501</v>
          </cell>
          <cell r="F9130" t="str">
            <v>SM 2024</v>
          </cell>
        </row>
        <row r="9131">
          <cell r="A9131" t="str">
            <v>BGD</v>
          </cell>
          <cell r="B9131">
            <v>2002</v>
          </cell>
          <cell r="C9131" t="str">
            <v>mfgdppckn</v>
          </cell>
          <cell r="D9131">
            <v>68286.557798644717</v>
          </cell>
          <cell r="F9131" t="str">
            <v>SM 2024</v>
          </cell>
        </row>
        <row r="9132">
          <cell r="A9132" t="str">
            <v>BGD</v>
          </cell>
          <cell r="B9132">
            <v>2002</v>
          </cell>
          <cell r="C9132" t="str">
            <v>mfnvagrtotlkn</v>
          </cell>
          <cell r="D9132">
            <v>1694556.2061821595</v>
          </cell>
          <cell r="F9132" t="str">
            <v>SM 2024</v>
          </cell>
        </row>
        <row r="9133">
          <cell r="A9133" t="str">
            <v>BGD</v>
          </cell>
          <cell r="B9133">
            <v>2002</v>
          </cell>
          <cell r="C9133" t="str">
            <v>mfnvindconskn</v>
          </cell>
          <cell r="D9133">
            <v>511103.38023481122</v>
          </cell>
          <cell r="F9133" t="str">
            <v>SM 2024</v>
          </cell>
        </row>
        <row r="9134">
          <cell r="A9134" t="str">
            <v>BGD</v>
          </cell>
          <cell r="B9134">
            <v>2002</v>
          </cell>
          <cell r="C9134" t="str">
            <v>mfnvindrestkn</v>
          </cell>
          <cell r="D9134">
            <v>1502744.5424273694</v>
          </cell>
          <cell r="F9134" t="str">
            <v>SM 2024</v>
          </cell>
        </row>
        <row r="9135">
          <cell r="A9135" t="str">
            <v>BGD</v>
          </cell>
          <cell r="B9135">
            <v>2002</v>
          </cell>
          <cell r="C9135" t="str">
            <v>mfnvindtotlkn</v>
          </cell>
          <cell r="D9135">
            <v>2013847.9226621806</v>
          </cell>
          <cell r="F9135" t="str">
            <v>SM 2024</v>
          </cell>
        </row>
        <row r="9136">
          <cell r="A9136" t="str">
            <v>BGD</v>
          </cell>
          <cell r="B9136">
            <v>2002</v>
          </cell>
          <cell r="C9136" t="str">
            <v>mfnvsrvfinakn</v>
          </cell>
          <cell r="D9136">
            <v>188351.18631686119</v>
          </cell>
          <cell r="F9136" t="str">
            <v>SM 2024</v>
          </cell>
        </row>
        <row r="9137">
          <cell r="A9137" t="str">
            <v>BGD</v>
          </cell>
          <cell r="B9137">
            <v>2002</v>
          </cell>
          <cell r="C9137" t="str">
            <v>mfnvsrvrestkn</v>
          </cell>
          <cell r="D9137">
            <v>3757417.7970917863</v>
          </cell>
          <cell r="F9137" t="str">
            <v>SM 2024</v>
          </cell>
        </row>
        <row r="9138">
          <cell r="A9138" t="str">
            <v>BGD</v>
          </cell>
          <cell r="B9138">
            <v>2002</v>
          </cell>
          <cell r="C9138" t="str">
            <v>mfnvsrvtotlkn</v>
          </cell>
          <cell r="D9138">
            <v>4766944.7309574327</v>
          </cell>
          <cell r="F9138" t="str">
            <v>SM 2024</v>
          </cell>
        </row>
        <row r="9139">
          <cell r="A9139" t="str">
            <v>BGD</v>
          </cell>
          <cell r="B9139">
            <v>2002</v>
          </cell>
          <cell r="C9139" t="str">
            <v>mfnvsrvtrnskn</v>
          </cell>
          <cell r="D9139">
            <v>821175.74754878518</v>
          </cell>
          <cell r="F9139" t="str">
            <v>SM 2024</v>
          </cell>
        </row>
        <row r="9140">
          <cell r="A9140" t="str">
            <v>BGD</v>
          </cell>
          <cell r="B9140">
            <v>2002</v>
          </cell>
          <cell r="C9140" t="str">
            <v>mfnygdpmktpkn</v>
          </cell>
          <cell r="D9140">
            <v>9046466.6040488556</v>
          </cell>
          <cell r="F9140" t="str">
            <v>SM 2024</v>
          </cell>
        </row>
        <row r="9141">
          <cell r="A9141" t="str">
            <v>BGD</v>
          </cell>
          <cell r="B9141">
            <v>2002</v>
          </cell>
          <cell r="C9141" t="str">
            <v>mfpop_totl</v>
          </cell>
          <cell r="D9141">
            <v>132478000.00000001</v>
          </cell>
          <cell r="F9141" t="str">
            <v>SM 2024</v>
          </cell>
        </row>
        <row r="9142">
          <cell r="A9142" t="str">
            <v>BGD</v>
          </cell>
          <cell r="B9142">
            <v>2003</v>
          </cell>
          <cell r="C9142" t="str">
            <v>mfbxfstremtcd</v>
          </cell>
          <cell r="D9142">
            <v>3062</v>
          </cell>
          <cell r="F9142" t="str">
            <v>SM 2024</v>
          </cell>
        </row>
        <row r="9143">
          <cell r="A9143" t="str">
            <v>BGD</v>
          </cell>
          <cell r="B9143">
            <v>2003</v>
          </cell>
          <cell r="C9143" t="str">
            <v>mfgdppckn</v>
          </cell>
          <cell r="D9143">
            <v>70295.195456634348</v>
          </cell>
          <cell r="F9143" t="str">
            <v>SM 2024</v>
          </cell>
        </row>
        <row r="9144">
          <cell r="A9144" t="str">
            <v>BGD</v>
          </cell>
          <cell r="B9144">
            <v>2003</v>
          </cell>
          <cell r="C9144" t="str">
            <v>mfnvagrtotlkn</v>
          </cell>
          <cell r="D9144">
            <v>1762064.8025914293</v>
          </cell>
          <cell r="F9144" t="str">
            <v>SM 2024</v>
          </cell>
        </row>
        <row r="9145">
          <cell r="A9145" t="str">
            <v>BGD</v>
          </cell>
          <cell r="B9145">
            <v>2003</v>
          </cell>
          <cell r="C9145" t="str">
            <v>mfnvindconskn</v>
          </cell>
          <cell r="D9145">
            <v>549325.60699336021</v>
          </cell>
          <cell r="F9145" t="str">
            <v>SM 2024</v>
          </cell>
        </row>
        <row r="9146">
          <cell r="A9146" t="str">
            <v>BGD</v>
          </cell>
          <cell r="B9146">
            <v>2003</v>
          </cell>
          <cell r="C9146" t="str">
            <v>mfnvindrestkn</v>
          </cell>
          <cell r="D9146">
            <v>1597067.7388888395</v>
          </cell>
          <cell r="F9146" t="str">
            <v>SM 2024</v>
          </cell>
        </row>
        <row r="9147">
          <cell r="A9147" t="str">
            <v>BGD</v>
          </cell>
          <cell r="B9147">
            <v>2003</v>
          </cell>
          <cell r="C9147" t="str">
            <v>mfnvindtotlkn</v>
          </cell>
          <cell r="D9147">
            <v>2146393.3458821997</v>
          </cell>
          <cell r="F9147" t="str">
            <v>SM 2024</v>
          </cell>
        </row>
        <row r="9148">
          <cell r="A9148" t="str">
            <v>BGD</v>
          </cell>
          <cell r="B9148">
            <v>2003</v>
          </cell>
          <cell r="C9148" t="str">
            <v>mfnvsrvfinakn</v>
          </cell>
          <cell r="D9148">
            <v>200609.28919786695</v>
          </cell>
          <cell r="F9148" t="str">
            <v>SM 2024</v>
          </cell>
        </row>
        <row r="9149">
          <cell r="A9149" t="str">
            <v>BGD</v>
          </cell>
          <cell r="B9149">
            <v>2003</v>
          </cell>
          <cell r="C9149" t="str">
            <v>mfnvsrvrestkn</v>
          </cell>
          <cell r="D9149">
            <v>3929811.426313363</v>
          </cell>
          <cell r="F9149" t="str">
            <v>SM 2024</v>
          </cell>
        </row>
        <row r="9150">
          <cell r="A9150" t="str">
            <v>BGD</v>
          </cell>
          <cell r="B9150">
            <v>2003</v>
          </cell>
          <cell r="C9150" t="str">
            <v>mfnvsrvtotlkn</v>
          </cell>
          <cell r="D9150">
            <v>5004283.8135164483</v>
          </cell>
          <cell r="F9150" t="str">
            <v>SM 2024</v>
          </cell>
        </row>
        <row r="9151">
          <cell r="A9151" t="str">
            <v>BGD</v>
          </cell>
          <cell r="B9151">
            <v>2003</v>
          </cell>
          <cell r="C9151" t="str">
            <v>mfnvsrvtrnskn</v>
          </cell>
          <cell r="D9151">
            <v>873863.0980052182</v>
          </cell>
          <cell r="F9151" t="str">
            <v>SM 2024</v>
          </cell>
        </row>
        <row r="9152">
          <cell r="A9152" t="str">
            <v>BGD</v>
          </cell>
          <cell r="B9152">
            <v>2003</v>
          </cell>
          <cell r="C9152" t="str">
            <v>mfnygdpmktpkn</v>
          </cell>
          <cell r="D9152">
            <v>9475229.9859906565</v>
          </cell>
          <cell r="F9152" t="str">
            <v>SM 2024</v>
          </cell>
        </row>
        <row r="9153">
          <cell r="A9153" t="str">
            <v>BGD</v>
          </cell>
          <cell r="B9153">
            <v>2003</v>
          </cell>
          <cell r="C9153" t="str">
            <v>mfpop_totl</v>
          </cell>
          <cell r="D9153">
            <v>134792000</v>
          </cell>
          <cell r="F9153" t="str">
            <v>SM 2024</v>
          </cell>
        </row>
        <row r="9154">
          <cell r="A9154" t="str">
            <v>BGD</v>
          </cell>
          <cell r="B9154">
            <v>2004</v>
          </cell>
          <cell r="C9154" t="str">
            <v>mfbxfstremtcd</v>
          </cell>
          <cell r="D9154">
            <v>3372</v>
          </cell>
          <cell r="F9154" t="str">
            <v>SM 2024</v>
          </cell>
        </row>
        <row r="9155">
          <cell r="A9155" t="str">
            <v>BGD</v>
          </cell>
          <cell r="B9155">
            <v>2004</v>
          </cell>
          <cell r="C9155" t="str">
            <v>mfgdppckn</v>
          </cell>
          <cell r="D9155">
            <v>72793.480935626401</v>
          </cell>
          <cell r="F9155" t="str">
            <v>SM 2024</v>
          </cell>
        </row>
        <row r="9156">
          <cell r="A9156" t="str">
            <v>BGD</v>
          </cell>
          <cell r="B9156">
            <v>2004</v>
          </cell>
          <cell r="C9156" t="str">
            <v>mfnvagrtotlkn</v>
          </cell>
          <cell r="D9156">
            <v>1849701.3351342469</v>
          </cell>
          <cell r="F9156" t="str">
            <v>SM 2024</v>
          </cell>
        </row>
        <row r="9157">
          <cell r="A9157" t="str">
            <v>BGD</v>
          </cell>
          <cell r="B9157">
            <v>2004</v>
          </cell>
          <cell r="C9157" t="str">
            <v>mfnvindconskn</v>
          </cell>
          <cell r="D9157">
            <v>593772.94448486622</v>
          </cell>
          <cell r="F9157" t="str">
            <v>SM 2024</v>
          </cell>
        </row>
        <row r="9158">
          <cell r="A9158" t="str">
            <v>BGD</v>
          </cell>
          <cell r="B9158">
            <v>2004</v>
          </cell>
          <cell r="C9158" t="str">
            <v>mfnvindrestkn</v>
          </cell>
          <cell r="D9158">
            <v>1703925.5015608184</v>
          </cell>
          <cell r="F9158" t="str">
            <v>SM 2024</v>
          </cell>
        </row>
        <row r="9159">
          <cell r="A9159" t="str">
            <v>BGD</v>
          </cell>
          <cell r="B9159">
            <v>2004</v>
          </cell>
          <cell r="C9159" t="str">
            <v>mfnvindtotlkn</v>
          </cell>
          <cell r="D9159">
            <v>2297698.4460456846</v>
          </cell>
          <cell r="F9159" t="str">
            <v>SM 2024</v>
          </cell>
        </row>
        <row r="9160">
          <cell r="A9160" t="str">
            <v>BGD</v>
          </cell>
          <cell r="B9160">
            <v>2004</v>
          </cell>
          <cell r="C9160" t="str">
            <v>mfnvsrvfinakn</v>
          </cell>
          <cell r="D9160">
            <v>218382.60121149648</v>
          </cell>
          <cell r="F9160" t="str">
            <v>SM 2024</v>
          </cell>
        </row>
        <row r="9161">
          <cell r="A9161" t="str">
            <v>BGD</v>
          </cell>
          <cell r="B9161">
            <v>2004</v>
          </cell>
          <cell r="C9161" t="str">
            <v>mfnvsrvrestkn</v>
          </cell>
          <cell r="D9161">
            <v>4104430.8196283933</v>
          </cell>
          <cell r="F9161" t="str">
            <v>SM 2024</v>
          </cell>
        </row>
        <row r="9162">
          <cell r="A9162" t="str">
            <v>BGD</v>
          </cell>
          <cell r="B9162">
            <v>2004</v>
          </cell>
          <cell r="C9162" t="str">
            <v>mfnvsrvtotlkn</v>
          </cell>
          <cell r="D9162">
            <v>5265162.1085459264</v>
          </cell>
          <cell r="F9162" t="str">
            <v>SM 2024</v>
          </cell>
        </row>
        <row r="9163">
          <cell r="A9163" t="str">
            <v>BGD</v>
          </cell>
          <cell r="B9163">
            <v>2004</v>
          </cell>
          <cell r="C9163" t="str">
            <v>mfnvsrvtrnskn</v>
          </cell>
          <cell r="D9163">
            <v>942348.68770603638</v>
          </cell>
          <cell r="F9163" t="str">
            <v>SM 2024</v>
          </cell>
        </row>
        <row r="9164">
          <cell r="A9164" t="str">
            <v>BGD</v>
          </cell>
          <cell r="B9164">
            <v>2004</v>
          </cell>
          <cell r="C9164" t="str">
            <v>mfnygdpmktpkn</v>
          </cell>
          <cell r="D9164">
            <v>9971687.7794477176</v>
          </cell>
          <cell r="F9164" t="str">
            <v>SM 2024</v>
          </cell>
        </row>
        <row r="9165">
          <cell r="A9165" t="str">
            <v>BGD</v>
          </cell>
          <cell r="B9165">
            <v>2004</v>
          </cell>
          <cell r="C9165" t="str">
            <v>mfpop_totl</v>
          </cell>
          <cell r="D9165">
            <v>136985999.99999997</v>
          </cell>
          <cell r="F9165" t="str">
            <v>SM 2024</v>
          </cell>
        </row>
        <row r="9166">
          <cell r="A9166" t="str">
            <v>BGD</v>
          </cell>
          <cell r="B9166">
            <v>2005</v>
          </cell>
          <cell r="C9166" t="str">
            <v>mfbxfstremtcd</v>
          </cell>
          <cell r="D9166">
            <v>3848</v>
          </cell>
          <cell r="F9166" t="str">
            <v>SM 2024</v>
          </cell>
        </row>
        <row r="9167">
          <cell r="A9167" t="str">
            <v>BGD</v>
          </cell>
          <cell r="B9167">
            <v>2005</v>
          </cell>
          <cell r="C9167" t="str">
            <v>mfgdppckn</v>
          </cell>
          <cell r="D9167">
            <v>76407.777858636138</v>
          </cell>
          <cell r="F9167" t="str">
            <v>SM 2024</v>
          </cell>
        </row>
        <row r="9168">
          <cell r="A9168" t="str">
            <v>BGD</v>
          </cell>
          <cell r="B9168">
            <v>2005</v>
          </cell>
          <cell r="C9168" t="str">
            <v>mfnvagrtotlkn</v>
          </cell>
          <cell r="D9168">
            <v>1930763.6634178706</v>
          </cell>
          <cell r="F9168" t="str">
            <v>SM 2024</v>
          </cell>
        </row>
        <row r="9169">
          <cell r="A9169" t="str">
            <v>BGD</v>
          </cell>
          <cell r="B9169">
            <v>2005</v>
          </cell>
          <cell r="C9169" t="str">
            <v>mfnvindconskn</v>
          </cell>
          <cell r="D9169">
            <v>642896.72948219953</v>
          </cell>
          <cell r="F9169" t="str">
            <v>SM 2024</v>
          </cell>
        </row>
        <row r="9170">
          <cell r="A9170" t="str">
            <v>BGD</v>
          </cell>
          <cell r="B9170">
            <v>2005</v>
          </cell>
          <cell r="C9170" t="str">
            <v>mfnvindrestkn</v>
          </cell>
          <cell r="D9170">
            <v>1837063.6809025682</v>
          </cell>
          <cell r="F9170" t="str">
            <v>SM 2024</v>
          </cell>
        </row>
        <row r="9171">
          <cell r="A9171" t="str">
            <v>BGD</v>
          </cell>
          <cell r="B9171">
            <v>2005</v>
          </cell>
          <cell r="C9171" t="str">
            <v>mfnvindtotlkn</v>
          </cell>
          <cell r="D9171">
            <v>2479960.4103847677</v>
          </cell>
          <cell r="F9171" t="str">
            <v>SM 2024</v>
          </cell>
        </row>
        <row r="9172">
          <cell r="A9172" t="str">
            <v>BGD</v>
          </cell>
          <cell r="B9172">
            <v>2005</v>
          </cell>
          <cell r="C9172" t="str">
            <v>mfnvsrvfinakn</v>
          </cell>
          <cell r="D9172">
            <v>260608.8604286921</v>
          </cell>
          <cell r="F9172" t="str">
            <v>SM 2024</v>
          </cell>
        </row>
        <row r="9173">
          <cell r="A9173" t="str">
            <v>BGD</v>
          </cell>
          <cell r="B9173">
            <v>2005</v>
          </cell>
          <cell r="C9173" t="str">
            <v>mfnvsrvrestkn</v>
          </cell>
          <cell r="D9173">
            <v>4325688.1708848048</v>
          </cell>
          <cell r="F9173" t="str">
            <v>SM 2024</v>
          </cell>
        </row>
        <row r="9174">
          <cell r="A9174" t="str">
            <v>BGD</v>
          </cell>
          <cell r="B9174">
            <v>2005</v>
          </cell>
          <cell r="C9174" t="str">
            <v>mfnvsrvtotlkn</v>
          </cell>
          <cell r="D9174">
            <v>5591370.0940826619</v>
          </cell>
          <cell r="F9174" t="str">
            <v>SM 2024</v>
          </cell>
        </row>
        <row r="9175">
          <cell r="A9175" t="str">
            <v>BGD</v>
          </cell>
          <cell r="B9175">
            <v>2005</v>
          </cell>
          <cell r="C9175" t="str">
            <v>mfnvsrvtrnskn</v>
          </cell>
          <cell r="D9175">
            <v>1005073.0627691644</v>
          </cell>
          <cell r="F9175" t="str">
            <v>SM 2024</v>
          </cell>
        </row>
        <row r="9176">
          <cell r="A9176" t="str">
            <v>BGD</v>
          </cell>
          <cell r="B9176">
            <v>2005</v>
          </cell>
          <cell r="C9176" t="str">
            <v>mfnygdpmktpkn</v>
          </cell>
          <cell r="D9176">
            <v>10623431.802353334</v>
          </cell>
          <cell r="F9176" t="str">
            <v>SM 2024</v>
          </cell>
        </row>
        <row r="9177">
          <cell r="A9177" t="str">
            <v>BGD</v>
          </cell>
          <cell r="B9177">
            <v>2005</v>
          </cell>
          <cell r="C9177" t="str">
            <v>mfpop_totl</v>
          </cell>
          <cell r="D9177">
            <v>139036000</v>
          </cell>
          <cell r="F9177" t="str">
            <v>SM 2024</v>
          </cell>
        </row>
        <row r="9178">
          <cell r="A9178" t="str">
            <v>BGD</v>
          </cell>
          <cell r="B9178">
            <v>2006</v>
          </cell>
          <cell r="C9178" t="str">
            <v>mfbxfstremtcd</v>
          </cell>
          <cell r="D9178">
            <v>4802</v>
          </cell>
          <cell r="F9178" t="str">
            <v>SM 2024</v>
          </cell>
        </row>
        <row r="9179">
          <cell r="A9179" t="str">
            <v>BGD</v>
          </cell>
          <cell r="B9179">
            <v>2006</v>
          </cell>
          <cell r="C9179" t="str">
            <v>mfgdppckn</v>
          </cell>
          <cell r="D9179">
            <v>80415.361638355738</v>
          </cell>
          <cell r="F9179" t="str">
            <v>SM 2024</v>
          </cell>
        </row>
        <row r="9180">
          <cell r="A9180" t="str">
            <v>BGD</v>
          </cell>
          <cell r="B9180">
            <v>2006</v>
          </cell>
          <cell r="C9180" t="str">
            <v>mfnvagrtotlkn</v>
          </cell>
          <cell r="D9180">
            <v>2037973.5205495418</v>
          </cell>
          <cell r="F9180" t="str">
            <v>SM 2024</v>
          </cell>
        </row>
        <row r="9181">
          <cell r="A9181" t="str">
            <v>BGD</v>
          </cell>
          <cell r="B9181">
            <v>2006</v>
          </cell>
          <cell r="C9181" t="str">
            <v>mfnvindconskn</v>
          </cell>
          <cell r="D9181">
            <v>698766.02816550992</v>
          </cell>
          <cell r="F9181" t="str">
            <v>SM 2024</v>
          </cell>
        </row>
        <row r="9182">
          <cell r="A9182" t="str">
            <v>BGD</v>
          </cell>
          <cell r="B9182">
            <v>2006</v>
          </cell>
          <cell r="C9182" t="str">
            <v>mfnvindrestkn</v>
          </cell>
          <cell r="D9182">
            <v>2024178.4221022315</v>
          </cell>
          <cell r="F9182" t="str">
            <v>SM 2024</v>
          </cell>
        </row>
        <row r="9183">
          <cell r="A9183" t="str">
            <v>BGD</v>
          </cell>
          <cell r="B9183">
            <v>2006</v>
          </cell>
          <cell r="C9183" t="str">
            <v>mfnvindtotlkn</v>
          </cell>
          <cell r="D9183">
            <v>2722944.4502677415</v>
          </cell>
          <cell r="F9183" t="str">
            <v>SM 2024</v>
          </cell>
        </row>
        <row r="9184">
          <cell r="A9184" t="str">
            <v>BGD</v>
          </cell>
          <cell r="B9184">
            <v>2006</v>
          </cell>
          <cell r="C9184" t="str">
            <v>mfnvsrvfinakn</v>
          </cell>
          <cell r="D9184">
            <v>333065.6086300108</v>
          </cell>
          <cell r="F9184" t="str">
            <v>SM 2024</v>
          </cell>
        </row>
        <row r="9185">
          <cell r="A9185" t="str">
            <v>BGD</v>
          </cell>
          <cell r="B9185">
            <v>2006</v>
          </cell>
          <cell r="C9185" t="str">
            <v>mfnvsrvrestkn</v>
          </cell>
          <cell r="D9185">
            <v>4538066.0676160827</v>
          </cell>
          <cell r="F9185" t="str">
            <v>SM 2024</v>
          </cell>
        </row>
        <row r="9186">
          <cell r="A9186" t="str">
            <v>BGD</v>
          </cell>
          <cell r="B9186">
            <v>2006</v>
          </cell>
          <cell r="C9186" t="str">
            <v>mfnvsrvtotlkn</v>
          </cell>
          <cell r="D9186">
            <v>5960518.6878577694</v>
          </cell>
          <cell r="F9186" t="str">
            <v>SM 2024</v>
          </cell>
        </row>
        <row r="9187">
          <cell r="A9187" t="str">
            <v>BGD</v>
          </cell>
          <cell r="B9187">
            <v>2006</v>
          </cell>
          <cell r="C9187" t="str">
            <v>mfnvsrvtrnskn</v>
          </cell>
          <cell r="D9187">
            <v>1089387.0116116754</v>
          </cell>
          <cell r="F9187" t="str">
            <v>SM 2024</v>
          </cell>
        </row>
        <row r="9188">
          <cell r="A9188" t="str">
            <v>BGD</v>
          </cell>
          <cell r="B9188">
            <v>2006</v>
          </cell>
          <cell r="C9188" t="str">
            <v>mfnygdpmktpkn</v>
          </cell>
          <cell r="D9188">
            <v>11332213.177438729</v>
          </cell>
          <cell r="F9188" t="str">
            <v>SM 2024</v>
          </cell>
        </row>
        <row r="9189">
          <cell r="A9189" t="str">
            <v>BGD</v>
          </cell>
          <cell r="B9189">
            <v>2006</v>
          </cell>
          <cell r="C9189" t="str">
            <v>mfpop_totl</v>
          </cell>
          <cell r="D9189">
            <v>140921000</v>
          </cell>
          <cell r="F9189" t="str">
            <v>SM 2024</v>
          </cell>
        </row>
        <row r="9190">
          <cell r="A9190" t="str">
            <v>BGD</v>
          </cell>
          <cell r="B9190">
            <v>2007</v>
          </cell>
          <cell r="C9190" t="str">
            <v>mfbxfstremtcd</v>
          </cell>
          <cell r="D9190">
            <v>5979</v>
          </cell>
          <cell r="F9190" t="str">
            <v>SM 2024</v>
          </cell>
        </row>
        <row r="9191">
          <cell r="A9191" t="str">
            <v>BGD</v>
          </cell>
          <cell r="B9191">
            <v>2007</v>
          </cell>
          <cell r="C9191" t="str">
            <v>mfgdppckn</v>
          </cell>
          <cell r="D9191">
            <v>85042.148322798734</v>
          </cell>
          <cell r="F9191" t="str">
            <v>SM 2024</v>
          </cell>
        </row>
        <row r="9192">
          <cell r="A9192" t="str">
            <v>BGD</v>
          </cell>
          <cell r="B9192">
            <v>2007</v>
          </cell>
          <cell r="C9192" t="str">
            <v>mfnvagrtotlkn</v>
          </cell>
          <cell r="D9192">
            <v>2174364.8225567653</v>
          </cell>
          <cell r="F9192" t="str">
            <v>SM 2024</v>
          </cell>
        </row>
        <row r="9193">
          <cell r="A9193" t="str">
            <v>BGD</v>
          </cell>
          <cell r="B9193">
            <v>2007</v>
          </cell>
          <cell r="C9193" t="str">
            <v>mfnvindconskn</v>
          </cell>
          <cell r="D9193">
            <v>745886.58343318617</v>
          </cell>
          <cell r="F9193" t="str">
            <v>SM 2024</v>
          </cell>
        </row>
        <row r="9194">
          <cell r="A9194" t="str">
            <v>BGD</v>
          </cell>
          <cell r="B9194">
            <v>2007</v>
          </cell>
          <cell r="C9194" t="str">
            <v>mfnvindrestkn</v>
          </cell>
          <cell r="D9194">
            <v>2222880.6147578391</v>
          </cell>
          <cell r="F9194" t="str">
            <v>SM 2024</v>
          </cell>
        </row>
        <row r="9195">
          <cell r="A9195" t="str">
            <v>BGD</v>
          </cell>
          <cell r="B9195">
            <v>2007</v>
          </cell>
          <cell r="C9195" t="str">
            <v>mfnvindtotlkn</v>
          </cell>
          <cell r="D9195">
            <v>2968767.1981910253</v>
          </cell>
          <cell r="F9195" t="str">
            <v>SM 2024</v>
          </cell>
        </row>
        <row r="9196">
          <cell r="A9196" t="str">
            <v>BGD</v>
          </cell>
          <cell r="B9196">
            <v>2007</v>
          </cell>
          <cell r="C9196" t="str">
            <v>mfnvsrvfinakn</v>
          </cell>
          <cell r="D9196">
            <v>354693.1295083352</v>
          </cell>
          <cell r="F9196" t="str">
            <v>SM 2024</v>
          </cell>
        </row>
        <row r="9197">
          <cell r="A9197" t="str">
            <v>BGD</v>
          </cell>
          <cell r="B9197">
            <v>2007</v>
          </cell>
          <cell r="C9197" t="str">
            <v>mfnvsrvrestkn</v>
          </cell>
          <cell r="D9197">
            <v>4800347.8785734745</v>
          </cell>
          <cell r="F9197" t="str">
            <v>SM 2024</v>
          </cell>
        </row>
        <row r="9198">
          <cell r="A9198" t="str">
            <v>BGD</v>
          </cell>
          <cell r="B9198">
            <v>2007</v>
          </cell>
          <cell r="C9198" t="str">
            <v>mfnvsrvtotlkn</v>
          </cell>
          <cell r="D9198">
            <v>6347065.127147709</v>
          </cell>
          <cell r="F9198" t="str">
            <v>SM 2024</v>
          </cell>
        </row>
        <row r="9199">
          <cell r="A9199" t="str">
            <v>BGD</v>
          </cell>
          <cell r="B9199">
            <v>2007</v>
          </cell>
          <cell r="C9199" t="str">
            <v>mfnvsrvtrnskn</v>
          </cell>
          <cell r="D9199">
            <v>1192024.1190658992</v>
          </cell>
          <cell r="F9199" t="str">
            <v>SM 2024</v>
          </cell>
        </row>
        <row r="9200">
          <cell r="A9200" t="str">
            <v>BGD</v>
          </cell>
          <cell r="B9200">
            <v>2007</v>
          </cell>
          <cell r="C9200" t="str">
            <v>mfnygdpmktpkn</v>
          </cell>
          <cell r="D9200">
            <v>12132112.879730467</v>
          </cell>
          <cell r="F9200" t="str">
            <v>SM 2024</v>
          </cell>
        </row>
        <row r="9201">
          <cell r="A9201" t="str">
            <v>BGD</v>
          </cell>
          <cell r="B9201">
            <v>2007</v>
          </cell>
          <cell r="C9201" t="str">
            <v>mfpop_totl</v>
          </cell>
          <cell r="D9201">
            <v>142660000</v>
          </cell>
          <cell r="F9201" t="str">
            <v>SM 2024</v>
          </cell>
        </row>
        <row r="9202">
          <cell r="A9202" t="str">
            <v>BGD</v>
          </cell>
          <cell r="B9202">
            <v>2008</v>
          </cell>
          <cell r="C9202" t="str">
            <v>mfbxfstremtcd</v>
          </cell>
          <cell r="D9202">
            <v>7915</v>
          </cell>
          <cell r="F9202" t="str">
            <v>SM 2024</v>
          </cell>
        </row>
        <row r="9203">
          <cell r="A9203" t="str">
            <v>BGD</v>
          </cell>
          <cell r="B9203">
            <v>2008</v>
          </cell>
          <cell r="C9203" t="str">
            <v>mfgdppckn</v>
          </cell>
          <cell r="D9203">
            <v>89129.287072224572</v>
          </cell>
          <cell r="F9203" t="str">
            <v>SM 2024</v>
          </cell>
        </row>
        <row r="9204">
          <cell r="A9204" t="str">
            <v>BGD</v>
          </cell>
          <cell r="B9204">
            <v>2008</v>
          </cell>
          <cell r="C9204" t="str">
            <v>mfnvagrtotlkn</v>
          </cell>
          <cell r="D9204">
            <v>2272077.905051453</v>
          </cell>
          <cell r="F9204" t="str">
            <v>SM 2024</v>
          </cell>
        </row>
        <row r="9205">
          <cell r="A9205" t="str">
            <v>BGD</v>
          </cell>
          <cell r="B9205">
            <v>2008</v>
          </cell>
          <cell r="C9205" t="str">
            <v>mfnvindconskn</v>
          </cell>
          <cell r="D9205">
            <v>790548.70110557042</v>
          </cell>
          <cell r="F9205" t="str">
            <v>SM 2024</v>
          </cell>
        </row>
        <row r="9206">
          <cell r="A9206" t="str">
            <v>BGD</v>
          </cell>
          <cell r="B9206">
            <v>2008</v>
          </cell>
          <cell r="C9206" t="str">
            <v>mfnvindrestkn</v>
          </cell>
          <cell r="D9206">
            <v>2387027.7485166406</v>
          </cell>
          <cell r="F9206" t="str">
            <v>SM 2024</v>
          </cell>
        </row>
        <row r="9207">
          <cell r="A9207" t="str">
            <v>BGD</v>
          </cell>
          <cell r="B9207">
            <v>2008</v>
          </cell>
          <cell r="C9207" t="str">
            <v>mfnvindtotlkn</v>
          </cell>
          <cell r="D9207">
            <v>3177576.449622211</v>
          </cell>
          <cell r="F9207" t="str">
            <v>SM 2024</v>
          </cell>
        </row>
        <row r="9208">
          <cell r="A9208" t="str">
            <v>BGD</v>
          </cell>
          <cell r="B9208">
            <v>2008</v>
          </cell>
          <cell r="C9208" t="str">
            <v>mfnvsrvfinakn</v>
          </cell>
          <cell r="D9208">
            <v>368602.04769215174</v>
          </cell>
          <cell r="F9208" t="str">
            <v>SM 2024</v>
          </cell>
        </row>
        <row r="9209">
          <cell r="A9209" t="str">
            <v>BGD</v>
          </cell>
          <cell r="B9209">
            <v>2008</v>
          </cell>
          <cell r="C9209" t="str">
            <v>mfnvsrvrestkn</v>
          </cell>
          <cell r="D9209">
            <v>5053764.9741531936</v>
          </cell>
          <cell r="F9209" t="str">
            <v>SM 2024</v>
          </cell>
        </row>
        <row r="9210">
          <cell r="A9210" t="str">
            <v>BGD</v>
          </cell>
          <cell r="B9210">
            <v>2008</v>
          </cell>
          <cell r="C9210" t="str">
            <v>mfnvsrvtotlkn</v>
          </cell>
          <cell r="D9210">
            <v>6712807.3115040725</v>
          </cell>
          <cell r="F9210" t="str">
            <v>SM 2024</v>
          </cell>
        </row>
        <row r="9211">
          <cell r="A9211" t="str">
            <v>BGD</v>
          </cell>
          <cell r="B9211">
            <v>2008</v>
          </cell>
          <cell r="C9211" t="str">
            <v>mfnvsrvtrnskn</v>
          </cell>
          <cell r="D9211">
            <v>1290440.2896587271</v>
          </cell>
          <cell r="F9211" t="str">
            <v>SM 2024</v>
          </cell>
        </row>
        <row r="9212">
          <cell r="A9212" t="str">
            <v>BGD</v>
          </cell>
          <cell r="B9212">
            <v>2008</v>
          </cell>
          <cell r="C9212" t="str">
            <v>mfnygdpmktpkn</v>
          </cell>
          <cell r="D9212">
            <v>12861712.641670294</v>
          </cell>
          <cell r="F9212" t="str">
            <v>SM 2024</v>
          </cell>
        </row>
        <row r="9213">
          <cell r="A9213" t="str">
            <v>BGD</v>
          </cell>
          <cell r="B9213">
            <v>2008</v>
          </cell>
          <cell r="C9213" t="str">
            <v>mfpop_totl</v>
          </cell>
          <cell r="D9213">
            <v>144304000</v>
          </cell>
          <cell r="F9213" t="str">
            <v>SM 2024</v>
          </cell>
        </row>
        <row r="9214">
          <cell r="A9214" t="str">
            <v>BGD</v>
          </cell>
          <cell r="B9214">
            <v>2009</v>
          </cell>
          <cell r="C9214" t="str">
            <v>mfbxfstremtcd</v>
          </cell>
          <cell r="D9214">
            <v>9689</v>
          </cell>
          <cell r="F9214" t="str">
            <v>SM 2024</v>
          </cell>
        </row>
        <row r="9215">
          <cell r="A9215" t="str">
            <v>BGD</v>
          </cell>
          <cell r="B9215">
            <v>2009</v>
          </cell>
          <cell r="C9215" t="str">
            <v>mfgdppckn</v>
          </cell>
          <cell r="D9215">
            <v>92585.931780784973</v>
          </cell>
          <cell r="F9215" t="str">
            <v>SM 2024</v>
          </cell>
        </row>
        <row r="9216">
          <cell r="A9216" t="str">
            <v>BGD</v>
          </cell>
          <cell r="B9216">
            <v>2009</v>
          </cell>
          <cell r="C9216" t="str">
            <v>mfnvagrtotlkn</v>
          </cell>
          <cell r="D9216">
            <v>2350830.1350540253</v>
          </cell>
          <cell r="F9216" t="str">
            <v>SM 2024</v>
          </cell>
        </row>
        <row r="9217">
          <cell r="A9217" t="str">
            <v>BGD</v>
          </cell>
          <cell r="B9217">
            <v>2009</v>
          </cell>
          <cell r="C9217" t="str">
            <v>mfnvindconskn</v>
          </cell>
          <cell r="D9217">
            <v>842547.01212399453</v>
          </cell>
          <cell r="F9217" t="str">
            <v>SM 2024</v>
          </cell>
        </row>
        <row r="9218">
          <cell r="A9218" t="str">
            <v>BGD</v>
          </cell>
          <cell r="B9218">
            <v>2009</v>
          </cell>
          <cell r="C9218" t="str">
            <v>mfnvindrestkn</v>
          </cell>
          <cell r="D9218">
            <v>2554700.8028709926</v>
          </cell>
          <cell r="F9218" t="str">
            <v>SM 2024</v>
          </cell>
        </row>
        <row r="9219">
          <cell r="A9219" t="str">
            <v>BGD</v>
          </cell>
          <cell r="B9219">
            <v>2009</v>
          </cell>
          <cell r="C9219" t="str">
            <v>mfnvindtotlkn</v>
          </cell>
          <cell r="D9219">
            <v>3397247.8149949871</v>
          </cell>
          <cell r="F9219" t="str">
            <v>SM 2024</v>
          </cell>
        </row>
        <row r="9220">
          <cell r="A9220" t="str">
            <v>BGD</v>
          </cell>
          <cell r="B9220">
            <v>2009</v>
          </cell>
          <cell r="C9220" t="str">
            <v>mfnvsrvfinakn</v>
          </cell>
          <cell r="D9220">
            <v>368499.70991025446</v>
          </cell>
          <cell r="F9220" t="str">
            <v>SM 2024</v>
          </cell>
        </row>
        <row r="9221">
          <cell r="A9221" t="str">
            <v>BGD</v>
          </cell>
          <cell r="B9221">
            <v>2009</v>
          </cell>
          <cell r="C9221" t="str">
            <v>mfnvsrvrestkn</v>
          </cell>
          <cell r="D9221">
            <v>5290967.5247734971</v>
          </cell>
          <cell r="F9221" t="str">
            <v>SM 2024</v>
          </cell>
        </row>
        <row r="9222">
          <cell r="A9222" t="str">
            <v>BGD</v>
          </cell>
          <cell r="B9222">
            <v>2009</v>
          </cell>
          <cell r="C9222" t="str">
            <v>mfnvsrvtotlkn</v>
          </cell>
          <cell r="D9222">
            <v>7053815.9255278539</v>
          </cell>
          <cell r="F9222" t="str">
            <v>SM 2024</v>
          </cell>
        </row>
        <row r="9223">
          <cell r="A9223" t="str">
            <v>BGD</v>
          </cell>
          <cell r="B9223">
            <v>2009</v>
          </cell>
          <cell r="C9223" t="str">
            <v>mfnvsrvtrnskn</v>
          </cell>
          <cell r="D9223">
            <v>1394348.6908441028</v>
          </cell>
          <cell r="F9223" t="str">
            <v>SM 2024</v>
          </cell>
        </row>
        <row r="9224">
          <cell r="A9224" t="str">
            <v>BGD</v>
          </cell>
          <cell r="B9224">
            <v>2009</v>
          </cell>
          <cell r="C9224" t="str">
            <v>mfnygdpmktpkn</v>
          </cell>
          <cell r="D9224">
            <v>13510602.095111048</v>
          </cell>
          <cell r="F9224" t="str">
            <v>SM 2024</v>
          </cell>
        </row>
        <row r="9225">
          <cell r="A9225" t="str">
            <v>BGD</v>
          </cell>
          <cell r="B9225">
            <v>2009</v>
          </cell>
          <cell r="C9225" t="str">
            <v>mfpop_totl</v>
          </cell>
          <cell r="D9225">
            <v>145925000</v>
          </cell>
          <cell r="F9225" t="str">
            <v>SM 2024</v>
          </cell>
        </row>
        <row r="9226">
          <cell r="A9226" t="str">
            <v>BGD</v>
          </cell>
          <cell r="B9226">
            <v>2010</v>
          </cell>
          <cell r="C9226" t="str">
            <v>mfbxfstremtcd</v>
          </cell>
          <cell r="D9226">
            <v>10987</v>
          </cell>
          <cell r="F9226" t="str">
            <v>SM 2024</v>
          </cell>
        </row>
        <row r="9227">
          <cell r="A9227" t="str">
            <v>BGD</v>
          </cell>
          <cell r="B9227">
            <v>2010</v>
          </cell>
          <cell r="C9227" t="str">
            <v>mfgdppckn</v>
          </cell>
          <cell r="D9227">
            <v>96651.777942560075</v>
          </cell>
          <cell r="F9227" t="str">
            <v>SM 2024</v>
          </cell>
        </row>
        <row r="9228">
          <cell r="A9228" t="str">
            <v>BGD</v>
          </cell>
          <cell r="B9228">
            <v>2010</v>
          </cell>
          <cell r="C9228" t="str">
            <v>mfnvagrtotlkn</v>
          </cell>
          <cell r="D9228">
            <v>2495451.9620685186</v>
          </cell>
          <cell r="F9228" t="str">
            <v>SM 2024</v>
          </cell>
        </row>
        <row r="9229">
          <cell r="A9229" t="str">
            <v>BGD</v>
          </cell>
          <cell r="B9229">
            <v>2010</v>
          </cell>
          <cell r="C9229" t="str">
            <v>mfnvindconskn</v>
          </cell>
          <cell r="D9229">
            <v>903289.93139576074</v>
          </cell>
          <cell r="F9229" t="str">
            <v>SM 2024</v>
          </cell>
        </row>
        <row r="9230">
          <cell r="A9230" t="str">
            <v>BGD</v>
          </cell>
          <cell r="B9230">
            <v>2010</v>
          </cell>
          <cell r="C9230" t="str">
            <v>mfnvindrestkn</v>
          </cell>
          <cell r="D9230">
            <v>2732859.2109647235</v>
          </cell>
          <cell r="F9230" t="str">
            <v>SM 2024</v>
          </cell>
        </row>
        <row r="9231">
          <cell r="A9231" t="str">
            <v>BGD</v>
          </cell>
          <cell r="B9231">
            <v>2010</v>
          </cell>
          <cell r="C9231" t="str">
            <v>mfnvindtotlkn</v>
          </cell>
          <cell r="D9231">
            <v>3636149.1423604842</v>
          </cell>
          <cell r="F9231" t="str">
            <v>SM 2024</v>
          </cell>
        </row>
        <row r="9232">
          <cell r="A9232" t="str">
            <v>BGD</v>
          </cell>
          <cell r="B9232">
            <v>2010</v>
          </cell>
          <cell r="C9232" t="str">
            <v>mfnvsrvfinakn</v>
          </cell>
          <cell r="D9232">
            <v>391515.75892287679</v>
          </cell>
          <cell r="F9232" t="str">
            <v>SM 2024</v>
          </cell>
        </row>
        <row r="9233">
          <cell r="A9233" t="str">
            <v>BGD</v>
          </cell>
          <cell r="B9233">
            <v>2010</v>
          </cell>
          <cell r="C9233" t="str">
            <v>mfnvsrvrestkn</v>
          </cell>
          <cell r="D9233">
            <v>5552693.5758154429</v>
          </cell>
          <cell r="F9233" t="str">
            <v>SM 2024</v>
          </cell>
        </row>
        <row r="9234">
          <cell r="A9234" t="str">
            <v>BGD</v>
          </cell>
          <cell r="B9234">
            <v>2010</v>
          </cell>
          <cell r="C9234" t="str">
            <v>mfnvsrvtotlkn</v>
          </cell>
          <cell r="D9234">
            <v>7443809.369992692</v>
          </cell>
          <cell r="F9234" t="str">
            <v>SM 2024</v>
          </cell>
        </row>
        <row r="9235">
          <cell r="A9235" t="str">
            <v>BGD</v>
          </cell>
          <cell r="B9235">
            <v>2010</v>
          </cell>
          <cell r="C9235" t="str">
            <v>mfnvsrvtrnskn</v>
          </cell>
          <cell r="D9235">
            <v>1499600.0352543718</v>
          </cell>
          <cell r="F9235" t="str">
            <v>SM 2024</v>
          </cell>
        </row>
        <row r="9236">
          <cell r="A9236" t="str">
            <v>BGD</v>
          </cell>
          <cell r="B9236">
            <v>2010</v>
          </cell>
          <cell r="C9236" t="str">
            <v>mfnygdpmktpkn</v>
          </cell>
          <cell r="D9236">
            <v>14263386.129873302</v>
          </cell>
          <cell r="F9236" t="str">
            <v>SM 2024</v>
          </cell>
        </row>
        <row r="9237">
          <cell r="A9237" t="str">
            <v>BGD</v>
          </cell>
          <cell r="B9237">
            <v>2010</v>
          </cell>
          <cell r="C9237" t="str">
            <v>mfpop_totl</v>
          </cell>
          <cell r="D9237">
            <v>147575000</v>
          </cell>
          <cell r="F9237" t="str">
            <v>SM 2024</v>
          </cell>
        </row>
        <row r="9238">
          <cell r="A9238" t="str">
            <v>BGD</v>
          </cell>
          <cell r="B9238">
            <v>2011</v>
          </cell>
          <cell r="C9238" t="str">
            <v>mfbxfstremtcd</v>
          </cell>
          <cell r="D9238">
            <v>11650</v>
          </cell>
          <cell r="F9238" t="str">
            <v>SM 2024</v>
          </cell>
        </row>
        <row r="9239">
          <cell r="A9239" t="str">
            <v>BGD</v>
          </cell>
          <cell r="B9239">
            <v>2011</v>
          </cell>
          <cell r="C9239" t="str">
            <v>mfgdppckn</v>
          </cell>
          <cell r="D9239">
            <v>101729.22205397335</v>
          </cell>
          <cell r="F9239" t="str">
            <v>SM 2024</v>
          </cell>
        </row>
        <row r="9240">
          <cell r="A9240" t="str">
            <v>BGD</v>
          </cell>
          <cell r="B9240">
            <v>2011</v>
          </cell>
          <cell r="C9240" t="str">
            <v>mfnvagrtotlkn</v>
          </cell>
          <cell r="D9240">
            <v>2606658.5095816543</v>
          </cell>
          <cell r="F9240" t="str">
            <v>SM 2024</v>
          </cell>
        </row>
        <row r="9241">
          <cell r="A9241" t="str">
            <v>BGD</v>
          </cell>
          <cell r="B9241">
            <v>2011</v>
          </cell>
          <cell r="C9241" t="str">
            <v>mfnvindconskn</v>
          </cell>
          <cell r="D9241">
            <v>966097.73774830904</v>
          </cell>
          <cell r="F9241" t="str">
            <v>SM 2024</v>
          </cell>
        </row>
        <row r="9242">
          <cell r="A9242" t="str">
            <v>BGD</v>
          </cell>
          <cell r="B9242">
            <v>2011</v>
          </cell>
          <cell r="C9242" t="str">
            <v>mfnvindrestkn</v>
          </cell>
          <cell r="D9242">
            <v>2998000.4291349361</v>
          </cell>
          <cell r="F9242" t="str">
            <v>SM 2024</v>
          </cell>
        </row>
        <row r="9243">
          <cell r="A9243" t="str">
            <v>BGD</v>
          </cell>
          <cell r="B9243">
            <v>2011</v>
          </cell>
          <cell r="C9243" t="str">
            <v>mfnvindtotlkn</v>
          </cell>
          <cell r="D9243">
            <v>3964098.1668832451</v>
          </cell>
          <cell r="F9243" t="str">
            <v>SM 2024</v>
          </cell>
        </row>
        <row r="9244">
          <cell r="A9244" t="str">
            <v>BGD</v>
          </cell>
          <cell r="B9244">
            <v>2011</v>
          </cell>
          <cell r="C9244" t="str">
            <v>mfnvsrvfinakn</v>
          </cell>
          <cell r="D9244">
            <v>432404.62829480664</v>
          </cell>
          <cell r="F9244" t="str">
            <v>SM 2024</v>
          </cell>
        </row>
        <row r="9245">
          <cell r="A9245" t="str">
            <v>BGD</v>
          </cell>
          <cell r="B9245">
            <v>2011</v>
          </cell>
          <cell r="C9245" t="str">
            <v>mfnvsrvrestkn</v>
          </cell>
          <cell r="D9245">
            <v>5847959.9085854245</v>
          </cell>
          <cell r="F9245" t="str">
            <v>SM 2024</v>
          </cell>
        </row>
        <row r="9246">
          <cell r="A9246" t="str">
            <v>BGD</v>
          </cell>
          <cell r="B9246">
            <v>2011</v>
          </cell>
          <cell r="C9246" t="str">
            <v>mfnvsrvtotlkn</v>
          </cell>
          <cell r="D9246">
            <v>7906563.1494958289</v>
          </cell>
          <cell r="F9246" t="str">
            <v>SM 2024</v>
          </cell>
        </row>
        <row r="9247">
          <cell r="A9247" t="str">
            <v>BGD</v>
          </cell>
          <cell r="B9247">
            <v>2011</v>
          </cell>
          <cell r="C9247" t="str">
            <v>mfnvsrvtrnskn</v>
          </cell>
          <cell r="D9247">
            <v>1626198.6126155974</v>
          </cell>
          <cell r="F9247" t="str">
            <v>SM 2024</v>
          </cell>
        </row>
        <row r="9248">
          <cell r="A9248" t="str">
            <v>BGD</v>
          </cell>
          <cell r="B9248">
            <v>2011</v>
          </cell>
          <cell r="C9248" t="str">
            <v>mfnygdpmktpkn</v>
          </cell>
          <cell r="D9248">
            <v>15185426.163662763</v>
          </cell>
          <cell r="F9248" t="str">
            <v>SM 2024</v>
          </cell>
        </row>
        <row r="9249">
          <cell r="A9249" t="str">
            <v>BGD</v>
          </cell>
          <cell r="B9249">
            <v>2011</v>
          </cell>
          <cell r="C9249" t="str">
            <v>mfpop_totl</v>
          </cell>
          <cell r="D9249">
            <v>149273000</v>
          </cell>
          <cell r="F9249" t="str">
            <v>SM 2024</v>
          </cell>
        </row>
        <row r="9250">
          <cell r="A9250" t="str">
            <v>BGD</v>
          </cell>
          <cell r="B9250">
            <v>2012</v>
          </cell>
          <cell r="C9250" t="str">
            <v>mfbxfstremtcd</v>
          </cell>
          <cell r="D9250">
            <v>12734</v>
          </cell>
          <cell r="F9250" t="str">
            <v>SM 2024</v>
          </cell>
        </row>
        <row r="9251">
          <cell r="A9251" t="str">
            <v>BGD</v>
          </cell>
          <cell r="B9251">
            <v>2012</v>
          </cell>
          <cell r="C9251" t="str">
            <v>mfgdppckn</v>
          </cell>
          <cell r="D9251">
            <v>107119.8089632223</v>
          </cell>
          <cell r="F9251" t="str">
            <v>SM 2024</v>
          </cell>
        </row>
        <row r="9252">
          <cell r="A9252" t="str">
            <v>BGD</v>
          </cell>
          <cell r="B9252">
            <v>2012</v>
          </cell>
          <cell r="C9252" t="str">
            <v>mfnvagrtotlkn</v>
          </cell>
          <cell r="D9252">
            <v>2685230.2717251824</v>
          </cell>
          <cell r="F9252" t="str">
            <v>SM 2024</v>
          </cell>
        </row>
        <row r="9253">
          <cell r="A9253" t="str">
            <v>BGD</v>
          </cell>
          <cell r="B9253">
            <v>2012</v>
          </cell>
          <cell r="C9253" t="str">
            <v>mfnvindconskn</v>
          </cell>
          <cell r="D9253">
            <v>1047488.5763304057</v>
          </cell>
          <cell r="F9253" t="str">
            <v>SM 2024</v>
          </cell>
        </row>
        <row r="9254">
          <cell r="A9254" t="str">
            <v>BGD</v>
          </cell>
          <cell r="B9254">
            <v>2012</v>
          </cell>
          <cell r="C9254" t="str">
            <v>mfnvindrestkn</v>
          </cell>
          <cell r="D9254">
            <v>3290645.9880837202</v>
          </cell>
          <cell r="F9254" t="str">
            <v>SM 2024</v>
          </cell>
        </row>
        <row r="9255">
          <cell r="A9255" t="str">
            <v>BGD</v>
          </cell>
          <cell r="B9255">
            <v>2012</v>
          </cell>
          <cell r="C9255" t="str">
            <v>mfnvindtotlkn</v>
          </cell>
          <cell r="D9255">
            <v>4338134.5644141259</v>
          </cell>
          <cell r="F9255" t="str">
            <v>SM 2024</v>
          </cell>
        </row>
        <row r="9256">
          <cell r="A9256" t="str">
            <v>BGD</v>
          </cell>
          <cell r="B9256">
            <v>2012</v>
          </cell>
          <cell r="C9256" t="str">
            <v>mfnvsrvfinakn</v>
          </cell>
          <cell r="D9256">
            <v>496220.23026814475</v>
          </cell>
          <cell r="F9256" t="str">
            <v>SM 2024</v>
          </cell>
        </row>
        <row r="9257">
          <cell r="A9257" t="str">
            <v>BGD</v>
          </cell>
          <cell r="B9257">
            <v>2012</v>
          </cell>
          <cell r="C9257" t="str">
            <v>mfnvsrvrestkn</v>
          </cell>
          <cell r="D9257">
            <v>6155274.6138177505</v>
          </cell>
          <cell r="F9257" t="str">
            <v>SM 2024</v>
          </cell>
        </row>
        <row r="9258">
          <cell r="A9258" t="str">
            <v>BGD</v>
          </cell>
          <cell r="B9258">
            <v>2012</v>
          </cell>
          <cell r="C9258" t="str">
            <v>mfnvsrvtotlkn</v>
          </cell>
          <cell r="D9258">
            <v>8426503.2127003036</v>
          </cell>
          <cell r="F9258" t="str">
            <v>SM 2024</v>
          </cell>
        </row>
        <row r="9259">
          <cell r="A9259" t="str">
            <v>BGD</v>
          </cell>
          <cell r="B9259">
            <v>2012</v>
          </cell>
          <cell r="C9259" t="str">
            <v>mfnvsrvtrnskn</v>
          </cell>
          <cell r="D9259">
            <v>1775008.3686144082</v>
          </cell>
          <cell r="F9259" t="str">
            <v>SM 2024</v>
          </cell>
        </row>
        <row r="9260">
          <cell r="A9260" t="str">
            <v>BGD</v>
          </cell>
          <cell r="B9260">
            <v>2012</v>
          </cell>
          <cell r="C9260" t="str">
            <v>mfnygdpmktpkn</v>
          </cell>
          <cell r="D9260">
            <v>16175733.872300345</v>
          </cell>
          <cell r="F9260" t="str">
            <v>SM 2024</v>
          </cell>
        </row>
        <row r="9261">
          <cell r="A9261" t="str">
            <v>BGD</v>
          </cell>
          <cell r="B9261">
            <v>2012</v>
          </cell>
          <cell r="C9261" t="str">
            <v>mfpop_totl</v>
          </cell>
          <cell r="D9261">
            <v>151006000</v>
          </cell>
          <cell r="F9261" t="str">
            <v>SM 2024</v>
          </cell>
        </row>
        <row r="9262">
          <cell r="A9262" t="str">
            <v>BGD</v>
          </cell>
          <cell r="B9262">
            <v>2013</v>
          </cell>
          <cell r="C9262" t="str">
            <v>mfbxfstremtcd</v>
          </cell>
          <cell r="D9262">
            <v>14337.999999999991</v>
          </cell>
          <cell r="F9262" t="str">
            <v>SM 2024</v>
          </cell>
        </row>
        <row r="9263">
          <cell r="A9263" t="str">
            <v>BGD</v>
          </cell>
          <cell r="B9263">
            <v>2013</v>
          </cell>
          <cell r="C9263" t="str">
            <v>mfgdppckn</v>
          </cell>
          <cell r="D9263">
            <v>111331.95859154221</v>
          </cell>
          <cell r="F9263" t="str">
            <v>SM 2024</v>
          </cell>
        </row>
        <row r="9264">
          <cell r="A9264" t="str">
            <v>BGD</v>
          </cell>
          <cell r="B9264">
            <v>2013</v>
          </cell>
          <cell r="C9264" t="str">
            <v>mfnvagrtotlkn</v>
          </cell>
          <cell r="D9264">
            <v>2751418.1780321049</v>
          </cell>
          <cell r="F9264" t="str">
            <v>SM 2024</v>
          </cell>
        </row>
        <row r="9265">
          <cell r="A9265" t="str">
            <v>BGD</v>
          </cell>
          <cell r="B9265">
            <v>2013</v>
          </cell>
          <cell r="C9265" t="str">
            <v>mfnvindconskn</v>
          </cell>
          <cell r="D9265">
            <v>1131734.0282376646</v>
          </cell>
          <cell r="F9265" t="str">
            <v>SM 2024</v>
          </cell>
        </row>
        <row r="9266">
          <cell r="A9266" t="str">
            <v>BGD</v>
          </cell>
          <cell r="B9266">
            <v>2013</v>
          </cell>
          <cell r="C9266" t="str">
            <v>mfnvindrestkn</v>
          </cell>
          <cell r="D9266">
            <v>3624568.8968428667</v>
          </cell>
          <cell r="F9266" t="str">
            <v>SM 2024</v>
          </cell>
        </row>
        <row r="9267">
          <cell r="A9267" t="str">
            <v>BGD</v>
          </cell>
          <cell r="B9267">
            <v>2013</v>
          </cell>
          <cell r="C9267" t="str">
            <v>mfnvindtotlkn</v>
          </cell>
          <cell r="D9267">
            <v>4756302.9250805313</v>
          </cell>
          <cell r="F9267" t="str">
            <v>SM 2024</v>
          </cell>
        </row>
        <row r="9268">
          <cell r="A9268" t="str">
            <v>BGD</v>
          </cell>
          <cell r="B9268">
            <v>2013</v>
          </cell>
          <cell r="C9268" t="str">
            <v>mfnvsrvfinakn</v>
          </cell>
          <cell r="D9268">
            <v>541439.49604778807</v>
          </cell>
          <cell r="F9268" t="str">
            <v>SM 2024</v>
          </cell>
        </row>
        <row r="9269">
          <cell r="A9269" t="str">
            <v>BGD</v>
          </cell>
          <cell r="B9269">
            <v>2013</v>
          </cell>
          <cell r="C9269" t="str">
            <v>mfnvsrvrestkn</v>
          </cell>
          <cell r="D9269">
            <v>6463344.3656661455</v>
          </cell>
          <cell r="F9269" t="str">
            <v>SM 2024</v>
          </cell>
        </row>
        <row r="9270">
          <cell r="A9270" t="str">
            <v>BGD</v>
          </cell>
          <cell r="B9270">
            <v>2013</v>
          </cell>
          <cell r="C9270" t="str">
            <v>mfnvsrvtotlkn</v>
          </cell>
          <cell r="D9270">
            <v>8891153.7674323693</v>
          </cell>
          <cell r="F9270" t="str">
            <v>SM 2024</v>
          </cell>
        </row>
        <row r="9271">
          <cell r="A9271" t="str">
            <v>BGD</v>
          </cell>
          <cell r="B9271">
            <v>2013</v>
          </cell>
          <cell r="C9271" t="str">
            <v>mfnvsrvtrnskn</v>
          </cell>
          <cell r="D9271">
            <v>1886369.905718436</v>
          </cell>
          <cell r="F9271" t="str">
            <v>SM 2024</v>
          </cell>
        </row>
        <row r="9272">
          <cell r="A9272" t="str">
            <v>BGD</v>
          </cell>
          <cell r="B9272">
            <v>2013</v>
          </cell>
          <cell r="C9272" t="str">
            <v>mfnygdpmktpkn</v>
          </cell>
          <cell r="D9272">
            <v>17148477.168329448</v>
          </cell>
          <cell r="F9272" t="str">
            <v>SM 2024</v>
          </cell>
        </row>
        <row r="9273">
          <cell r="A9273" t="str">
            <v>BGD</v>
          </cell>
          <cell r="B9273">
            <v>2013</v>
          </cell>
          <cell r="C9273" t="str">
            <v>mfpop_totl</v>
          </cell>
          <cell r="D9273">
            <v>154030140</v>
          </cell>
          <cell r="F9273" t="str">
            <v>SM 2024</v>
          </cell>
        </row>
        <row r="9274">
          <cell r="A9274" t="str">
            <v>BGD</v>
          </cell>
          <cell r="B9274">
            <v>2014</v>
          </cell>
          <cell r="C9274" t="str">
            <v>mfbxfstremtcd</v>
          </cell>
          <cell r="D9274">
            <v>14115.999999999995</v>
          </cell>
          <cell r="F9274" t="str">
            <v>SM 2024</v>
          </cell>
        </row>
        <row r="9275">
          <cell r="A9275" t="str">
            <v>BGD</v>
          </cell>
          <cell r="B9275">
            <v>2014</v>
          </cell>
          <cell r="C9275" t="str">
            <v>mfgdppckn</v>
          </cell>
          <cell r="D9275">
            <v>116617.79199981937</v>
          </cell>
          <cell r="F9275" t="str">
            <v>SM 2024</v>
          </cell>
        </row>
        <row r="9276">
          <cell r="A9276" t="str">
            <v>BGD</v>
          </cell>
          <cell r="B9276">
            <v>2014</v>
          </cell>
          <cell r="C9276" t="str">
            <v>mfnvagrtotlkn</v>
          </cell>
          <cell r="D9276">
            <v>2871706.6053806697</v>
          </cell>
          <cell r="F9276" t="str">
            <v>SM 2024</v>
          </cell>
        </row>
        <row r="9277">
          <cell r="A9277" t="str">
            <v>BGD</v>
          </cell>
          <cell r="B9277">
            <v>2014</v>
          </cell>
          <cell r="C9277" t="str">
            <v>mfnvindconskn</v>
          </cell>
          <cell r="D9277">
            <v>1223202.6297468757</v>
          </cell>
          <cell r="F9277" t="str">
            <v>SM 2024</v>
          </cell>
        </row>
        <row r="9278">
          <cell r="A9278" t="str">
            <v>BGD</v>
          </cell>
          <cell r="B9278">
            <v>2014</v>
          </cell>
          <cell r="C9278" t="str">
            <v>mfnvindrestkn</v>
          </cell>
          <cell r="D9278">
            <v>3921215.2910934733</v>
          </cell>
          <cell r="F9278" t="str">
            <v>SM 2024</v>
          </cell>
        </row>
        <row r="9279">
          <cell r="A9279" t="str">
            <v>BGD</v>
          </cell>
          <cell r="B9279">
            <v>2014</v>
          </cell>
          <cell r="C9279" t="str">
            <v>mfnvindtotlkn</v>
          </cell>
          <cell r="D9279">
            <v>5144417.920840349</v>
          </cell>
          <cell r="F9279" t="str">
            <v>SM 2024</v>
          </cell>
        </row>
        <row r="9280">
          <cell r="A9280" t="str">
            <v>BGD</v>
          </cell>
          <cell r="B9280">
            <v>2014</v>
          </cell>
          <cell r="C9280" t="str">
            <v>mfnvsrvfinakn</v>
          </cell>
          <cell r="D9280">
            <v>580809.62582266971</v>
          </cell>
          <cell r="F9280" t="str">
            <v>SM 2024</v>
          </cell>
        </row>
        <row r="9281">
          <cell r="A9281" t="str">
            <v>BGD</v>
          </cell>
          <cell r="B9281">
            <v>2014</v>
          </cell>
          <cell r="C9281" t="str">
            <v>mfnvsrvrestkn</v>
          </cell>
          <cell r="D9281">
            <v>6809981.9909497732</v>
          </cell>
          <cell r="F9281" t="str">
            <v>SM 2024</v>
          </cell>
        </row>
        <row r="9282">
          <cell r="A9282" t="str">
            <v>BGD</v>
          </cell>
          <cell r="B9282">
            <v>2014</v>
          </cell>
          <cell r="C9282" t="str">
            <v>mfnvsrvtotlkn</v>
          </cell>
          <cell r="D9282">
            <v>9391224.0392250158</v>
          </cell>
          <cell r="F9282" t="str">
            <v>SM 2024</v>
          </cell>
        </row>
        <row r="9283">
          <cell r="A9283" t="str">
            <v>BGD</v>
          </cell>
          <cell r="B9283">
            <v>2014</v>
          </cell>
          <cell r="C9283" t="str">
            <v>mfnvsrvtrnskn</v>
          </cell>
          <cell r="D9283">
            <v>2000432.4224525727</v>
          </cell>
          <cell r="F9283" t="str">
            <v>SM 2024</v>
          </cell>
        </row>
        <row r="9284">
          <cell r="A9284" t="str">
            <v>BGD</v>
          </cell>
          <cell r="B9284">
            <v>2014</v>
          </cell>
          <cell r="C9284" t="str">
            <v>mfnygdpmktpkn</v>
          </cell>
          <cell r="D9284">
            <v>18187862.326803636</v>
          </cell>
          <cell r="F9284" t="str">
            <v>SM 2024</v>
          </cell>
        </row>
        <row r="9285">
          <cell r="A9285" t="str">
            <v>BGD</v>
          </cell>
          <cell r="B9285">
            <v>2014</v>
          </cell>
          <cell r="C9285" t="str">
            <v>mfpop_totl</v>
          </cell>
          <cell r="D9285">
            <v>155961299</v>
          </cell>
          <cell r="F9285" t="str">
            <v>SM 2024</v>
          </cell>
        </row>
        <row r="9286">
          <cell r="A9286" t="str">
            <v>BGD</v>
          </cell>
          <cell r="B9286">
            <v>2015</v>
          </cell>
          <cell r="C9286" t="str">
            <v>mfbxfstremtcd</v>
          </cell>
          <cell r="D9286">
            <v>15169.999999999998</v>
          </cell>
          <cell r="F9286" t="str">
            <v>SM 2024</v>
          </cell>
        </row>
        <row r="9287">
          <cell r="A9287" t="str">
            <v>BGD</v>
          </cell>
          <cell r="B9287">
            <v>2015</v>
          </cell>
          <cell r="C9287" t="str">
            <v>mfgdppckn</v>
          </cell>
          <cell r="D9287">
            <v>122788.11761099272</v>
          </cell>
          <cell r="F9287" t="str">
            <v>SM 2024</v>
          </cell>
        </row>
        <row r="9288">
          <cell r="A9288" t="str">
            <v>BGD</v>
          </cell>
          <cell r="B9288">
            <v>2015</v>
          </cell>
          <cell r="C9288" t="str">
            <v>mfnvagrtotlkn</v>
          </cell>
          <cell r="D9288">
            <v>2967287.9442823385</v>
          </cell>
          <cell r="F9288" t="str">
            <v>SM 2024</v>
          </cell>
        </row>
        <row r="9289">
          <cell r="A9289" t="str">
            <v>BGD</v>
          </cell>
          <cell r="B9289">
            <v>2015</v>
          </cell>
          <cell r="C9289" t="str">
            <v>mfnvindconskn</v>
          </cell>
          <cell r="D9289">
            <v>1328389.8978939755</v>
          </cell>
          <cell r="F9289" t="str">
            <v>SM 2024</v>
          </cell>
        </row>
        <row r="9290">
          <cell r="A9290" t="str">
            <v>BGD</v>
          </cell>
          <cell r="B9290">
            <v>2015</v>
          </cell>
          <cell r="C9290" t="str">
            <v>mfnvindrestkn</v>
          </cell>
          <cell r="D9290">
            <v>4313334.0087113464</v>
          </cell>
          <cell r="F9290" t="str">
            <v>SM 2024</v>
          </cell>
        </row>
        <row r="9291">
          <cell r="A9291" t="str">
            <v>BGD</v>
          </cell>
          <cell r="B9291">
            <v>2015</v>
          </cell>
          <cell r="C9291" t="str">
            <v>mfnvindtotlkn</v>
          </cell>
          <cell r="D9291">
            <v>5641723.9066053219</v>
          </cell>
          <cell r="F9291" t="str">
            <v>SM 2024</v>
          </cell>
        </row>
        <row r="9292">
          <cell r="A9292" t="str">
            <v>BGD</v>
          </cell>
          <cell r="B9292">
            <v>2015</v>
          </cell>
          <cell r="C9292" t="str">
            <v>mfnvsrvfinakn</v>
          </cell>
          <cell r="D9292">
            <v>626006.6943772349</v>
          </cell>
          <cell r="F9292" t="str">
            <v>SM 2024</v>
          </cell>
        </row>
        <row r="9293">
          <cell r="A9293" t="str">
            <v>BGD</v>
          </cell>
          <cell r="B9293">
            <v>2015</v>
          </cell>
          <cell r="C9293" t="str">
            <v>mfnvsrvrestkn</v>
          </cell>
          <cell r="D9293">
            <v>7190265.3024377115</v>
          </cell>
          <cell r="F9293" t="str">
            <v>SM 2024</v>
          </cell>
        </row>
        <row r="9294">
          <cell r="A9294" t="str">
            <v>BGD</v>
          </cell>
          <cell r="B9294">
            <v>2015</v>
          </cell>
          <cell r="C9294" t="str">
            <v>mfnvsrvtotlkn</v>
          </cell>
          <cell r="D9294">
            <v>9936014.7463149913</v>
          </cell>
          <cell r="F9294" t="str">
            <v>SM 2024</v>
          </cell>
        </row>
        <row r="9295">
          <cell r="A9295" t="str">
            <v>BGD</v>
          </cell>
          <cell r="B9295">
            <v>2015</v>
          </cell>
          <cell r="C9295" t="str">
            <v>mfnvsrvtrnskn</v>
          </cell>
          <cell r="D9295">
            <v>2119742.7495000451</v>
          </cell>
          <cell r="F9295" t="str">
            <v>SM 2024</v>
          </cell>
        </row>
        <row r="9296">
          <cell r="A9296" t="str">
            <v>BGD</v>
          </cell>
          <cell r="B9296">
            <v>2015</v>
          </cell>
          <cell r="C9296" t="str">
            <v>mfnygdpmktpkn</v>
          </cell>
          <cell r="D9296">
            <v>19379648.602542982</v>
          </cell>
          <cell r="F9296" t="str">
            <v>SM 2024</v>
          </cell>
        </row>
        <row r="9297">
          <cell r="A9297" t="str">
            <v>BGD</v>
          </cell>
          <cell r="B9297">
            <v>2015</v>
          </cell>
          <cell r="C9297" t="str">
            <v>mfpop_totl</v>
          </cell>
          <cell r="D9297">
            <v>157830000</v>
          </cell>
          <cell r="F9297" t="str">
            <v>SM 2024</v>
          </cell>
        </row>
        <row r="9298">
          <cell r="A9298" t="str">
            <v>BGD</v>
          </cell>
          <cell r="B9298">
            <v>2016</v>
          </cell>
          <cell r="C9298" t="str">
            <v>mfbxfstremtcd</v>
          </cell>
          <cell r="D9298">
            <v>14716.999999999995</v>
          </cell>
          <cell r="F9298" t="str">
            <v>SM 2024</v>
          </cell>
        </row>
        <row r="9299">
          <cell r="A9299" t="str">
            <v>BGD</v>
          </cell>
          <cell r="B9299">
            <v>2016</v>
          </cell>
          <cell r="C9299" t="str">
            <v>mfgdppckn</v>
          </cell>
          <cell r="D9299">
            <v>129913.75281051081</v>
          </cell>
          <cell r="F9299" t="str">
            <v>SM 2024</v>
          </cell>
        </row>
        <row r="9300">
          <cell r="A9300" t="str">
            <v>BGD</v>
          </cell>
          <cell r="B9300">
            <v>2016</v>
          </cell>
          <cell r="C9300" t="str">
            <v>mfnvagrtotlkn</v>
          </cell>
          <cell r="D9300">
            <v>2795050.0000000014</v>
          </cell>
          <cell r="F9300" t="str">
            <v>SM 2024</v>
          </cell>
        </row>
        <row r="9301">
          <cell r="A9301" t="str">
            <v>BGD</v>
          </cell>
          <cell r="B9301">
            <v>2016</v>
          </cell>
          <cell r="C9301" t="str">
            <v>mfnvindconskn</v>
          </cell>
          <cell r="D9301">
            <v>1628426.0000000028</v>
          </cell>
          <cell r="F9301" t="str">
            <v>SM 2024</v>
          </cell>
        </row>
        <row r="9302">
          <cell r="A9302" t="str">
            <v>BGD</v>
          </cell>
          <cell r="B9302">
            <v>2016</v>
          </cell>
          <cell r="C9302" t="str">
            <v>mfnvindrestkn</v>
          </cell>
          <cell r="D9302">
            <v>4820974.0000000075</v>
          </cell>
          <cell r="F9302" t="str">
            <v>SM 2024</v>
          </cell>
        </row>
        <row r="9303">
          <cell r="A9303" t="str">
            <v>BGD</v>
          </cell>
          <cell r="B9303">
            <v>2016</v>
          </cell>
          <cell r="C9303" t="str">
            <v>mfnvindtotlkn</v>
          </cell>
          <cell r="D9303">
            <v>6449400.0000000102</v>
          </cell>
          <cell r="F9303" t="str">
            <v>SM 2024</v>
          </cell>
        </row>
        <row r="9304">
          <cell r="A9304" t="str">
            <v>BGD</v>
          </cell>
          <cell r="B9304">
            <v>2016</v>
          </cell>
          <cell r="C9304" t="str">
            <v>mfnvsrvfinakn</v>
          </cell>
          <cell r="D9304">
            <v>650715.99999999884</v>
          </cell>
          <cell r="F9304" t="str">
            <v>SM 2024</v>
          </cell>
        </row>
        <row r="9305">
          <cell r="A9305" t="str">
            <v>BGD</v>
          </cell>
          <cell r="B9305">
            <v>2016</v>
          </cell>
          <cell r="C9305" t="str">
            <v>mfnvsrvrestkn</v>
          </cell>
          <cell r="D9305">
            <v>8150475.9999999963</v>
          </cell>
          <cell r="F9305" t="str">
            <v>SM 2024</v>
          </cell>
        </row>
        <row r="9306">
          <cell r="A9306" t="str">
            <v>BGD</v>
          </cell>
          <cell r="B9306">
            <v>2016</v>
          </cell>
          <cell r="C9306" t="str">
            <v>mfnvsrvtotlkn</v>
          </cell>
          <cell r="D9306">
            <v>10629823.999999996</v>
          </cell>
          <cell r="F9306" t="str">
            <v>SM 2024</v>
          </cell>
        </row>
        <row r="9307">
          <cell r="A9307" t="str">
            <v>BGD</v>
          </cell>
          <cell r="B9307">
            <v>2016</v>
          </cell>
          <cell r="C9307" t="str">
            <v>mfnvsrvtrnskn</v>
          </cell>
          <cell r="D9307">
            <v>1828632.0000000009</v>
          </cell>
          <cell r="F9307" t="str">
            <v>SM 2024</v>
          </cell>
        </row>
        <row r="9308">
          <cell r="A9308" t="str">
            <v>BGD</v>
          </cell>
          <cell r="B9308">
            <v>2016</v>
          </cell>
          <cell r="C9308" t="str">
            <v>mfnygdpmktpkn</v>
          </cell>
          <cell r="D9308">
            <v>20758213.000000007</v>
          </cell>
          <cell r="F9308" t="str">
            <v>SM 2024</v>
          </cell>
        </row>
        <row r="9309">
          <cell r="A9309" t="str">
            <v>BGD</v>
          </cell>
          <cell r="B9309">
            <v>2016</v>
          </cell>
          <cell r="C9309" t="str">
            <v>mfpop_totl</v>
          </cell>
          <cell r="D9309">
            <v>159784569</v>
          </cell>
          <cell r="F9309" t="str">
            <v>SM 2024</v>
          </cell>
        </row>
        <row r="9310">
          <cell r="A9310" t="str">
            <v>BGD</v>
          </cell>
          <cell r="B9310">
            <v>2017</v>
          </cell>
          <cell r="C9310" t="str">
            <v>mfbxfstremtcd</v>
          </cell>
          <cell r="D9310">
            <v>12769.000000000005</v>
          </cell>
          <cell r="F9310" t="str">
            <v>SM 2024</v>
          </cell>
        </row>
        <row r="9311">
          <cell r="A9311" t="str">
            <v>BGD</v>
          </cell>
          <cell r="B9311">
            <v>2017</v>
          </cell>
          <cell r="C9311" t="str">
            <v>mfgdppckn</v>
          </cell>
          <cell r="D9311">
            <v>136755.59614819754</v>
          </cell>
          <cell r="F9311" t="str">
            <v>SM 2024</v>
          </cell>
        </row>
        <row r="9312">
          <cell r="A9312" t="str">
            <v>BGD</v>
          </cell>
          <cell r="B9312">
            <v>2017</v>
          </cell>
          <cell r="C9312" t="str">
            <v>mfnvagrtotlkn</v>
          </cell>
          <cell r="D9312">
            <v>2884379.9999999995</v>
          </cell>
          <cell r="F9312" t="str">
            <v>SM 2024</v>
          </cell>
        </row>
        <row r="9313">
          <cell r="A9313" t="str">
            <v>BGD</v>
          </cell>
          <cell r="B9313">
            <v>2017</v>
          </cell>
          <cell r="C9313" t="str">
            <v>mfnvindconskn</v>
          </cell>
          <cell r="D9313">
            <v>1787343.0000000056</v>
          </cell>
          <cell r="F9313" t="str">
            <v>SM 2024</v>
          </cell>
        </row>
        <row r="9314">
          <cell r="A9314" t="str">
            <v>BGD</v>
          </cell>
          <cell r="B9314">
            <v>2017</v>
          </cell>
          <cell r="C9314" t="str">
            <v>mfnvindrestkn</v>
          </cell>
          <cell r="D9314">
            <v>5195562.0000000112</v>
          </cell>
          <cell r="F9314" t="str">
            <v>SM 2024</v>
          </cell>
        </row>
        <row r="9315">
          <cell r="A9315" t="str">
            <v>BGD</v>
          </cell>
          <cell r="B9315">
            <v>2017</v>
          </cell>
          <cell r="C9315" t="str">
            <v>mfnvindtotlkn</v>
          </cell>
          <cell r="D9315">
            <v>6982905.0000000168</v>
          </cell>
          <cell r="F9315" t="str">
            <v>SM 2024</v>
          </cell>
        </row>
        <row r="9316">
          <cell r="A9316" t="str">
            <v>BGD</v>
          </cell>
          <cell r="B9316">
            <v>2017</v>
          </cell>
          <cell r="C9316" t="str">
            <v>mfnvsrvfinakn</v>
          </cell>
          <cell r="D9316">
            <v>685233.9999999993</v>
          </cell>
          <cell r="F9316" t="str">
            <v>SM 2024</v>
          </cell>
        </row>
        <row r="9317">
          <cell r="A9317" t="str">
            <v>BGD</v>
          </cell>
          <cell r="B9317">
            <v>2017</v>
          </cell>
          <cell r="C9317" t="str">
            <v>mfnvsrvrestkn</v>
          </cell>
          <cell r="D9317">
            <v>8676064.9999999925</v>
          </cell>
          <cell r="F9317" t="str">
            <v>SM 2024</v>
          </cell>
        </row>
        <row r="9318">
          <cell r="A9318" t="str">
            <v>BGD</v>
          </cell>
          <cell r="B9318">
            <v>2017</v>
          </cell>
          <cell r="C9318" t="str">
            <v>mfnvsrvtotlkn</v>
          </cell>
          <cell r="D9318">
            <v>11307473.999999991</v>
          </cell>
          <cell r="F9318" t="str">
            <v>SM 2024</v>
          </cell>
        </row>
        <row r="9319">
          <cell r="A9319" t="str">
            <v>BGD</v>
          </cell>
          <cell r="B9319">
            <v>2017</v>
          </cell>
          <cell r="C9319" t="str">
            <v>mfnvsrvtrnskn</v>
          </cell>
          <cell r="D9319">
            <v>1946174.9999999995</v>
          </cell>
          <cell r="F9319" t="str">
            <v>SM 2024</v>
          </cell>
        </row>
        <row r="9320">
          <cell r="A9320" t="str">
            <v>BGD</v>
          </cell>
          <cell r="B9320">
            <v>2017</v>
          </cell>
          <cell r="C9320" t="str">
            <v>mfnygdpmktpkn</v>
          </cell>
          <cell r="D9320">
            <v>22126230.000000007</v>
          </cell>
          <cell r="F9320" t="str">
            <v>SM 2024</v>
          </cell>
        </row>
        <row r="9321">
          <cell r="A9321" t="str">
            <v>BGD</v>
          </cell>
          <cell r="B9321">
            <v>2017</v>
          </cell>
          <cell r="C9321" t="str">
            <v>mfpop_totl</v>
          </cell>
          <cell r="D9321">
            <v>161793963.99999997</v>
          </cell>
          <cell r="F9321" t="str">
            <v>SM 2024</v>
          </cell>
        </row>
        <row r="9322">
          <cell r="A9322" t="str">
            <v>BGD</v>
          </cell>
          <cell r="B9322">
            <v>2018</v>
          </cell>
          <cell r="C9322" t="str">
            <v>mfbxfstremtcd</v>
          </cell>
          <cell r="D9322">
            <v>14982.000000000011</v>
          </cell>
          <cell r="F9322" t="str">
            <v>SM 2024</v>
          </cell>
        </row>
        <row r="9323">
          <cell r="A9323" t="str">
            <v>BGD</v>
          </cell>
          <cell r="B9323">
            <v>2018</v>
          </cell>
          <cell r="C9323" t="str">
            <v>mfgdppckn</v>
          </cell>
          <cell r="D9323">
            <v>145070.65499967933</v>
          </cell>
          <cell r="F9323" t="str">
            <v>SM 2024</v>
          </cell>
        </row>
        <row r="9324">
          <cell r="A9324" t="str">
            <v>BGD</v>
          </cell>
          <cell r="B9324">
            <v>2018</v>
          </cell>
          <cell r="C9324" t="str">
            <v>mfnvagrtotlkn</v>
          </cell>
          <cell r="D9324">
            <v>2986618.0000000023</v>
          </cell>
          <cell r="F9324" t="str">
            <v>SM 2024</v>
          </cell>
        </row>
        <row r="9325">
          <cell r="A9325" t="str">
            <v>BGD</v>
          </cell>
          <cell r="B9325">
            <v>2018</v>
          </cell>
          <cell r="C9325" t="str">
            <v>mfnvindconskn</v>
          </cell>
          <cell r="D9325">
            <v>1967100.9999999925</v>
          </cell>
          <cell r="F9325" t="str">
            <v>SM 2024</v>
          </cell>
        </row>
        <row r="9326">
          <cell r="A9326" t="str">
            <v>BGD</v>
          </cell>
          <cell r="B9326">
            <v>2018</v>
          </cell>
          <cell r="C9326" t="str">
            <v>mfnvindrestkn</v>
          </cell>
          <cell r="D9326">
            <v>5727768.0000000084</v>
          </cell>
          <cell r="F9326" t="str">
            <v>SM 2024</v>
          </cell>
        </row>
        <row r="9327">
          <cell r="A9327" t="str">
            <v>BGD</v>
          </cell>
          <cell r="B9327">
            <v>2018</v>
          </cell>
          <cell r="C9327" t="str">
            <v>mfnvindtotlkn</v>
          </cell>
          <cell r="D9327">
            <v>7694869.0000000009</v>
          </cell>
          <cell r="F9327" t="str">
            <v>SM 2024</v>
          </cell>
        </row>
        <row r="9328">
          <cell r="A9328" t="str">
            <v>BGD</v>
          </cell>
          <cell r="B9328">
            <v>2018</v>
          </cell>
          <cell r="C9328" t="str">
            <v>mfnvsrvfinakn</v>
          </cell>
          <cell r="D9328">
            <v>732782.99999999977</v>
          </cell>
          <cell r="F9328" t="str">
            <v>SM 2024</v>
          </cell>
        </row>
        <row r="9329">
          <cell r="A9329" t="str">
            <v>BGD</v>
          </cell>
          <cell r="B9329">
            <v>2018</v>
          </cell>
          <cell r="C9329" t="str">
            <v>mfnvsrvrestkn</v>
          </cell>
          <cell r="D9329">
            <v>9238357.9999999963</v>
          </cell>
          <cell r="F9329" t="str">
            <v>SM 2024</v>
          </cell>
        </row>
        <row r="9330">
          <cell r="A9330" t="str">
            <v>BGD</v>
          </cell>
          <cell r="B9330">
            <v>2018</v>
          </cell>
          <cell r="C9330" t="str">
            <v>mfnvsrvtotlkn</v>
          </cell>
          <cell r="D9330">
            <v>12048522.999999996</v>
          </cell>
          <cell r="F9330" t="str">
            <v>SM 2024</v>
          </cell>
        </row>
        <row r="9331">
          <cell r="A9331" t="str">
            <v>BGD</v>
          </cell>
          <cell r="B9331">
            <v>2018</v>
          </cell>
          <cell r="C9331" t="str">
            <v>mfnvsrvtrnskn</v>
          </cell>
          <cell r="D9331">
            <v>2077381.9999999998</v>
          </cell>
          <cell r="F9331" t="str">
            <v>SM 2024</v>
          </cell>
        </row>
        <row r="9332">
          <cell r="A9332" t="str">
            <v>BGD</v>
          </cell>
          <cell r="B9332">
            <v>2018</v>
          </cell>
          <cell r="C9332" t="str">
            <v>mfnygdpmktpkn</v>
          </cell>
          <cell r="D9332">
            <v>23745739</v>
          </cell>
          <cell r="F9332" t="str">
            <v>SM 2024</v>
          </cell>
        </row>
        <row r="9333">
          <cell r="A9333" t="str">
            <v>BGD</v>
          </cell>
          <cell r="B9333">
            <v>2018</v>
          </cell>
          <cell r="C9333" t="str">
            <v>mfpop_totl</v>
          </cell>
          <cell r="D9333">
            <v>163683958</v>
          </cell>
          <cell r="F9333" t="str">
            <v>SM 2024</v>
          </cell>
        </row>
        <row r="9334">
          <cell r="A9334" t="str">
            <v>BGD</v>
          </cell>
          <cell r="B9334">
            <v>2019</v>
          </cell>
          <cell r="C9334" t="str">
            <v>mfbxfstremtcd</v>
          </cell>
          <cell r="D9334">
            <v>16420.000000000011</v>
          </cell>
          <cell r="F9334" t="str">
            <v>SM 2024</v>
          </cell>
        </row>
        <row r="9335">
          <cell r="A9335" t="str">
            <v>BGD</v>
          </cell>
          <cell r="B9335">
            <v>2019</v>
          </cell>
          <cell r="C9335" t="str">
            <v>mfgdppckn</v>
          </cell>
          <cell r="D9335">
            <v>154772.47903833861</v>
          </cell>
          <cell r="F9335" t="str">
            <v>SM 2024</v>
          </cell>
        </row>
        <row r="9336">
          <cell r="A9336" t="str">
            <v>BGD</v>
          </cell>
          <cell r="B9336">
            <v>2019</v>
          </cell>
          <cell r="C9336" t="str">
            <v>mfnvagrtotlkn</v>
          </cell>
          <cell r="D9336">
            <v>3083999.0000000019</v>
          </cell>
          <cell r="F9336" t="str">
            <v>SM 2024</v>
          </cell>
        </row>
        <row r="9337">
          <cell r="A9337" t="str">
            <v>BGD</v>
          </cell>
          <cell r="B9337">
            <v>2019</v>
          </cell>
          <cell r="C9337" t="str">
            <v>mfnvindconskn</v>
          </cell>
          <cell r="D9337">
            <v>2173143.9999999935</v>
          </cell>
          <cell r="F9337" t="str">
            <v>SM 2024</v>
          </cell>
        </row>
        <row r="9338">
          <cell r="A9338" t="str">
            <v>BGD</v>
          </cell>
          <cell r="B9338">
            <v>2019</v>
          </cell>
          <cell r="C9338" t="str">
            <v>mfnvindrestkn</v>
          </cell>
          <cell r="D9338">
            <v>6416894.0000000028</v>
          </cell>
          <cell r="F9338" t="str">
            <v>SM 2024</v>
          </cell>
        </row>
        <row r="9339">
          <cell r="A9339" t="str">
            <v>BGD</v>
          </cell>
          <cell r="B9339">
            <v>2019</v>
          </cell>
          <cell r="C9339" t="str">
            <v>mfnvindtotlkn</v>
          </cell>
          <cell r="D9339">
            <v>8590037.9999999963</v>
          </cell>
          <cell r="F9339" t="str">
            <v>SM 2024</v>
          </cell>
        </row>
        <row r="9340">
          <cell r="A9340" t="str">
            <v>BGD</v>
          </cell>
          <cell r="B9340">
            <v>2019</v>
          </cell>
          <cell r="C9340" t="str">
            <v>mfnvsrvfinakn</v>
          </cell>
          <cell r="D9340">
            <v>793237.00000000012</v>
          </cell>
          <cell r="F9340" t="str">
            <v>SM 2024</v>
          </cell>
        </row>
        <row r="9341">
          <cell r="A9341" t="str">
            <v>BGD</v>
          </cell>
          <cell r="B9341">
            <v>2019</v>
          </cell>
          <cell r="C9341" t="str">
            <v>mfnvsrvrestkn</v>
          </cell>
          <cell r="D9341">
            <v>9860225.0000000056</v>
          </cell>
          <cell r="F9341" t="str">
            <v>SM 2024</v>
          </cell>
        </row>
        <row r="9342">
          <cell r="A9342" t="str">
            <v>BGD</v>
          </cell>
          <cell r="B9342">
            <v>2019</v>
          </cell>
          <cell r="C9342" t="str">
            <v>mfnvsrvtotlkn</v>
          </cell>
          <cell r="D9342">
            <v>12877439.000000004</v>
          </cell>
          <cell r="F9342" t="str">
            <v>SM 2024</v>
          </cell>
        </row>
        <row r="9343">
          <cell r="A9343" t="str">
            <v>BGD</v>
          </cell>
          <cell r="B9343">
            <v>2019</v>
          </cell>
          <cell r="C9343" t="str">
            <v>mfnvsrvtrnskn</v>
          </cell>
          <cell r="D9343">
            <v>2223976.9999999981</v>
          </cell>
          <cell r="F9343" t="str">
            <v>SM 2024</v>
          </cell>
        </row>
        <row r="9344">
          <cell r="A9344" t="str">
            <v>BGD</v>
          </cell>
          <cell r="B9344">
            <v>2019</v>
          </cell>
          <cell r="C9344" t="str">
            <v>mfnygdpmktpkn</v>
          </cell>
          <cell r="D9344">
            <v>25617356</v>
          </cell>
          <cell r="F9344" t="str">
            <v>SM 2024</v>
          </cell>
        </row>
        <row r="9345">
          <cell r="A9345" t="str">
            <v>BGD</v>
          </cell>
          <cell r="B9345">
            <v>2019</v>
          </cell>
          <cell r="C9345" t="str">
            <v>mfpop_totl</v>
          </cell>
          <cell r="D9345">
            <v>165516222</v>
          </cell>
          <cell r="F9345" t="str">
            <v>SM 2024</v>
          </cell>
        </row>
        <row r="9346">
          <cell r="A9346" t="str">
            <v>BGD</v>
          </cell>
          <cell r="B9346">
            <v>2020</v>
          </cell>
          <cell r="C9346" t="str">
            <v>mfbxfstremtcd</v>
          </cell>
          <cell r="D9346">
            <v>18205.000829999997</v>
          </cell>
          <cell r="F9346" t="str">
            <v>SM 2024</v>
          </cell>
        </row>
        <row r="9347">
          <cell r="A9347" t="str">
            <v>BGD</v>
          </cell>
          <cell r="B9347">
            <v>2020</v>
          </cell>
          <cell r="C9347" t="str">
            <v>mfgdppckn</v>
          </cell>
          <cell r="D9347">
            <v>158287.54311639283</v>
          </cell>
          <cell r="F9347" t="str">
            <v>SM 2024</v>
          </cell>
        </row>
        <row r="9348">
          <cell r="A9348" t="str">
            <v>BGD</v>
          </cell>
          <cell r="B9348">
            <v>2020</v>
          </cell>
          <cell r="C9348" t="str">
            <v>mfnvagrtotlkn</v>
          </cell>
          <cell r="D9348">
            <v>3189500.9999999977</v>
          </cell>
          <cell r="F9348" t="str">
            <v>SM 2024</v>
          </cell>
        </row>
        <row r="9349">
          <cell r="A9349" t="str">
            <v>BGD</v>
          </cell>
          <cell r="B9349">
            <v>2020</v>
          </cell>
          <cell r="C9349" t="str">
            <v>mfnvindconskn</v>
          </cell>
          <cell r="D9349">
            <v>2371462.0000000037</v>
          </cell>
          <cell r="F9349" t="str">
            <v>SM 2024</v>
          </cell>
        </row>
        <row r="9350">
          <cell r="A9350" t="str">
            <v>BGD</v>
          </cell>
          <cell r="B9350">
            <v>2020</v>
          </cell>
          <cell r="C9350" t="str">
            <v>mfnvindrestkn</v>
          </cell>
          <cell r="D9350">
            <v>6528770.0000000056</v>
          </cell>
          <cell r="F9350" t="str">
            <v>SM 2024</v>
          </cell>
        </row>
        <row r="9351">
          <cell r="A9351" t="str">
            <v>BGD</v>
          </cell>
          <cell r="B9351">
            <v>2020</v>
          </cell>
          <cell r="C9351" t="str">
            <v>mfnvindtotlkn</v>
          </cell>
          <cell r="D9351">
            <v>8900232.0000000093</v>
          </cell>
          <cell r="F9351" t="str">
            <v>SM 2024</v>
          </cell>
        </row>
        <row r="9352">
          <cell r="A9352" t="str">
            <v>BGD</v>
          </cell>
          <cell r="B9352">
            <v>2020</v>
          </cell>
          <cell r="C9352" t="str">
            <v>mfnvsrvfinakn</v>
          </cell>
          <cell r="D9352">
            <v>830678.99999999988</v>
          </cell>
          <cell r="F9352" t="str">
            <v>SM 2024</v>
          </cell>
        </row>
        <row r="9353">
          <cell r="A9353" t="str">
            <v>BGD</v>
          </cell>
          <cell r="B9353">
            <v>2020</v>
          </cell>
          <cell r="C9353" t="str">
            <v>mfnvsrvrestkn</v>
          </cell>
          <cell r="D9353">
            <v>10275827.999999987</v>
          </cell>
          <cell r="F9353" t="str">
            <v>SM 2024</v>
          </cell>
        </row>
        <row r="9354">
          <cell r="A9354" t="str">
            <v>BGD</v>
          </cell>
          <cell r="B9354">
            <v>2020</v>
          </cell>
          <cell r="C9354" t="str">
            <v>mfnvsrvtotlkn</v>
          </cell>
          <cell r="D9354">
            <v>13383890.999999987</v>
          </cell>
          <cell r="F9354" t="str">
            <v>SM 2024</v>
          </cell>
        </row>
        <row r="9355">
          <cell r="A9355" t="str">
            <v>BGD</v>
          </cell>
          <cell r="B9355">
            <v>2020</v>
          </cell>
          <cell r="C9355" t="str">
            <v>mfnvsrvtrnskn</v>
          </cell>
          <cell r="D9355">
            <v>2277384</v>
          </cell>
          <cell r="F9355" t="str">
            <v>SM 2024</v>
          </cell>
        </row>
        <row r="9356">
          <cell r="A9356" t="str">
            <v>BGD</v>
          </cell>
          <cell r="B9356">
            <v>2020</v>
          </cell>
          <cell r="C9356" t="str">
            <v>mfnygdpmktpkn</v>
          </cell>
          <cell r="D9356">
            <v>26500650.999999993</v>
          </cell>
          <cell r="F9356" t="str">
            <v>SM 2024</v>
          </cell>
        </row>
        <row r="9357">
          <cell r="A9357" t="str">
            <v>BGD</v>
          </cell>
          <cell r="B9357">
            <v>2020</v>
          </cell>
          <cell r="C9357" t="str">
            <v>mfpop_totl</v>
          </cell>
          <cell r="D9357">
            <v>167420951</v>
          </cell>
          <cell r="F9357" t="str">
            <v>SM 2024</v>
          </cell>
        </row>
        <row r="9358">
          <cell r="A9358" t="str">
            <v>BGD</v>
          </cell>
          <cell r="B9358">
            <v>2021</v>
          </cell>
          <cell r="C9358" t="str">
            <v>mfbxfstremtcd</v>
          </cell>
          <cell r="D9358">
            <v>24777.710000000003</v>
          </cell>
          <cell r="F9358" t="str">
            <v>SM 2024</v>
          </cell>
        </row>
        <row r="9359">
          <cell r="A9359" t="str">
            <v>BGD</v>
          </cell>
          <cell r="B9359">
            <v>2021</v>
          </cell>
          <cell r="C9359" t="str">
            <v>mfgdppckn</v>
          </cell>
          <cell r="D9359">
            <v>167336.27387630352</v>
          </cell>
          <cell r="F9359" t="str">
            <v>SM 2024</v>
          </cell>
        </row>
        <row r="9360">
          <cell r="A9360" t="str">
            <v>BGD</v>
          </cell>
          <cell r="B9360">
            <v>2021</v>
          </cell>
          <cell r="C9360" t="str">
            <v>mfnvagrtotlkn</v>
          </cell>
          <cell r="D9360">
            <v>3290752.9999999981</v>
          </cell>
          <cell r="F9360" t="str">
            <v>SM 2024</v>
          </cell>
        </row>
        <row r="9361">
          <cell r="A9361" t="str">
            <v>BGD</v>
          </cell>
          <cell r="B9361">
            <v>2021</v>
          </cell>
          <cell r="C9361" t="str">
            <v>mfnvindconskn</v>
          </cell>
          <cell r="D9361">
            <v>2563048.9999999944</v>
          </cell>
          <cell r="F9361" t="str">
            <v>SM 2024</v>
          </cell>
        </row>
        <row r="9362">
          <cell r="A9362" t="str">
            <v>BGD</v>
          </cell>
          <cell r="B9362">
            <v>2021</v>
          </cell>
          <cell r="C9362" t="str">
            <v>mfnvindrestkn</v>
          </cell>
          <cell r="D9362">
            <v>7252759.0000000056</v>
          </cell>
          <cell r="F9362" t="str">
            <v>SM 2024</v>
          </cell>
        </row>
        <row r="9363">
          <cell r="A9363" t="str">
            <v>BGD</v>
          </cell>
          <cell r="B9363">
            <v>2021</v>
          </cell>
          <cell r="C9363" t="str">
            <v>mfnvindtotlkn</v>
          </cell>
          <cell r="D9363">
            <v>9815808</v>
          </cell>
          <cell r="F9363" t="str">
            <v>SM 2024</v>
          </cell>
        </row>
        <row r="9364">
          <cell r="A9364" t="str">
            <v>BGD</v>
          </cell>
          <cell r="B9364">
            <v>2021</v>
          </cell>
          <cell r="C9364" t="str">
            <v>mfnvsrvfinakn</v>
          </cell>
          <cell r="D9364">
            <v>879009.00000000058</v>
          </cell>
          <cell r="F9364" t="str">
            <v>SM 2024</v>
          </cell>
        </row>
        <row r="9365">
          <cell r="A9365" t="str">
            <v>BGD</v>
          </cell>
          <cell r="B9365">
            <v>2021</v>
          </cell>
          <cell r="C9365" t="str">
            <v>mfnvsrvrestkn</v>
          </cell>
          <cell r="D9365">
            <v>10892618</v>
          </cell>
          <cell r="F9365" t="str">
            <v>SM 2024</v>
          </cell>
        </row>
        <row r="9366">
          <cell r="A9366" t="str">
            <v>BGD</v>
          </cell>
          <cell r="B9366">
            <v>2021</v>
          </cell>
          <cell r="C9366" t="str">
            <v>mfnvsrvtotlkn</v>
          </cell>
          <cell r="D9366">
            <v>14151078</v>
          </cell>
          <cell r="F9366" t="str">
            <v>SM 2024</v>
          </cell>
        </row>
        <row r="9367">
          <cell r="A9367" t="str">
            <v>BGD</v>
          </cell>
          <cell r="B9367">
            <v>2021</v>
          </cell>
          <cell r="C9367" t="str">
            <v>mfnvsrvtrnskn</v>
          </cell>
          <cell r="D9367">
            <v>2379450.9999999991</v>
          </cell>
          <cell r="F9367" t="str">
            <v>SM 2024</v>
          </cell>
        </row>
        <row r="9368">
          <cell r="A9368" t="str">
            <v>BGD</v>
          </cell>
          <cell r="B9368">
            <v>2021</v>
          </cell>
          <cell r="C9368" t="str">
            <v>mfnygdpmktpkn</v>
          </cell>
          <cell r="D9368">
            <v>28339444</v>
          </cell>
          <cell r="F9368" t="str">
            <v>SM 2024</v>
          </cell>
        </row>
        <row r="9369">
          <cell r="A9369" t="str">
            <v>BGD</v>
          </cell>
          <cell r="B9369">
            <v>2021</v>
          </cell>
          <cell r="C9369" t="str">
            <v>mfpop_totl</v>
          </cell>
          <cell r="D9369">
            <v>169356251</v>
          </cell>
          <cell r="F9369" t="str">
            <v>SM 2024</v>
          </cell>
        </row>
        <row r="9370">
          <cell r="A9370" t="str">
            <v>BGD</v>
          </cell>
          <cell r="B9370">
            <v>2022</v>
          </cell>
          <cell r="C9370" t="str">
            <v>mfbxfstremtcd</v>
          </cell>
          <cell r="D9370">
            <v>21031.680000000011</v>
          </cell>
          <cell r="F9370" t="str">
            <v>SM 2024</v>
          </cell>
        </row>
        <row r="9371">
          <cell r="A9371" t="str">
            <v>BGD</v>
          </cell>
          <cell r="B9371">
            <v>2022</v>
          </cell>
          <cell r="C9371" t="str">
            <v>mfgdppckn</v>
          </cell>
          <cell r="D9371">
            <v>177300.88247152706</v>
          </cell>
          <cell r="F9371" t="str">
            <v>SM 2024</v>
          </cell>
        </row>
        <row r="9372">
          <cell r="A9372" t="str">
            <v>BGD</v>
          </cell>
          <cell r="B9372">
            <v>2022</v>
          </cell>
          <cell r="C9372" t="str">
            <v>mfnvagrtotlkn</v>
          </cell>
          <cell r="D9372">
            <v>3391251.9999999977</v>
          </cell>
          <cell r="F9372" t="str">
            <v>SM 2024</v>
          </cell>
        </row>
        <row r="9373">
          <cell r="A9373" t="str">
            <v>BGD</v>
          </cell>
          <cell r="B9373">
            <v>2022</v>
          </cell>
          <cell r="C9373" t="str">
            <v>mfnvindconskn</v>
          </cell>
          <cell r="D9373">
            <v>2786275.9999999907</v>
          </cell>
          <cell r="F9373" t="str">
            <v>SM 2024</v>
          </cell>
        </row>
        <row r="9374">
          <cell r="A9374" t="str">
            <v>BGD</v>
          </cell>
          <cell r="B9374">
            <v>2022</v>
          </cell>
          <cell r="C9374" t="str">
            <v>mfnvindrestkn</v>
          </cell>
          <cell r="D9374">
            <v>7996947.0000000056</v>
          </cell>
          <cell r="F9374" t="str">
            <v>SM 2024</v>
          </cell>
        </row>
        <row r="9375">
          <cell r="A9375" t="str">
            <v>BGD</v>
          </cell>
          <cell r="B9375">
            <v>2022</v>
          </cell>
          <cell r="C9375" t="str">
            <v>mfnvindtotlkn</v>
          </cell>
          <cell r="D9375">
            <v>10783222.999999996</v>
          </cell>
          <cell r="F9375" t="str">
            <v>SM 2024</v>
          </cell>
        </row>
        <row r="9376">
          <cell r="A9376" t="str">
            <v>BGD</v>
          </cell>
          <cell r="B9376">
            <v>2022</v>
          </cell>
          <cell r="C9376" t="str">
            <v>mfnvsrvfinakn</v>
          </cell>
          <cell r="D9376">
            <v>930615.00000000023</v>
          </cell>
          <cell r="F9376" t="str">
            <v>SM 2024</v>
          </cell>
        </row>
        <row r="9377">
          <cell r="A9377" t="str">
            <v>BGD</v>
          </cell>
          <cell r="B9377">
            <v>2022</v>
          </cell>
          <cell r="C9377" t="str">
            <v>mfnvsrvrestkn</v>
          </cell>
          <cell r="D9377">
            <v>11592952</v>
          </cell>
          <cell r="F9377" t="str">
            <v>SM 2024</v>
          </cell>
        </row>
        <row r="9378">
          <cell r="A9378" t="str">
            <v>BGD</v>
          </cell>
          <cell r="B9378">
            <v>2022</v>
          </cell>
          <cell r="C9378" t="str">
            <v>mfnvsrvtotlkn</v>
          </cell>
          <cell r="D9378">
            <v>15036465</v>
          </cell>
          <cell r="F9378" t="str">
            <v>SM 2024</v>
          </cell>
        </row>
        <row r="9379">
          <cell r="A9379" t="str">
            <v>BGD</v>
          </cell>
          <cell r="B9379">
            <v>2022</v>
          </cell>
          <cell r="C9379" t="str">
            <v>mfnvsrvtrnskn</v>
          </cell>
          <cell r="D9379">
            <v>2512898.0000000009</v>
          </cell>
          <cell r="F9379" t="str">
            <v>SM 2024</v>
          </cell>
        </row>
        <row r="9380">
          <cell r="A9380" t="str">
            <v>BGD</v>
          </cell>
          <cell r="B9380">
            <v>2022</v>
          </cell>
          <cell r="C9380" t="str">
            <v>mfnygdpmktpkn</v>
          </cell>
          <cell r="D9380">
            <v>30351494.999999993</v>
          </cell>
          <cell r="F9380" t="str">
            <v>SM 2024</v>
          </cell>
        </row>
        <row r="9381">
          <cell r="A9381" t="str">
            <v>BGD</v>
          </cell>
          <cell r="B9381">
            <v>2022</v>
          </cell>
          <cell r="C9381" t="str">
            <v>mfpop_totl</v>
          </cell>
          <cell r="D9381">
            <v>171186373</v>
          </cell>
          <cell r="F9381" t="str">
            <v>SM 2024</v>
          </cell>
        </row>
        <row r="9382">
          <cell r="A9382" t="str">
            <v>BGD</v>
          </cell>
          <cell r="B9382">
            <v>2023</v>
          </cell>
          <cell r="C9382" t="str">
            <v>mfbxfstremtcd</v>
          </cell>
          <cell r="D9382">
            <v>21610.2</v>
          </cell>
          <cell r="F9382" t="str">
            <v>SM 2024</v>
          </cell>
        </row>
        <row r="9383">
          <cell r="A9383" t="str">
            <v>BGD</v>
          </cell>
          <cell r="B9383">
            <v>2023</v>
          </cell>
          <cell r="C9383" t="str">
            <v>mfgdppckn</v>
          </cell>
          <cell r="D9383">
            <v>185623.17024300501</v>
          </cell>
          <cell r="F9383" t="str">
            <v>SM 2024</v>
          </cell>
        </row>
        <row r="9384">
          <cell r="A9384" t="str">
            <v>BGD</v>
          </cell>
          <cell r="B9384">
            <v>2023</v>
          </cell>
          <cell r="C9384" t="str">
            <v>mfnvagrtotlkn</v>
          </cell>
          <cell r="D9384">
            <v>3505585.9999999907</v>
          </cell>
          <cell r="F9384" t="str">
            <v>SM 2024</v>
          </cell>
        </row>
        <row r="9385">
          <cell r="A9385" t="str">
            <v>BGD</v>
          </cell>
          <cell r="B9385">
            <v>2023</v>
          </cell>
          <cell r="C9385" t="str">
            <v>mfnvindconskn</v>
          </cell>
          <cell r="D9385">
            <v>2980793.9999999907</v>
          </cell>
          <cell r="F9385" t="str">
            <v>SM 2024</v>
          </cell>
        </row>
        <row r="9386">
          <cell r="A9386" t="str">
            <v>BGD</v>
          </cell>
          <cell r="B9386">
            <v>2023</v>
          </cell>
          <cell r="C9386" t="str">
            <v>mfnvindrestkn</v>
          </cell>
          <cell r="D9386">
            <v>8704697.0000000037</v>
          </cell>
          <cell r="F9386" t="str">
            <v>SM 2024</v>
          </cell>
        </row>
        <row r="9387">
          <cell r="A9387" t="str">
            <v>BGD</v>
          </cell>
          <cell r="B9387">
            <v>2023</v>
          </cell>
          <cell r="C9387" t="str">
            <v>mfnvindtotlkn</v>
          </cell>
          <cell r="D9387">
            <v>11685490.999999994</v>
          </cell>
          <cell r="F9387" t="str">
            <v>SM 2024</v>
          </cell>
        </row>
        <row r="9388">
          <cell r="A9388" t="str">
            <v>BGD</v>
          </cell>
          <cell r="B9388">
            <v>2023</v>
          </cell>
          <cell r="C9388" t="str">
            <v>mfnvsrvfinakn</v>
          </cell>
          <cell r="D9388">
            <v>954326.00000000035</v>
          </cell>
          <cell r="F9388" t="str">
            <v>SM 2024</v>
          </cell>
        </row>
        <row r="9389">
          <cell r="A9389" t="str">
            <v>BGD</v>
          </cell>
          <cell r="B9389">
            <v>2023</v>
          </cell>
          <cell r="C9389" t="str">
            <v>mfnvsrvrestkn</v>
          </cell>
          <cell r="D9389">
            <v>12235802.000000006</v>
          </cell>
          <cell r="F9389" t="str">
            <v>SM 2024</v>
          </cell>
        </row>
        <row r="9390">
          <cell r="A9390" t="str">
            <v>BGD</v>
          </cell>
          <cell r="B9390">
            <v>2023</v>
          </cell>
          <cell r="C9390" t="str">
            <v>mfnvsrvtotlkn</v>
          </cell>
          <cell r="D9390">
            <v>15844110.000000006</v>
          </cell>
          <cell r="F9390" t="str">
            <v>SM 2024</v>
          </cell>
        </row>
        <row r="9391">
          <cell r="A9391" t="str">
            <v>BGD</v>
          </cell>
          <cell r="B9391">
            <v>2023</v>
          </cell>
          <cell r="C9391" t="str">
            <v>mfnvsrvtrnskn</v>
          </cell>
          <cell r="D9391">
            <v>2653981.9999999995</v>
          </cell>
          <cell r="F9391" t="str">
            <v>SM 2024</v>
          </cell>
        </row>
        <row r="9392">
          <cell r="A9392" t="str">
            <v>BGD</v>
          </cell>
          <cell r="B9392">
            <v>2023</v>
          </cell>
          <cell r="C9392" t="str">
            <v>mfnygdpmktpkn</v>
          </cell>
          <cell r="D9392">
            <v>32104328.999999993</v>
          </cell>
          <cell r="F9392" t="str">
            <v>SM 2024</v>
          </cell>
        </row>
        <row r="9393">
          <cell r="A9393" t="str">
            <v>BGD</v>
          </cell>
          <cell r="B9393">
            <v>2023</v>
          </cell>
          <cell r="C9393" t="str">
            <v>mfpop_totl</v>
          </cell>
          <cell r="D9393">
            <v>172954318.99999997</v>
          </cell>
          <cell r="F9393" t="str">
            <v>SM 2024</v>
          </cell>
        </row>
        <row r="9394">
          <cell r="A9394" t="str">
            <v>BGD</v>
          </cell>
          <cell r="B9394">
            <v>2024</v>
          </cell>
          <cell r="C9394" t="str">
            <v>mfbxfstremtcd</v>
          </cell>
          <cell r="D9394">
            <v>22366.577699999998</v>
          </cell>
          <cell r="F9394" t="str">
            <v>SM 2024</v>
          </cell>
        </row>
        <row r="9395">
          <cell r="A9395" t="str">
            <v>BGD</v>
          </cell>
          <cell r="B9395">
            <v>2024</v>
          </cell>
          <cell r="C9395" t="str">
            <v>mfgdppckn</v>
          </cell>
          <cell r="D9395">
            <v>194137.08575426164</v>
          </cell>
          <cell r="F9395" t="str">
            <v>SM 2024</v>
          </cell>
        </row>
        <row r="9396">
          <cell r="A9396" t="str">
            <v>BGD</v>
          </cell>
          <cell r="B9396">
            <v>2024</v>
          </cell>
          <cell r="C9396" t="str">
            <v>mfnvagrtotlkn</v>
          </cell>
          <cell r="D9396">
            <v>3614259.16599999</v>
          </cell>
          <cell r="F9396" t="str">
            <v>SM 2024</v>
          </cell>
        </row>
        <row r="9397">
          <cell r="A9397" t="str">
            <v>BGD</v>
          </cell>
          <cell r="B9397">
            <v>2024</v>
          </cell>
          <cell r="C9397" t="str">
            <v>mfnvindconskn</v>
          </cell>
          <cell r="D9397">
            <v>3031263.5366130602</v>
          </cell>
          <cell r="F9397" t="str">
            <v>SM 2024</v>
          </cell>
        </row>
        <row r="9398">
          <cell r="A9398" t="str">
            <v>BGD</v>
          </cell>
          <cell r="B9398">
            <v>2024</v>
          </cell>
          <cell r="C9398" t="str">
            <v>mfnvindrestkn</v>
          </cell>
          <cell r="D9398">
            <v>9425469.8693869337</v>
          </cell>
          <cell r="F9398" t="str">
            <v>SM 2024</v>
          </cell>
        </row>
        <row r="9399">
          <cell r="A9399" t="str">
            <v>BGD</v>
          </cell>
          <cell r="B9399">
            <v>2024</v>
          </cell>
          <cell r="C9399" t="str">
            <v>mfnvindtotlkn</v>
          </cell>
          <cell r="D9399">
            <v>12456733.405999994</v>
          </cell>
          <cell r="F9399" t="str">
            <v>SM 2024</v>
          </cell>
        </row>
        <row r="9400">
          <cell r="A9400" t="str">
            <v>BGD</v>
          </cell>
          <cell r="B9400">
            <v>2024</v>
          </cell>
          <cell r="C9400" t="str">
            <v>mfnvsrvfinakn</v>
          </cell>
          <cell r="D9400">
            <v>1017246.3249432732</v>
          </cell>
          <cell r="F9400" t="str">
            <v>SM 2024</v>
          </cell>
        </row>
        <row r="9401">
          <cell r="A9401" t="str">
            <v>BGD</v>
          </cell>
          <cell r="B9401">
            <v>2024</v>
          </cell>
          <cell r="C9401" t="str">
            <v>mfnvsrvrestkn</v>
          </cell>
          <cell r="D9401">
            <v>12888100.235131629</v>
          </cell>
          <cell r="F9401" t="str">
            <v>SM 2024</v>
          </cell>
        </row>
        <row r="9402">
          <cell r="A9402" t="str">
            <v>BGD</v>
          </cell>
          <cell r="B9402">
            <v>2024</v>
          </cell>
          <cell r="C9402" t="str">
            <v>mfnvsrvtotlkn</v>
          </cell>
          <cell r="D9402">
            <v>16737510.713175127</v>
          </cell>
          <cell r="F9402" t="str">
            <v>SM 2024</v>
          </cell>
        </row>
        <row r="9403">
          <cell r="A9403" t="str">
            <v>BGD</v>
          </cell>
          <cell r="B9403">
            <v>2024</v>
          </cell>
          <cell r="C9403" t="str">
            <v>mfnvsrvtrnskn</v>
          </cell>
          <cell r="D9403">
            <v>2832164.1531002247</v>
          </cell>
          <cell r="F9403" t="str">
            <v>SM 2024</v>
          </cell>
        </row>
        <row r="9404">
          <cell r="A9404" t="str">
            <v>BGD</v>
          </cell>
          <cell r="B9404">
            <v>2024</v>
          </cell>
          <cell r="C9404" t="str">
            <v>mfnygdpmktpkn</v>
          </cell>
          <cell r="D9404">
            <v>33915983.981280357</v>
          </cell>
          <cell r="F9404" t="str">
            <v>SM 2024</v>
          </cell>
        </row>
        <row r="9405">
          <cell r="A9405" t="str">
            <v>BGD</v>
          </cell>
          <cell r="B9405">
            <v>2024</v>
          </cell>
          <cell r="C9405" t="str">
            <v>mfpop_totl</v>
          </cell>
          <cell r="D9405">
            <v>174701211</v>
          </cell>
          <cell r="F9405" t="str">
            <v>SM 2024</v>
          </cell>
        </row>
        <row r="9406">
          <cell r="A9406" t="str">
            <v>BGD</v>
          </cell>
          <cell r="B9406">
            <v>2025</v>
          </cell>
          <cell r="C9406" t="str">
            <v>mfbxfstremtcd</v>
          </cell>
          <cell r="D9406">
            <v>24044.071027499998</v>
          </cell>
          <cell r="F9406" t="str">
            <v>SM 2024</v>
          </cell>
        </row>
        <row r="9407">
          <cell r="A9407" t="str">
            <v>BGD</v>
          </cell>
          <cell r="B9407">
            <v>2025</v>
          </cell>
          <cell r="C9407" t="str">
            <v>mfgdppckn</v>
          </cell>
          <cell r="D9407">
            <v>203167.38854920864</v>
          </cell>
          <cell r="F9407" t="str">
            <v>SM 2024</v>
          </cell>
        </row>
        <row r="9408">
          <cell r="A9408" t="str">
            <v>BGD</v>
          </cell>
          <cell r="B9408">
            <v>2025</v>
          </cell>
          <cell r="C9408" t="str">
            <v>mfnvagrtotlkn</v>
          </cell>
          <cell r="D9408">
            <v>3726301.2001459892</v>
          </cell>
          <cell r="F9408" t="str">
            <v>SM 2024</v>
          </cell>
        </row>
        <row r="9409">
          <cell r="A9409" t="str">
            <v>BGD</v>
          </cell>
          <cell r="B9409">
            <v>2025</v>
          </cell>
          <cell r="C9409" t="str">
            <v>mfnvindconskn</v>
          </cell>
          <cell r="D9409">
            <v>3243520.8316052463</v>
          </cell>
          <cell r="F9409" t="str">
            <v>SM 2024</v>
          </cell>
        </row>
        <row r="9410">
          <cell r="A9410" t="str">
            <v>BGD</v>
          </cell>
          <cell r="B9410">
            <v>2025</v>
          </cell>
          <cell r="C9410" t="str">
            <v>mfnvindrestkn</v>
          </cell>
          <cell r="D9410">
            <v>10110097.379626747</v>
          </cell>
          <cell r="F9410" t="str">
            <v>SM 2024</v>
          </cell>
        </row>
        <row r="9411">
          <cell r="A9411" t="str">
            <v>BGD</v>
          </cell>
          <cell r="B9411">
            <v>2025</v>
          </cell>
          <cell r="C9411" t="str">
            <v>mfnvindtotlkn</v>
          </cell>
          <cell r="D9411">
            <v>13353618.211231994</v>
          </cell>
          <cell r="F9411" t="str">
            <v>SM 2024</v>
          </cell>
        </row>
        <row r="9412">
          <cell r="A9412" t="str">
            <v>BGD</v>
          </cell>
          <cell r="B9412">
            <v>2025</v>
          </cell>
          <cell r="C9412" t="str">
            <v>mfnvsrvfinakn</v>
          </cell>
          <cell r="D9412">
            <v>1086419.0750394159</v>
          </cell>
          <cell r="F9412" t="str">
            <v>SM 2024</v>
          </cell>
        </row>
        <row r="9413">
          <cell r="A9413" t="str">
            <v>BGD</v>
          </cell>
          <cell r="B9413">
            <v>2025</v>
          </cell>
          <cell r="C9413" t="str">
            <v>mfnvsrvrestkn</v>
          </cell>
          <cell r="D9413">
            <v>13420501.862083349</v>
          </cell>
          <cell r="F9413" t="str">
            <v>SM 2024</v>
          </cell>
        </row>
        <row r="9414">
          <cell r="A9414" t="str">
            <v>BGD</v>
          </cell>
          <cell r="B9414">
            <v>2025</v>
          </cell>
          <cell r="C9414" t="str">
            <v>mfnvsrvtotlkn</v>
          </cell>
          <cell r="D9414">
            <v>17592770.072269551</v>
          </cell>
          <cell r="F9414" t="str">
            <v>SM 2024</v>
          </cell>
        </row>
        <row r="9415">
          <cell r="A9415" t="str">
            <v>BGD</v>
          </cell>
          <cell r="B9415">
            <v>2025</v>
          </cell>
          <cell r="C9415" t="str">
            <v>mfnvsrvtrnskn</v>
          </cell>
          <cell r="D9415">
            <v>3085849.1351467855</v>
          </cell>
          <cell r="F9415" t="str">
            <v>SM 2024</v>
          </cell>
        </row>
        <row r="9416">
          <cell r="A9416" t="str">
            <v>BGD</v>
          </cell>
          <cell r="B9416">
            <v>2025</v>
          </cell>
          <cell r="C9416" t="str">
            <v>mfnygdpmktpkn</v>
          </cell>
          <cell r="D9416">
            <v>35843097.4706081</v>
          </cell>
          <cell r="F9416" t="str">
            <v>SM 2024</v>
          </cell>
        </row>
        <row r="9417">
          <cell r="A9417" t="str">
            <v>BGD</v>
          </cell>
          <cell r="B9417">
            <v>2025</v>
          </cell>
          <cell r="C9417" t="str">
            <v>mfpop_totl</v>
          </cell>
          <cell r="D9417">
            <v>176421510.00000003</v>
          </cell>
          <cell r="F9417" t="str">
            <v>SM 2024</v>
          </cell>
        </row>
        <row r="9418">
          <cell r="A9418" t="str">
            <v>BGD</v>
          </cell>
          <cell r="B9418">
            <v>2026</v>
          </cell>
          <cell r="C9418" t="str">
            <v>mfbxfstremtcd</v>
          </cell>
          <cell r="D9418">
            <v>25077.966081682498</v>
          </cell>
          <cell r="F9418" t="str">
            <v>SM 2024</v>
          </cell>
        </row>
        <row r="9419">
          <cell r="A9419" t="str">
            <v>BGD</v>
          </cell>
          <cell r="B9419">
            <v>2026</v>
          </cell>
          <cell r="C9419" t="str">
            <v>mfgdppckn</v>
          </cell>
          <cell r="D9419">
            <v>213163.30734638392</v>
          </cell>
          <cell r="F9419" t="str">
            <v>SM 2024</v>
          </cell>
        </row>
        <row r="9420">
          <cell r="A9420" t="str">
            <v>BGD</v>
          </cell>
          <cell r="B9420">
            <v>2026</v>
          </cell>
          <cell r="C9420" t="str">
            <v>mfnvagrtotlkn</v>
          </cell>
          <cell r="D9420">
            <v>3845542.8385506608</v>
          </cell>
          <cell r="F9420" t="str">
            <v>SM 2024</v>
          </cell>
        </row>
        <row r="9421">
          <cell r="A9421" t="str">
            <v>BGD</v>
          </cell>
          <cell r="B9421">
            <v>2026</v>
          </cell>
          <cell r="C9421" t="str">
            <v>mfnvindconskn</v>
          </cell>
          <cell r="D9421">
            <v>3540218.3908106163</v>
          </cell>
          <cell r="F9421" t="str">
            <v>SM 2024</v>
          </cell>
        </row>
        <row r="9422">
          <cell r="A9422" t="str">
            <v>BGD</v>
          </cell>
          <cell r="B9422">
            <v>2026</v>
          </cell>
          <cell r="C9422" t="str">
            <v>mfnvindrestkn</v>
          </cell>
          <cell r="D9422">
            <v>10721445.858785154</v>
          </cell>
          <cell r="F9422" t="str">
            <v>SM 2024</v>
          </cell>
        </row>
        <row r="9423">
          <cell r="A9423" t="str">
            <v>BGD</v>
          </cell>
          <cell r="B9423">
            <v>2026</v>
          </cell>
          <cell r="C9423" t="str">
            <v>mfnvindtotlkn</v>
          </cell>
          <cell r="D9423">
            <v>14261664.249595771</v>
          </cell>
          <cell r="F9423" t="str">
            <v>SM 2024</v>
          </cell>
        </row>
        <row r="9424">
          <cell r="A9424" t="str">
            <v>BGD</v>
          </cell>
          <cell r="B9424">
            <v>2026</v>
          </cell>
          <cell r="C9424" t="str">
            <v>mfnvsrvfinakn</v>
          </cell>
          <cell r="D9424">
            <v>1175505.439192648</v>
          </cell>
          <cell r="F9424" t="str">
            <v>SM 2024</v>
          </cell>
        </row>
        <row r="9425">
          <cell r="A9425" t="str">
            <v>BGD</v>
          </cell>
          <cell r="B9425">
            <v>2026</v>
          </cell>
          <cell r="C9425" t="str">
            <v>mfnvsrvrestkn</v>
          </cell>
          <cell r="D9425">
            <v>14078663.029926665</v>
          </cell>
          <cell r="F9425" t="str">
            <v>SM 2024</v>
          </cell>
        </row>
        <row r="9426">
          <cell r="A9426" t="str">
            <v>BGD</v>
          </cell>
          <cell r="B9426">
            <v>2026</v>
          </cell>
          <cell r="C9426" t="str">
            <v>mfnvsrvtotlkn</v>
          </cell>
          <cell r="D9426">
            <v>18616921.610366233</v>
          </cell>
          <cell r="F9426" t="str">
            <v>SM 2024</v>
          </cell>
        </row>
        <row r="9427">
          <cell r="A9427" t="str">
            <v>BGD</v>
          </cell>
          <cell r="B9427">
            <v>2026</v>
          </cell>
          <cell r="C9427" t="str">
            <v>mfnvsrvtrnskn</v>
          </cell>
          <cell r="D9427">
            <v>3362753.1412469191</v>
          </cell>
          <cell r="F9427" t="str">
            <v>SM 2024</v>
          </cell>
        </row>
        <row r="9428">
          <cell r="A9428" t="str">
            <v>BGD</v>
          </cell>
          <cell r="B9428">
            <v>2026</v>
          </cell>
          <cell r="C9428" t="str">
            <v>mfnygdpmktpkn</v>
          </cell>
          <cell r="D9428">
            <v>37965693.008444853</v>
          </cell>
          <cell r="F9428" t="str">
            <v>SM 2024</v>
          </cell>
        </row>
        <row r="9429">
          <cell r="A9429" t="str">
            <v>BGD</v>
          </cell>
          <cell r="B9429">
            <v>2026</v>
          </cell>
          <cell r="C9429" t="str">
            <v>mfpop_totl</v>
          </cell>
          <cell r="D9429">
            <v>178106136</v>
          </cell>
          <cell r="F9429" t="str">
            <v>SM 2024</v>
          </cell>
        </row>
        <row r="9430">
          <cell r="A9430" t="str">
            <v>BGD</v>
          </cell>
          <cell r="B9430">
            <v>2027</v>
          </cell>
          <cell r="C9430" t="str">
            <v>mfbxfstremtcd</v>
          </cell>
          <cell r="D9430">
            <v>25955.694894541382</v>
          </cell>
          <cell r="F9430" t="str">
            <v>SM 2024</v>
          </cell>
        </row>
        <row r="9431">
          <cell r="A9431" t="str">
            <v>BGD</v>
          </cell>
          <cell r="B9431">
            <v>2027</v>
          </cell>
          <cell r="C9431" t="str">
            <v>mfgdppckn</v>
          </cell>
          <cell r="D9431">
            <v>223863.81523546207</v>
          </cell>
          <cell r="F9431" t="str">
            <v>SM 2024</v>
          </cell>
        </row>
        <row r="9432">
          <cell r="A9432" t="str">
            <v>BGD</v>
          </cell>
          <cell r="B9432">
            <v>2027</v>
          </cell>
          <cell r="C9432" t="str">
            <v>mfnvagrtotlkn</v>
          </cell>
          <cell r="D9432">
            <v>3970522.9808035572</v>
          </cell>
          <cell r="F9432" t="str">
            <v>SM 2024</v>
          </cell>
        </row>
        <row r="9433">
          <cell r="A9433" t="str">
            <v>BGD</v>
          </cell>
          <cell r="B9433">
            <v>2027</v>
          </cell>
          <cell r="C9433" t="str">
            <v>mfnvindconskn</v>
          </cell>
          <cell r="D9433">
            <v>4037185.4353527054</v>
          </cell>
          <cell r="F9433" t="str">
            <v>SM 2024</v>
          </cell>
        </row>
        <row r="9434">
          <cell r="A9434" t="str">
            <v>BGD</v>
          </cell>
          <cell r="B9434">
            <v>2027</v>
          </cell>
          <cell r="C9434" t="str">
            <v>mfnvindrestkn</v>
          </cell>
          <cell r="D9434">
            <v>11251318.640213961</v>
          </cell>
          <cell r="F9434" t="str">
            <v>SM 2024</v>
          </cell>
        </row>
        <row r="9435">
          <cell r="A9435" t="str">
            <v>BGD</v>
          </cell>
          <cell r="B9435">
            <v>2027</v>
          </cell>
          <cell r="C9435" t="str">
            <v>mfnvindtotlkn</v>
          </cell>
          <cell r="D9435">
            <v>15288504.075566666</v>
          </cell>
          <cell r="F9435" t="str">
            <v>SM 2024</v>
          </cell>
        </row>
        <row r="9436">
          <cell r="A9436" t="str">
            <v>BGD</v>
          </cell>
          <cell r="B9436">
            <v>2027</v>
          </cell>
          <cell r="C9436" t="str">
            <v>mfnvsrvfinakn</v>
          </cell>
          <cell r="D9436">
            <v>1262492.841692904</v>
          </cell>
          <cell r="F9436" t="str">
            <v>SM 2024</v>
          </cell>
        </row>
        <row r="9437">
          <cell r="A9437" t="str">
            <v>BGD</v>
          </cell>
          <cell r="B9437">
            <v>2027</v>
          </cell>
          <cell r="C9437" t="str">
            <v>mfnvsrvrestkn</v>
          </cell>
          <cell r="D9437">
            <v>14772029.933294186</v>
          </cell>
          <cell r="F9437" t="str">
            <v>SM 2024</v>
          </cell>
        </row>
        <row r="9438">
          <cell r="A9438" t="str">
            <v>BGD</v>
          </cell>
          <cell r="B9438">
            <v>2027</v>
          </cell>
          <cell r="C9438" t="str">
            <v>mfnvsrvtotlkn</v>
          </cell>
          <cell r="D9438">
            <v>19662933.414392516</v>
          </cell>
          <cell r="F9438" t="str">
            <v>SM 2024</v>
          </cell>
        </row>
        <row r="9439">
          <cell r="A9439" t="str">
            <v>BGD</v>
          </cell>
          <cell r="B9439">
            <v>2027</v>
          </cell>
          <cell r="C9439" t="str">
            <v>mfnvsrvtrnskn</v>
          </cell>
          <cell r="D9439">
            <v>3628410.6394054256</v>
          </cell>
          <cell r="F9439" t="str">
            <v>SM 2024</v>
          </cell>
        </row>
        <row r="9440">
          <cell r="A9440" t="str">
            <v>BGD</v>
          </cell>
          <cell r="B9440">
            <v>2027</v>
          </cell>
          <cell r="C9440" t="str">
            <v>mfnygdpmktpkn</v>
          </cell>
          <cell r="D9440">
            <v>40239960.457107425</v>
          </cell>
          <cell r="F9440" t="str">
            <v>SM 2024</v>
          </cell>
        </row>
        <row r="9441">
          <cell r="A9441" t="str">
            <v>BGD</v>
          </cell>
          <cell r="B9441">
            <v>2027</v>
          </cell>
          <cell r="C9441" t="str">
            <v>mfpop_totl</v>
          </cell>
          <cell r="D9441">
            <v>179751963.99999997</v>
          </cell>
          <cell r="F9441" t="str">
            <v>SM 2024</v>
          </cell>
        </row>
        <row r="9442">
          <cell r="A9442" t="str">
            <v>BGD</v>
          </cell>
          <cell r="B9442">
            <v>2028</v>
          </cell>
          <cell r="C9442" t="str">
            <v>mfbxfstremtcd</v>
          </cell>
          <cell r="D9442">
            <v>28037.923357323634</v>
          </cell>
          <cell r="F9442" t="str">
            <v>SM 2024</v>
          </cell>
        </row>
        <row r="9443">
          <cell r="A9443" t="str">
            <v>BGD</v>
          </cell>
          <cell r="B9443">
            <v>2028</v>
          </cell>
          <cell r="C9443" t="str">
            <v>mfgdppckn</v>
          </cell>
          <cell r="D9443">
            <v>237038.55752194297</v>
          </cell>
          <cell r="F9443" t="str">
            <v>SM 2024</v>
          </cell>
        </row>
        <row r="9444">
          <cell r="A9444" t="str">
            <v>BGD</v>
          </cell>
          <cell r="B9444">
            <v>2028</v>
          </cell>
          <cell r="C9444" t="str">
            <v>mfnvagrtotlkn</v>
          </cell>
          <cell r="D9444">
            <v>4102741.3960643159</v>
          </cell>
          <cell r="F9444" t="str">
            <v>SM 2024</v>
          </cell>
        </row>
        <row r="9445">
          <cell r="A9445" t="str">
            <v>BGD</v>
          </cell>
          <cell r="B9445">
            <v>2028</v>
          </cell>
          <cell r="C9445" t="str">
            <v>mfnvindconskn</v>
          </cell>
          <cell r="D9445">
            <v>4524898.9546360709</v>
          </cell>
          <cell r="F9445" t="str">
            <v>SM 2024</v>
          </cell>
        </row>
        <row r="9446">
          <cell r="A9446" t="str">
            <v>BGD</v>
          </cell>
          <cell r="B9446">
            <v>2028</v>
          </cell>
          <cell r="C9446" t="str">
            <v>mfnvindrestkn</v>
          </cell>
          <cell r="D9446">
            <v>11711492.373615729</v>
          </cell>
          <cell r="F9446" t="str">
            <v>SM 2024</v>
          </cell>
        </row>
        <row r="9447">
          <cell r="A9447" t="str">
            <v>BGD</v>
          </cell>
          <cell r="B9447">
            <v>2028</v>
          </cell>
          <cell r="C9447" t="str">
            <v>mfnvindtotlkn</v>
          </cell>
          <cell r="D9447">
            <v>16236391.3282518</v>
          </cell>
          <cell r="F9447" t="str">
            <v>SM 2024</v>
          </cell>
        </row>
        <row r="9448">
          <cell r="A9448" t="str">
            <v>BGD</v>
          </cell>
          <cell r="B9448">
            <v>2028</v>
          </cell>
          <cell r="C9448" t="str">
            <v>mfnvsrvfinakn</v>
          </cell>
          <cell r="D9448">
            <v>1401593.3545874557</v>
          </cell>
          <cell r="F9448" t="str">
            <v>SM 2024</v>
          </cell>
        </row>
        <row r="9449">
          <cell r="A9449" t="str">
            <v>BGD</v>
          </cell>
          <cell r="B9449">
            <v>2028</v>
          </cell>
          <cell r="C9449" t="str">
            <v>mfnvsrvrestkn</v>
          </cell>
          <cell r="D9449">
            <v>15878297.574264737</v>
          </cell>
          <cell r="F9449" t="str">
            <v>SM 2024</v>
          </cell>
        </row>
        <row r="9450">
          <cell r="A9450" t="str">
            <v>BGD</v>
          </cell>
          <cell r="B9450">
            <v>2028</v>
          </cell>
          <cell r="C9450" t="str">
            <v>mfnvsrvtotlkn</v>
          </cell>
          <cell r="D9450">
            <v>21241293.013720691</v>
          </cell>
          <cell r="F9450" t="str">
            <v>SM 2024</v>
          </cell>
        </row>
        <row r="9451">
          <cell r="A9451" t="str">
            <v>BGD</v>
          </cell>
          <cell r="B9451">
            <v>2028</v>
          </cell>
          <cell r="C9451" t="str">
            <v>mfnvsrvtrnskn</v>
          </cell>
          <cell r="D9451">
            <v>3961402.0848684986</v>
          </cell>
          <cell r="F9451" t="str">
            <v>SM 2024</v>
          </cell>
        </row>
        <row r="9452">
          <cell r="A9452" t="str">
            <v>BGD</v>
          </cell>
          <cell r="B9452">
            <v>2028</v>
          </cell>
          <cell r="C9452" t="str">
            <v>mfnygdpmktpkn</v>
          </cell>
          <cell r="D9452">
            <v>42988384.786226884</v>
          </cell>
          <cell r="F9452" t="str">
            <v>SM 2024</v>
          </cell>
        </row>
        <row r="9453">
          <cell r="A9453" t="str">
            <v>BGD</v>
          </cell>
          <cell r="B9453">
            <v>2028</v>
          </cell>
          <cell r="C9453" t="str">
            <v>mfpop_totl</v>
          </cell>
          <cell r="D9453">
            <v>181356085</v>
          </cell>
          <cell r="F9453" t="str">
            <v>SM 2024</v>
          </cell>
        </row>
        <row r="9454">
          <cell r="A9454" t="str">
            <v>BGD</v>
          </cell>
          <cell r="B9454">
            <v>2029</v>
          </cell>
          <cell r="C9454" t="str">
            <v>mfbxfstremtcd</v>
          </cell>
          <cell r="D9454">
            <v>30431.459295695444</v>
          </cell>
          <cell r="F9454" t="str">
            <v>SM 2024</v>
          </cell>
        </row>
        <row r="9455">
          <cell r="A9455" t="str">
            <v>BGD</v>
          </cell>
          <cell r="B9455">
            <v>2029</v>
          </cell>
          <cell r="C9455" t="str">
            <v>mfgdppckn</v>
          </cell>
          <cell r="D9455">
            <v>235689.34582300475</v>
          </cell>
          <cell r="F9455" t="str">
            <v>SM 2024</v>
          </cell>
        </row>
        <row r="9456">
          <cell r="A9456" t="str">
            <v>BGD</v>
          </cell>
          <cell r="B9456">
            <v>2029</v>
          </cell>
          <cell r="C9456" t="str">
            <v>mfnvagrtotlkn</v>
          </cell>
          <cell r="D9456">
            <v>4242234.6035305029</v>
          </cell>
          <cell r="F9456" t="str">
            <v>SM 2024</v>
          </cell>
        </row>
        <row r="9457">
          <cell r="A9457" t="str">
            <v>BGD</v>
          </cell>
          <cell r="B9457">
            <v>2029</v>
          </cell>
          <cell r="C9457" t="str">
            <v>mfnvindconskn</v>
          </cell>
          <cell r="D9457">
            <v>5087900.3466370851</v>
          </cell>
          <cell r="F9457" t="str">
            <v>SM 2024</v>
          </cell>
        </row>
        <row r="9458">
          <cell r="A9458" t="str">
            <v>BGD</v>
          </cell>
          <cell r="B9458">
            <v>2029</v>
          </cell>
          <cell r="C9458" t="str">
            <v>mfnvindrestkn</v>
          </cell>
          <cell r="D9458">
            <v>12122674.461309824</v>
          </cell>
          <cell r="F9458" t="str">
            <v>SM 2024</v>
          </cell>
        </row>
        <row r="9459">
          <cell r="A9459" t="str">
            <v>BGD</v>
          </cell>
          <cell r="B9459">
            <v>2029</v>
          </cell>
          <cell r="C9459" t="str">
            <v>mfnvindtotlkn</v>
          </cell>
          <cell r="D9459">
            <v>17210574.807946909</v>
          </cell>
          <cell r="F9459" t="str">
            <v>SM 2024</v>
          </cell>
        </row>
        <row r="9460">
          <cell r="A9460" t="str">
            <v>BGD</v>
          </cell>
          <cell r="B9460">
            <v>2029</v>
          </cell>
          <cell r="C9460" t="str">
            <v>mfnvsrvfinakn</v>
          </cell>
          <cell r="D9460">
            <v>1483721.561078117</v>
          </cell>
          <cell r="F9460" t="str">
            <v>SM 2024</v>
          </cell>
        </row>
        <row r="9461">
          <cell r="A9461" t="str">
            <v>BGD</v>
          </cell>
          <cell r="B9461">
            <v>2029</v>
          </cell>
          <cell r="C9461" t="str">
            <v>mfnvsrvrestkn</v>
          </cell>
          <cell r="D9461">
            <v>14622721.006248139</v>
          </cell>
          <cell r="F9461" t="str">
            <v>SM 2024</v>
          </cell>
        </row>
        <row r="9462">
          <cell r="A9462" t="str">
            <v>BGD</v>
          </cell>
          <cell r="B9462">
            <v>2029</v>
          </cell>
          <cell r="C9462" t="str">
            <v>mfnvsrvtotlkn</v>
          </cell>
          <cell r="D9462">
            <v>20246248.333597776</v>
          </cell>
          <cell r="F9462" t="str">
            <v>SM 2024</v>
          </cell>
        </row>
        <row r="9463">
          <cell r="A9463" t="str">
            <v>BGD</v>
          </cell>
          <cell r="B9463">
            <v>2029</v>
          </cell>
          <cell r="C9463" t="str">
            <v>mfnvsrvtrnskn</v>
          </cell>
          <cell r="D9463">
            <v>4139805.7662715199</v>
          </cell>
          <cell r="F9463" t="str">
            <v>SM 2024</v>
          </cell>
        </row>
        <row r="9464">
          <cell r="A9464" t="str">
            <v>BGD</v>
          </cell>
          <cell r="B9464">
            <v>2029</v>
          </cell>
          <cell r="C9464" t="str">
            <v>mfnygdpmktpkn</v>
          </cell>
          <cell r="D9464">
            <v>43111253.155346148</v>
          </cell>
          <cell r="F9464" t="str">
            <v>SM 2024</v>
          </cell>
        </row>
        <row r="9465">
          <cell r="A9465" t="str">
            <v>BGD</v>
          </cell>
          <cell r="B9465">
            <v>2029</v>
          </cell>
          <cell r="C9465" t="str">
            <v>mfpop_totl</v>
          </cell>
          <cell r="D9465">
            <v>182915579</v>
          </cell>
          <cell r="F9465" t="str">
            <v>SM 2024</v>
          </cell>
        </row>
        <row r="9466">
          <cell r="A9466" t="str">
            <v>BGD</v>
          </cell>
          <cell r="B9466">
            <v>2030</v>
          </cell>
          <cell r="C9466" t="str">
            <v>mfbxfstremtcd</v>
          </cell>
          <cell r="D9466">
            <v>33142.921608087418</v>
          </cell>
          <cell r="F9466" t="str">
            <v>SM 2024</v>
          </cell>
        </row>
        <row r="9467">
          <cell r="A9467" t="str">
            <v>BGD</v>
          </cell>
          <cell r="B9467">
            <v>2030</v>
          </cell>
          <cell r="C9467" t="str">
            <v>mfgdppckn</v>
          </cell>
          <cell r="D9467">
            <v>241742.51339743054</v>
          </cell>
          <cell r="F9467" t="str">
            <v>SM 2024</v>
          </cell>
        </row>
        <row r="9468">
          <cell r="A9468" t="str">
            <v>BGD</v>
          </cell>
          <cell r="B9468">
            <v>2030</v>
          </cell>
          <cell r="C9468" t="str">
            <v>mfnvagrtotlkn</v>
          </cell>
          <cell r="D9468">
            <v>4390712.81465407</v>
          </cell>
          <cell r="F9468" t="str">
            <v>SM 2024</v>
          </cell>
        </row>
        <row r="9469">
          <cell r="A9469" t="str">
            <v>BGD</v>
          </cell>
          <cell r="B9469">
            <v>2030</v>
          </cell>
          <cell r="C9469" t="str">
            <v>mfnvindconskn</v>
          </cell>
          <cell r="D9469">
            <v>5736522.1434220131</v>
          </cell>
          <cell r="F9469" t="str">
            <v>SM 2024</v>
          </cell>
        </row>
        <row r="9470">
          <cell r="A9470" t="str">
            <v>BGD</v>
          </cell>
          <cell r="B9470">
            <v>2030</v>
          </cell>
          <cell r="C9470" t="str">
            <v>mfnvindrestkn</v>
          </cell>
          <cell r="D9470">
            <v>12506687.153001713</v>
          </cell>
          <cell r="F9470" t="str">
            <v>SM 2024</v>
          </cell>
        </row>
        <row r="9471">
          <cell r="A9471" t="str">
            <v>BGD</v>
          </cell>
          <cell r="B9471">
            <v>2030</v>
          </cell>
          <cell r="C9471" t="str">
            <v>mfnvindtotlkn</v>
          </cell>
          <cell r="D9471">
            <v>18243209.296423726</v>
          </cell>
          <cell r="F9471" t="str">
            <v>SM 2024</v>
          </cell>
        </row>
        <row r="9472">
          <cell r="A9472" t="str">
            <v>BGD</v>
          </cell>
          <cell r="B9472">
            <v>2030</v>
          </cell>
          <cell r="C9472" t="str">
            <v>mfnvsrvfinakn</v>
          </cell>
          <cell r="D9472">
            <v>1571198.9443958639</v>
          </cell>
          <cell r="F9472" t="str">
            <v>SM 2024</v>
          </cell>
        </row>
        <row r="9473">
          <cell r="A9473" t="str">
            <v>BGD</v>
          </cell>
          <cell r="B9473">
            <v>2030</v>
          </cell>
          <cell r="C9473" t="str">
            <v>mfnvsrvrestkn</v>
          </cell>
          <cell r="D9473">
            <v>14598418.080731556</v>
          </cell>
          <cell r="F9473" t="str">
            <v>SM 2024</v>
          </cell>
        </row>
        <row r="9474">
          <cell r="A9474" t="str">
            <v>BGD</v>
          </cell>
          <cell r="B9474">
            <v>2030</v>
          </cell>
          <cell r="C9474" t="str">
            <v>mfnvsrvtotlkn</v>
          </cell>
          <cell r="D9474">
            <v>20488902.557040513</v>
          </cell>
          <cell r="F9474" t="str">
            <v>SM 2024</v>
          </cell>
        </row>
        <row r="9475">
          <cell r="A9475" t="str">
            <v>BGD</v>
          </cell>
          <cell r="B9475">
            <v>2030</v>
          </cell>
          <cell r="C9475" t="str">
            <v>mfnvsrvtrnskn</v>
          </cell>
          <cell r="D9475">
            <v>4319285.5319130933</v>
          </cell>
          <cell r="F9475" t="str">
            <v>SM 2024</v>
          </cell>
        </row>
        <row r="9476">
          <cell r="A9476" t="str">
            <v>BGD</v>
          </cell>
          <cell r="B9476">
            <v>2030</v>
          </cell>
          <cell r="C9476" t="str">
            <v>mfnygdpmktpkn</v>
          </cell>
          <cell r="D9476">
            <v>44583156.101729661</v>
          </cell>
          <cell r="F9476" t="str">
            <v>SM 2024</v>
          </cell>
        </row>
        <row r="9477">
          <cell r="A9477" t="str">
            <v>BGD</v>
          </cell>
          <cell r="B9477">
            <v>2030</v>
          </cell>
          <cell r="C9477" t="str">
            <v>mfpop_totl</v>
          </cell>
          <cell r="D9477">
            <v>184424144.00000003</v>
          </cell>
          <cell r="F9477" t="str">
            <v>SM 2024</v>
          </cell>
        </row>
        <row r="9478">
          <cell r="A9478" t="str">
            <v>BGD</v>
          </cell>
          <cell r="B9478">
            <v>2031</v>
          </cell>
          <cell r="C9478" t="str">
            <v>mfbxfstremtcd</v>
          </cell>
          <cell r="D9478">
            <v>37450.790013534861</v>
          </cell>
          <cell r="F9478" t="str">
            <v>SM 2024</v>
          </cell>
        </row>
        <row r="9479">
          <cell r="A9479" t="str">
            <v>BGD</v>
          </cell>
          <cell r="B9479">
            <v>2031</v>
          </cell>
          <cell r="C9479" t="str">
            <v>mfgdppckn</v>
          </cell>
          <cell r="D9479">
            <v>236347.7696645261</v>
          </cell>
          <cell r="F9479" t="str">
            <v>SM 2024</v>
          </cell>
        </row>
        <row r="9480">
          <cell r="A9480" t="str">
            <v>BGD</v>
          </cell>
          <cell r="B9480">
            <v>2031</v>
          </cell>
          <cell r="C9480" t="str">
            <v>mfnvagrtotlkn</v>
          </cell>
          <cell r="D9480">
            <v>4729032.2797094192</v>
          </cell>
          <cell r="F9480" t="str">
            <v>SM 2024</v>
          </cell>
        </row>
        <row r="9481">
          <cell r="A9481" t="str">
            <v>BGD</v>
          </cell>
          <cell r="B9481">
            <v>2031</v>
          </cell>
          <cell r="C9481" t="str">
            <v>mfnvindconskn</v>
          </cell>
          <cell r="D9481">
            <v>4422749.7234240007</v>
          </cell>
          <cell r="F9481" t="str">
            <v>SM 2024</v>
          </cell>
        </row>
        <row r="9482">
          <cell r="A9482" t="str">
            <v>BGD</v>
          </cell>
          <cell r="B9482">
            <v>2031</v>
          </cell>
          <cell r="C9482" t="str">
            <v>mfnvindrestkn</v>
          </cell>
          <cell r="D9482">
            <v>12882440.66552336</v>
          </cell>
          <cell r="F9482" t="str">
            <v>SM 2024</v>
          </cell>
        </row>
        <row r="9483">
          <cell r="A9483" t="str">
            <v>BGD</v>
          </cell>
          <cell r="B9483">
            <v>2031</v>
          </cell>
          <cell r="C9483" t="str">
            <v>mfnvindtotlkn</v>
          </cell>
          <cell r="D9483">
            <v>17305190.38894736</v>
          </cell>
          <cell r="F9483" t="str">
            <v>SM 2024</v>
          </cell>
        </row>
        <row r="9484">
          <cell r="A9484" t="str">
            <v>BGD</v>
          </cell>
          <cell r="B9484">
            <v>2031</v>
          </cell>
          <cell r="C9484" t="str">
            <v>mfnvsrvfinakn</v>
          </cell>
          <cell r="D9484">
            <v>1400676.2490424947</v>
          </cell>
          <cell r="F9484" t="str">
            <v>SM 2024</v>
          </cell>
        </row>
        <row r="9485">
          <cell r="A9485" t="str">
            <v>BGD</v>
          </cell>
          <cell r="B9485">
            <v>2031</v>
          </cell>
          <cell r="C9485" t="str">
            <v>mfnvsrvrestkn</v>
          </cell>
          <cell r="D9485">
            <v>16166159.035978511</v>
          </cell>
          <cell r="F9485" t="str">
            <v>SM 2024</v>
          </cell>
        </row>
        <row r="9486">
          <cell r="A9486" t="str">
            <v>BGD</v>
          </cell>
          <cell r="B9486">
            <v>2031</v>
          </cell>
          <cell r="C9486" t="str">
            <v>mfnvsrvtotlkn</v>
          </cell>
          <cell r="D9486">
            <v>21536062.818318315</v>
          </cell>
          <cell r="F9486" t="str">
            <v>SM 2024</v>
          </cell>
        </row>
        <row r="9487">
          <cell r="A9487" t="str">
            <v>BGD</v>
          </cell>
          <cell r="B9487">
            <v>2031</v>
          </cell>
          <cell r="C9487" t="str">
            <v>mfnvsrvtrnskn</v>
          </cell>
          <cell r="D9487">
            <v>3969227.5332973097</v>
          </cell>
          <cell r="F9487" t="str">
            <v>SM 2024</v>
          </cell>
        </row>
        <row r="9488">
          <cell r="A9488" t="str">
            <v>BGD</v>
          </cell>
          <cell r="B9488">
            <v>2031</v>
          </cell>
          <cell r="C9488" t="str">
            <v>mfnygdpmktpkn</v>
          </cell>
          <cell r="D9488">
            <v>44987519.561868824</v>
          </cell>
          <cell r="F9488" t="str">
            <v>SM 2024</v>
          </cell>
        </row>
        <row r="9489">
          <cell r="A9489" t="str">
            <v>BGD</v>
          </cell>
          <cell r="B9489">
            <v>2031</v>
          </cell>
          <cell r="C9489" t="str">
            <v>mfpop_totl</v>
          </cell>
          <cell r="D9489">
            <v>190344591.04786333</v>
          </cell>
          <cell r="F9489" t="str">
            <v>SM 2024</v>
          </cell>
        </row>
        <row r="9490">
          <cell r="A9490" t="str">
            <v>BGD</v>
          </cell>
          <cell r="B9490">
            <v>2032</v>
          </cell>
          <cell r="C9490" t="str">
            <v>mfbxfstremtcd</v>
          </cell>
          <cell r="D9490">
            <v>40955.949528731799</v>
          </cell>
          <cell r="F9490" t="str">
            <v>SM 2024</v>
          </cell>
        </row>
        <row r="9491">
          <cell r="A9491" t="str">
            <v>BGD</v>
          </cell>
          <cell r="B9491">
            <v>2032</v>
          </cell>
          <cell r="C9491" t="str">
            <v>mfgdppckn</v>
          </cell>
          <cell r="D9491">
            <v>241853.65924972715</v>
          </cell>
          <cell r="F9491" t="str">
            <v>SM 2024</v>
          </cell>
        </row>
        <row r="9492">
          <cell r="A9492" t="str">
            <v>BGD</v>
          </cell>
          <cell r="B9492">
            <v>2032</v>
          </cell>
          <cell r="C9492" t="str">
            <v>mfnvagrtotlkn</v>
          </cell>
          <cell r="D9492">
            <v>4865893.5818424933</v>
          </cell>
          <cell r="F9492" t="str">
            <v>SM 2024</v>
          </cell>
        </row>
        <row r="9493">
          <cell r="A9493" t="str">
            <v>BGD</v>
          </cell>
          <cell r="B9493">
            <v>2032</v>
          </cell>
          <cell r="C9493" t="str">
            <v>mfnvindconskn</v>
          </cell>
          <cell r="D9493">
            <v>4608693.2354863826</v>
          </cell>
          <cell r="F9493" t="str">
            <v>SM 2024</v>
          </cell>
        </row>
        <row r="9494">
          <cell r="A9494" t="str">
            <v>BGD</v>
          </cell>
          <cell r="B9494">
            <v>2032</v>
          </cell>
          <cell r="C9494" t="str">
            <v>mfnvindrestkn</v>
          </cell>
          <cell r="D9494">
            <v>13264533.58403361</v>
          </cell>
          <cell r="F9494" t="str">
            <v>SM 2024</v>
          </cell>
        </row>
        <row r="9495">
          <cell r="A9495" t="str">
            <v>BGD</v>
          </cell>
          <cell r="B9495">
            <v>2032</v>
          </cell>
          <cell r="C9495" t="str">
            <v>mfnvindtotlkn</v>
          </cell>
          <cell r="D9495">
            <v>17873226.819519993</v>
          </cell>
          <cell r="F9495" t="str">
            <v>SM 2024</v>
          </cell>
        </row>
        <row r="9496">
          <cell r="A9496" t="str">
            <v>BGD</v>
          </cell>
          <cell r="B9496">
            <v>2032</v>
          </cell>
          <cell r="C9496" t="str">
            <v>mfnvsrvfinakn</v>
          </cell>
          <cell r="D9496">
            <v>1480963.1546175773</v>
          </cell>
          <cell r="F9496" t="str">
            <v>SM 2024</v>
          </cell>
        </row>
        <row r="9497">
          <cell r="A9497" t="str">
            <v>BGD</v>
          </cell>
          <cell r="B9497">
            <v>2032</v>
          </cell>
          <cell r="C9497" t="str">
            <v>mfnvsrvrestkn</v>
          </cell>
          <cell r="D9497">
            <v>16884792.013009422</v>
          </cell>
          <cell r="F9497" t="str">
            <v>SM 2024</v>
          </cell>
        </row>
        <row r="9498">
          <cell r="A9498" t="str">
            <v>BGD</v>
          </cell>
          <cell r="B9498">
            <v>2032</v>
          </cell>
          <cell r="C9498" t="str">
            <v>mfnvsrvtotlkn</v>
          </cell>
          <cell r="D9498">
            <v>22502982.950845066</v>
          </cell>
          <cell r="F9498" t="str">
            <v>SM 2024</v>
          </cell>
        </row>
        <row r="9499">
          <cell r="A9499" t="str">
            <v>BGD</v>
          </cell>
          <cell r="B9499">
            <v>2032</v>
          </cell>
          <cell r="C9499" t="str">
            <v>mfnvsrvtrnskn</v>
          </cell>
          <cell r="D9499">
            <v>4137227.7832180671</v>
          </cell>
          <cell r="F9499" t="str">
            <v>SM 2024</v>
          </cell>
        </row>
        <row r="9500">
          <cell r="A9500" t="str">
            <v>BGD</v>
          </cell>
          <cell r="B9500">
            <v>2032</v>
          </cell>
          <cell r="C9500" t="str">
            <v>mfnygdpmktpkn</v>
          </cell>
          <cell r="D9500">
            <v>46710158.465379961</v>
          </cell>
          <cell r="F9500" t="str">
            <v>SM 2024</v>
          </cell>
        </row>
        <row r="9501">
          <cell r="A9501" t="str">
            <v>BGD</v>
          </cell>
          <cell r="B9501">
            <v>2032</v>
          </cell>
          <cell r="C9501" t="str">
            <v>mfpop_totl</v>
          </cell>
          <cell r="D9501">
            <v>193133974.52940401</v>
          </cell>
          <cell r="F9501" t="str">
            <v>SM 2024</v>
          </cell>
        </row>
        <row r="9502">
          <cell r="A9502" t="str">
            <v>BGD</v>
          </cell>
          <cell r="B9502">
            <v>2033</v>
          </cell>
          <cell r="C9502" t="str">
            <v>mfbxfstremtcd</v>
          </cell>
          <cell r="D9502">
            <v>44839.427069708123</v>
          </cell>
          <cell r="F9502" t="str">
            <v>SM 2024</v>
          </cell>
        </row>
        <row r="9503">
          <cell r="A9503" t="str">
            <v>BGD</v>
          </cell>
          <cell r="B9503">
            <v>2033</v>
          </cell>
          <cell r="C9503" t="str">
            <v>mfgdppckn</v>
          </cell>
          <cell r="D9503">
            <v>247639.28079878076</v>
          </cell>
          <cell r="F9503" t="str">
            <v>SM 2024</v>
          </cell>
        </row>
        <row r="9504">
          <cell r="A9504" t="str">
            <v>BGD</v>
          </cell>
          <cell r="B9504">
            <v>2033</v>
          </cell>
          <cell r="C9504" t="str">
            <v>mfnvagrtotlkn</v>
          </cell>
          <cell r="D9504">
            <v>5008237.268424863</v>
          </cell>
          <cell r="F9504" t="str">
            <v>SM 2024</v>
          </cell>
        </row>
        <row r="9505">
          <cell r="A9505" t="str">
            <v>BGD</v>
          </cell>
          <cell r="B9505">
            <v>2033</v>
          </cell>
          <cell r="C9505" t="str">
            <v>mfnvindconskn</v>
          </cell>
          <cell r="D9505">
            <v>4800162.0804751068</v>
          </cell>
          <cell r="F9505" t="str">
            <v>SM 2024</v>
          </cell>
        </row>
        <row r="9506">
          <cell r="A9506" t="str">
            <v>BGD</v>
          </cell>
          <cell r="B9506">
            <v>2033</v>
          </cell>
          <cell r="C9506" t="str">
            <v>mfnvindrestkn</v>
          </cell>
          <cell r="D9506">
            <v>13663292.471286707</v>
          </cell>
          <cell r="F9506" t="str">
            <v>SM 2024</v>
          </cell>
        </row>
        <row r="9507">
          <cell r="A9507" t="str">
            <v>BGD</v>
          </cell>
          <cell r="B9507">
            <v>2033</v>
          </cell>
          <cell r="C9507" t="str">
            <v>mfnvindtotlkn</v>
          </cell>
          <cell r="D9507">
            <v>18463454.551761813</v>
          </cell>
          <cell r="F9507" t="str">
            <v>SM 2024</v>
          </cell>
        </row>
        <row r="9508">
          <cell r="A9508" t="str">
            <v>BGD</v>
          </cell>
          <cell r="B9508">
            <v>2033</v>
          </cell>
          <cell r="C9508" t="str">
            <v>mfnvsrvfinakn</v>
          </cell>
          <cell r="D9508">
            <v>1563923.8844082309</v>
          </cell>
          <cell r="F9508" t="str">
            <v>SM 2024</v>
          </cell>
        </row>
        <row r="9509">
          <cell r="A9509" t="str">
            <v>BGD</v>
          </cell>
          <cell r="B9509">
            <v>2033</v>
          </cell>
          <cell r="C9509" t="str">
            <v>mfnvsrvrestkn</v>
          </cell>
          <cell r="D9509">
            <v>17659512.30775968</v>
          </cell>
          <cell r="F9509" t="str">
            <v>SM 2024</v>
          </cell>
        </row>
        <row r="9510">
          <cell r="A9510" t="str">
            <v>BGD</v>
          </cell>
          <cell r="B9510">
            <v>2033</v>
          </cell>
          <cell r="C9510" t="str">
            <v>mfnvsrvtotlkn</v>
          </cell>
          <cell r="D9510">
            <v>23536051.768919736</v>
          </cell>
          <cell r="F9510" t="str">
            <v>SM 2024</v>
          </cell>
        </row>
        <row r="9511">
          <cell r="A9511" t="str">
            <v>BGD</v>
          </cell>
          <cell r="B9511">
            <v>2033</v>
          </cell>
          <cell r="C9511" t="str">
            <v>mfnvsrvtrnskn</v>
          </cell>
          <cell r="D9511">
            <v>4312615.5767518245</v>
          </cell>
          <cell r="F9511" t="str">
            <v>SM 2024</v>
          </cell>
        </row>
        <row r="9512">
          <cell r="A9512" t="str">
            <v>BGD</v>
          </cell>
          <cell r="B9512">
            <v>2033</v>
          </cell>
          <cell r="C9512" t="str">
            <v>mfnygdpmktpkn</v>
          </cell>
          <cell r="D9512">
            <v>48528442.148004144</v>
          </cell>
          <cell r="F9512" t="str">
            <v>SM 2024</v>
          </cell>
        </row>
        <row r="9513">
          <cell r="A9513" t="str">
            <v>BGD</v>
          </cell>
          <cell r="B9513">
            <v>2033</v>
          </cell>
          <cell r="C9513" t="str">
            <v>mfpop_totl</v>
          </cell>
          <cell r="D9513">
            <v>195964234.71862656</v>
          </cell>
          <cell r="F9513" t="str">
            <v>SM 2024</v>
          </cell>
        </row>
        <row r="9514">
          <cell r="A9514" t="str">
            <v>BGD</v>
          </cell>
          <cell r="B9514">
            <v>2034</v>
          </cell>
          <cell r="C9514" t="str">
            <v>mfbxfstremtcd</v>
          </cell>
          <cell r="D9514">
            <v>49125.837412872403</v>
          </cell>
          <cell r="F9514" t="str">
            <v>SM 2024</v>
          </cell>
        </row>
        <row r="9515">
          <cell r="A9515" t="str">
            <v>BGD</v>
          </cell>
          <cell r="B9515">
            <v>2034</v>
          </cell>
          <cell r="C9515" t="str">
            <v>mfgdppckn</v>
          </cell>
          <cell r="D9515">
            <v>253714.17677614186</v>
          </cell>
          <cell r="F9515" t="str">
            <v>SM 2024</v>
          </cell>
        </row>
        <row r="9516">
          <cell r="A9516" t="str">
            <v>BGD</v>
          </cell>
          <cell r="B9516">
            <v>2034</v>
          </cell>
          <cell r="C9516" t="str">
            <v>mfnvagrtotlkn</v>
          </cell>
          <cell r="D9516">
            <v>5157295.6234203912</v>
          </cell>
          <cell r="F9516" t="str">
            <v>SM 2024</v>
          </cell>
        </row>
        <row r="9517">
          <cell r="A9517" t="str">
            <v>BGD</v>
          </cell>
          <cell r="B9517">
            <v>2034</v>
          </cell>
          <cell r="C9517" t="str">
            <v>mfnvindconskn</v>
          </cell>
          <cell r="D9517">
            <v>4998639.0375544187</v>
          </cell>
          <cell r="F9517" t="str">
            <v>SM 2024</v>
          </cell>
        </row>
        <row r="9518">
          <cell r="A9518" t="str">
            <v>BGD</v>
          </cell>
          <cell r="B9518">
            <v>2034</v>
          </cell>
          <cell r="C9518" t="str">
            <v>mfnvindrestkn</v>
          </cell>
          <cell r="D9518">
            <v>14085437.344014687</v>
          </cell>
          <cell r="F9518" t="str">
            <v>SM 2024</v>
          </cell>
        </row>
        <row r="9519">
          <cell r="A9519" t="str">
            <v>BGD</v>
          </cell>
          <cell r="B9519">
            <v>2034</v>
          </cell>
          <cell r="C9519" t="str">
            <v>mfnvindtotlkn</v>
          </cell>
          <cell r="D9519">
            <v>19084076.381569106</v>
          </cell>
          <cell r="F9519" t="str">
            <v>SM 2024</v>
          </cell>
        </row>
        <row r="9520">
          <cell r="A9520" t="str">
            <v>BGD</v>
          </cell>
          <cell r="B9520">
            <v>2034</v>
          </cell>
          <cell r="C9520" t="str">
            <v>mfnvsrvfinakn</v>
          </cell>
          <cell r="D9520">
            <v>1649366.399251268</v>
          </cell>
          <cell r="F9520" t="str">
            <v>SM 2024</v>
          </cell>
        </row>
        <row r="9521">
          <cell r="A9521" t="str">
            <v>BGD</v>
          </cell>
          <cell r="B9521">
            <v>2034</v>
          </cell>
          <cell r="C9521" t="str">
            <v>mfnvsrvrestkn</v>
          </cell>
          <cell r="D9521">
            <v>18485340.704948898</v>
          </cell>
          <cell r="F9521" t="str">
            <v>SM 2024</v>
          </cell>
        </row>
        <row r="9522">
          <cell r="A9522" t="str">
            <v>BGD</v>
          </cell>
          <cell r="B9522">
            <v>2034</v>
          </cell>
          <cell r="C9522" t="str">
            <v>mfnvsrvtotlkn</v>
          </cell>
          <cell r="D9522">
            <v>24630902.836737957</v>
          </cell>
          <cell r="F9522" t="str">
            <v>SM 2024</v>
          </cell>
        </row>
        <row r="9523">
          <cell r="A9523" t="str">
            <v>BGD</v>
          </cell>
          <cell r="B9523">
            <v>2034</v>
          </cell>
          <cell r="C9523" t="str">
            <v>mfnvsrvtrnskn</v>
          </cell>
          <cell r="D9523">
            <v>4496195.7325377911</v>
          </cell>
          <cell r="F9523" t="str">
            <v>SM 2024</v>
          </cell>
        </row>
        <row r="9524">
          <cell r="A9524" t="str">
            <v>BGD</v>
          </cell>
          <cell r="B9524">
            <v>2034</v>
          </cell>
          <cell r="C9524" t="str">
            <v>mfnygdpmktpkn</v>
          </cell>
          <cell r="D9524">
            <v>50447504.604073629</v>
          </cell>
          <cell r="F9524" t="str">
            <v>SM 2024</v>
          </cell>
        </row>
        <row r="9525">
          <cell r="A9525" t="str">
            <v>BGD</v>
          </cell>
          <cell r="B9525">
            <v>2034</v>
          </cell>
          <cell r="C9525" t="str">
            <v>mfpop_totl</v>
          </cell>
          <cell r="D9525">
            <v>198835970.6386635</v>
          </cell>
          <cell r="F9525" t="str">
            <v>SM 2024</v>
          </cell>
        </row>
        <row r="9526">
          <cell r="A9526" t="str">
            <v>BGD</v>
          </cell>
          <cell r="B9526">
            <v>2035</v>
          </cell>
          <cell r="C9526" t="str">
            <v>mfbxfstremtcd</v>
          </cell>
          <cell r="D9526">
            <v>53843.72923573255</v>
          </cell>
          <cell r="F9526" t="str">
            <v>SM 2024</v>
          </cell>
        </row>
        <row r="9527">
          <cell r="A9527" t="str">
            <v>BGD</v>
          </cell>
          <cell r="B9527">
            <v>2035</v>
          </cell>
          <cell r="C9527" t="str">
            <v>mfgdppckn</v>
          </cell>
          <cell r="D9527">
            <v>260068.98451374008</v>
          </cell>
          <cell r="F9527" t="str">
            <v>SM 2024</v>
          </cell>
        </row>
        <row r="9528">
          <cell r="A9528" t="str">
            <v>BGD</v>
          </cell>
          <cell r="B9528">
            <v>2035</v>
          </cell>
          <cell r="C9528" t="str">
            <v>mfnvagrtotlkn</v>
          </cell>
          <cell r="D9528">
            <v>5313770.4941411344</v>
          </cell>
          <cell r="F9528" t="str">
            <v>SM 2024</v>
          </cell>
        </row>
        <row r="9529">
          <cell r="A9529" t="str">
            <v>BGD</v>
          </cell>
          <cell r="B9529">
            <v>2035</v>
          </cell>
          <cell r="C9529" t="str">
            <v>mfnvindconskn</v>
          </cell>
          <cell r="D9529">
            <v>5205180.5063948538</v>
          </cell>
          <cell r="F9529" t="str">
            <v>SM 2024</v>
          </cell>
        </row>
        <row r="9530">
          <cell r="A9530" t="str">
            <v>BGD</v>
          </cell>
          <cell r="B9530">
            <v>2035</v>
          </cell>
          <cell r="C9530" t="str">
            <v>mfnvindrestkn</v>
          </cell>
          <cell r="D9530">
            <v>14534920.112339465</v>
          </cell>
          <cell r="F9530" t="str">
            <v>SM 2024</v>
          </cell>
        </row>
        <row r="9531">
          <cell r="A9531" t="str">
            <v>BGD</v>
          </cell>
          <cell r="B9531">
            <v>2035</v>
          </cell>
          <cell r="C9531" t="str">
            <v>mfnvindtotlkn</v>
          </cell>
          <cell r="D9531">
            <v>19740100.618734319</v>
          </cell>
          <cell r="F9531" t="str">
            <v>SM 2024</v>
          </cell>
        </row>
        <row r="9532">
          <cell r="A9532" t="str">
            <v>BGD</v>
          </cell>
          <cell r="B9532">
            <v>2035</v>
          </cell>
          <cell r="C9532" t="str">
            <v>mfnvsrvfinakn</v>
          </cell>
          <cell r="D9532">
            <v>1737178.8112683229</v>
          </cell>
          <cell r="F9532" t="str">
            <v>SM 2024</v>
          </cell>
        </row>
        <row r="9533">
          <cell r="A9533" t="str">
            <v>BGD</v>
          </cell>
          <cell r="B9533">
            <v>2035</v>
          </cell>
          <cell r="C9533" t="str">
            <v>mfnvsrvrestkn</v>
          </cell>
          <cell r="D9533">
            <v>19357784.212009065</v>
          </cell>
          <cell r="F9533" t="str">
            <v>SM 2024</v>
          </cell>
        </row>
        <row r="9534">
          <cell r="A9534" t="str">
            <v>BGD</v>
          </cell>
          <cell r="B9534">
            <v>2035</v>
          </cell>
          <cell r="C9534" t="str">
            <v>mfnvsrvtotlkn</v>
          </cell>
          <cell r="D9534">
            <v>25783275.50473189</v>
          </cell>
          <cell r="F9534" t="str">
            <v>SM 2024</v>
          </cell>
        </row>
        <row r="9535">
          <cell r="A9535" t="str">
            <v>BGD</v>
          </cell>
          <cell r="B9535">
            <v>2035</v>
          </cell>
          <cell r="C9535" t="str">
            <v>mfnvsrvtrnskn</v>
          </cell>
          <cell r="D9535">
            <v>4688312.4814545037</v>
          </cell>
          <cell r="F9535" t="str">
            <v>SM 2024</v>
          </cell>
        </row>
        <row r="9536">
          <cell r="A9536" t="str">
            <v>BGD</v>
          </cell>
          <cell r="B9536">
            <v>2035</v>
          </cell>
          <cell r="C9536" t="str">
            <v>mfnygdpmktpkn</v>
          </cell>
          <cell r="D9536">
            <v>52468863.034817435</v>
          </cell>
          <cell r="F9536" t="str">
            <v>SM 2024</v>
          </cell>
        </row>
        <row r="9537">
          <cell r="A9537" t="str">
            <v>BGD</v>
          </cell>
          <cell r="B9537">
            <v>2035</v>
          </cell>
          <cell r="C9537" t="str">
            <v>mfpop_totl</v>
          </cell>
          <cell r="D9537">
            <v>201749790.09096479</v>
          </cell>
          <cell r="F9537" t="str">
            <v>SM 2024</v>
          </cell>
        </row>
        <row r="9538">
          <cell r="A9538" t="str">
            <v>BGD</v>
          </cell>
          <cell r="B9538">
            <v>2036</v>
          </cell>
          <cell r="C9538" t="str">
            <v>mfbxfstremtcd</v>
          </cell>
          <cell r="D9538">
            <v>59025.667213830762</v>
          </cell>
          <cell r="F9538" t="str">
            <v>SM 2024</v>
          </cell>
        </row>
        <row r="9539">
          <cell r="A9539" t="str">
            <v>BGD</v>
          </cell>
          <cell r="B9539">
            <v>2036</v>
          </cell>
          <cell r="C9539" t="str">
            <v>mfgdppckn</v>
          </cell>
          <cell r="D9539">
            <v>266682.83707084617</v>
          </cell>
          <cell r="F9539" t="str">
            <v>SM 2024</v>
          </cell>
        </row>
        <row r="9540">
          <cell r="A9540" t="str">
            <v>BGD</v>
          </cell>
          <cell r="B9540">
            <v>2036</v>
          </cell>
          <cell r="C9540" t="str">
            <v>mfnvagrtotlkn</v>
          </cell>
          <cell r="D9540">
            <v>5477998.8075559475</v>
          </cell>
          <cell r="F9540" t="str">
            <v>SM 2024</v>
          </cell>
        </row>
        <row r="9541">
          <cell r="A9541" t="str">
            <v>BGD</v>
          </cell>
          <cell r="B9541">
            <v>2036</v>
          </cell>
          <cell r="C9541" t="str">
            <v>mfnvindconskn</v>
          </cell>
          <cell r="D9541">
            <v>5420425.4810496643</v>
          </cell>
          <cell r="F9541" t="str">
            <v>SM 2024</v>
          </cell>
        </row>
        <row r="9542">
          <cell r="A9542" t="str">
            <v>BGD</v>
          </cell>
          <cell r="B9542">
            <v>2036</v>
          </cell>
          <cell r="C9542" t="str">
            <v>mfnvindrestkn</v>
          </cell>
          <cell r="D9542">
            <v>15013720.16969835</v>
          </cell>
          <cell r="F9542" t="str">
            <v>SM 2024</v>
          </cell>
        </row>
        <row r="9543">
          <cell r="A9543" t="str">
            <v>BGD</v>
          </cell>
          <cell r="B9543">
            <v>2036</v>
          </cell>
          <cell r="C9543" t="str">
            <v>mfnvindtotlkn</v>
          </cell>
          <cell r="D9543">
            <v>20434145.650748014</v>
          </cell>
          <cell r="F9543" t="str">
            <v>SM 2024</v>
          </cell>
        </row>
        <row r="9544">
          <cell r="A9544" t="str">
            <v>BGD</v>
          </cell>
          <cell r="B9544">
            <v>2036</v>
          </cell>
          <cell r="C9544" t="str">
            <v>mfnvsrvfinakn</v>
          </cell>
          <cell r="D9544">
            <v>1827286.8318333218</v>
          </cell>
          <cell r="F9544" t="str">
            <v>SM 2024</v>
          </cell>
        </row>
        <row r="9545">
          <cell r="A9545" t="str">
            <v>BGD</v>
          </cell>
          <cell r="B9545">
            <v>2036</v>
          </cell>
          <cell r="C9545" t="str">
            <v>mfnvsrvrestkn</v>
          </cell>
          <cell r="D9545">
            <v>20273002.804147642</v>
          </cell>
          <cell r="F9545" t="str">
            <v>SM 2024</v>
          </cell>
        </row>
        <row r="9546">
          <cell r="A9546" t="str">
            <v>BGD</v>
          </cell>
          <cell r="B9546">
            <v>2036</v>
          </cell>
          <cell r="C9546" t="str">
            <v>mfnvsrvtotlkn</v>
          </cell>
          <cell r="D9546">
            <v>26989286.356549159</v>
          </cell>
          <cell r="F9546" t="str">
            <v>SM 2024</v>
          </cell>
        </row>
        <row r="9547">
          <cell r="A9547" t="str">
            <v>BGD</v>
          </cell>
          <cell r="B9547">
            <v>2036</v>
          </cell>
          <cell r="C9547" t="str">
            <v>mfnvsrvtrnskn</v>
          </cell>
          <cell r="D9547">
            <v>4888996.7205681959</v>
          </cell>
          <cell r="F9547" t="str">
            <v>SM 2024</v>
          </cell>
        </row>
        <row r="9548">
          <cell r="A9548" t="str">
            <v>BGD</v>
          </cell>
          <cell r="B9548">
            <v>2036</v>
          </cell>
          <cell r="C9548" t="str">
            <v>mfnygdpmktpkn</v>
          </cell>
          <cell r="D9548">
            <v>54591659.459484227</v>
          </cell>
          <cell r="F9548" t="str">
            <v>SM 2024</v>
          </cell>
        </row>
        <row r="9549">
          <cell r="A9549" t="str">
            <v>BGD</v>
          </cell>
          <cell r="B9549">
            <v>2036</v>
          </cell>
          <cell r="C9549" t="str">
            <v>mfpop_totl</v>
          </cell>
          <cell r="D9549">
            <v>204706309.78393847</v>
          </cell>
          <cell r="F9549" t="str">
            <v>SM 2024</v>
          </cell>
        </row>
        <row r="9550">
          <cell r="A9550" t="str">
            <v>BGD</v>
          </cell>
          <cell r="B9550">
            <v>2037</v>
          </cell>
          <cell r="C9550" t="str">
            <v>mfbxfstremtcd</v>
          </cell>
          <cell r="D9550">
            <v>64708.389538027535</v>
          </cell>
          <cell r="F9550" t="str">
            <v>SM 2024</v>
          </cell>
        </row>
        <row r="9551">
          <cell r="A9551" t="str">
            <v>BGD</v>
          </cell>
          <cell r="B9551">
            <v>2037</v>
          </cell>
          <cell r="C9551" t="str">
            <v>mfgdppckn</v>
          </cell>
          <cell r="D9551">
            <v>273529.19772727892</v>
          </cell>
          <cell r="F9551" t="str">
            <v>SM 2024</v>
          </cell>
        </row>
        <row r="9552">
          <cell r="A9552" t="str">
            <v>BGD</v>
          </cell>
          <cell r="B9552">
            <v>2037</v>
          </cell>
          <cell r="C9552" t="str">
            <v>mfnvagrtotlkn</v>
          </cell>
          <cell r="D9552">
            <v>5650091.5253129406</v>
          </cell>
          <cell r="F9552" t="str">
            <v>SM 2024</v>
          </cell>
        </row>
        <row r="9553">
          <cell r="A9553" t="str">
            <v>BGD</v>
          </cell>
          <cell r="B9553">
            <v>2037</v>
          </cell>
          <cell r="C9553" t="str">
            <v>mfnvindconskn</v>
          </cell>
          <cell r="D9553">
            <v>5644667.453235168</v>
          </cell>
          <cell r="F9553" t="str">
            <v>SM 2024</v>
          </cell>
        </row>
        <row r="9554">
          <cell r="A9554" t="str">
            <v>BGD</v>
          </cell>
          <cell r="B9554">
            <v>2037</v>
          </cell>
          <cell r="C9554" t="str">
            <v>mfnvindrestkn</v>
          </cell>
          <cell r="D9554">
            <v>15522512.983371899</v>
          </cell>
          <cell r="F9554" t="str">
            <v>SM 2024</v>
          </cell>
        </row>
        <row r="9555">
          <cell r="A9555" t="str">
            <v>BGD</v>
          </cell>
          <cell r="B9555">
            <v>2037</v>
          </cell>
          <cell r="C9555" t="str">
            <v>mfnvindtotlkn</v>
          </cell>
          <cell r="D9555">
            <v>21167180.436607067</v>
          </cell>
          <cell r="F9555" t="str">
            <v>SM 2024</v>
          </cell>
        </row>
        <row r="9556">
          <cell r="A9556" t="str">
            <v>BGD</v>
          </cell>
          <cell r="B9556">
            <v>2037</v>
          </cell>
          <cell r="C9556" t="str">
            <v>mfnvsrvfinakn</v>
          </cell>
          <cell r="D9556">
            <v>1919633.0183677198</v>
          </cell>
          <cell r="F9556" t="str">
            <v>SM 2024</v>
          </cell>
        </row>
        <row r="9557">
          <cell r="A9557" t="str">
            <v>BGD</v>
          </cell>
          <cell r="B9557">
            <v>2037</v>
          </cell>
          <cell r="C9557" t="str">
            <v>mfnvsrvrestkn</v>
          </cell>
          <cell r="D9557">
            <v>21227860.204268429</v>
          </cell>
          <cell r="F9557" t="str">
            <v>SM 2024</v>
          </cell>
        </row>
        <row r="9558">
          <cell r="A9558" t="str">
            <v>BGD</v>
          </cell>
          <cell r="B9558">
            <v>2037</v>
          </cell>
          <cell r="C9558" t="str">
            <v>mfnvsrvtotlkn</v>
          </cell>
          <cell r="D9558">
            <v>28245587.024775665</v>
          </cell>
          <cell r="F9558" t="str">
            <v>SM 2024</v>
          </cell>
        </row>
        <row r="9559">
          <cell r="A9559" t="str">
            <v>BGD</v>
          </cell>
          <cell r="B9559">
            <v>2037</v>
          </cell>
          <cell r="C9559" t="str">
            <v>mfnvsrvtrnskn</v>
          </cell>
          <cell r="D9559">
            <v>5098093.802139516</v>
          </cell>
          <cell r="F9559" t="str">
            <v>SM 2024</v>
          </cell>
        </row>
        <row r="9560">
          <cell r="A9560" t="str">
            <v>BGD</v>
          </cell>
          <cell r="B9560">
            <v>2037</v>
          </cell>
          <cell r="C9560" t="str">
            <v>mfnygdpmktpkn</v>
          </cell>
          <cell r="D9560">
            <v>56813698.066942342</v>
          </cell>
          <cell r="F9560" t="str">
            <v>SM 2024</v>
          </cell>
        </row>
        <row r="9561">
          <cell r="A9561" t="str">
            <v>BGD</v>
          </cell>
          <cell r="B9561">
            <v>2037</v>
          </cell>
          <cell r="C9561" t="str">
            <v>mfpop_totl</v>
          </cell>
          <cell r="D9561">
            <v>207706155.46347702</v>
          </cell>
          <cell r="F9561" t="str">
            <v>SM 2024</v>
          </cell>
        </row>
        <row r="9562">
          <cell r="A9562" t="str">
            <v>BGD</v>
          </cell>
          <cell r="B9562">
            <v>2038</v>
          </cell>
          <cell r="C9562" t="str">
            <v>mfbxfstremtcd</v>
          </cell>
          <cell r="D9562">
            <v>70933.025738947079</v>
          </cell>
          <cell r="F9562" t="str">
            <v>SM 2024</v>
          </cell>
        </row>
        <row r="9563">
          <cell r="A9563" t="str">
            <v>BGD</v>
          </cell>
          <cell r="B9563">
            <v>2038</v>
          </cell>
          <cell r="C9563" t="str">
            <v>mfgdppckn</v>
          </cell>
          <cell r="D9563">
            <v>280580.1840029853</v>
          </cell>
          <cell r="F9563" t="str">
            <v>SM 2024</v>
          </cell>
        </row>
        <row r="9564">
          <cell r="A9564" t="str">
            <v>BGD</v>
          </cell>
          <cell r="B9564">
            <v>2038</v>
          </cell>
          <cell r="C9564" t="str">
            <v>mfnvagrtotlkn</v>
          </cell>
          <cell r="D9564">
            <v>5830042.1932393042</v>
          </cell>
          <cell r="F9564" t="str">
            <v>SM 2024</v>
          </cell>
        </row>
        <row r="9565">
          <cell r="A9565" t="str">
            <v>BGD</v>
          </cell>
          <cell r="B9565">
            <v>2038</v>
          </cell>
          <cell r="C9565" t="str">
            <v>mfnvindconskn</v>
          </cell>
          <cell r="D9565">
            <v>5877952.2835698593</v>
          </cell>
          <cell r="F9565" t="str">
            <v>SM 2024</v>
          </cell>
        </row>
        <row r="9566">
          <cell r="A9566" t="str">
            <v>BGD</v>
          </cell>
          <cell r="B9566">
            <v>2038</v>
          </cell>
          <cell r="C9566" t="str">
            <v>mfnvindrestkn</v>
          </cell>
          <cell r="D9566">
            <v>16061192.550705465</v>
          </cell>
          <cell r="F9566" t="str">
            <v>SM 2024</v>
          </cell>
        </row>
        <row r="9567">
          <cell r="A9567" t="str">
            <v>BGD</v>
          </cell>
          <cell r="B9567">
            <v>2038</v>
          </cell>
          <cell r="C9567" t="str">
            <v>mfnvindtotlkn</v>
          </cell>
          <cell r="D9567">
            <v>21939144.834275324</v>
          </cell>
          <cell r="F9567" t="str">
            <v>SM 2024</v>
          </cell>
        </row>
        <row r="9568">
          <cell r="A9568" t="str">
            <v>BGD</v>
          </cell>
          <cell r="B9568">
            <v>2038</v>
          </cell>
          <cell r="C9568" t="str">
            <v>mfnvsrvfinakn</v>
          </cell>
          <cell r="D9568">
            <v>2014171.4797134476</v>
          </cell>
          <cell r="F9568" t="str">
            <v>SM 2024</v>
          </cell>
        </row>
        <row r="9569">
          <cell r="A9569" t="str">
            <v>BGD</v>
          </cell>
          <cell r="B9569">
            <v>2038</v>
          </cell>
          <cell r="C9569" t="str">
            <v>mfnvsrvrestkn</v>
          </cell>
          <cell r="D9569">
            <v>22219915.823895633</v>
          </cell>
          <cell r="F9569" t="str">
            <v>SM 2024</v>
          </cell>
        </row>
        <row r="9570">
          <cell r="A9570" t="str">
            <v>BGD</v>
          </cell>
          <cell r="B9570">
            <v>2038</v>
          </cell>
          <cell r="C9570" t="str">
            <v>mfnvsrvtotlkn</v>
          </cell>
          <cell r="D9570">
            <v>29549453.137446519</v>
          </cell>
          <cell r="F9570" t="str">
            <v>SM 2024</v>
          </cell>
        </row>
        <row r="9571">
          <cell r="A9571" t="str">
            <v>BGD</v>
          </cell>
          <cell r="B9571">
            <v>2038</v>
          </cell>
          <cell r="C9571" t="str">
            <v>mfnvsrvtrnskn</v>
          </cell>
          <cell r="D9571">
            <v>5315365.8338374374</v>
          </cell>
          <cell r="F9571" t="str">
            <v>SM 2024</v>
          </cell>
        </row>
        <row r="9572">
          <cell r="A9572" t="str">
            <v>BGD</v>
          </cell>
          <cell r="B9572">
            <v>2038</v>
          </cell>
          <cell r="C9572" t="str">
            <v>mfnygdpmktpkn</v>
          </cell>
          <cell r="D9572">
            <v>59132263.12931934</v>
          </cell>
          <cell r="F9572" t="str">
            <v>SM 2024</v>
          </cell>
        </row>
        <row r="9573">
          <cell r="A9573" t="str">
            <v>BGD</v>
          </cell>
          <cell r="B9573">
            <v>2038</v>
          </cell>
          <cell r="C9573" t="str">
            <v>mfpop_totl</v>
          </cell>
          <cell r="D9573">
            <v>210749962.04539588</v>
          </cell>
          <cell r="F9573" t="str">
            <v>SM 2024</v>
          </cell>
        </row>
        <row r="9574">
          <cell r="A9574" t="str">
            <v>BGD</v>
          </cell>
          <cell r="B9574">
            <v>2039</v>
          </cell>
          <cell r="C9574" t="str">
            <v>mfbxfstremtcd</v>
          </cell>
          <cell r="D9574">
            <v>77745.366410482238</v>
          </cell>
          <cell r="F9574" t="str">
            <v>SM 2024</v>
          </cell>
        </row>
        <row r="9575">
          <cell r="A9575" t="str">
            <v>BGD</v>
          </cell>
          <cell r="B9575">
            <v>2039</v>
          </cell>
          <cell r="C9575" t="str">
            <v>mfgdppckn</v>
          </cell>
          <cell r="D9575">
            <v>287809.54177480162</v>
          </cell>
          <cell r="F9575" t="str">
            <v>SM 2024</v>
          </cell>
        </row>
        <row r="9576">
          <cell r="A9576" t="str">
            <v>BGD</v>
          </cell>
          <cell r="B9576">
            <v>2039</v>
          </cell>
          <cell r="C9576" t="str">
            <v>mfnvagrtotlkn</v>
          </cell>
          <cell r="D9576">
            <v>6017806.1303792316</v>
          </cell>
          <cell r="F9576" t="str">
            <v>SM 2024</v>
          </cell>
        </row>
        <row r="9577">
          <cell r="A9577" t="str">
            <v>BGD</v>
          </cell>
          <cell r="B9577">
            <v>2039</v>
          </cell>
          <cell r="C9577" t="str">
            <v>mfnvindconskn</v>
          </cell>
          <cell r="D9577">
            <v>6120177.7090010215</v>
          </cell>
          <cell r="F9577" t="str">
            <v>SM 2024</v>
          </cell>
        </row>
        <row r="9578">
          <cell r="A9578" t="str">
            <v>BGD</v>
          </cell>
          <cell r="B9578">
            <v>2039</v>
          </cell>
          <cell r="C9578" t="str">
            <v>mfnvindrestkn</v>
          </cell>
          <cell r="D9578">
            <v>16629257.385273105</v>
          </cell>
          <cell r="F9578" t="str">
            <v>SM 2024</v>
          </cell>
        </row>
        <row r="9579">
          <cell r="A9579" t="str">
            <v>BGD</v>
          </cell>
          <cell r="B9579">
            <v>2039</v>
          </cell>
          <cell r="C9579" t="str">
            <v>mfnvindtotlkn</v>
          </cell>
          <cell r="D9579">
            <v>22749435.094274126</v>
          </cell>
          <cell r="F9579" t="str">
            <v>SM 2024</v>
          </cell>
        </row>
        <row r="9580">
          <cell r="A9580" t="str">
            <v>BGD</v>
          </cell>
          <cell r="B9580">
            <v>2039</v>
          </cell>
          <cell r="C9580" t="str">
            <v>mfnvsrvfinakn</v>
          </cell>
          <cell r="D9580">
            <v>2110871.4342325027</v>
          </cell>
          <cell r="F9580" t="str">
            <v>SM 2024</v>
          </cell>
        </row>
        <row r="9581">
          <cell r="A9581" t="str">
            <v>BGD</v>
          </cell>
          <cell r="B9581">
            <v>2039</v>
          </cell>
          <cell r="C9581" t="str">
            <v>mfnvsrvrestkn</v>
          </cell>
          <cell r="D9581">
            <v>23247385.718705617</v>
          </cell>
          <cell r="F9581" t="str">
            <v>SM 2024</v>
          </cell>
        </row>
        <row r="9582">
          <cell r="A9582" t="str">
            <v>BGD</v>
          </cell>
          <cell r="B9582">
            <v>2039</v>
          </cell>
          <cell r="C9582" t="str">
            <v>mfnvsrvtotlkn</v>
          </cell>
          <cell r="D9582">
            <v>30898824.902816638</v>
          </cell>
          <cell r="F9582" t="str">
            <v>SM 2024</v>
          </cell>
        </row>
        <row r="9583">
          <cell r="A9583" t="str">
            <v>BGD</v>
          </cell>
          <cell r="B9583">
            <v>2039</v>
          </cell>
          <cell r="C9583" t="str">
            <v>mfnvsrvtrnskn</v>
          </cell>
          <cell r="D9583">
            <v>5540567.7498785192</v>
          </cell>
          <cell r="F9583" t="str">
            <v>SM 2024</v>
          </cell>
        </row>
        <row r="9584">
          <cell r="A9584" t="str">
            <v>BGD</v>
          </cell>
          <cell r="B9584">
            <v>2039</v>
          </cell>
          <cell r="C9584" t="str">
            <v>mfnygdpmktpkn</v>
          </cell>
          <cell r="D9584">
            <v>61544724.362802505</v>
          </cell>
          <cell r="F9584" t="str">
            <v>SM 2024</v>
          </cell>
        </row>
        <row r="9585">
          <cell r="A9585" t="str">
            <v>BGD</v>
          </cell>
          <cell r="B9585">
            <v>2039</v>
          </cell>
          <cell r="C9585" t="str">
            <v>mfpop_totl</v>
          </cell>
          <cell r="D9585">
            <v>213838373.7498132</v>
          </cell>
          <cell r="F9585" t="str">
            <v>SM 2024</v>
          </cell>
        </row>
        <row r="9586">
          <cell r="A9586" t="str">
            <v>BGD</v>
          </cell>
          <cell r="B9586">
            <v>2040</v>
          </cell>
          <cell r="C9586" t="str">
            <v>mfbxfstremtcd</v>
          </cell>
          <cell r="D9586">
            <v>85196.180730492299</v>
          </cell>
          <cell r="F9586" t="str">
            <v>SM 2024</v>
          </cell>
        </row>
        <row r="9587">
          <cell r="A9587" t="str">
            <v>BGD</v>
          </cell>
          <cell r="B9587">
            <v>2040</v>
          </cell>
          <cell r="C9587" t="str">
            <v>mfgdppckn</v>
          </cell>
          <cell r="D9587">
            <v>295194.48679167143</v>
          </cell>
          <cell r="F9587" t="str">
            <v>SM 2024</v>
          </cell>
        </row>
        <row r="9588">
          <cell r="A9588" t="str">
            <v>BGD</v>
          </cell>
          <cell r="B9588">
            <v>2040</v>
          </cell>
          <cell r="C9588" t="str">
            <v>mfnvagrtotlkn</v>
          </cell>
          <cell r="D9588">
            <v>6213353.8727434957</v>
          </cell>
          <cell r="F9588" t="str">
            <v>SM 2024</v>
          </cell>
        </row>
        <row r="9589">
          <cell r="A9589" t="str">
            <v>BGD</v>
          </cell>
          <cell r="B9589">
            <v>2040</v>
          </cell>
          <cell r="C9589" t="str">
            <v>mfnvindconskn</v>
          </cell>
          <cell r="D9589">
            <v>6371180.5047753006</v>
          </cell>
          <cell r="F9589" t="str">
            <v>SM 2024</v>
          </cell>
        </row>
        <row r="9590">
          <cell r="A9590" t="str">
            <v>BGD</v>
          </cell>
          <cell r="B9590">
            <v>2040</v>
          </cell>
          <cell r="C9590" t="str">
            <v>mfnvindrestkn</v>
          </cell>
          <cell r="D9590">
            <v>17226080.548142321</v>
          </cell>
          <cell r="F9590" t="str">
            <v>SM 2024</v>
          </cell>
        </row>
        <row r="9591">
          <cell r="A9591" t="str">
            <v>BGD</v>
          </cell>
          <cell r="B9591">
            <v>2040</v>
          </cell>
          <cell r="C9591" t="str">
            <v>mfnvindtotlkn</v>
          </cell>
          <cell r="D9591">
            <v>23597261.052917622</v>
          </cell>
          <cell r="F9591" t="str">
            <v>SM 2024</v>
          </cell>
        </row>
        <row r="9592">
          <cell r="A9592" t="str">
            <v>BGD</v>
          </cell>
          <cell r="B9592">
            <v>2040</v>
          </cell>
          <cell r="C9592" t="str">
            <v>mfnvsrvfinakn</v>
          </cell>
          <cell r="D9592">
            <v>2209724.1933295345</v>
          </cell>
          <cell r="F9592" t="str">
            <v>SM 2024</v>
          </cell>
        </row>
        <row r="9593">
          <cell r="A9593" t="str">
            <v>BGD</v>
          </cell>
          <cell r="B9593">
            <v>2040</v>
          </cell>
          <cell r="C9593" t="str">
            <v>mfnvsrvrestkn</v>
          </cell>
          <cell r="D9593">
            <v>24309087.229548767</v>
          </cell>
          <cell r="F9593" t="str">
            <v>SM 2024</v>
          </cell>
        </row>
        <row r="9594">
          <cell r="A9594" t="str">
            <v>BGD</v>
          </cell>
          <cell r="B9594">
            <v>2040</v>
          </cell>
          <cell r="C9594" t="str">
            <v>mfnvsrvtotlkn</v>
          </cell>
          <cell r="D9594">
            <v>32292310.694814496</v>
          </cell>
          <cell r="F9594" t="str">
            <v>SM 2024</v>
          </cell>
        </row>
        <row r="9595">
          <cell r="A9595" t="str">
            <v>BGD</v>
          </cell>
          <cell r="B9595">
            <v>2040</v>
          </cell>
          <cell r="C9595" t="str">
            <v>mfnvsrvtrnskn</v>
          </cell>
          <cell r="D9595">
            <v>5773499.2719361931</v>
          </cell>
          <cell r="F9595" t="str">
            <v>SM 2024</v>
          </cell>
        </row>
        <row r="9596">
          <cell r="A9596" t="str">
            <v>BGD</v>
          </cell>
          <cell r="B9596">
            <v>2040</v>
          </cell>
          <cell r="C9596" t="str">
            <v>mfnygdpmktpkn</v>
          </cell>
          <cell r="D9596">
            <v>64048951.246828243</v>
          </cell>
          <cell r="F9596" t="str">
            <v>SM 2024</v>
          </cell>
        </row>
        <row r="9597">
          <cell r="A9597" t="str">
            <v>BGD</v>
          </cell>
          <cell r="B9597">
            <v>2040</v>
          </cell>
          <cell r="C9597" t="str">
            <v>mfpop_totl</v>
          </cell>
          <cell r="D9597">
            <v>216972044.23749864</v>
          </cell>
          <cell r="F9597" t="str">
            <v>SM 2024</v>
          </cell>
        </row>
        <row r="9598">
          <cell r="A9598" t="str">
            <v>BGD</v>
          </cell>
          <cell r="B9598">
            <v>2041</v>
          </cell>
          <cell r="C9598" t="str">
            <v>mfbxfstremtcd</v>
          </cell>
          <cell r="D9598">
            <v>93341.58048817153</v>
          </cell>
          <cell r="F9598" t="str">
            <v>SM 2024</v>
          </cell>
        </row>
        <row r="9599">
          <cell r="A9599" t="str">
            <v>BGD</v>
          </cell>
          <cell r="B9599">
            <v>2041</v>
          </cell>
          <cell r="C9599" t="str">
            <v>mfgdppckn</v>
          </cell>
          <cell r="D9599">
            <v>302716.65140409546</v>
          </cell>
          <cell r="F9599" t="str">
            <v>SM 2024</v>
          </cell>
        </row>
        <row r="9600">
          <cell r="A9600" t="str">
            <v>BGD</v>
          </cell>
          <cell r="B9600">
            <v>2041</v>
          </cell>
          <cell r="C9600" t="str">
            <v>mfnvagrtotlkn</v>
          </cell>
          <cell r="D9600">
            <v>6416703.6258107303</v>
          </cell>
          <cell r="F9600" t="str">
            <v>SM 2024</v>
          </cell>
        </row>
        <row r="9601">
          <cell r="A9601" t="str">
            <v>BGD</v>
          </cell>
          <cell r="B9601">
            <v>2041</v>
          </cell>
          <cell r="C9601" t="str">
            <v>mfnvindconskn</v>
          </cell>
          <cell r="D9601">
            <v>6630804.7948733494</v>
          </cell>
          <cell r="F9601" t="str">
            <v>SM 2024</v>
          </cell>
        </row>
        <row r="9602">
          <cell r="A9602" t="str">
            <v>BGD</v>
          </cell>
          <cell r="B9602">
            <v>2041</v>
          </cell>
          <cell r="C9602" t="str">
            <v>mfnvindrestkn</v>
          </cell>
          <cell r="D9602">
            <v>17851086.749085158</v>
          </cell>
          <cell r="F9602" t="str">
            <v>SM 2024</v>
          </cell>
        </row>
        <row r="9603">
          <cell r="A9603" t="str">
            <v>BGD</v>
          </cell>
          <cell r="B9603">
            <v>2041</v>
          </cell>
          <cell r="C9603" t="str">
            <v>mfnvindtotlkn</v>
          </cell>
          <cell r="D9603">
            <v>24481891.543958507</v>
          </cell>
          <cell r="F9603" t="str">
            <v>SM 2024</v>
          </cell>
        </row>
        <row r="9604">
          <cell r="A9604" t="str">
            <v>BGD</v>
          </cell>
          <cell r="B9604">
            <v>2041</v>
          </cell>
          <cell r="C9604" t="str">
            <v>mfnvsrvfinakn</v>
          </cell>
          <cell r="D9604">
            <v>2310749.864318152</v>
          </cell>
          <cell r="F9604" t="str">
            <v>SM 2024</v>
          </cell>
        </row>
        <row r="9605">
          <cell r="A9605" t="str">
            <v>BGD</v>
          </cell>
          <cell r="B9605">
            <v>2041</v>
          </cell>
          <cell r="C9605" t="str">
            <v>mfnvsrvrestkn</v>
          </cell>
          <cell r="D9605">
            <v>25404376.088862002</v>
          </cell>
          <cell r="F9605" t="str">
            <v>SM 2024</v>
          </cell>
        </row>
        <row r="9606">
          <cell r="A9606" t="str">
            <v>BGD</v>
          </cell>
          <cell r="B9606">
            <v>2041</v>
          </cell>
          <cell r="C9606" t="str">
            <v>mfnvsrvtotlkn</v>
          </cell>
          <cell r="D9606">
            <v>33729162.342144944</v>
          </cell>
          <cell r="F9606" t="str">
            <v>SM 2024</v>
          </cell>
        </row>
        <row r="9607">
          <cell r="A9607" t="str">
            <v>BGD</v>
          </cell>
          <cell r="B9607">
            <v>2041</v>
          </cell>
          <cell r="C9607" t="str">
            <v>mfnvsrvtrnskn</v>
          </cell>
          <cell r="D9607">
            <v>6014036.388964789</v>
          </cell>
          <cell r="F9607" t="str">
            <v>SM 2024</v>
          </cell>
        </row>
        <row r="9608">
          <cell r="A9608" t="str">
            <v>BGD</v>
          </cell>
          <cell r="B9608">
            <v>2041</v>
          </cell>
          <cell r="C9608" t="str">
            <v>mfnygdpmktpkn</v>
          </cell>
          <cell r="D9608">
            <v>66643566.277552098</v>
          </cell>
          <cell r="F9608" t="str">
            <v>SM 2024</v>
          </cell>
        </row>
        <row r="9609">
          <cell r="A9609" t="str">
            <v>BGD</v>
          </cell>
          <cell r="B9609">
            <v>2041</v>
          </cell>
          <cell r="C9609" t="str">
            <v>mfpop_totl</v>
          </cell>
          <cell r="D9609">
            <v>220151636.74822044</v>
          </cell>
          <cell r="F9609" t="str">
            <v>SM 2024</v>
          </cell>
        </row>
        <row r="9610">
          <cell r="A9610" t="str">
            <v>BGD</v>
          </cell>
          <cell r="B9610">
            <v>2042</v>
          </cell>
          <cell r="C9610" t="str">
            <v>mfbxfstremtcd</v>
          </cell>
          <cell r="D9610">
            <v>102243.43120471299</v>
          </cell>
          <cell r="F9610" t="str">
            <v>SM 2024</v>
          </cell>
        </row>
        <row r="9611">
          <cell r="A9611" t="str">
            <v>BGD</v>
          </cell>
          <cell r="B9611">
            <v>2042</v>
          </cell>
          <cell r="C9611" t="str">
            <v>mfgdppckn</v>
          </cell>
          <cell r="D9611">
            <v>310362.36783020565</v>
          </cell>
          <cell r="F9611" t="str">
            <v>SM 2024</v>
          </cell>
        </row>
        <row r="9612">
          <cell r="A9612" t="str">
            <v>BGD</v>
          </cell>
          <cell r="B9612">
            <v>2042</v>
          </cell>
          <cell r="C9612" t="str">
            <v>mfnvagrtotlkn</v>
          </cell>
          <cell r="D9612">
            <v>6627937.6895372681</v>
          </cell>
          <cell r="F9612" t="str">
            <v>SM 2024</v>
          </cell>
        </row>
        <row r="9613">
          <cell r="A9613" t="str">
            <v>BGD</v>
          </cell>
          <cell r="B9613">
            <v>2042</v>
          </cell>
          <cell r="C9613" t="str">
            <v>mfnvindconskn</v>
          </cell>
          <cell r="D9613">
            <v>6898949.993482504</v>
          </cell>
          <cell r="F9613" t="str">
            <v>SM 2024</v>
          </cell>
        </row>
        <row r="9614">
          <cell r="A9614" t="str">
            <v>BGD</v>
          </cell>
          <cell r="B9614">
            <v>2042</v>
          </cell>
          <cell r="C9614" t="str">
            <v>mfnvindrestkn</v>
          </cell>
          <cell r="D9614">
            <v>18503858.362487949</v>
          </cell>
          <cell r="F9614" t="str">
            <v>SM 2024</v>
          </cell>
        </row>
        <row r="9615">
          <cell r="A9615" t="str">
            <v>BGD</v>
          </cell>
          <cell r="B9615">
            <v>2042</v>
          </cell>
          <cell r="C9615" t="str">
            <v>mfnvindtotlkn</v>
          </cell>
          <cell r="D9615">
            <v>25402808.355970453</v>
          </cell>
          <cell r="F9615" t="str">
            <v>SM 2024</v>
          </cell>
        </row>
        <row r="9616">
          <cell r="A9616" t="str">
            <v>BGD</v>
          </cell>
          <cell r="B9616">
            <v>2042</v>
          </cell>
          <cell r="C9616" t="str">
            <v>mfnvsrvfinakn</v>
          </cell>
          <cell r="D9616">
            <v>2414001.7458616644</v>
          </cell>
          <cell r="F9616" t="str">
            <v>SM 2024</v>
          </cell>
        </row>
        <row r="9617">
          <cell r="A9617" t="str">
            <v>BGD</v>
          </cell>
          <cell r="B9617">
            <v>2042</v>
          </cell>
          <cell r="C9617" t="str">
            <v>mfnvsrvrestkn</v>
          </cell>
          <cell r="D9617">
            <v>26533081.764579363</v>
          </cell>
          <cell r="F9617" t="str">
            <v>SM 2024</v>
          </cell>
        </row>
        <row r="9618">
          <cell r="A9618" t="str">
            <v>BGD</v>
          </cell>
          <cell r="B9618">
            <v>2042</v>
          </cell>
          <cell r="C9618" t="str">
            <v>mfnvsrvtotlkn</v>
          </cell>
          <cell r="D9618">
            <v>35209230.126467541</v>
          </cell>
          <cell r="F9618" t="str">
            <v>SM 2024</v>
          </cell>
        </row>
        <row r="9619">
          <cell r="A9619" t="str">
            <v>BGD</v>
          </cell>
          <cell r="B9619">
            <v>2042</v>
          </cell>
          <cell r="C9619" t="str">
            <v>mfnvsrvtrnskn</v>
          </cell>
          <cell r="D9619">
            <v>6262146.6160265151</v>
          </cell>
          <cell r="F9619" t="str">
            <v>SM 2024</v>
          </cell>
        </row>
        <row r="9620">
          <cell r="A9620" t="str">
            <v>BGD</v>
          </cell>
          <cell r="B9620">
            <v>2042</v>
          </cell>
          <cell r="C9620" t="str">
            <v>mfnygdpmktpkn</v>
          </cell>
          <cell r="D9620">
            <v>69328070.452233404</v>
          </cell>
          <cell r="F9620" t="str">
            <v>SM 2024</v>
          </cell>
        </row>
        <row r="9621">
          <cell r="A9621" t="str">
            <v>BGD</v>
          </cell>
          <cell r="B9621">
            <v>2042</v>
          </cell>
          <cell r="C9621" t="str">
            <v>mfpop_totl</v>
          </cell>
          <cell r="D9621">
            <v>223377824.24111965</v>
          </cell>
          <cell r="F9621" t="str">
            <v>SM 2024</v>
          </cell>
        </row>
        <row r="9622">
          <cell r="A9622" t="str">
            <v>BGD</v>
          </cell>
          <cell r="B9622">
            <v>2043</v>
          </cell>
          <cell r="C9622" t="str">
            <v>mfbxfstremtcd</v>
          </cell>
          <cell r="D9622">
            <v>111969.81223086519</v>
          </cell>
          <cell r="F9622" t="str">
            <v>SM 2024</v>
          </cell>
        </row>
        <row r="9623">
          <cell r="A9623" t="str">
            <v>BGD</v>
          </cell>
          <cell r="B9623">
            <v>2043</v>
          </cell>
          <cell r="C9623" t="str">
            <v>mfgdppckn</v>
          </cell>
          <cell r="D9623">
            <v>318122.49473656924</v>
          </cell>
          <cell r="F9623" t="str">
            <v>SM 2024</v>
          </cell>
        </row>
        <row r="9624">
          <cell r="A9624" t="str">
            <v>BGD</v>
          </cell>
          <cell r="B9624">
            <v>2043</v>
          </cell>
          <cell r="C9624" t="str">
            <v>mfnvagrtotlkn</v>
          </cell>
          <cell r="D9624">
            <v>6847207.4494089484</v>
          </cell>
          <cell r="F9624" t="str">
            <v>SM 2024</v>
          </cell>
        </row>
        <row r="9625">
          <cell r="A9625" t="str">
            <v>BGD</v>
          </cell>
          <cell r="B9625">
            <v>2043</v>
          </cell>
          <cell r="C9625" t="str">
            <v>mfnvindconskn</v>
          </cell>
          <cell r="D9625">
            <v>7175599.9191054739</v>
          </cell>
          <cell r="F9625" t="str">
            <v>SM 2024</v>
          </cell>
        </row>
        <row r="9626">
          <cell r="A9626" t="str">
            <v>BGD</v>
          </cell>
          <cell r="B9626">
            <v>2043</v>
          </cell>
          <cell r="C9626" t="str">
            <v>mfnvindrestkn</v>
          </cell>
          <cell r="D9626">
            <v>19184189.491325084</v>
          </cell>
          <cell r="F9626" t="str">
            <v>SM 2024</v>
          </cell>
        </row>
        <row r="9627">
          <cell r="A9627" t="str">
            <v>BGD</v>
          </cell>
          <cell r="B9627">
            <v>2043</v>
          </cell>
          <cell r="C9627" t="str">
            <v>mfnvindtotlkn</v>
          </cell>
          <cell r="D9627">
            <v>26359789.410430558</v>
          </cell>
          <cell r="F9627" t="str">
            <v>SM 2024</v>
          </cell>
        </row>
        <row r="9628">
          <cell r="A9628" t="str">
            <v>BGD</v>
          </cell>
          <cell r="B9628">
            <v>2043</v>
          </cell>
          <cell r="C9628" t="str">
            <v>mfnvsrvfinakn</v>
          </cell>
          <cell r="D9628">
            <v>2519567.7234790805</v>
          </cell>
          <cell r="F9628" t="str">
            <v>SM 2024</v>
          </cell>
        </row>
        <row r="9629">
          <cell r="A9629" t="str">
            <v>BGD</v>
          </cell>
          <cell r="B9629">
            <v>2043</v>
          </cell>
          <cell r="C9629" t="str">
            <v>mfnvsrvrestkn</v>
          </cell>
          <cell r="D9629">
            <v>27695444.870214567</v>
          </cell>
          <cell r="F9629" t="str">
            <v>SM 2024</v>
          </cell>
        </row>
        <row r="9630">
          <cell r="A9630" t="str">
            <v>BGD</v>
          </cell>
          <cell r="B9630">
            <v>2043</v>
          </cell>
          <cell r="C9630" t="str">
            <v>mfnvsrvtotlkn</v>
          </cell>
          <cell r="D9630">
            <v>36732904.899306364</v>
          </cell>
          <cell r="F9630" t="str">
            <v>SM 2024</v>
          </cell>
        </row>
        <row r="9631">
          <cell r="A9631" t="str">
            <v>BGD</v>
          </cell>
          <cell r="B9631">
            <v>2043</v>
          </cell>
          <cell r="C9631" t="str">
            <v>mfnvsrvtrnskn</v>
          </cell>
          <cell r="D9631">
            <v>6517892.3056127168</v>
          </cell>
          <cell r="F9631" t="str">
            <v>SM 2024</v>
          </cell>
        </row>
        <row r="9632">
          <cell r="A9632" t="str">
            <v>BGD</v>
          </cell>
          <cell r="B9632">
            <v>2043</v>
          </cell>
          <cell r="C9632" t="str">
            <v>mfnygdpmktpkn</v>
          </cell>
          <cell r="D9632">
            <v>72102873.662815958</v>
          </cell>
          <cell r="F9632" t="str">
            <v>SM 2024</v>
          </cell>
        </row>
        <row r="9633">
          <cell r="A9633" t="str">
            <v>BGD</v>
          </cell>
          <cell r="B9633">
            <v>2043</v>
          </cell>
          <cell r="C9633" t="str">
            <v>mfpop_totl</v>
          </cell>
          <cell r="D9633">
            <v>226651289.53714159</v>
          </cell>
          <cell r="F9633" t="str">
            <v>SM 2024</v>
          </cell>
        </row>
        <row r="9634">
          <cell r="A9634" t="str">
            <v>BGD</v>
          </cell>
          <cell r="B9634">
            <v>2044</v>
          </cell>
          <cell r="C9634" t="str">
            <v>mfbxfstremtcd</v>
          </cell>
          <cell r="D9634">
            <v>122595.52864814611</v>
          </cell>
          <cell r="F9634" t="str">
            <v>SM 2024</v>
          </cell>
        </row>
        <row r="9635">
          <cell r="A9635" t="str">
            <v>BGD</v>
          </cell>
          <cell r="B9635">
            <v>2044</v>
          </cell>
          <cell r="C9635" t="str">
            <v>mfgdppckn</v>
          </cell>
          <cell r="D9635">
            <v>325991.95954452845</v>
          </cell>
          <cell r="F9635" t="str">
            <v>SM 2024</v>
          </cell>
        </row>
        <row r="9636">
          <cell r="A9636" t="str">
            <v>BGD</v>
          </cell>
          <cell r="B9636">
            <v>2044</v>
          </cell>
          <cell r="C9636" t="str">
            <v>mfnvagrtotlkn</v>
          </cell>
          <cell r="D9636">
            <v>7074730.8417666098</v>
          </cell>
          <cell r="F9636" t="str">
            <v>SM 2024</v>
          </cell>
        </row>
        <row r="9637">
          <cell r="A9637" t="str">
            <v>BGD</v>
          </cell>
          <cell r="B9637">
            <v>2044</v>
          </cell>
          <cell r="C9637" t="str">
            <v>mfnvindconskn</v>
          </cell>
          <cell r="D9637">
            <v>7460836.2526067533</v>
          </cell>
          <cell r="F9637" t="str">
            <v>SM 2024</v>
          </cell>
        </row>
        <row r="9638">
          <cell r="A9638" t="str">
            <v>BGD</v>
          </cell>
          <cell r="B9638">
            <v>2044</v>
          </cell>
          <cell r="C9638" t="str">
            <v>mfnvindrestkn</v>
          </cell>
          <cell r="D9638">
            <v>19892103.978686545</v>
          </cell>
          <cell r="F9638" t="str">
            <v>SM 2024</v>
          </cell>
        </row>
        <row r="9639">
          <cell r="A9639" t="str">
            <v>BGD</v>
          </cell>
          <cell r="B9639">
            <v>2044</v>
          </cell>
          <cell r="C9639" t="str">
            <v>mfnvindtotlkn</v>
          </cell>
          <cell r="D9639">
            <v>27352940.231293298</v>
          </cell>
          <cell r="F9639" t="str">
            <v>SM 2024</v>
          </cell>
        </row>
        <row r="9640">
          <cell r="A9640" t="str">
            <v>BGD</v>
          </cell>
          <cell r="B9640">
            <v>2044</v>
          </cell>
          <cell r="C9640" t="str">
            <v>mfnvsrvfinakn</v>
          </cell>
          <cell r="D9640">
            <v>2627568.8644415052</v>
          </cell>
          <cell r="F9640" t="str">
            <v>SM 2024</v>
          </cell>
        </row>
        <row r="9641">
          <cell r="A9641" t="str">
            <v>BGD</v>
          </cell>
          <cell r="B9641">
            <v>2044</v>
          </cell>
          <cell r="C9641" t="str">
            <v>mfnvsrvrestkn</v>
          </cell>
          <cell r="D9641">
            <v>28892059.006446294</v>
          </cell>
          <cell r="F9641" t="str">
            <v>SM 2024</v>
          </cell>
        </row>
        <row r="9642">
          <cell r="A9642" t="str">
            <v>BGD</v>
          </cell>
          <cell r="B9642">
            <v>2044</v>
          </cell>
          <cell r="C9642" t="str">
            <v>mfnvsrvtotlkn</v>
          </cell>
          <cell r="D9642">
            <v>38301053.755489536</v>
          </cell>
          <cell r="F9642" t="str">
            <v>SM 2024</v>
          </cell>
        </row>
        <row r="9643">
          <cell r="A9643" t="str">
            <v>BGD</v>
          </cell>
          <cell r="B9643">
            <v>2044</v>
          </cell>
          <cell r="C9643" t="str">
            <v>mfnvsrvtrnskn</v>
          </cell>
          <cell r="D9643">
            <v>6781425.8846017346</v>
          </cell>
          <cell r="F9643" t="str">
            <v>SM 2024</v>
          </cell>
        </row>
        <row r="9644">
          <cell r="A9644" t="str">
            <v>BGD</v>
          </cell>
          <cell r="B9644">
            <v>2044</v>
          </cell>
          <cell r="C9644" t="str">
            <v>mfnygdpmktpkn</v>
          </cell>
          <cell r="D9644">
            <v>74969259.415660083</v>
          </cell>
          <cell r="F9644" t="str">
            <v>SM 2024</v>
          </cell>
        </row>
        <row r="9645">
          <cell r="A9645" t="str">
            <v>BGD</v>
          </cell>
          <cell r="B9645">
            <v>2044</v>
          </cell>
          <cell r="C9645" t="str">
            <v>mfpop_totl</v>
          </cell>
          <cell r="D9645">
            <v>229972725.46355471</v>
          </cell>
          <cell r="F9645" t="str">
            <v>SM 2024</v>
          </cell>
        </row>
        <row r="9646">
          <cell r="A9646" t="str">
            <v>BGD</v>
          </cell>
          <cell r="B9646">
            <v>2045</v>
          </cell>
          <cell r="C9646" t="str">
            <v>mfbxfstremtcd</v>
          </cell>
          <cell r="D9646">
            <v>134202.67853571597</v>
          </cell>
          <cell r="F9646" t="str">
            <v>SM 2024</v>
          </cell>
        </row>
        <row r="9647">
          <cell r="A9647" t="str">
            <v>BGD</v>
          </cell>
          <cell r="B9647">
            <v>2045</v>
          </cell>
          <cell r="C9647" t="str">
            <v>mfgdppckn</v>
          </cell>
          <cell r="D9647">
            <v>333969.15138064272</v>
          </cell>
          <cell r="F9647" t="str">
            <v>SM 2024</v>
          </cell>
        </row>
        <row r="9648">
          <cell r="A9648" t="str">
            <v>BGD</v>
          </cell>
          <cell r="B9648">
            <v>2045</v>
          </cell>
          <cell r="C9648" t="str">
            <v>mfnvagrtotlkn</v>
          </cell>
          <cell r="D9648">
            <v>7310785.3973269677</v>
          </cell>
          <cell r="F9648" t="str">
            <v>SM 2024</v>
          </cell>
        </row>
        <row r="9649">
          <cell r="A9649" t="str">
            <v>BGD</v>
          </cell>
          <cell r="B9649">
            <v>2045</v>
          </cell>
          <cell r="C9649" t="str">
            <v>mfnvindconskn</v>
          </cell>
          <cell r="D9649">
            <v>7754840.1256974824</v>
          </cell>
          <cell r="F9649" t="str">
            <v>SM 2024</v>
          </cell>
        </row>
        <row r="9650">
          <cell r="A9650" t="str">
            <v>BGD</v>
          </cell>
          <cell r="B9650">
            <v>2045</v>
          </cell>
          <cell r="C9650" t="str">
            <v>mfnvindrestkn</v>
          </cell>
          <cell r="D9650">
            <v>20627850.011337776</v>
          </cell>
          <cell r="F9650" t="str">
            <v>SM 2024</v>
          </cell>
        </row>
        <row r="9651">
          <cell r="A9651" t="str">
            <v>BGD</v>
          </cell>
          <cell r="B9651">
            <v>2045</v>
          </cell>
          <cell r="C9651" t="str">
            <v>mfnvindtotlkn</v>
          </cell>
          <cell r="D9651">
            <v>28382690.137035258</v>
          </cell>
          <cell r="F9651" t="str">
            <v>SM 2024</v>
          </cell>
        </row>
        <row r="9652">
          <cell r="A9652" t="str">
            <v>BGD</v>
          </cell>
          <cell r="B9652">
            <v>2045</v>
          </cell>
          <cell r="C9652" t="str">
            <v>mfnvsrvfinakn</v>
          </cell>
          <cell r="D9652">
            <v>2738155.8909503073</v>
          </cell>
          <cell r="F9652" t="str">
            <v>SM 2024</v>
          </cell>
        </row>
        <row r="9653">
          <cell r="A9653" t="str">
            <v>BGD</v>
          </cell>
          <cell r="B9653">
            <v>2045</v>
          </cell>
          <cell r="C9653" t="str">
            <v>mfnvsrvrestkn</v>
          </cell>
          <cell r="D9653">
            <v>30123818.290536258</v>
          </cell>
          <cell r="F9653" t="str">
            <v>SM 2024</v>
          </cell>
        </row>
        <row r="9654">
          <cell r="A9654" t="str">
            <v>BGD</v>
          </cell>
          <cell r="B9654">
            <v>2045</v>
          </cell>
          <cell r="C9654" t="str">
            <v>mfnvsrvtotlkn</v>
          </cell>
          <cell r="D9654">
            <v>39914954.436553247</v>
          </cell>
          <cell r="F9654" t="str">
            <v>SM 2024</v>
          </cell>
        </row>
        <row r="9655">
          <cell r="A9655" t="str">
            <v>BGD</v>
          </cell>
          <cell r="B9655">
            <v>2045</v>
          </cell>
          <cell r="C9655" t="str">
            <v>mfnvsrvtrnskn</v>
          </cell>
          <cell r="D9655">
            <v>7052980.2550666807</v>
          </cell>
          <cell r="F9655" t="str">
            <v>SM 2024</v>
          </cell>
        </row>
        <row r="9656">
          <cell r="A9656" t="str">
            <v>BGD</v>
          </cell>
          <cell r="B9656">
            <v>2045</v>
          </cell>
          <cell r="C9656" t="str">
            <v>mfnygdpmktpkn</v>
          </cell>
          <cell r="D9656">
            <v>77929308.585899413</v>
          </cell>
          <cell r="F9656" t="str">
            <v>SM 2024</v>
          </cell>
        </row>
        <row r="9657">
          <cell r="A9657" t="str">
            <v>BGD</v>
          </cell>
          <cell r="B9657">
            <v>2045</v>
          </cell>
          <cell r="C9657" t="str">
            <v>mfpop_totl</v>
          </cell>
          <cell r="D9657">
            <v>233342835.00058708</v>
          </cell>
          <cell r="F9657" t="str">
            <v>SM 2024</v>
          </cell>
        </row>
        <row r="9658">
          <cell r="A9658" t="str">
            <v>BGD</v>
          </cell>
          <cell r="B9658">
            <v>2046</v>
          </cell>
          <cell r="C9658" t="str">
            <v>mfbxfstremtcd</v>
          </cell>
          <cell r="D9658">
            <v>146881.27978670283</v>
          </cell>
          <cell r="F9658" t="str">
            <v>SM 2024</v>
          </cell>
        </row>
        <row r="9659">
          <cell r="A9659" t="str">
            <v>BGD</v>
          </cell>
          <cell r="B9659">
            <v>2046</v>
          </cell>
          <cell r="C9659" t="str">
            <v>mfgdppckn</v>
          </cell>
          <cell r="D9659">
            <v>342055.26372688357</v>
          </cell>
          <cell r="F9659" t="str">
            <v>SM 2024</v>
          </cell>
        </row>
        <row r="9660">
          <cell r="A9660" t="str">
            <v>BGD</v>
          </cell>
          <cell r="B9660">
            <v>2046</v>
          </cell>
          <cell r="C9660" t="str">
            <v>mfnvagrtotlkn</v>
          </cell>
          <cell r="D9660">
            <v>7555699.1762378905</v>
          </cell>
          <cell r="F9660" t="str">
            <v>SM 2024</v>
          </cell>
        </row>
        <row r="9661">
          <cell r="A9661" t="str">
            <v>BGD</v>
          </cell>
          <cell r="B9661">
            <v>2046</v>
          </cell>
          <cell r="C9661" t="str">
            <v>mfnvindconskn</v>
          </cell>
          <cell r="D9661">
            <v>8057885.5679468811</v>
          </cell>
          <cell r="F9661" t="str">
            <v>SM 2024</v>
          </cell>
        </row>
        <row r="9662">
          <cell r="A9662" t="str">
            <v>BGD</v>
          </cell>
          <cell r="B9662">
            <v>2046</v>
          </cell>
          <cell r="C9662" t="str">
            <v>mfnvindrestkn</v>
          </cell>
          <cell r="D9662">
            <v>21391880.951641683</v>
          </cell>
          <cell r="F9662" t="str">
            <v>SM 2024</v>
          </cell>
        </row>
        <row r="9663">
          <cell r="A9663" t="str">
            <v>BGD</v>
          </cell>
          <cell r="B9663">
            <v>2046</v>
          </cell>
          <cell r="C9663" t="str">
            <v>mfnvindtotlkn</v>
          </cell>
          <cell r="D9663">
            <v>29449766.519588564</v>
          </cell>
          <cell r="F9663" t="str">
            <v>SM 2024</v>
          </cell>
        </row>
        <row r="9664">
          <cell r="A9664" t="str">
            <v>BGD</v>
          </cell>
          <cell r="B9664">
            <v>2046</v>
          </cell>
          <cell r="C9664" t="str">
            <v>mfnvsrvfinakn</v>
          </cell>
          <cell r="D9664">
            <v>2851504.3707662355</v>
          </cell>
          <cell r="F9664" t="str">
            <v>SM 2024</v>
          </cell>
        </row>
        <row r="9665">
          <cell r="A9665" t="str">
            <v>BGD</v>
          </cell>
          <cell r="B9665">
            <v>2046</v>
          </cell>
          <cell r="C9665" t="str">
            <v>mfnvsrvrestkn</v>
          </cell>
          <cell r="D9665">
            <v>31391871.050883584</v>
          </cell>
          <cell r="F9665" t="str">
            <v>SM 2024</v>
          </cell>
        </row>
        <row r="9666">
          <cell r="A9666" t="str">
            <v>BGD</v>
          </cell>
          <cell r="B9666">
            <v>2046</v>
          </cell>
          <cell r="C9666" t="str">
            <v>mfnvsrvtotlkn</v>
          </cell>
          <cell r="D9666">
            <v>41576232.297739714</v>
          </cell>
          <cell r="F9666" t="str">
            <v>SM 2024</v>
          </cell>
        </row>
        <row r="9667">
          <cell r="A9667" t="str">
            <v>BGD</v>
          </cell>
          <cell r="B9667">
            <v>2046</v>
          </cell>
          <cell r="C9667" t="str">
            <v>mfnvsrvtrnskn</v>
          </cell>
          <cell r="D9667">
            <v>7332856.8760898933</v>
          </cell>
          <cell r="F9667" t="str">
            <v>SM 2024</v>
          </cell>
        </row>
        <row r="9668">
          <cell r="A9668" t="str">
            <v>BGD</v>
          </cell>
          <cell r="B9668">
            <v>2046</v>
          </cell>
          <cell r="C9668" t="str">
            <v>mfnygdpmktpkn</v>
          </cell>
          <cell r="D9668">
            <v>80985801.717952833</v>
          </cell>
          <cell r="F9668" t="str">
            <v>SM 2024</v>
          </cell>
        </row>
        <row r="9669">
          <cell r="A9669" t="str">
            <v>BGD</v>
          </cell>
          <cell r="B9669">
            <v>2046</v>
          </cell>
          <cell r="C9669" t="str">
            <v>mfpop_totl</v>
          </cell>
          <cell r="D9669">
            <v>236762331.43021154</v>
          </cell>
          <cell r="F9669" t="str">
            <v>SM 2024</v>
          </cell>
        </row>
        <row r="9670">
          <cell r="A9670" t="str">
            <v>BGD</v>
          </cell>
          <cell r="B9670">
            <v>2047</v>
          </cell>
          <cell r="C9670" t="str">
            <v>mfbxfstremtcd</v>
          </cell>
          <cell r="D9670">
            <v>160729.9612274816</v>
          </cell>
          <cell r="F9670" t="str">
            <v>SM 2024</v>
          </cell>
        </row>
        <row r="9671">
          <cell r="A9671" t="str">
            <v>BGD</v>
          </cell>
          <cell r="B9671">
            <v>2047</v>
          </cell>
          <cell r="C9671" t="str">
            <v>mfgdppckn</v>
          </cell>
          <cell r="D9671">
            <v>350253.65444418904</v>
          </cell>
          <cell r="F9671" t="str">
            <v>SM 2024</v>
          </cell>
        </row>
        <row r="9672">
          <cell r="A9672" t="str">
            <v>BGD</v>
          </cell>
          <cell r="B9672">
            <v>2047</v>
          </cell>
          <cell r="C9672" t="str">
            <v>mfnvagrtotlkn</v>
          </cell>
          <cell r="D9672">
            <v>7809841.2089286642</v>
          </cell>
          <cell r="F9672" t="str">
            <v>SM 2024</v>
          </cell>
        </row>
        <row r="9673">
          <cell r="A9673" t="str">
            <v>BGD</v>
          </cell>
          <cell r="B9673">
            <v>2047</v>
          </cell>
          <cell r="C9673" t="str">
            <v>mfnvindconskn</v>
          </cell>
          <cell r="D9673">
            <v>8370328.0830437616</v>
          </cell>
          <cell r="F9673" t="str">
            <v>SM 2024</v>
          </cell>
        </row>
        <row r="9674">
          <cell r="A9674" t="str">
            <v>BGD</v>
          </cell>
          <cell r="B9674">
            <v>2047</v>
          </cell>
          <cell r="C9674" t="str">
            <v>mfnvindrestkn</v>
          </cell>
          <cell r="D9674">
            <v>22184829.415132813</v>
          </cell>
          <cell r="F9674" t="str">
            <v>SM 2024</v>
          </cell>
        </row>
        <row r="9675">
          <cell r="A9675" t="str">
            <v>BGD</v>
          </cell>
          <cell r="B9675">
            <v>2047</v>
          </cell>
          <cell r="C9675" t="str">
            <v>mfnvindtotlkn</v>
          </cell>
          <cell r="D9675">
            <v>30555157.498176575</v>
          </cell>
          <cell r="F9675" t="str">
            <v>SM 2024</v>
          </cell>
        </row>
        <row r="9676">
          <cell r="A9676" t="str">
            <v>BGD</v>
          </cell>
          <cell r="B9676">
            <v>2047</v>
          </cell>
          <cell r="C9676" t="str">
            <v>mfnvsrvfinakn</v>
          </cell>
          <cell r="D9676">
            <v>2967809.4150644005</v>
          </cell>
          <cell r="F9676" t="str">
            <v>SM 2024</v>
          </cell>
        </row>
        <row r="9677">
          <cell r="A9677" t="str">
            <v>BGD</v>
          </cell>
          <cell r="B9677">
            <v>2047</v>
          </cell>
          <cell r="C9677" t="str">
            <v>mfnvsrvrestkn</v>
          </cell>
          <cell r="D9677">
            <v>32697579.673611686</v>
          </cell>
          <cell r="F9677" t="str">
            <v>SM 2024</v>
          </cell>
        </row>
        <row r="9678">
          <cell r="A9678" t="str">
            <v>BGD</v>
          </cell>
          <cell r="B9678">
            <v>2047</v>
          </cell>
          <cell r="C9678" t="str">
            <v>mfnvsrvtotlkn</v>
          </cell>
          <cell r="D9678">
            <v>43286802.433298334</v>
          </cell>
          <cell r="F9678" t="str">
            <v>SM 2024</v>
          </cell>
        </row>
        <row r="9679">
          <cell r="A9679" t="str">
            <v>BGD</v>
          </cell>
          <cell r="B9679">
            <v>2047</v>
          </cell>
          <cell r="C9679" t="str">
            <v>mfnvsrvtrnskn</v>
          </cell>
          <cell r="D9679">
            <v>7621413.3446222497</v>
          </cell>
          <cell r="F9679" t="str">
            <v>SM 2024</v>
          </cell>
        </row>
        <row r="9680">
          <cell r="A9680" t="str">
            <v>BGD</v>
          </cell>
          <cell r="B9680">
            <v>2047</v>
          </cell>
          <cell r="C9680" t="str">
            <v>mfnygdpmktpkn</v>
          </cell>
          <cell r="D9680">
            <v>84142114.369322598</v>
          </cell>
          <cell r="F9680" t="str">
            <v>SM 2024</v>
          </cell>
        </row>
        <row r="9681">
          <cell r="A9681" t="str">
            <v>BGD</v>
          </cell>
          <cell r="B9681">
            <v>2047</v>
          </cell>
          <cell r="C9681" t="str">
            <v>mfpop_totl</v>
          </cell>
          <cell r="D9681">
            <v>240231938.48711196</v>
          </cell>
          <cell r="F9681" t="str">
            <v>SM 2024</v>
          </cell>
        </row>
        <row r="9682">
          <cell r="A9682" t="str">
            <v>BGD</v>
          </cell>
          <cell r="B9682">
            <v>2048</v>
          </cell>
          <cell r="C9682" t="str">
            <v>mfbxfstremtcd</v>
          </cell>
          <cell r="D9682">
            <v>175856.72335109723</v>
          </cell>
          <cell r="F9682" t="str">
            <v>SM 2024</v>
          </cell>
        </row>
        <row r="9683">
          <cell r="A9683" t="str">
            <v>BGD</v>
          </cell>
          <cell r="B9683">
            <v>2048</v>
          </cell>
          <cell r="C9683" t="str">
            <v>mfgdppckn</v>
          </cell>
          <cell r="D9683">
            <v>358569.26522890135</v>
          </cell>
          <cell r="F9683" t="str">
            <v>SM 2024</v>
          </cell>
        </row>
        <row r="9684">
          <cell r="A9684" t="str">
            <v>BGD</v>
          </cell>
          <cell r="B9684">
            <v>2048</v>
          </cell>
          <cell r="C9684" t="str">
            <v>mfnvagrtotlkn</v>
          </cell>
          <cell r="D9684">
            <v>8073612.4844807992</v>
          </cell>
          <cell r="F9684" t="str">
            <v>SM 2024</v>
          </cell>
        </row>
        <row r="9685">
          <cell r="A9685" t="str">
            <v>BGD</v>
          </cell>
          <cell r="B9685">
            <v>2048</v>
          </cell>
          <cell r="C9685" t="str">
            <v>mfnvindconskn</v>
          </cell>
          <cell r="D9685">
            <v>8692590.9790327661</v>
          </cell>
          <cell r="F9685" t="str">
            <v>SM 2024</v>
          </cell>
        </row>
        <row r="9686">
          <cell r="A9686" t="str">
            <v>BGD</v>
          </cell>
          <cell r="B9686">
            <v>2048</v>
          </cell>
          <cell r="C9686" t="str">
            <v>mfnvindrestkn</v>
          </cell>
          <cell r="D9686">
            <v>23007479.441467408</v>
          </cell>
          <cell r="F9686" t="str">
            <v>SM 2024</v>
          </cell>
        </row>
        <row r="9687">
          <cell r="A9687" t="str">
            <v>BGD</v>
          </cell>
          <cell r="B9687">
            <v>2048</v>
          </cell>
          <cell r="C9687" t="str">
            <v>mfnvindtotlkn</v>
          </cell>
          <cell r="D9687">
            <v>31700070.420500174</v>
          </cell>
          <cell r="F9687" t="str">
            <v>SM 2024</v>
          </cell>
        </row>
        <row r="9688">
          <cell r="A9688" t="str">
            <v>BGD</v>
          </cell>
          <cell r="B9688">
            <v>2048</v>
          </cell>
          <cell r="C9688" t="str">
            <v>mfnvsrvfinakn</v>
          </cell>
          <cell r="D9688">
            <v>3087280.5124882855</v>
          </cell>
          <cell r="F9688" t="str">
            <v>SM 2024</v>
          </cell>
        </row>
        <row r="9689">
          <cell r="A9689" t="str">
            <v>BGD</v>
          </cell>
          <cell r="B9689">
            <v>2048</v>
          </cell>
          <cell r="C9689" t="str">
            <v>mfnvsrvrestkn</v>
          </cell>
          <cell r="D9689">
            <v>34042486.317020774</v>
          </cell>
          <cell r="F9689" t="str">
            <v>SM 2024</v>
          </cell>
        </row>
        <row r="9690">
          <cell r="A9690" t="str">
            <v>BGD</v>
          </cell>
          <cell r="B9690">
            <v>2048</v>
          </cell>
          <cell r="C9690" t="str">
            <v>mfnvsrvtotlkn</v>
          </cell>
          <cell r="D9690">
            <v>45048818.511709288</v>
          </cell>
          <cell r="F9690" t="str">
            <v>SM 2024</v>
          </cell>
        </row>
        <row r="9691">
          <cell r="A9691" t="str">
            <v>BGD</v>
          </cell>
          <cell r="B9691">
            <v>2048</v>
          </cell>
          <cell r="C9691" t="str">
            <v>mfnvsrvtrnskn</v>
          </cell>
          <cell r="D9691">
            <v>7919051.6822002307</v>
          </cell>
          <cell r="F9691" t="str">
            <v>SM 2024</v>
          </cell>
        </row>
        <row r="9692">
          <cell r="A9692" t="str">
            <v>BGD</v>
          </cell>
          <cell r="B9692">
            <v>2048</v>
          </cell>
          <cell r="C9692" t="str">
            <v>mfnygdpmktpkn</v>
          </cell>
          <cell r="D9692">
            <v>87402115.56362617</v>
          </cell>
          <cell r="F9692" t="str">
            <v>SM 2024</v>
          </cell>
        </row>
        <row r="9693">
          <cell r="A9693" t="str">
            <v>BGD</v>
          </cell>
          <cell r="B9693">
            <v>2048</v>
          </cell>
          <cell r="C9693" t="str">
            <v>mfpop_totl</v>
          </cell>
          <cell r="D9693">
            <v>243752390.51186085</v>
          </cell>
          <cell r="F9693" t="str">
            <v>SM 2024</v>
          </cell>
        </row>
        <row r="9694">
          <cell r="A9694" t="str">
            <v>BGD</v>
          </cell>
          <cell r="B9694">
            <v>2049</v>
          </cell>
          <cell r="C9694" t="str">
            <v>mfbxfstremtcd</v>
          </cell>
          <cell r="D9694">
            <v>192379.77454811026</v>
          </cell>
          <cell r="F9694" t="str">
            <v>SM 2024</v>
          </cell>
        </row>
        <row r="9695">
          <cell r="A9695" t="str">
            <v>BGD</v>
          </cell>
          <cell r="B9695">
            <v>2049</v>
          </cell>
          <cell r="C9695" t="str">
            <v>mfgdppckn</v>
          </cell>
          <cell r="D9695">
            <v>367008.12289014645</v>
          </cell>
          <cell r="F9695" t="str">
            <v>SM 2024</v>
          </cell>
        </row>
        <row r="9696">
          <cell r="A9696" t="str">
            <v>BGD</v>
          </cell>
          <cell r="B9696">
            <v>2049</v>
          </cell>
          <cell r="C9696" t="str">
            <v>mfnvagrtotlkn</v>
          </cell>
          <cell r="D9696">
            <v>8347438.087980777</v>
          </cell>
          <cell r="F9696" t="str">
            <v>SM 2024</v>
          </cell>
        </row>
        <row r="9697">
          <cell r="A9697" t="str">
            <v>BGD</v>
          </cell>
          <cell r="B9697">
            <v>2049</v>
          </cell>
          <cell r="C9697" t="str">
            <v>mfnvindconskn</v>
          </cell>
          <cell r="D9697">
            <v>9025151.3911496066</v>
          </cell>
          <cell r="F9697" t="str">
            <v>SM 2024</v>
          </cell>
        </row>
        <row r="9698">
          <cell r="A9698" t="str">
            <v>BGD</v>
          </cell>
          <cell r="B9698">
            <v>2049</v>
          </cell>
          <cell r="C9698" t="str">
            <v>mfnvindrestkn</v>
          </cell>
          <cell r="D9698">
            <v>23860739.889180534</v>
          </cell>
          <cell r="F9698" t="str">
            <v>SM 2024</v>
          </cell>
        </row>
        <row r="9699">
          <cell r="A9699" t="str">
            <v>BGD</v>
          </cell>
          <cell r="B9699">
            <v>2049</v>
          </cell>
          <cell r="C9699" t="str">
            <v>mfnvindtotlkn</v>
          </cell>
          <cell r="D9699">
            <v>32885891.28033014</v>
          </cell>
          <cell r="F9699" t="str">
            <v>SM 2024</v>
          </cell>
        </row>
        <row r="9700">
          <cell r="A9700" t="str">
            <v>BGD</v>
          </cell>
          <cell r="B9700">
            <v>2049</v>
          </cell>
          <cell r="C9700" t="str">
            <v>mfnvsrvfinakn</v>
          </cell>
          <cell r="D9700">
            <v>3210136.9301647628</v>
          </cell>
          <cell r="F9700" t="str">
            <v>SM 2024</v>
          </cell>
        </row>
        <row r="9701">
          <cell r="A9701" t="str">
            <v>BGD</v>
          </cell>
          <cell r="B9701">
            <v>2049</v>
          </cell>
          <cell r="C9701" t="str">
            <v>mfnvsrvrestkn</v>
          </cell>
          <cell r="D9701">
            <v>35428284.081877261</v>
          </cell>
          <cell r="F9701" t="str">
            <v>SM 2024</v>
          </cell>
        </row>
        <row r="9702">
          <cell r="A9702" t="str">
            <v>BGD</v>
          </cell>
          <cell r="B9702">
            <v>2049</v>
          </cell>
          <cell r="C9702" t="str">
            <v>mfnvsrvtotlkn</v>
          </cell>
          <cell r="D9702">
            <v>46864629.053016663</v>
          </cell>
          <cell r="F9702" t="str">
            <v>SM 2024</v>
          </cell>
        </row>
        <row r="9703">
          <cell r="A9703" t="str">
            <v>BGD</v>
          </cell>
          <cell r="B9703">
            <v>2049</v>
          </cell>
          <cell r="C9703" t="str">
            <v>mfnvsrvtrnskn</v>
          </cell>
          <cell r="D9703">
            <v>8226208.0409746366</v>
          </cell>
          <cell r="F9703" t="str">
            <v>SM 2024</v>
          </cell>
        </row>
        <row r="9704">
          <cell r="A9704" t="str">
            <v>BGD</v>
          </cell>
          <cell r="B9704">
            <v>2049</v>
          </cell>
          <cell r="C9704" t="str">
            <v>mfnygdpmktpkn</v>
          </cell>
          <cell r="D9704">
            <v>90770075.755724236</v>
          </cell>
          <cell r="F9704" t="str">
            <v>SM 2024</v>
          </cell>
        </row>
        <row r="9705">
          <cell r="A9705" t="str">
            <v>BGD</v>
          </cell>
          <cell r="B9705">
            <v>2049</v>
          </cell>
          <cell r="C9705" t="str">
            <v>mfpop_totl</v>
          </cell>
          <cell r="D9705">
            <v>247324432.60634235</v>
          </cell>
          <cell r="F9705" t="str">
            <v>SM 2024</v>
          </cell>
        </row>
        <row r="9706">
          <cell r="A9706" t="str">
            <v>BGD</v>
          </cell>
          <cell r="B9706">
            <v>2050</v>
          </cell>
          <cell r="C9706" t="str">
            <v>mfbxfstremtcd</v>
          </cell>
          <cell r="D9706">
            <v>210428.4493224741</v>
          </cell>
          <cell r="F9706" t="str">
            <v>SM 2024</v>
          </cell>
        </row>
        <row r="9707">
          <cell r="A9707" t="str">
            <v>BGD</v>
          </cell>
          <cell r="B9707">
            <v>2050</v>
          </cell>
          <cell r="C9707" t="str">
            <v>mfgdppckn</v>
          </cell>
          <cell r="D9707">
            <v>375576.9306014952</v>
          </cell>
          <cell r="F9707" t="str">
            <v>SM 2024</v>
          </cell>
        </row>
        <row r="9708">
          <cell r="A9708" t="str">
            <v>BGD</v>
          </cell>
          <cell r="B9708">
            <v>2050</v>
          </cell>
          <cell r="C9708" t="str">
            <v>mfnvagrtotlkn</v>
          </cell>
          <cell r="D9708">
            <v>8631760.7687480766</v>
          </cell>
          <cell r="F9708" t="str">
            <v>SM 2024</v>
          </cell>
        </row>
        <row r="9709">
          <cell r="A9709" t="str">
            <v>BGD</v>
          </cell>
          <cell r="B9709">
            <v>2050</v>
          </cell>
          <cell r="C9709" t="str">
            <v>mfnvindconskn</v>
          </cell>
          <cell r="D9709">
            <v>9368527.3031245992</v>
          </cell>
          <cell r="F9709" t="str">
            <v>SM 2024</v>
          </cell>
        </row>
        <row r="9710">
          <cell r="A9710" t="str">
            <v>BGD</v>
          </cell>
          <cell r="B9710">
            <v>2050</v>
          </cell>
          <cell r="C9710" t="str">
            <v>mfnvindrestkn</v>
          </cell>
          <cell r="D9710">
            <v>24745620.88413538</v>
          </cell>
          <cell r="F9710" t="str">
            <v>SM 2024</v>
          </cell>
        </row>
        <row r="9711">
          <cell r="A9711" t="str">
            <v>BGD</v>
          </cell>
          <cell r="B9711">
            <v>2050</v>
          </cell>
          <cell r="C9711" t="str">
            <v>mfnvindtotlkn</v>
          </cell>
          <cell r="D9711">
            <v>34114148.18725998</v>
          </cell>
          <cell r="F9711" t="str">
            <v>SM 2024</v>
          </cell>
        </row>
        <row r="9712">
          <cell r="A9712" t="str">
            <v>BGD</v>
          </cell>
          <cell r="B9712">
            <v>2050</v>
          </cell>
          <cell r="C9712" t="str">
            <v>mfnvsrvfinakn</v>
          </cell>
          <cell r="D9712">
            <v>3336603.9242498074</v>
          </cell>
          <cell r="F9712" t="str">
            <v>SM 2024</v>
          </cell>
        </row>
        <row r="9713">
          <cell r="A9713" t="str">
            <v>BGD</v>
          </cell>
          <cell r="B9713">
            <v>2050</v>
          </cell>
          <cell r="C9713" t="str">
            <v>mfnvsrvrestkn</v>
          </cell>
          <cell r="D9713">
            <v>36856793.17713955</v>
          </cell>
          <cell r="F9713" t="str">
            <v>SM 2024</v>
          </cell>
        </row>
        <row r="9714">
          <cell r="A9714" t="str">
            <v>BGD</v>
          </cell>
          <cell r="B9714">
            <v>2050</v>
          </cell>
          <cell r="C9714" t="str">
            <v>mfnvsrvtotlkn</v>
          </cell>
          <cell r="D9714">
            <v>48736741.272431411</v>
          </cell>
          <cell r="F9714" t="str">
            <v>SM 2024</v>
          </cell>
        </row>
        <row r="9715">
          <cell r="A9715" t="str">
            <v>BGD</v>
          </cell>
          <cell r="B9715">
            <v>2050</v>
          </cell>
          <cell r="C9715" t="str">
            <v>mfnvsrvtrnskn</v>
          </cell>
          <cell r="D9715">
            <v>8543344.1710420512</v>
          </cell>
          <cell r="F9715" t="str">
            <v>SM 2024</v>
          </cell>
        </row>
        <row r="9716">
          <cell r="A9716" t="str">
            <v>BGD</v>
          </cell>
          <cell r="B9716">
            <v>2050</v>
          </cell>
          <cell r="C9716" t="str">
            <v>mfnygdpmktpkn</v>
          </cell>
          <cell r="D9716">
            <v>94250587.850918517</v>
          </cell>
          <cell r="F9716" t="str">
            <v>SM 2024</v>
          </cell>
        </row>
        <row r="9717">
          <cell r="A9717" t="str">
            <v>BGD</v>
          </cell>
          <cell r="B9717">
            <v>2050</v>
          </cell>
          <cell r="C9717" t="str">
            <v>mfpop_totl</v>
          </cell>
          <cell r="D9717">
            <v>250948820.79145277</v>
          </cell>
          <cell r="F9717" t="str">
            <v>SM 2024</v>
          </cell>
        </row>
        <row r="9718">
          <cell r="A9718" t="str">
            <v>BGD</v>
          </cell>
          <cell r="B9718">
            <v>2024</v>
          </cell>
          <cell r="C9718" t="str">
            <v>mfnvagrtotlkn</v>
          </cell>
          <cell r="D9718">
            <v>3624775.9239999899</v>
          </cell>
          <cell r="F9718" t="str">
            <v>July 2024</v>
          </cell>
        </row>
        <row r="9719">
          <cell r="A9719" t="str">
            <v>BGD</v>
          </cell>
          <cell r="B9719">
            <v>2024</v>
          </cell>
          <cell r="C9719" t="str">
            <v>mfnvindconskn</v>
          </cell>
          <cell r="D9719">
            <v>3121032.3594923397</v>
          </cell>
          <cell r="F9719" t="str">
            <v>July 2024</v>
          </cell>
        </row>
        <row r="9720">
          <cell r="A9720" t="str">
            <v>BGD</v>
          </cell>
          <cell r="B9720">
            <v>2024</v>
          </cell>
          <cell r="C9720" t="str">
            <v>mfnvindrestkn</v>
          </cell>
          <cell r="D9720">
            <v>9024527.4531400781</v>
          </cell>
          <cell r="F9720" t="str">
            <v>July 2024</v>
          </cell>
        </row>
        <row r="9721">
          <cell r="A9721" t="str">
            <v>BGD</v>
          </cell>
          <cell r="B9721">
            <v>2024</v>
          </cell>
          <cell r="C9721" t="str">
            <v>mfnvsrvtrnskn</v>
          </cell>
          <cell r="D9721">
            <v>2731020.7756300522</v>
          </cell>
          <cell r="F9721" t="str">
            <v>July 2024</v>
          </cell>
        </row>
        <row r="9722">
          <cell r="A9722" t="str">
            <v>BGD</v>
          </cell>
          <cell r="B9722">
            <v>2024</v>
          </cell>
          <cell r="C9722" t="str">
            <v>mfnvsrvfinakn</v>
          </cell>
          <cell r="D9722">
            <v>976559.02025024802</v>
          </cell>
          <cell r="F9722" t="str">
            <v>July 2024</v>
          </cell>
        </row>
        <row r="9723">
          <cell r="A9723" t="str">
            <v>BGD</v>
          </cell>
          <cell r="B9723">
            <v>2024</v>
          </cell>
          <cell r="C9723" t="str">
            <v>mfnvsrvrestkn</v>
          </cell>
          <cell r="D9723">
            <v>12654852.056577655</v>
          </cell>
          <cell r="F9723" t="str">
            <v>July 2024</v>
          </cell>
        </row>
        <row r="9724">
          <cell r="A9724" t="str">
            <v>BGD</v>
          </cell>
          <cell r="B9724">
            <v>2025</v>
          </cell>
          <cell r="C9724" t="str">
            <v>mfnvagrtotlkn</v>
          </cell>
          <cell r="D9724">
            <v>3748018.3054159898</v>
          </cell>
          <cell r="F9724" t="str">
            <v>July 2024</v>
          </cell>
        </row>
        <row r="9725">
          <cell r="A9725" t="str">
            <v>BGD</v>
          </cell>
          <cell r="B9725">
            <v>2025</v>
          </cell>
          <cell r="C9725" t="str">
            <v>mfnvindconskn</v>
          </cell>
          <cell r="D9725">
            <v>3323899.4628593414</v>
          </cell>
          <cell r="F9725" t="str">
            <v>July 2024</v>
          </cell>
        </row>
        <row r="9726">
          <cell r="A9726" t="str">
            <v>BGD</v>
          </cell>
          <cell r="B9726">
            <v>2025</v>
          </cell>
          <cell r="C9726" t="str">
            <v>mfnvindrestkn</v>
          </cell>
          <cell r="D9726">
            <v>9611121.7375941817</v>
          </cell>
          <cell r="F9726" t="str">
            <v>July 2024</v>
          </cell>
        </row>
        <row r="9727">
          <cell r="A9727" t="str">
            <v>BGD</v>
          </cell>
          <cell r="B9727">
            <v>2025</v>
          </cell>
          <cell r="C9727" t="str">
            <v>mfnvsrvtrnskn</v>
          </cell>
          <cell r="D9727">
            <v>2848699.6683131945</v>
          </cell>
          <cell r="F9727" t="str">
            <v>July 2024</v>
          </cell>
        </row>
        <row r="9728">
          <cell r="A9728" t="str">
            <v>BGD</v>
          </cell>
          <cell r="B9728">
            <v>2025</v>
          </cell>
          <cell r="C9728" t="str">
            <v>mfnvsrvfinakn</v>
          </cell>
          <cell r="D9728">
            <v>1018638.6650366454</v>
          </cell>
          <cell r="F9728" t="str">
            <v>July 2024</v>
          </cell>
        </row>
        <row r="9729">
          <cell r="A9729" t="str">
            <v>BGD</v>
          </cell>
          <cell r="B9729">
            <v>2025</v>
          </cell>
          <cell r="C9729" t="str">
            <v>mfnvsrvrestkn</v>
          </cell>
          <cell r="D9729">
            <v>13200145.95927361</v>
          </cell>
          <cell r="F9729" t="str">
            <v>July 2024</v>
          </cell>
        </row>
        <row r="9730">
          <cell r="A9730" t="str">
            <v>BGD</v>
          </cell>
          <cell r="B9730">
            <v>2026</v>
          </cell>
          <cell r="C9730" t="str">
            <v>mfnvagrtotlkn</v>
          </cell>
          <cell r="D9730">
            <v>3879198.94610555</v>
          </cell>
          <cell r="F9730" t="str">
            <v>July 2024</v>
          </cell>
        </row>
        <row r="9731">
          <cell r="A9731" t="str">
            <v>BGD</v>
          </cell>
          <cell r="B9731">
            <v>2026</v>
          </cell>
          <cell r="C9731" t="str">
            <v>mfnvindconskn</v>
          </cell>
          <cell r="D9731">
            <v>3583163.6209623702</v>
          </cell>
          <cell r="F9731" t="str">
            <v>July 2024</v>
          </cell>
        </row>
        <row r="9732">
          <cell r="A9732" t="str">
            <v>BGD</v>
          </cell>
          <cell r="B9732">
            <v>2026</v>
          </cell>
          <cell r="C9732" t="str">
            <v>mfnvindrestkn</v>
          </cell>
          <cell r="D9732">
            <v>10360789.233126529</v>
          </cell>
          <cell r="F9732" t="str">
            <v>July 2024</v>
          </cell>
        </row>
        <row r="9733">
          <cell r="A9733" t="str">
            <v>BGD</v>
          </cell>
          <cell r="B9733">
            <v>2026</v>
          </cell>
          <cell r="C9733" t="str">
            <v>mfnvsrvtrnskn</v>
          </cell>
          <cell r="D9733">
            <v>2991386.9899160969</v>
          </cell>
          <cell r="F9733" t="str">
            <v>July 2024</v>
          </cell>
        </row>
        <row r="9734">
          <cell r="A9734" t="str">
            <v>BGD</v>
          </cell>
          <cell r="B9734">
            <v>2026</v>
          </cell>
          <cell r="C9734" t="str">
            <v>mfnvsrvfinakn</v>
          </cell>
          <cell r="D9734">
            <v>1069660.8294339541</v>
          </cell>
          <cell r="F9734" t="str">
            <v>July 2024</v>
          </cell>
        </row>
        <row r="9735">
          <cell r="A9735" t="str">
            <v>BGD</v>
          </cell>
          <cell r="B9735">
            <v>2026</v>
          </cell>
          <cell r="C9735" t="str">
            <v>mfnvsrvrestkn</v>
          </cell>
          <cell r="D9735">
            <v>13861322.527883736</v>
          </cell>
          <cell r="F9735" t="str">
            <v>July 2024</v>
          </cell>
        </row>
        <row r="9736">
          <cell r="A9736" t="str">
            <v>BGD</v>
          </cell>
          <cell r="B9736">
            <v>2027</v>
          </cell>
          <cell r="C9736" t="str">
            <v>mfnvagrtotlkn</v>
          </cell>
          <cell r="D9736">
            <v>4014970.9092192398</v>
          </cell>
          <cell r="F9736" t="str">
            <v>July 2024</v>
          </cell>
        </row>
        <row r="9737">
          <cell r="A9737" t="str">
            <v>BGD</v>
          </cell>
          <cell r="B9737">
            <v>2027</v>
          </cell>
          <cell r="C9737" t="str">
            <v>mfnvindconskn</v>
          </cell>
          <cell r="D9737">
            <v>3873399.8742603222</v>
          </cell>
          <cell r="F9737" t="str">
            <v>July 2024</v>
          </cell>
        </row>
        <row r="9738">
          <cell r="A9738" t="str">
            <v>BGD</v>
          </cell>
          <cell r="B9738">
            <v>2027</v>
          </cell>
          <cell r="C9738" t="str">
            <v>mfnvindrestkn</v>
          </cell>
          <cell r="D9738">
            <v>11200013.161009777</v>
          </cell>
          <cell r="F9738" t="str">
            <v>July 2024</v>
          </cell>
        </row>
        <row r="9739">
          <cell r="A9739" t="str">
            <v>BGD</v>
          </cell>
          <cell r="B9739">
            <v>2027</v>
          </cell>
          <cell r="C9739" t="str">
            <v>mfnvsrvtrnskn</v>
          </cell>
          <cell r="D9739">
            <v>3161823.1432990981</v>
          </cell>
          <cell r="F9739" t="str">
            <v>July 2024</v>
          </cell>
        </row>
        <row r="9740">
          <cell r="A9740" t="str">
            <v>BGD</v>
          </cell>
          <cell r="B9740">
            <v>2027</v>
          </cell>
          <cell r="C9740" t="str">
            <v>mfnvsrvfinakn</v>
          </cell>
          <cell r="D9740">
            <v>1130605.427310375</v>
          </cell>
          <cell r="F9740" t="str">
            <v>July 2024</v>
          </cell>
        </row>
        <row r="9741">
          <cell r="A9741" t="str">
            <v>BGD</v>
          </cell>
          <cell r="B9741">
            <v>2027</v>
          </cell>
          <cell r="C9741" t="str">
            <v>mfnvsrvrestkn</v>
          </cell>
          <cell r="D9741">
            <v>14651080.088646511</v>
          </cell>
          <cell r="F9741" t="str">
            <v>July 2024</v>
          </cell>
        </row>
      </sheetData>
      <sheetData sheetId="1">
        <row r="1">
          <cell r="A1" t="str">
            <v>country</v>
          </cell>
          <cell r="B1" t="str">
            <v>year</v>
          </cell>
          <cell r="C1" t="str">
            <v>indicator</v>
          </cell>
          <cell r="D1" t="str">
            <v>value</v>
          </cell>
          <cell r="G1" t="str">
            <v>nsectors</v>
          </cell>
        </row>
        <row r="2">
          <cell r="A2" t="str">
            <v>BGD</v>
          </cell>
          <cell r="B2">
            <v>2016</v>
          </cell>
          <cell r="C2" t="str">
            <v>hspop_total</v>
          </cell>
          <cell r="D2">
            <v>159583216</v>
          </cell>
          <cell r="G2">
            <v>3</v>
          </cell>
        </row>
        <row r="3">
          <cell r="A3" t="str">
            <v>BGD</v>
          </cell>
          <cell r="B3">
            <v>2016</v>
          </cell>
          <cell r="C3" t="str">
            <v>hspop_0014</v>
          </cell>
          <cell r="D3">
            <v>51474876</v>
          </cell>
          <cell r="G3">
            <v>3</v>
          </cell>
        </row>
        <row r="4">
          <cell r="A4" t="str">
            <v>BGD</v>
          </cell>
          <cell r="B4">
            <v>2016</v>
          </cell>
          <cell r="C4" t="str">
            <v>hspop_15up</v>
          </cell>
          <cell r="D4">
            <v>108098696</v>
          </cell>
          <cell r="G4">
            <v>3</v>
          </cell>
        </row>
        <row r="5">
          <cell r="A5" t="str">
            <v>BGD</v>
          </cell>
          <cell r="B5">
            <v>2016</v>
          </cell>
          <cell r="C5" t="str">
            <v>hspop_65up</v>
          </cell>
          <cell r="D5">
            <v>7889021.5</v>
          </cell>
          <cell r="G5">
            <v>3</v>
          </cell>
        </row>
        <row r="6">
          <cell r="A6" t="str">
            <v>BGD</v>
          </cell>
          <cell r="B6">
            <v>2016</v>
          </cell>
          <cell r="C6" t="str">
            <v>hslstatus3_15up</v>
          </cell>
          <cell r="D6">
            <v>56123900</v>
          </cell>
          <cell r="G6">
            <v>3</v>
          </cell>
        </row>
        <row r="7">
          <cell r="A7" t="str">
            <v>BGD</v>
          </cell>
          <cell r="B7">
            <v>2016</v>
          </cell>
          <cell r="C7" t="str">
            <v>hslstatus2_15up</v>
          </cell>
          <cell r="D7">
            <v>1601973.25</v>
          </cell>
          <cell r="G7">
            <v>3</v>
          </cell>
        </row>
        <row r="8">
          <cell r="A8" t="str">
            <v>BGD</v>
          </cell>
          <cell r="B8">
            <v>2016</v>
          </cell>
          <cell r="C8" t="str">
            <v>hslstatus1_15up</v>
          </cell>
          <cell r="D8">
            <v>50372824</v>
          </cell>
          <cell r="G8">
            <v>3</v>
          </cell>
        </row>
        <row r="9">
          <cell r="A9" t="str">
            <v>BGD</v>
          </cell>
          <cell r="B9">
            <v>2016</v>
          </cell>
          <cell r="C9" t="str">
            <v>hslstatus12_15up</v>
          </cell>
          <cell r="D9">
            <v>51974800</v>
          </cell>
          <cell r="G9">
            <v>3</v>
          </cell>
        </row>
        <row r="10">
          <cell r="A10" t="str">
            <v>BGD</v>
          </cell>
          <cell r="B10">
            <v>2016</v>
          </cell>
          <cell r="C10" t="str">
            <v>hslstatus1_s0_a1</v>
          </cell>
          <cell r="D10">
            <v>2149601.5</v>
          </cell>
          <cell r="G10">
            <v>3</v>
          </cell>
        </row>
        <row r="11">
          <cell r="A11" t="str">
            <v>BGD</v>
          </cell>
          <cell r="B11">
            <v>2016</v>
          </cell>
          <cell r="C11" t="str">
            <v>hslstatus1_s0_a2</v>
          </cell>
          <cell r="D11">
            <v>9695195</v>
          </cell>
          <cell r="G11">
            <v>3</v>
          </cell>
        </row>
        <row r="12">
          <cell r="A12" t="str">
            <v>BGD</v>
          </cell>
          <cell r="B12">
            <v>2016</v>
          </cell>
          <cell r="C12" t="str">
            <v>hslstatus1_s0_a3</v>
          </cell>
          <cell r="D12">
            <v>13945782</v>
          </cell>
          <cell r="G12">
            <v>3</v>
          </cell>
        </row>
        <row r="13">
          <cell r="A13" t="str">
            <v>BGD</v>
          </cell>
          <cell r="B13">
            <v>2016</v>
          </cell>
          <cell r="C13" t="str">
            <v>hslstatus1_s1_a1</v>
          </cell>
          <cell r="D13">
            <v>14384454</v>
          </cell>
          <cell r="G13">
            <v>3</v>
          </cell>
        </row>
        <row r="14">
          <cell r="A14" t="str">
            <v>BGD</v>
          </cell>
          <cell r="B14">
            <v>2016</v>
          </cell>
          <cell r="C14" t="str">
            <v>hslstatus1_s1_a2</v>
          </cell>
          <cell r="D14">
            <v>2961032.75</v>
          </cell>
          <cell r="G14">
            <v>3</v>
          </cell>
        </row>
        <row r="15">
          <cell r="A15" t="str">
            <v>BGD</v>
          </cell>
          <cell r="B15">
            <v>2016</v>
          </cell>
          <cell r="C15" t="str">
            <v>hslstatus1_s1_a3</v>
          </cell>
          <cell r="D15">
            <v>6792211.5</v>
          </cell>
          <cell r="G15">
            <v>3</v>
          </cell>
        </row>
        <row r="16">
          <cell r="A16" t="str">
            <v>BGD</v>
          </cell>
          <cell r="B16">
            <v>2016</v>
          </cell>
          <cell r="C16" t="str">
            <v>hsip_total</v>
          </cell>
          <cell r="D16">
            <v>327.91162109375</v>
          </cell>
          <cell r="G16">
            <v>3</v>
          </cell>
        </row>
        <row r="17">
          <cell r="A17" t="str">
            <v>BGD</v>
          </cell>
          <cell r="B17">
            <v>2016</v>
          </cell>
          <cell r="C17" t="str">
            <v>hsip_s0_a1</v>
          </cell>
          <cell r="D17">
            <v>179.61456298828125</v>
          </cell>
          <cell r="G17">
            <v>3</v>
          </cell>
        </row>
        <row r="18">
          <cell r="A18" t="str">
            <v>BGD</v>
          </cell>
          <cell r="B18">
            <v>2016</v>
          </cell>
          <cell r="C18" t="str">
            <v>hsip_s0_a2</v>
          </cell>
          <cell r="D18">
            <v>287.7081298828125</v>
          </cell>
          <cell r="G18">
            <v>3</v>
          </cell>
        </row>
        <row r="19">
          <cell r="A19" t="str">
            <v>BGD</v>
          </cell>
          <cell r="B19">
            <v>2016</v>
          </cell>
          <cell r="C19" t="str">
            <v>hsip_s0_a3</v>
          </cell>
          <cell r="D19">
            <v>334.06631469726563</v>
          </cell>
          <cell r="G19">
            <v>3</v>
          </cell>
        </row>
        <row r="20">
          <cell r="A20" t="str">
            <v>BGD</v>
          </cell>
          <cell r="B20">
            <v>2016</v>
          </cell>
          <cell r="C20" t="str">
            <v>hsip_s1_a1</v>
          </cell>
          <cell r="D20">
            <v>211.47543334960938</v>
          </cell>
          <cell r="G20">
            <v>3</v>
          </cell>
        </row>
        <row r="21">
          <cell r="A21" t="str">
            <v>BGD</v>
          </cell>
          <cell r="B21">
            <v>2016</v>
          </cell>
          <cell r="C21" t="str">
            <v>hsip_s1_a2</v>
          </cell>
          <cell r="D21">
            <v>416.73294067382813</v>
          </cell>
          <cell r="G21">
            <v>3</v>
          </cell>
        </row>
        <row r="22">
          <cell r="A22" t="str">
            <v>BGD</v>
          </cell>
          <cell r="B22">
            <v>2016</v>
          </cell>
          <cell r="C22" t="str">
            <v>hsip_s1_a3</v>
          </cell>
          <cell r="D22">
            <v>591.46917724609375</v>
          </cell>
          <cell r="G22">
            <v>3</v>
          </cell>
        </row>
        <row r="23">
          <cell r="A23" t="str">
            <v>BGD</v>
          </cell>
          <cell r="B23">
            <v>2022</v>
          </cell>
          <cell r="C23" t="str">
            <v>hspop_total</v>
          </cell>
          <cell r="D23">
            <v>165687184</v>
          </cell>
          <cell r="G23">
            <v>3</v>
          </cell>
        </row>
        <row r="24">
          <cell r="A24" t="str">
            <v>BGD</v>
          </cell>
          <cell r="B24">
            <v>2022</v>
          </cell>
          <cell r="C24" t="str">
            <v>hspop_0014</v>
          </cell>
          <cell r="D24">
            <v>46586420</v>
          </cell>
          <cell r="G24">
            <v>3</v>
          </cell>
        </row>
        <row r="25">
          <cell r="A25" t="str">
            <v>BGD</v>
          </cell>
          <cell r="B25">
            <v>2022</v>
          </cell>
          <cell r="C25" t="str">
            <v>hspop_15up</v>
          </cell>
          <cell r="D25">
            <v>119100760</v>
          </cell>
          <cell r="G25">
            <v>3</v>
          </cell>
        </row>
        <row r="26">
          <cell r="A26" t="str">
            <v>BGD</v>
          </cell>
          <cell r="B26">
            <v>2022</v>
          </cell>
          <cell r="C26" t="str">
            <v>hspop_65up</v>
          </cell>
          <cell r="D26">
            <v>10251569</v>
          </cell>
          <cell r="G26">
            <v>3</v>
          </cell>
        </row>
        <row r="27">
          <cell r="A27" t="str">
            <v>BGD</v>
          </cell>
          <cell r="B27">
            <v>2022</v>
          </cell>
          <cell r="C27" t="str">
            <v>hslstatus3_15up</v>
          </cell>
          <cell r="D27">
            <v>58517504</v>
          </cell>
          <cell r="G27">
            <v>3</v>
          </cell>
        </row>
        <row r="28">
          <cell r="A28" t="str">
            <v>BGD</v>
          </cell>
          <cell r="B28">
            <v>2022</v>
          </cell>
          <cell r="C28" t="str">
            <v>hslstatus2_15up</v>
          </cell>
          <cell r="D28">
            <v>2443874</v>
          </cell>
          <cell r="G28">
            <v>3</v>
          </cell>
        </row>
        <row r="29">
          <cell r="A29" t="str">
            <v>BGD</v>
          </cell>
          <cell r="B29">
            <v>2022</v>
          </cell>
          <cell r="C29" t="str">
            <v>hslstatus1_15up</v>
          </cell>
          <cell r="D29">
            <v>58139384</v>
          </cell>
          <cell r="G29">
            <v>3</v>
          </cell>
        </row>
        <row r="30">
          <cell r="A30" t="str">
            <v>BGD</v>
          </cell>
          <cell r="B30">
            <v>2022</v>
          </cell>
          <cell r="C30" t="str">
            <v>hslstatus12_15up</v>
          </cell>
          <cell r="D30">
            <v>60583260</v>
          </cell>
          <cell r="G30">
            <v>3</v>
          </cell>
        </row>
        <row r="31">
          <cell r="A31" t="str">
            <v>BGD</v>
          </cell>
          <cell r="B31">
            <v>2022</v>
          </cell>
          <cell r="C31" t="str">
            <v>hslstatus1_s0_a1</v>
          </cell>
          <cell r="D31">
            <v>2610536</v>
          </cell>
          <cell r="G31">
            <v>3</v>
          </cell>
        </row>
        <row r="32">
          <cell r="A32" t="str">
            <v>BGD</v>
          </cell>
          <cell r="B32">
            <v>2022</v>
          </cell>
          <cell r="C32" t="str">
            <v>hslstatus1_s0_a2</v>
          </cell>
          <cell r="D32">
            <v>10125834</v>
          </cell>
          <cell r="G32">
            <v>3</v>
          </cell>
        </row>
        <row r="33">
          <cell r="A33" t="str">
            <v>BGD</v>
          </cell>
          <cell r="B33">
            <v>2022</v>
          </cell>
          <cell r="C33" t="str">
            <v>hslstatus1_s0_a3</v>
          </cell>
          <cell r="D33">
            <v>13278361</v>
          </cell>
          <cell r="G33">
            <v>3</v>
          </cell>
        </row>
        <row r="34">
          <cell r="A34" t="str">
            <v>BGD</v>
          </cell>
          <cell r="B34">
            <v>2022</v>
          </cell>
          <cell r="C34" t="str">
            <v>hslstatus1_s1_a1</v>
          </cell>
          <cell r="D34">
            <v>15871659</v>
          </cell>
          <cell r="G34">
            <v>3</v>
          </cell>
        </row>
        <row r="35">
          <cell r="A35" t="str">
            <v>BGD</v>
          </cell>
          <cell r="B35">
            <v>2022</v>
          </cell>
          <cell r="C35" t="str">
            <v>hslstatus1_s1_a2</v>
          </cell>
          <cell r="D35">
            <v>6066444</v>
          </cell>
          <cell r="G35">
            <v>3</v>
          </cell>
        </row>
        <row r="36">
          <cell r="A36" t="str">
            <v>BGD</v>
          </cell>
          <cell r="B36">
            <v>2022</v>
          </cell>
          <cell r="C36" t="str">
            <v>hslstatus1_s1_a3</v>
          </cell>
          <cell r="D36">
            <v>10186550</v>
          </cell>
          <cell r="G36">
            <v>3</v>
          </cell>
        </row>
        <row r="37">
          <cell r="A37" t="str">
            <v>BGD</v>
          </cell>
          <cell r="B37">
            <v>2022</v>
          </cell>
          <cell r="C37" t="str">
            <v>hsip_total</v>
          </cell>
          <cell r="D37">
            <v>641.521484375</v>
          </cell>
          <cell r="G37">
            <v>3</v>
          </cell>
        </row>
        <row r="38">
          <cell r="A38" t="str">
            <v>BGD</v>
          </cell>
          <cell r="B38">
            <v>2022</v>
          </cell>
          <cell r="C38" t="str">
            <v>hsip_s0_a1</v>
          </cell>
          <cell r="D38">
            <v>293.2978515625</v>
          </cell>
          <cell r="G38">
            <v>3</v>
          </cell>
        </row>
        <row r="39">
          <cell r="A39" t="str">
            <v>BGD</v>
          </cell>
          <cell r="B39">
            <v>2022</v>
          </cell>
          <cell r="C39" t="str">
            <v>hsip_s0_a2</v>
          </cell>
          <cell r="D39">
            <v>614.328125</v>
          </cell>
          <cell r="G39">
            <v>3</v>
          </cell>
        </row>
        <row r="40">
          <cell r="A40" t="str">
            <v>BGD</v>
          </cell>
          <cell r="B40">
            <v>2022</v>
          </cell>
          <cell r="C40" t="str">
            <v>hsip_s0_a3</v>
          </cell>
          <cell r="D40">
            <v>502.22030639648438</v>
          </cell>
          <cell r="G40">
            <v>3</v>
          </cell>
        </row>
        <row r="41">
          <cell r="A41" t="str">
            <v>BGD</v>
          </cell>
          <cell r="B41">
            <v>2022</v>
          </cell>
          <cell r="C41" t="str">
            <v>hsip_s1_a1</v>
          </cell>
          <cell r="D41">
            <v>395.90869140625</v>
          </cell>
          <cell r="G41">
            <v>3</v>
          </cell>
        </row>
        <row r="42">
          <cell r="A42" t="str">
            <v>BGD</v>
          </cell>
          <cell r="B42">
            <v>2022</v>
          </cell>
          <cell r="C42" t="str">
            <v>hsip_s1_a2</v>
          </cell>
          <cell r="D42">
            <v>866.3953857421875</v>
          </cell>
          <cell r="G42">
            <v>3</v>
          </cell>
        </row>
        <row r="43">
          <cell r="A43" t="str">
            <v>BGD</v>
          </cell>
          <cell r="B43">
            <v>2022</v>
          </cell>
          <cell r="C43" t="str">
            <v>hsip_s1_a3</v>
          </cell>
          <cell r="D43">
            <v>1200.75146484375</v>
          </cell>
          <cell r="G43">
            <v>3</v>
          </cell>
        </row>
        <row r="44">
          <cell r="A44" t="str">
            <v>BGD</v>
          </cell>
          <cell r="B44">
            <v>2016</v>
          </cell>
          <cell r="C44" t="str">
            <v>hspop_total</v>
          </cell>
          <cell r="D44">
            <v>159583216</v>
          </cell>
          <cell r="G44">
            <v>6</v>
          </cell>
        </row>
        <row r="45">
          <cell r="A45" t="str">
            <v>BGD</v>
          </cell>
          <cell r="B45">
            <v>2016</v>
          </cell>
          <cell r="C45" t="str">
            <v>hspop_0014</v>
          </cell>
          <cell r="D45">
            <v>51474876</v>
          </cell>
          <cell r="G45">
            <v>6</v>
          </cell>
        </row>
        <row r="46">
          <cell r="A46" t="str">
            <v>BGD</v>
          </cell>
          <cell r="B46">
            <v>2016</v>
          </cell>
          <cell r="C46" t="str">
            <v>hspop_15up</v>
          </cell>
          <cell r="D46">
            <v>108098696</v>
          </cell>
          <cell r="G46">
            <v>6</v>
          </cell>
        </row>
        <row r="47">
          <cell r="A47" t="str">
            <v>BGD</v>
          </cell>
          <cell r="B47">
            <v>2016</v>
          </cell>
          <cell r="C47" t="str">
            <v>hspop_65up</v>
          </cell>
          <cell r="D47">
            <v>7889021.5</v>
          </cell>
          <cell r="G47">
            <v>6</v>
          </cell>
        </row>
        <row r="48">
          <cell r="A48" t="str">
            <v>BGD</v>
          </cell>
          <cell r="B48">
            <v>2016</v>
          </cell>
          <cell r="C48" t="str">
            <v>hslstatus3_15up</v>
          </cell>
          <cell r="D48">
            <v>56123900</v>
          </cell>
          <cell r="G48">
            <v>6</v>
          </cell>
        </row>
        <row r="49">
          <cell r="A49" t="str">
            <v>BGD</v>
          </cell>
          <cell r="B49">
            <v>2016</v>
          </cell>
          <cell r="C49" t="str">
            <v>hslstatus2_15up</v>
          </cell>
          <cell r="D49">
            <v>1601973.25</v>
          </cell>
          <cell r="G49">
            <v>6</v>
          </cell>
        </row>
        <row r="50">
          <cell r="A50" t="str">
            <v>BGD</v>
          </cell>
          <cell r="B50">
            <v>2016</v>
          </cell>
          <cell r="C50" t="str">
            <v>hslstatus1_15up</v>
          </cell>
          <cell r="D50">
            <v>50372824</v>
          </cell>
          <cell r="G50">
            <v>6</v>
          </cell>
        </row>
        <row r="51">
          <cell r="A51" t="str">
            <v>BGD</v>
          </cell>
          <cell r="B51">
            <v>2016</v>
          </cell>
          <cell r="C51" t="str">
            <v>hslstatus12_15up</v>
          </cell>
          <cell r="D51">
            <v>51974800</v>
          </cell>
          <cell r="G51">
            <v>6</v>
          </cell>
        </row>
        <row r="52">
          <cell r="A52" t="str">
            <v>BGD</v>
          </cell>
          <cell r="B52">
            <v>2016</v>
          </cell>
          <cell r="C52" t="str">
            <v>hslstatus1_s0_a1</v>
          </cell>
          <cell r="D52">
            <v>2149601.5</v>
          </cell>
          <cell r="G52">
            <v>6</v>
          </cell>
        </row>
        <row r="53">
          <cell r="A53" t="str">
            <v>BGD</v>
          </cell>
          <cell r="B53">
            <v>2016</v>
          </cell>
          <cell r="C53" t="str">
            <v>hslstatus1_s0_a2</v>
          </cell>
          <cell r="D53">
            <v>1898241.375</v>
          </cell>
          <cell r="G53">
            <v>6</v>
          </cell>
        </row>
        <row r="54">
          <cell r="A54" t="str">
            <v>BGD</v>
          </cell>
          <cell r="B54">
            <v>2016</v>
          </cell>
          <cell r="C54" t="str">
            <v>hslstatus1_s0_a3</v>
          </cell>
          <cell r="D54">
            <v>7796953.5</v>
          </cell>
          <cell r="G54">
            <v>6</v>
          </cell>
        </row>
        <row r="55">
          <cell r="A55" t="str">
            <v>BGD</v>
          </cell>
          <cell r="B55">
            <v>2016</v>
          </cell>
          <cell r="C55" t="str">
            <v>hslstatus1_s0_a4</v>
          </cell>
          <cell r="D55">
            <v>4612845.5</v>
          </cell>
          <cell r="G55">
            <v>6</v>
          </cell>
        </row>
        <row r="56">
          <cell r="A56" t="str">
            <v>BGD</v>
          </cell>
          <cell r="B56">
            <v>2016</v>
          </cell>
          <cell r="C56" t="str">
            <v>hslstatus1_s0_a5</v>
          </cell>
          <cell r="D56">
            <v>3565555.25</v>
          </cell>
          <cell r="G56">
            <v>6</v>
          </cell>
        </row>
        <row r="57">
          <cell r="A57" t="str">
            <v>BGD</v>
          </cell>
          <cell r="B57">
            <v>2016</v>
          </cell>
          <cell r="C57" t="str">
            <v>hslstatus1_s0_a6</v>
          </cell>
          <cell r="D57">
            <v>6143354</v>
          </cell>
          <cell r="G57">
            <v>6</v>
          </cell>
        </row>
        <row r="58">
          <cell r="A58" t="str">
            <v>BGD</v>
          </cell>
          <cell r="B58">
            <v>2016</v>
          </cell>
          <cell r="C58" t="str">
            <v>hslstatus1_s1_a1</v>
          </cell>
          <cell r="D58">
            <v>14384454</v>
          </cell>
          <cell r="G58">
            <v>6</v>
          </cell>
        </row>
        <row r="59">
          <cell r="A59" t="str">
            <v>BGD</v>
          </cell>
          <cell r="B59">
            <v>2016</v>
          </cell>
          <cell r="C59" t="str">
            <v>hslstatus1_s1_a2</v>
          </cell>
          <cell r="D59">
            <v>842126.0625</v>
          </cell>
          <cell r="G59">
            <v>6</v>
          </cell>
        </row>
        <row r="60">
          <cell r="A60" t="str">
            <v>BGD</v>
          </cell>
          <cell r="B60">
            <v>2016</v>
          </cell>
          <cell r="C60" t="str">
            <v>hslstatus1_s1_a3</v>
          </cell>
          <cell r="D60">
            <v>2118906.75</v>
          </cell>
          <cell r="G60">
            <v>6</v>
          </cell>
        </row>
        <row r="61">
          <cell r="A61" t="str">
            <v>BGD</v>
          </cell>
          <cell r="B61">
            <v>2016</v>
          </cell>
          <cell r="C61" t="str">
            <v>hslstatus1_s1_a4</v>
          </cell>
          <cell r="D61">
            <v>220914.828125</v>
          </cell>
          <cell r="G61">
            <v>6</v>
          </cell>
        </row>
        <row r="62">
          <cell r="A62" t="str">
            <v>BGD</v>
          </cell>
          <cell r="B62">
            <v>2016</v>
          </cell>
          <cell r="C62" t="str">
            <v>hslstatus1_s1_a5</v>
          </cell>
          <cell r="D62">
            <v>2797810.5</v>
          </cell>
          <cell r="G62">
            <v>6</v>
          </cell>
        </row>
        <row r="63">
          <cell r="A63" t="str">
            <v>BGD</v>
          </cell>
          <cell r="B63">
            <v>2016</v>
          </cell>
          <cell r="C63" t="str">
            <v>hslstatus1_s1_a6</v>
          </cell>
          <cell r="D63">
            <v>3842063</v>
          </cell>
          <cell r="G63">
            <v>6</v>
          </cell>
        </row>
        <row r="64">
          <cell r="A64" t="str">
            <v>BGD</v>
          </cell>
          <cell r="B64">
            <v>2016</v>
          </cell>
          <cell r="C64" t="str">
            <v>hsip_total</v>
          </cell>
          <cell r="D64">
            <v>327.91162109375</v>
          </cell>
          <cell r="G64">
            <v>6</v>
          </cell>
        </row>
        <row r="65">
          <cell r="A65" t="str">
            <v>BGD</v>
          </cell>
          <cell r="B65">
            <v>2016</v>
          </cell>
          <cell r="C65" t="str">
            <v>hsip_s0_a1</v>
          </cell>
          <cell r="D65">
            <v>179.61456298828125</v>
          </cell>
          <cell r="G65">
            <v>6</v>
          </cell>
        </row>
        <row r="66">
          <cell r="A66" t="str">
            <v>BGD</v>
          </cell>
          <cell r="B66">
            <v>2016</v>
          </cell>
          <cell r="C66" t="str">
            <v>hsip_s0_a2</v>
          </cell>
          <cell r="D66">
            <v>261.93228149414063</v>
          </cell>
          <cell r="G66">
            <v>6</v>
          </cell>
        </row>
        <row r="67">
          <cell r="A67" t="str">
            <v>BGD</v>
          </cell>
          <cell r="B67">
            <v>2016</v>
          </cell>
          <cell r="C67" t="str">
            <v>hsip_s0_a3</v>
          </cell>
          <cell r="D67">
            <v>294.00186157226563</v>
          </cell>
          <cell r="G67">
            <v>6</v>
          </cell>
        </row>
        <row r="68">
          <cell r="A68" t="str">
            <v>BGD</v>
          </cell>
          <cell r="B68">
            <v>2016</v>
          </cell>
          <cell r="C68" t="str">
            <v>hsip_s0_a4</v>
          </cell>
          <cell r="D68">
            <v>349.70993041992188</v>
          </cell>
          <cell r="G68">
            <v>6</v>
          </cell>
        </row>
        <row r="69">
          <cell r="A69" t="str">
            <v>BGD</v>
          </cell>
          <cell r="B69">
            <v>2016</v>
          </cell>
          <cell r="C69" t="str">
            <v>hsip_s0_a5</v>
          </cell>
          <cell r="D69">
            <v>332.88925170898438</v>
          </cell>
          <cell r="G69">
            <v>6</v>
          </cell>
        </row>
        <row r="70">
          <cell r="A70" t="str">
            <v>BGD</v>
          </cell>
          <cell r="B70">
            <v>2016</v>
          </cell>
          <cell r="C70" t="str">
            <v>hsip_s0_a6</v>
          </cell>
          <cell r="D70">
            <v>322.44342041015625</v>
          </cell>
          <cell r="G70">
            <v>6</v>
          </cell>
        </row>
        <row r="71">
          <cell r="A71" t="str">
            <v>BGD</v>
          </cell>
          <cell r="B71">
            <v>2016</v>
          </cell>
          <cell r="C71" t="str">
            <v>hsip_s1_a1</v>
          </cell>
          <cell r="D71">
            <v>211.47543334960938</v>
          </cell>
          <cell r="G71">
            <v>6</v>
          </cell>
        </row>
        <row r="72">
          <cell r="A72" t="str">
            <v>BGD</v>
          </cell>
          <cell r="B72">
            <v>2016</v>
          </cell>
          <cell r="C72" t="str">
            <v>hsip_s1_a2</v>
          </cell>
          <cell r="D72">
            <v>312.73818969726563</v>
          </cell>
          <cell r="G72">
            <v>6</v>
          </cell>
        </row>
        <row r="73">
          <cell r="A73" t="str">
            <v>BGD</v>
          </cell>
          <cell r="B73">
            <v>2016</v>
          </cell>
          <cell r="C73" t="str">
            <v>hsip_s1_a3</v>
          </cell>
          <cell r="D73">
            <v>458.49246215820313</v>
          </cell>
          <cell r="G73">
            <v>6</v>
          </cell>
        </row>
        <row r="74">
          <cell r="A74" t="str">
            <v>BGD</v>
          </cell>
          <cell r="B74">
            <v>2016</v>
          </cell>
          <cell r="C74" t="str">
            <v>hsip_s1_a4</v>
          </cell>
          <cell r="D74">
            <v>454.86871337890625</v>
          </cell>
          <cell r="G74">
            <v>6</v>
          </cell>
        </row>
        <row r="75">
          <cell r="A75" t="str">
            <v>BGD</v>
          </cell>
          <cell r="B75">
            <v>2016</v>
          </cell>
          <cell r="C75" t="str">
            <v>hsip_s1_a5</v>
          </cell>
          <cell r="D75">
            <v>639.2706298828125</v>
          </cell>
          <cell r="G75">
            <v>6</v>
          </cell>
        </row>
        <row r="76">
          <cell r="A76" t="str">
            <v>BGD</v>
          </cell>
          <cell r="B76">
            <v>2016</v>
          </cell>
          <cell r="C76" t="str">
            <v>hsip_s1_a6</v>
          </cell>
          <cell r="D76">
            <v>562.82763671875</v>
          </cell>
          <cell r="G76">
            <v>6</v>
          </cell>
        </row>
        <row r="77">
          <cell r="A77" t="str">
            <v>BGD</v>
          </cell>
          <cell r="B77">
            <v>2022</v>
          </cell>
          <cell r="C77" t="str">
            <v>hspop_total</v>
          </cell>
          <cell r="D77">
            <v>165687184</v>
          </cell>
          <cell r="G77">
            <v>6</v>
          </cell>
        </row>
        <row r="78">
          <cell r="A78" t="str">
            <v>BGD</v>
          </cell>
          <cell r="B78">
            <v>2022</v>
          </cell>
          <cell r="C78" t="str">
            <v>hspop_0014</v>
          </cell>
          <cell r="D78">
            <v>46586420</v>
          </cell>
          <cell r="G78">
            <v>6</v>
          </cell>
        </row>
        <row r="79">
          <cell r="A79" t="str">
            <v>BGD</v>
          </cell>
          <cell r="B79">
            <v>2022</v>
          </cell>
          <cell r="C79" t="str">
            <v>hspop_15up</v>
          </cell>
          <cell r="D79">
            <v>119100760</v>
          </cell>
          <cell r="G79">
            <v>6</v>
          </cell>
        </row>
        <row r="80">
          <cell r="A80" t="str">
            <v>BGD</v>
          </cell>
          <cell r="B80">
            <v>2022</v>
          </cell>
          <cell r="C80" t="str">
            <v>hspop_65up</v>
          </cell>
          <cell r="D80">
            <v>10251569</v>
          </cell>
          <cell r="G80">
            <v>6</v>
          </cell>
        </row>
        <row r="81">
          <cell r="A81" t="str">
            <v>BGD</v>
          </cell>
          <cell r="B81">
            <v>2022</v>
          </cell>
          <cell r="C81" t="str">
            <v>hslstatus3_15up</v>
          </cell>
          <cell r="D81">
            <v>58517504</v>
          </cell>
          <cell r="G81">
            <v>6</v>
          </cell>
        </row>
        <row r="82">
          <cell r="A82" t="str">
            <v>BGD</v>
          </cell>
          <cell r="B82">
            <v>2022</v>
          </cell>
          <cell r="C82" t="str">
            <v>hslstatus2_15up</v>
          </cell>
          <cell r="D82">
            <v>2443874</v>
          </cell>
          <cell r="G82">
            <v>6</v>
          </cell>
        </row>
        <row r="83">
          <cell r="A83" t="str">
            <v>BGD</v>
          </cell>
          <cell r="B83">
            <v>2022</v>
          </cell>
          <cell r="C83" t="str">
            <v>hslstatus1_15up</v>
          </cell>
          <cell r="D83">
            <v>58139384</v>
          </cell>
          <cell r="G83">
            <v>6</v>
          </cell>
        </row>
        <row r="84">
          <cell r="A84" t="str">
            <v>BGD</v>
          </cell>
          <cell r="B84">
            <v>2022</v>
          </cell>
          <cell r="C84" t="str">
            <v>hslstatus12_15up</v>
          </cell>
          <cell r="D84">
            <v>60583260</v>
          </cell>
          <cell r="G84">
            <v>6</v>
          </cell>
        </row>
        <row r="85">
          <cell r="A85" t="str">
            <v>BGD</v>
          </cell>
          <cell r="B85">
            <v>2022</v>
          </cell>
          <cell r="C85" t="str">
            <v>hslstatus1_s0_a1</v>
          </cell>
          <cell r="D85">
            <v>2610536</v>
          </cell>
          <cell r="G85">
            <v>6</v>
          </cell>
        </row>
        <row r="86">
          <cell r="A86" t="str">
            <v>BGD</v>
          </cell>
          <cell r="B86">
            <v>2022</v>
          </cell>
          <cell r="C86" t="str">
            <v>hslstatus1_s0_a2</v>
          </cell>
          <cell r="D86">
            <v>2538588.5</v>
          </cell>
          <cell r="G86">
            <v>6</v>
          </cell>
        </row>
        <row r="87">
          <cell r="A87" t="str">
            <v>BGD</v>
          </cell>
          <cell r="B87">
            <v>2022</v>
          </cell>
          <cell r="C87" t="str">
            <v>hslstatus1_s0_a3</v>
          </cell>
          <cell r="D87">
            <v>7587245.5</v>
          </cell>
          <cell r="G87">
            <v>6</v>
          </cell>
        </row>
        <row r="88">
          <cell r="A88" t="str">
            <v>BGD</v>
          </cell>
          <cell r="B88">
            <v>2022</v>
          </cell>
          <cell r="C88" t="str">
            <v>hslstatus1_s0_a4</v>
          </cell>
          <cell r="D88">
            <v>4285764.5</v>
          </cell>
          <cell r="G88">
            <v>6</v>
          </cell>
        </row>
        <row r="89">
          <cell r="A89" t="str">
            <v>BGD</v>
          </cell>
          <cell r="B89">
            <v>2022</v>
          </cell>
          <cell r="C89" t="str">
            <v>hslstatus1_s0_a5</v>
          </cell>
          <cell r="D89">
            <v>3093875.25</v>
          </cell>
          <cell r="G89">
            <v>6</v>
          </cell>
        </row>
        <row r="90">
          <cell r="A90" t="str">
            <v>BGD</v>
          </cell>
          <cell r="B90">
            <v>2022</v>
          </cell>
          <cell r="C90" t="str">
            <v>hslstatus1_s0_a6</v>
          </cell>
          <cell r="D90">
            <v>5898721</v>
          </cell>
          <cell r="G90">
            <v>6</v>
          </cell>
        </row>
        <row r="91">
          <cell r="A91" t="str">
            <v>BGD</v>
          </cell>
          <cell r="B91">
            <v>2022</v>
          </cell>
          <cell r="C91" t="str">
            <v>hslstatus1_s1_a1</v>
          </cell>
          <cell r="D91">
            <v>15871659</v>
          </cell>
          <cell r="G91">
            <v>6</v>
          </cell>
        </row>
        <row r="92">
          <cell r="A92" t="str">
            <v>BGD</v>
          </cell>
          <cell r="B92">
            <v>2022</v>
          </cell>
          <cell r="C92" t="str">
            <v>hslstatus1_s1_a2</v>
          </cell>
          <cell r="D92">
            <v>1424723.25</v>
          </cell>
          <cell r="G92">
            <v>6</v>
          </cell>
        </row>
        <row r="93">
          <cell r="A93" t="str">
            <v>BGD</v>
          </cell>
          <cell r="B93">
            <v>2022</v>
          </cell>
          <cell r="C93" t="str">
            <v>hslstatus1_s1_a3</v>
          </cell>
          <cell r="D93">
            <v>4641721</v>
          </cell>
          <cell r="G93">
            <v>6</v>
          </cell>
        </row>
        <row r="94">
          <cell r="A94" t="str">
            <v>BGD</v>
          </cell>
          <cell r="B94">
            <v>2022</v>
          </cell>
          <cell r="C94" t="str">
            <v>hslstatus1_s1_a4</v>
          </cell>
          <cell r="D94">
            <v>450633.40625</v>
          </cell>
          <cell r="G94">
            <v>6</v>
          </cell>
        </row>
        <row r="95">
          <cell r="A95" t="str">
            <v>BGD</v>
          </cell>
          <cell r="B95">
            <v>2022</v>
          </cell>
          <cell r="C95" t="str">
            <v>hslstatus1_s1_a5</v>
          </cell>
          <cell r="D95">
            <v>4031439</v>
          </cell>
          <cell r="G95">
            <v>6</v>
          </cell>
        </row>
        <row r="96">
          <cell r="A96" t="str">
            <v>BGD</v>
          </cell>
          <cell r="B96">
            <v>2022</v>
          </cell>
          <cell r="C96" t="str">
            <v>hslstatus1_s1_a6</v>
          </cell>
          <cell r="D96">
            <v>5704478</v>
          </cell>
          <cell r="G96">
            <v>6</v>
          </cell>
        </row>
        <row r="97">
          <cell r="A97" t="str">
            <v>BGD</v>
          </cell>
          <cell r="B97">
            <v>2022</v>
          </cell>
          <cell r="C97" t="str">
            <v>hsip_total</v>
          </cell>
          <cell r="D97">
            <v>641.521484375</v>
          </cell>
          <cell r="G97">
            <v>6</v>
          </cell>
        </row>
        <row r="98">
          <cell r="A98" t="str">
            <v>BGD</v>
          </cell>
          <cell r="B98">
            <v>2022</v>
          </cell>
          <cell r="C98" t="str">
            <v>hsip_s0_a1</v>
          </cell>
          <cell r="D98">
            <v>293.2978515625</v>
          </cell>
          <cell r="G98">
            <v>6</v>
          </cell>
        </row>
        <row r="99">
          <cell r="A99" t="str">
            <v>BGD</v>
          </cell>
          <cell r="B99">
            <v>2022</v>
          </cell>
          <cell r="C99" t="str">
            <v>hsip_s0_a2</v>
          </cell>
          <cell r="D99">
            <v>412.9976806640625</v>
          </cell>
          <cell r="G99">
            <v>6</v>
          </cell>
        </row>
        <row r="100">
          <cell r="A100" t="str">
            <v>BGD</v>
          </cell>
          <cell r="B100">
            <v>2022</v>
          </cell>
          <cell r="C100" t="str">
            <v>hsip_s0_a3</v>
          </cell>
          <cell r="D100">
            <v>682.14544677734375</v>
          </cell>
          <cell r="G100">
            <v>6</v>
          </cell>
        </row>
        <row r="101">
          <cell r="A101" t="str">
            <v>BGD</v>
          </cell>
          <cell r="B101">
            <v>2022</v>
          </cell>
          <cell r="C101" t="str">
            <v>hsip_s0_a4</v>
          </cell>
          <cell r="D101">
            <v>498.9547119140625</v>
          </cell>
          <cell r="G101">
            <v>6</v>
          </cell>
        </row>
        <row r="102">
          <cell r="A102" t="str">
            <v>BGD</v>
          </cell>
          <cell r="B102">
            <v>2022</v>
          </cell>
          <cell r="C102" t="str">
            <v>hsip_s0_a5</v>
          </cell>
          <cell r="D102">
            <v>527.7125244140625</v>
          </cell>
          <cell r="G102">
            <v>6</v>
          </cell>
        </row>
        <row r="103">
          <cell r="A103" t="str">
            <v>BGD</v>
          </cell>
          <cell r="B103">
            <v>2022</v>
          </cell>
          <cell r="C103" t="str">
            <v>hsip_s0_a6</v>
          </cell>
          <cell r="D103">
            <v>478.79159545898438</v>
          </cell>
          <cell r="G103">
            <v>6</v>
          </cell>
        </row>
        <row r="104">
          <cell r="A104" t="str">
            <v>BGD</v>
          </cell>
          <cell r="B104">
            <v>2022</v>
          </cell>
          <cell r="C104" t="str">
            <v>hsip_s1_a1</v>
          </cell>
          <cell r="D104">
            <v>395.90869140625</v>
          </cell>
          <cell r="G104">
            <v>6</v>
          </cell>
        </row>
        <row r="105">
          <cell r="A105" t="str">
            <v>BGD</v>
          </cell>
          <cell r="B105">
            <v>2022</v>
          </cell>
          <cell r="C105" t="str">
            <v>hsip_s1_a2</v>
          </cell>
          <cell r="D105">
            <v>1189.447265625</v>
          </cell>
          <cell r="G105">
            <v>6</v>
          </cell>
        </row>
        <row r="106">
          <cell r="A106" t="str">
            <v>BGD</v>
          </cell>
          <cell r="B106">
            <v>2022</v>
          </cell>
          <cell r="C106" t="str">
            <v>hsip_s1_a3</v>
          </cell>
          <cell r="D106">
            <v>766.829345703125</v>
          </cell>
          <cell r="G106">
            <v>6</v>
          </cell>
        </row>
        <row r="107">
          <cell r="A107" t="str">
            <v>BGD</v>
          </cell>
          <cell r="B107">
            <v>2022</v>
          </cell>
          <cell r="C107" t="str">
            <v>hsip_s1_a4</v>
          </cell>
          <cell r="D107">
            <v>1249.073486328125</v>
          </cell>
          <cell r="G107">
            <v>6</v>
          </cell>
        </row>
        <row r="108">
          <cell r="A108" t="str">
            <v>BGD</v>
          </cell>
          <cell r="B108">
            <v>2022</v>
          </cell>
          <cell r="C108" t="str">
            <v>hsip_s1_a5</v>
          </cell>
          <cell r="D108">
            <v>1404.840087890625</v>
          </cell>
          <cell r="G108">
            <v>6</v>
          </cell>
        </row>
        <row r="109">
          <cell r="A109" t="str">
            <v>BGD</v>
          </cell>
          <cell r="B109">
            <v>2022</v>
          </cell>
          <cell r="C109" t="str">
            <v>hsip_s1_a6</v>
          </cell>
          <cell r="D109">
            <v>994.35748291015625</v>
          </cell>
          <cell r="G109">
            <v>6</v>
          </cell>
        </row>
        <row r="110">
          <cell r="A110" t="str">
            <v>BGD</v>
          </cell>
          <cell r="B110">
            <v>2005</v>
          </cell>
          <cell r="C110" t="str">
            <v>lfpop_total</v>
          </cell>
          <cell r="D110">
            <v>137298800</v>
          </cell>
          <cell r="G110">
            <v>3</v>
          </cell>
        </row>
        <row r="111">
          <cell r="A111" t="str">
            <v>BGD</v>
          </cell>
          <cell r="B111">
            <v>2005</v>
          </cell>
          <cell r="C111" t="str">
            <v>lfpop_0014</v>
          </cell>
          <cell r="D111">
            <v>52712600</v>
          </cell>
          <cell r="G111">
            <v>3</v>
          </cell>
        </row>
        <row r="112">
          <cell r="A112" t="str">
            <v>BGD</v>
          </cell>
          <cell r="B112">
            <v>2005</v>
          </cell>
          <cell r="C112" t="str">
            <v>lfpop_15up</v>
          </cell>
          <cell r="D112">
            <v>84586192</v>
          </cell>
          <cell r="G112">
            <v>3</v>
          </cell>
        </row>
        <row r="113">
          <cell r="A113" t="str">
            <v>BGD</v>
          </cell>
          <cell r="B113">
            <v>2005</v>
          </cell>
          <cell r="C113" t="str">
            <v>lfpop_65up</v>
          </cell>
          <cell r="D113">
            <v>4987599</v>
          </cell>
          <cell r="G113">
            <v>3</v>
          </cell>
        </row>
        <row r="114">
          <cell r="A114" t="str">
            <v>BGD</v>
          </cell>
          <cell r="B114">
            <v>2005</v>
          </cell>
          <cell r="C114" t="str">
            <v>lflstatus3_15up</v>
          </cell>
          <cell r="D114">
            <v>35174708</v>
          </cell>
          <cell r="G114">
            <v>3</v>
          </cell>
        </row>
        <row r="115">
          <cell r="A115" t="str">
            <v>BGD</v>
          </cell>
          <cell r="B115">
            <v>2005</v>
          </cell>
          <cell r="C115" t="str">
            <v>lflstatus2_15up</v>
          </cell>
          <cell r="D115">
            <v>2054896</v>
          </cell>
          <cell r="G115">
            <v>3</v>
          </cell>
        </row>
        <row r="116">
          <cell r="A116" t="str">
            <v>BGD</v>
          </cell>
          <cell r="B116">
            <v>2005</v>
          </cell>
          <cell r="C116" t="str">
            <v>lflstatus1_15up</v>
          </cell>
          <cell r="D116">
            <v>47356592</v>
          </cell>
          <cell r="G116">
            <v>3</v>
          </cell>
        </row>
        <row r="117">
          <cell r="A117" t="str">
            <v>BGD</v>
          </cell>
          <cell r="B117">
            <v>2005</v>
          </cell>
          <cell r="C117" t="str">
            <v>lflstatus12_15up</v>
          </cell>
          <cell r="D117">
            <v>49411488</v>
          </cell>
          <cell r="G117">
            <v>3</v>
          </cell>
        </row>
        <row r="118">
          <cell r="A118" t="str">
            <v>BGD</v>
          </cell>
          <cell r="B118">
            <v>2005</v>
          </cell>
          <cell r="C118" t="str">
            <v>lflstatus1_s0_a1</v>
          </cell>
          <cell r="D118">
            <v>7005826.5</v>
          </cell>
          <cell r="G118">
            <v>3</v>
          </cell>
        </row>
        <row r="119">
          <cell r="A119" t="str">
            <v>BGD</v>
          </cell>
          <cell r="B119">
            <v>2005</v>
          </cell>
          <cell r="C119" t="str">
            <v>lflstatus1_s0_a2</v>
          </cell>
          <cell r="D119">
            <v>6334386.5</v>
          </cell>
          <cell r="G119">
            <v>3</v>
          </cell>
        </row>
        <row r="120">
          <cell r="A120" t="str">
            <v>BGD</v>
          </cell>
          <cell r="B120">
            <v>2005</v>
          </cell>
          <cell r="C120" t="str">
            <v>lflstatus1_s0_a3</v>
          </cell>
          <cell r="D120">
            <v>15648033</v>
          </cell>
          <cell r="G120">
            <v>3</v>
          </cell>
        </row>
        <row r="121">
          <cell r="A121" t="str">
            <v>BGD</v>
          </cell>
          <cell r="B121">
            <v>2005</v>
          </cell>
          <cell r="C121" t="str">
            <v>lflstatus1_s1_a1</v>
          </cell>
          <cell r="D121">
            <v>15761191</v>
          </cell>
          <cell r="G121">
            <v>3</v>
          </cell>
        </row>
        <row r="122">
          <cell r="A122" t="str">
            <v>BGD</v>
          </cell>
          <cell r="B122">
            <v>2005</v>
          </cell>
          <cell r="C122" t="str">
            <v>lflstatus1_s1_a2</v>
          </cell>
          <cell r="D122">
            <v>465139.625</v>
          </cell>
          <cell r="G122">
            <v>3</v>
          </cell>
        </row>
        <row r="123">
          <cell r="A123" t="str">
            <v>BGD</v>
          </cell>
          <cell r="B123">
            <v>2005</v>
          </cell>
          <cell r="C123" t="str">
            <v>lflstatus1_s1_a3</v>
          </cell>
          <cell r="D123">
            <v>2142013.25</v>
          </cell>
          <cell r="G123">
            <v>3</v>
          </cell>
        </row>
        <row r="124">
          <cell r="A124" t="str">
            <v>BGD</v>
          </cell>
          <cell r="B124">
            <v>2005</v>
          </cell>
          <cell r="C124" t="str">
            <v>lfip_total</v>
          </cell>
          <cell r="D124">
            <v>2561.5537109375</v>
          </cell>
          <cell r="G124">
            <v>3</v>
          </cell>
        </row>
        <row r="125">
          <cell r="A125" t="str">
            <v>BGD</v>
          </cell>
          <cell r="B125">
            <v>2005</v>
          </cell>
          <cell r="C125" t="str">
            <v>lfip_s0_a1</v>
          </cell>
          <cell r="D125">
            <v>577.49951171875</v>
          </cell>
          <cell r="G125">
            <v>3</v>
          </cell>
        </row>
        <row r="126">
          <cell r="A126" t="str">
            <v>BGD</v>
          </cell>
          <cell r="B126">
            <v>2005</v>
          </cell>
          <cell r="C126" t="str">
            <v>lfip_s0_a2</v>
          </cell>
          <cell r="D126">
            <v>1833.658447265625</v>
          </cell>
          <cell r="G126">
            <v>3</v>
          </cell>
        </row>
        <row r="127">
          <cell r="A127" t="str">
            <v>BGD</v>
          </cell>
          <cell r="B127">
            <v>2005</v>
          </cell>
          <cell r="C127" t="str">
            <v>lfip_s0_a3</v>
          </cell>
          <cell r="D127">
            <v>4089.899658203125</v>
          </cell>
          <cell r="G127">
            <v>3</v>
          </cell>
        </row>
        <row r="128">
          <cell r="A128" t="str">
            <v>BGD</v>
          </cell>
          <cell r="B128">
            <v>2005</v>
          </cell>
          <cell r="C128" t="str">
            <v>lfip_s1_a1</v>
          </cell>
          <cell r="D128">
            <v>643.6427001953125</v>
          </cell>
          <cell r="G128">
            <v>3</v>
          </cell>
        </row>
        <row r="129">
          <cell r="A129" t="str">
            <v>BGD</v>
          </cell>
          <cell r="B129">
            <v>2005</v>
          </cell>
          <cell r="C129" t="str">
            <v>lfip_s1_a2</v>
          </cell>
          <cell r="D129">
            <v>6477.49072265625</v>
          </cell>
          <cell r="G129">
            <v>3</v>
          </cell>
        </row>
        <row r="130">
          <cell r="A130" t="str">
            <v>BGD</v>
          </cell>
          <cell r="B130">
            <v>2005</v>
          </cell>
          <cell r="C130" t="str">
            <v>lfip_s1_a3</v>
          </cell>
          <cell r="D130">
            <v>7048.1103515625</v>
          </cell>
          <cell r="G130">
            <v>3</v>
          </cell>
        </row>
        <row r="131">
          <cell r="A131" t="str">
            <v>BGD</v>
          </cell>
          <cell r="B131">
            <v>2010</v>
          </cell>
          <cell r="C131" t="str">
            <v>lfpop_total</v>
          </cell>
          <cell r="D131">
            <v>148708832</v>
          </cell>
          <cell r="G131">
            <v>3</v>
          </cell>
        </row>
        <row r="132">
          <cell r="A132" t="str">
            <v>BGD</v>
          </cell>
          <cell r="B132">
            <v>2010</v>
          </cell>
          <cell r="C132" t="str">
            <v>lfpop_0014</v>
          </cell>
          <cell r="D132">
            <v>53149724</v>
          </cell>
          <cell r="G132">
            <v>3</v>
          </cell>
        </row>
        <row r="133">
          <cell r="A133" t="str">
            <v>BGD</v>
          </cell>
          <cell r="B133">
            <v>2010</v>
          </cell>
          <cell r="C133" t="str">
            <v>lfpop_15up</v>
          </cell>
          <cell r="D133">
            <v>95559112</v>
          </cell>
          <cell r="G133">
            <v>3</v>
          </cell>
        </row>
        <row r="134">
          <cell r="A134" t="str">
            <v>BGD</v>
          </cell>
          <cell r="B134">
            <v>2010</v>
          </cell>
          <cell r="C134" t="str">
            <v>lfpop_65up</v>
          </cell>
          <cell r="D134">
            <v>5862520</v>
          </cell>
          <cell r="G134">
            <v>3</v>
          </cell>
        </row>
        <row r="135">
          <cell r="A135" t="str">
            <v>BGD</v>
          </cell>
          <cell r="B135">
            <v>2010</v>
          </cell>
          <cell r="C135" t="str">
            <v>lflstatus3_15up</v>
          </cell>
          <cell r="D135">
            <v>39868780</v>
          </cell>
          <cell r="G135">
            <v>3</v>
          </cell>
        </row>
        <row r="136">
          <cell r="A136" t="str">
            <v>BGD</v>
          </cell>
          <cell r="B136">
            <v>2010</v>
          </cell>
          <cell r="C136" t="str">
            <v>lflstatus2_15up</v>
          </cell>
          <cell r="D136">
            <v>1608066.125</v>
          </cell>
          <cell r="G136">
            <v>3</v>
          </cell>
        </row>
        <row r="137">
          <cell r="A137" t="str">
            <v>BGD</v>
          </cell>
          <cell r="B137">
            <v>2010</v>
          </cell>
          <cell r="C137" t="str">
            <v>lflstatus1_15up</v>
          </cell>
          <cell r="D137">
            <v>54082264</v>
          </cell>
          <cell r="G137">
            <v>3</v>
          </cell>
        </row>
        <row r="138">
          <cell r="A138" t="str">
            <v>BGD</v>
          </cell>
          <cell r="B138">
            <v>2010</v>
          </cell>
          <cell r="C138" t="str">
            <v>lflstatus12_15up</v>
          </cell>
          <cell r="D138">
            <v>55690332</v>
          </cell>
          <cell r="G138">
            <v>3</v>
          </cell>
        </row>
        <row r="139">
          <cell r="A139" t="str">
            <v>BGD</v>
          </cell>
          <cell r="B139">
            <v>2010</v>
          </cell>
          <cell r="C139" t="str">
            <v>lflstatus1_s0_a1</v>
          </cell>
          <cell r="D139">
            <v>18267238</v>
          </cell>
          <cell r="G139">
            <v>3</v>
          </cell>
        </row>
        <row r="140">
          <cell r="A140" t="str">
            <v>BGD</v>
          </cell>
          <cell r="B140">
            <v>2010</v>
          </cell>
          <cell r="C140" t="str">
            <v>lflstatus1_s0_a2</v>
          </cell>
          <cell r="D140">
            <v>9051451</v>
          </cell>
          <cell r="G140">
            <v>3</v>
          </cell>
        </row>
        <row r="141">
          <cell r="A141" t="str">
            <v>BGD</v>
          </cell>
          <cell r="B141">
            <v>2010</v>
          </cell>
          <cell r="C141" t="str">
            <v>lflstatus1_s0_a3</v>
          </cell>
          <cell r="D141">
            <v>16415426</v>
          </cell>
          <cell r="G141">
            <v>3</v>
          </cell>
        </row>
        <row r="142">
          <cell r="A142" t="str">
            <v>BGD</v>
          </cell>
          <cell r="B142">
            <v>2010</v>
          </cell>
          <cell r="C142" t="str">
            <v>lflstatus1_s1_a1</v>
          </cell>
          <cell r="D142">
            <v>7314990</v>
          </cell>
          <cell r="G142">
            <v>3</v>
          </cell>
        </row>
        <row r="143">
          <cell r="A143" t="str">
            <v>BGD</v>
          </cell>
          <cell r="B143">
            <v>2010</v>
          </cell>
          <cell r="C143" t="str">
            <v>lflstatus1_s1_a2</v>
          </cell>
          <cell r="D143">
            <v>359385.84375</v>
          </cell>
          <cell r="G143">
            <v>3</v>
          </cell>
        </row>
        <row r="144">
          <cell r="A144" t="str">
            <v>BGD</v>
          </cell>
          <cell r="B144">
            <v>2010</v>
          </cell>
          <cell r="C144" t="str">
            <v>lflstatus1_s1_a3</v>
          </cell>
          <cell r="D144">
            <v>2673775.25</v>
          </cell>
          <cell r="G144">
            <v>3</v>
          </cell>
        </row>
        <row r="145">
          <cell r="A145" t="str">
            <v>BGD</v>
          </cell>
          <cell r="B145">
            <v>2010</v>
          </cell>
          <cell r="C145" t="str">
            <v>lfip_total</v>
          </cell>
          <cell r="D145">
            <v>6925.07275390625</v>
          </cell>
          <cell r="G145">
            <v>3</v>
          </cell>
        </row>
        <row r="146">
          <cell r="A146" t="str">
            <v>BGD</v>
          </cell>
          <cell r="B146">
            <v>2010</v>
          </cell>
          <cell r="C146" t="str">
            <v>lfip_s0_a1</v>
          </cell>
          <cell r="D146">
            <v>5184.984375</v>
          </cell>
          <cell r="G146">
            <v>3</v>
          </cell>
        </row>
        <row r="147">
          <cell r="A147" t="str">
            <v>BGD</v>
          </cell>
          <cell r="B147">
            <v>2010</v>
          </cell>
          <cell r="C147" t="str">
            <v>lfip_s0_a2</v>
          </cell>
          <cell r="D147">
            <v>6439.28466796875</v>
          </cell>
          <cell r="G147">
            <v>3</v>
          </cell>
        </row>
        <row r="148">
          <cell r="A148" t="str">
            <v>BGD</v>
          </cell>
          <cell r="B148">
            <v>2010</v>
          </cell>
          <cell r="C148" t="str">
            <v>lfip_s0_a3</v>
          </cell>
          <cell r="D148">
            <v>7299.18603515625</v>
          </cell>
          <cell r="G148">
            <v>3</v>
          </cell>
        </row>
        <row r="149">
          <cell r="A149" t="str">
            <v>BGD</v>
          </cell>
          <cell r="B149">
            <v>2010</v>
          </cell>
          <cell r="C149" t="str">
            <v>lfip_s1_a1</v>
          </cell>
          <cell r="D149">
            <v>6754.3857421875</v>
          </cell>
          <cell r="G149">
            <v>3</v>
          </cell>
        </row>
        <row r="150">
          <cell r="A150" t="str">
            <v>BGD</v>
          </cell>
          <cell r="B150">
            <v>2010</v>
          </cell>
          <cell r="C150" t="str">
            <v>lfip_s1_a2</v>
          </cell>
          <cell r="D150">
            <v>12067.2939453125</v>
          </cell>
          <cell r="G150">
            <v>3</v>
          </cell>
        </row>
        <row r="151">
          <cell r="A151" t="str">
            <v>BGD</v>
          </cell>
          <cell r="B151">
            <v>2010</v>
          </cell>
          <cell r="C151" t="str">
            <v>lfip_s1_a3</v>
          </cell>
          <cell r="D151">
            <v>11525.2373046875</v>
          </cell>
          <cell r="G151">
            <v>3</v>
          </cell>
        </row>
        <row r="152">
          <cell r="A152" t="str">
            <v>BGD</v>
          </cell>
          <cell r="B152">
            <v>2013</v>
          </cell>
          <cell r="C152" t="str">
            <v>lfpop_total</v>
          </cell>
          <cell r="D152">
            <v>154145728</v>
          </cell>
          <cell r="G152">
            <v>3</v>
          </cell>
        </row>
        <row r="153">
          <cell r="A153" t="str">
            <v>BGD</v>
          </cell>
          <cell r="B153">
            <v>2013</v>
          </cell>
          <cell r="C153" t="str">
            <v>lfpop_0014</v>
          </cell>
          <cell r="D153">
            <v>47880580</v>
          </cell>
          <cell r="G153">
            <v>3</v>
          </cell>
        </row>
        <row r="154">
          <cell r="A154" t="str">
            <v>BGD</v>
          </cell>
          <cell r="B154">
            <v>2013</v>
          </cell>
          <cell r="C154" t="str">
            <v>lfpop_15up</v>
          </cell>
          <cell r="D154">
            <v>106265152</v>
          </cell>
          <cell r="G154">
            <v>3</v>
          </cell>
        </row>
        <row r="155">
          <cell r="A155" t="str">
            <v>BGD</v>
          </cell>
          <cell r="B155">
            <v>2013</v>
          </cell>
          <cell r="C155" t="str">
            <v>lfpop_65up</v>
          </cell>
          <cell r="D155">
            <v>8583175</v>
          </cell>
          <cell r="G155">
            <v>3</v>
          </cell>
        </row>
        <row r="156">
          <cell r="A156" t="str">
            <v>BGD</v>
          </cell>
          <cell r="B156">
            <v>2013</v>
          </cell>
          <cell r="C156" t="str">
            <v>lflstatus3_15up</v>
          </cell>
          <cell r="D156">
            <v>45604296</v>
          </cell>
          <cell r="G156">
            <v>3</v>
          </cell>
        </row>
        <row r="157">
          <cell r="A157" t="str">
            <v>BGD</v>
          </cell>
          <cell r="B157">
            <v>2013</v>
          </cell>
          <cell r="C157" t="str">
            <v>lflstatus2_15up</v>
          </cell>
          <cell r="D157">
            <v>2587918.75</v>
          </cell>
          <cell r="G157">
            <v>3</v>
          </cell>
        </row>
        <row r="158">
          <cell r="A158" t="str">
            <v>BGD</v>
          </cell>
          <cell r="B158">
            <v>2013</v>
          </cell>
          <cell r="C158" t="str">
            <v>lflstatus1_15up</v>
          </cell>
          <cell r="D158">
            <v>58072936</v>
          </cell>
          <cell r="G158">
            <v>3</v>
          </cell>
        </row>
        <row r="159">
          <cell r="A159" t="str">
            <v>BGD</v>
          </cell>
          <cell r="B159">
            <v>2013</v>
          </cell>
          <cell r="C159" t="str">
            <v>lflstatus12_15up</v>
          </cell>
          <cell r="D159">
            <v>60660856</v>
          </cell>
          <cell r="G159">
            <v>3</v>
          </cell>
        </row>
        <row r="160">
          <cell r="A160" t="str">
            <v>BGD</v>
          </cell>
          <cell r="B160">
            <v>2013</v>
          </cell>
          <cell r="C160" t="str">
            <v>lflstatus1_s0_a1</v>
          </cell>
          <cell r="D160">
            <v>4936498</v>
          </cell>
          <cell r="G160">
            <v>3</v>
          </cell>
        </row>
        <row r="161">
          <cell r="A161" t="str">
            <v>BGD</v>
          </cell>
          <cell r="B161">
            <v>2013</v>
          </cell>
          <cell r="C161" t="str">
            <v>lflstatus1_s0_a2</v>
          </cell>
          <cell r="D161">
            <v>11253454</v>
          </cell>
          <cell r="G161">
            <v>3</v>
          </cell>
        </row>
        <row r="162">
          <cell r="A162" t="str">
            <v>BGD</v>
          </cell>
          <cell r="B162">
            <v>2013</v>
          </cell>
          <cell r="C162" t="str">
            <v>lflstatus1_s0_a3</v>
          </cell>
          <cell r="D162">
            <v>16171735</v>
          </cell>
          <cell r="G162">
            <v>3</v>
          </cell>
        </row>
        <row r="163">
          <cell r="A163" t="str">
            <v>BGD</v>
          </cell>
          <cell r="B163">
            <v>2013</v>
          </cell>
          <cell r="C163" t="str">
            <v>lflstatus1_s1_a1</v>
          </cell>
          <cell r="D163">
            <v>21253488</v>
          </cell>
          <cell r="G163">
            <v>3</v>
          </cell>
        </row>
        <row r="164">
          <cell r="A164" t="str">
            <v>BGD</v>
          </cell>
          <cell r="B164">
            <v>2013</v>
          </cell>
          <cell r="C164" t="str">
            <v>lflstatus1_s1_a2</v>
          </cell>
          <cell r="D164">
            <v>620572.6875</v>
          </cell>
          <cell r="G164">
            <v>3</v>
          </cell>
        </row>
        <row r="165">
          <cell r="A165" t="str">
            <v>BGD</v>
          </cell>
          <cell r="B165">
            <v>2013</v>
          </cell>
          <cell r="C165" t="str">
            <v>lflstatus1_s1_a3</v>
          </cell>
          <cell r="D165">
            <v>3837188.5</v>
          </cell>
          <cell r="G165">
            <v>3</v>
          </cell>
        </row>
        <row r="166">
          <cell r="A166" t="str">
            <v>BGD</v>
          </cell>
          <cell r="B166">
            <v>2013</v>
          </cell>
          <cell r="C166" t="str">
            <v>lfip_total</v>
          </cell>
          <cell r="D166">
            <v>11492.9521484375</v>
          </cell>
          <cell r="G166">
            <v>3</v>
          </cell>
        </row>
        <row r="167">
          <cell r="A167" t="str">
            <v>BGD</v>
          </cell>
          <cell r="B167">
            <v>2013</v>
          </cell>
          <cell r="C167" t="str">
            <v>lfip_s0_a1</v>
          </cell>
          <cell r="D167">
            <v>8323.298828125</v>
          </cell>
          <cell r="G167">
            <v>3</v>
          </cell>
        </row>
        <row r="168">
          <cell r="A168" t="str">
            <v>BGD</v>
          </cell>
          <cell r="B168">
            <v>2013</v>
          </cell>
          <cell r="C168" t="str">
            <v>lfip_s0_a2</v>
          </cell>
          <cell r="D168">
            <v>10975.7080078125</v>
          </cell>
          <cell r="G168">
            <v>3</v>
          </cell>
        </row>
        <row r="169">
          <cell r="A169" t="str">
            <v>BGD</v>
          </cell>
          <cell r="B169">
            <v>2013</v>
          </cell>
          <cell r="C169" t="str">
            <v>lfip_s0_a3</v>
          </cell>
          <cell r="D169">
            <v>11029.3876953125</v>
          </cell>
          <cell r="G169">
            <v>3</v>
          </cell>
        </row>
        <row r="170">
          <cell r="A170" t="str">
            <v>BGD</v>
          </cell>
          <cell r="B170">
            <v>2013</v>
          </cell>
          <cell r="C170" t="str">
            <v>lfip_s1_a1</v>
          </cell>
          <cell r="D170">
            <v>9774.9033203125</v>
          </cell>
          <cell r="G170">
            <v>3</v>
          </cell>
        </row>
        <row r="171">
          <cell r="A171" t="str">
            <v>BGD</v>
          </cell>
          <cell r="B171">
            <v>2013</v>
          </cell>
          <cell r="C171" t="str">
            <v>lfip_s1_a2</v>
          </cell>
          <cell r="D171">
            <v>18965.896484375</v>
          </cell>
          <cell r="G171">
            <v>3</v>
          </cell>
        </row>
        <row r="172">
          <cell r="A172" t="str">
            <v>BGD</v>
          </cell>
          <cell r="B172">
            <v>2013</v>
          </cell>
          <cell r="C172" t="str">
            <v>lfip_s1_a3</v>
          </cell>
          <cell r="D172">
            <v>17782.576171875</v>
          </cell>
          <cell r="G172">
            <v>3</v>
          </cell>
        </row>
        <row r="173">
          <cell r="A173" t="str">
            <v>BGD</v>
          </cell>
          <cell r="B173">
            <v>2015</v>
          </cell>
          <cell r="C173" t="str">
            <v>lfpop_total</v>
          </cell>
          <cell r="D173">
            <v>158482912</v>
          </cell>
          <cell r="G173">
            <v>3</v>
          </cell>
        </row>
        <row r="174">
          <cell r="A174" t="str">
            <v>BGD</v>
          </cell>
          <cell r="B174">
            <v>2015</v>
          </cell>
          <cell r="C174" t="str">
            <v>lfpop_0014</v>
          </cell>
          <cell r="D174">
            <v>52350832</v>
          </cell>
          <cell r="G174">
            <v>3</v>
          </cell>
        </row>
        <row r="175">
          <cell r="A175" t="str">
            <v>BGD</v>
          </cell>
          <cell r="B175">
            <v>2015</v>
          </cell>
          <cell r="C175" t="str">
            <v>lfpop_15up</v>
          </cell>
          <cell r="D175">
            <v>106132080</v>
          </cell>
          <cell r="G175">
            <v>3</v>
          </cell>
        </row>
        <row r="176">
          <cell r="A176" t="str">
            <v>BGD</v>
          </cell>
          <cell r="B176">
            <v>2015</v>
          </cell>
          <cell r="C176" t="str">
            <v>lfpop_65up</v>
          </cell>
          <cell r="D176">
            <v>7456660</v>
          </cell>
          <cell r="G176">
            <v>3</v>
          </cell>
        </row>
        <row r="177">
          <cell r="A177" t="str">
            <v>BGD</v>
          </cell>
          <cell r="B177">
            <v>2015</v>
          </cell>
          <cell r="C177" t="str">
            <v>lflstatus3_15up</v>
          </cell>
          <cell r="D177">
            <v>44207308</v>
          </cell>
          <cell r="G177">
            <v>3</v>
          </cell>
        </row>
        <row r="178">
          <cell r="A178" t="str">
            <v>BGD</v>
          </cell>
          <cell r="B178">
            <v>2015</v>
          </cell>
          <cell r="C178" t="str">
            <v>lflstatus2_15up</v>
          </cell>
          <cell r="D178">
            <v>2268613</v>
          </cell>
          <cell r="G178">
            <v>3</v>
          </cell>
        </row>
        <row r="179">
          <cell r="A179" t="str">
            <v>BGD</v>
          </cell>
          <cell r="B179">
            <v>2015</v>
          </cell>
          <cell r="C179" t="str">
            <v>lflstatus1_15up</v>
          </cell>
          <cell r="D179">
            <v>59656156</v>
          </cell>
          <cell r="G179">
            <v>3</v>
          </cell>
        </row>
        <row r="180">
          <cell r="A180" t="str">
            <v>BGD</v>
          </cell>
          <cell r="B180">
            <v>2015</v>
          </cell>
          <cell r="C180" t="str">
            <v>lflstatus12_15up</v>
          </cell>
          <cell r="D180">
            <v>61924768</v>
          </cell>
          <cell r="G180">
            <v>3</v>
          </cell>
        </row>
        <row r="181">
          <cell r="A181" t="str">
            <v>BGD</v>
          </cell>
          <cell r="B181">
            <v>2015</v>
          </cell>
          <cell r="C181" t="str">
            <v>lflstatus1_s0_a1</v>
          </cell>
          <cell r="D181">
            <v>5990511.5</v>
          </cell>
          <cell r="G181">
            <v>3</v>
          </cell>
        </row>
        <row r="182">
          <cell r="A182" t="str">
            <v>BGD</v>
          </cell>
          <cell r="B182">
            <v>2015</v>
          </cell>
          <cell r="C182" t="str">
            <v>lflstatus1_s0_a2</v>
          </cell>
          <cell r="D182">
            <v>11029061</v>
          </cell>
          <cell r="G182">
            <v>3</v>
          </cell>
        </row>
        <row r="183">
          <cell r="A183" t="str">
            <v>BGD</v>
          </cell>
          <cell r="B183">
            <v>2015</v>
          </cell>
          <cell r="C183" t="str">
            <v>lflstatus1_s0_a3</v>
          </cell>
          <cell r="D183">
            <v>17925078</v>
          </cell>
          <cell r="G183">
            <v>3</v>
          </cell>
        </row>
        <row r="184">
          <cell r="A184" t="str">
            <v>BGD</v>
          </cell>
          <cell r="B184">
            <v>2015</v>
          </cell>
          <cell r="C184" t="str">
            <v>lflstatus1_s1_a1</v>
          </cell>
          <cell r="D184">
            <v>19377780</v>
          </cell>
          <cell r="G184">
            <v>3</v>
          </cell>
        </row>
        <row r="185">
          <cell r="A185" t="str">
            <v>BGD</v>
          </cell>
          <cell r="B185">
            <v>2015</v>
          </cell>
          <cell r="C185" t="str">
            <v>lflstatus1_s1_a2</v>
          </cell>
          <cell r="D185">
            <v>985946.25</v>
          </cell>
          <cell r="G185">
            <v>3</v>
          </cell>
        </row>
        <row r="186">
          <cell r="A186" t="str">
            <v>BGD</v>
          </cell>
          <cell r="B186">
            <v>2015</v>
          </cell>
          <cell r="C186" t="str">
            <v>lflstatus1_s1_a3</v>
          </cell>
          <cell r="D186">
            <v>4347779</v>
          </cell>
          <cell r="G186">
            <v>3</v>
          </cell>
        </row>
        <row r="187">
          <cell r="A187" t="str">
            <v>BGD</v>
          </cell>
          <cell r="B187">
            <v>2015</v>
          </cell>
          <cell r="C187" t="str">
            <v>lfip_total</v>
          </cell>
          <cell r="D187">
            <v>12714.9091796875</v>
          </cell>
          <cell r="G187">
            <v>3</v>
          </cell>
        </row>
        <row r="188">
          <cell r="A188" t="str">
            <v>BGD</v>
          </cell>
          <cell r="B188">
            <v>2015</v>
          </cell>
          <cell r="C188" t="str">
            <v>lfip_s0_a1</v>
          </cell>
          <cell r="D188">
            <v>9156.154296875</v>
          </cell>
          <cell r="G188">
            <v>3</v>
          </cell>
        </row>
        <row r="189">
          <cell r="A189" t="str">
            <v>BGD</v>
          </cell>
          <cell r="B189">
            <v>2015</v>
          </cell>
          <cell r="C189" t="str">
            <v>lfip_s0_a2</v>
          </cell>
          <cell r="D189">
            <v>11365.7314453125</v>
          </cell>
          <cell r="G189">
            <v>3</v>
          </cell>
        </row>
        <row r="190">
          <cell r="A190" t="str">
            <v>BGD</v>
          </cell>
          <cell r="B190">
            <v>2015</v>
          </cell>
          <cell r="C190" t="str">
            <v>lfip_s0_a3</v>
          </cell>
          <cell r="D190">
            <v>12072.435546875</v>
          </cell>
          <cell r="G190">
            <v>3</v>
          </cell>
        </row>
        <row r="191">
          <cell r="A191" t="str">
            <v>BGD</v>
          </cell>
          <cell r="B191">
            <v>2015</v>
          </cell>
          <cell r="C191" t="str">
            <v>lfip_s1_a1</v>
          </cell>
          <cell r="D191">
            <v>9002.8056640625</v>
          </cell>
          <cell r="G191">
            <v>3</v>
          </cell>
        </row>
        <row r="192">
          <cell r="A192" t="str">
            <v>BGD</v>
          </cell>
          <cell r="B192">
            <v>2015</v>
          </cell>
          <cell r="C192" t="str">
            <v>lfip_s1_a2</v>
          </cell>
          <cell r="D192">
            <v>20689.78125</v>
          </cell>
          <cell r="G192">
            <v>3</v>
          </cell>
        </row>
        <row r="193">
          <cell r="A193" t="str">
            <v>BGD</v>
          </cell>
          <cell r="B193">
            <v>2015</v>
          </cell>
          <cell r="C193" t="str">
            <v>lfip_s1_a3</v>
          </cell>
          <cell r="D193">
            <v>21694.67578125</v>
          </cell>
          <cell r="G193">
            <v>3</v>
          </cell>
        </row>
        <row r="194">
          <cell r="A194" t="str">
            <v>BGD</v>
          </cell>
          <cell r="B194">
            <v>2016</v>
          </cell>
          <cell r="C194" t="str">
            <v>lfpop_total</v>
          </cell>
          <cell r="D194">
            <v>161338496</v>
          </cell>
          <cell r="G194">
            <v>3</v>
          </cell>
        </row>
        <row r="195">
          <cell r="A195" t="str">
            <v>BGD</v>
          </cell>
          <cell r="B195">
            <v>2016</v>
          </cell>
          <cell r="C195" t="str">
            <v>lfpop_0014</v>
          </cell>
          <cell r="D195">
            <v>52284868</v>
          </cell>
          <cell r="G195">
            <v>3</v>
          </cell>
        </row>
        <row r="196">
          <cell r="A196" t="str">
            <v>BGD</v>
          </cell>
          <cell r="B196">
            <v>2016</v>
          </cell>
          <cell r="C196" t="str">
            <v>lfpop_15up</v>
          </cell>
          <cell r="D196">
            <v>109053624</v>
          </cell>
          <cell r="G196">
            <v>3</v>
          </cell>
        </row>
        <row r="197">
          <cell r="A197" t="str">
            <v>BGD</v>
          </cell>
          <cell r="B197">
            <v>2016</v>
          </cell>
          <cell r="C197" t="str">
            <v>lfpop_65up</v>
          </cell>
          <cell r="D197">
            <v>7915245</v>
          </cell>
          <cell r="G197">
            <v>3</v>
          </cell>
        </row>
        <row r="198">
          <cell r="A198" t="str">
            <v>BGD</v>
          </cell>
          <cell r="B198">
            <v>2016</v>
          </cell>
          <cell r="C198" t="str">
            <v>lflstatus3_15up</v>
          </cell>
          <cell r="D198">
            <v>45229800</v>
          </cell>
          <cell r="G198">
            <v>3</v>
          </cell>
        </row>
        <row r="199">
          <cell r="A199" t="str">
            <v>BGD</v>
          </cell>
          <cell r="B199">
            <v>2016</v>
          </cell>
          <cell r="C199" t="str">
            <v>lflstatus2_15up</v>
          </cell>
          <cell r="D199">
            <v>2676684.75</v>
          </cell>
          <cell r="G199">
            <v>3</v>
          </cell>
        </row>
        <row r="200">
          <cell r="A200" t="str">
            <v>BGD</v>
          </cell>
          <cell r="B200">
            <v>2016</v>
          </cell>
          <cell r="C200" t="str">
            <v>lflstatus1_15up</v>
          </cell>
          <cell r="D200">
            <v>61147140</v>
          </cell>
          <cell r="G200">
            <v>3</v>
          </cell>
        </row>
        <row r="201">
          <cell r="A201" t="str">
            <v>BGD</v>
          </cell>
          <cell r="B201">
            <v>2016</v>
          </cell>
          <cell r="C201" t="str">
            <v>lflstatus12_15up</v>
          </cell>
          <cell r="D201">
            <v>63823824</v>
          </cell>
          <cell r="G201">
            <v>3</v>
          </cell>
        </row>
        <row r="202">
          <cell r="A202" t="str">
            <v>BGD</v>
          </cell>
          <cell r="B202">
            <v>2016</v>
          </cell>
          <cell r="C202" t="str">
            <v>lflstatus1_s0_a1</v>
          </cell>
          <cell r="D202">
            <v>5412589.5</v>
          </cell>
          <cell r="G202">
            <v>3</v>
          </cell>
        </row>
        <row r="203">
          <cell r="A203" t="str">
            <v>BGD</v>
          </cell>
          <cell r="B203">
            <v>2016</v>
          </cell>
          <cell r="C203" t="str">
            <v>lflstatus1_s0_a2</v>
          </cell>
          <cell r="D203">
            <v>11251069</v>
          </cell>
          <cell r="G203">
            <v>3</v>
          </cell>
        </row>
        <row r="204">
          <cell r="A204" t="str">
            <v>BGD</v>
          </cell>
          <cell r="B204">
            <v>2016</v>
          </cell>
          <cell r="C204" t="str">
            <v>lflstatus1_s0_a3</v>
          </cell>
          <cell r="D204">
            <v>19726422</v>
          </cell>
          <cell r="G204">
            <v>3</v>
          </cell>
        </row>
        <row r="205">
          <cell r="A205" t="str">
            <v>BGD</v>
          </cell>
          <cell r="B205">
            <v>2016</v>
          </cell>
          <cell r="C205" t="str">
            <v>lflstatus1_s1_a1</v>
          </cell>
          <cell r="D205">
            <v>19291128</v>
          </cell>
          <cell r="G205">
            <v>3</v>
          </cell>
        </row>
        <row r="206">
          <cell r="A206" t="str">
            <v>BGD</v>
          </cell>
          <cell r="B206">
            <v>2016</v>
          </cell>
          <cell r="C206" t="str">
            <v>lflstatus1_s1_a2</v>
          </cell>
          <cell r="D206">
            <v>1059578.5</v>
          </cell>
          <cell r="G206">
            <v>3</v>
          </cell>
        </row>
        <row r="207">
          <cell r="A207" t="str">
            <v>BGD</v>
          </cell>
          <cell r="B207">
            <v>2016</v>
          </cell>
          <cell r="C207" t="str">
            <v>lflstatus1_s1_a3</v>
          </cell>
          <cell r="D207">
            <v>4406354</v>
          </cell>
          <cell r="G207">
            <v>3</v>
          </cell>
        </row>
        <row r="208">
          <cell r="A208" t="str">
            <v>BGD</v>
          </cell>
          <cell r="B208">
            <v>2016</v>
          </cell>
          <cell r="C208" t="str">
            <v>lfip_total</v>
          </cell>
          <cell r="D208">
            <v>12960.4443359375</v>
          </cell>
          <cell r="G208">
            <v>3</v>
          </cell>
        </row>
        <row r="209">
          <cell r="A209" t="str">
            <v>BGD</v>
          </cell>
          <cell r="B209">
            <v>2016</v>
          </cell>
          <cell r="C209" t="str">
            <v>lfip_s0_a1</v>
          </cell>
          <cell r="D209">
            <v>8546.6611328125</v>
          </cell>
          <cell r="G209">
            <v>3</v>
          </cell>
        </row>
        <row r="210">
          <cell r="A210" t="str">
            <v>BGD</v>
          </cell>
          <cell r="B210">
            <v>2016</v>
          </cell>
          <cell r="C210" t="str">
            <v>lfip_s0_a2</v>
          </cell>
          <cell r="D210">
            <v>10202.3994140625</v>
          </cell>
          <cell r="G210">
            <v>3</v>
          </cell>
        </row>
        <row r="211">
          <cell r="A211" t="str">
            <v>BGD</v>
          </cell>
          <cell r="B211">
            <v>2016</v>
          </cell>
          <cell r="C211" t="str">
            <v>lfip_s0_a3</v>
          </cell>
          <cell r="D211">
            <v>11521.8740234375</v>
          </cell>
          <cell r="G211">
            <v>3</v>
          </cell>
        </row>
        <row r="212">
          <cell r="A212" t="str">
            <v>BGD</v>
          </cell>
          <cell r="B212">
            <v>2016</v>
          </cell>
          <cell r="C212" t="str">
            <v>lfip_s1_a1</v>
          </cell>
          <cell r="D212">
            <v>8247.0869140625</v>
          </cell>
          <cell r="G212">
            <v>3</v>
          </cell>
        </row>
        <row r="213">
          <cell r="A213" t="str">
            <v>BGD</v>
          </cell>
          <cell r="B213">
            <v>2016</v>
          </cell>
          <cell r="C213" t="str">
            <v>lfip_s1_a2</v>
          </cell>
          <cell r="D213">
            <v>24348.26171875</v>
          </cell>
          <cell r="G213">
            <v>3</v>
          </cell>
        </row>
        <row r="214">
          <cell r="A214" t="str">
            <v>BGD</v>
          </cell>
          <cell r="B214">
            <v>2016</v>
          </cell>
          <cell r="C214" t="str">
            <v>lfip_s1_a3</v>
          </cell>
          <cell r="D214">
            <v>27431.103515625</v>
          </cell>
          <cell r="G214">
            <v>3</v>
          </cell>
        </row>
        <row r="215">
          <cell r="A215" t="str">
            <v>BGD</v>
          </cell>
          <cell r="B215">
            <v>2022</v>
          </cell>
          <cell r="C215" t="str">
            <v>lfpop_total</v>
          </cell>
          <cell r="D215">
            <v>169777296</v>
          </cell>
          <cell r="G215">
            <v>3</v>
          </cell>
        </row>
        <row r="216">
          <cell r="A216" t="str">
            <v>BGD</v>
          </cell>
          <cell r="B216">
            <v>2022</v>
          </cell>
          <cell r="C216" t="str">
            <v>lfpop_0014</v>
          </cell>
          <cell r="D216">
            <v>50448260</v>
          </cell>
          <cell r="G216">
            <v>3</v>
          </cell>
        </row>
        <row r="217">
          <cell r="A217" t="str">
            <v>BGD</v>
          </cell>
          <cell r="B217">
            <v>2022</v>
          </cell>
          <cell r="C217" t="str">
            <v>lfpop_15up</v>
          </cell>
          <cell r="D217">
            <v>119329040</v>
          </cell>
          <cell r="G217">
            <v>3</v>
          </cell>
        </row>
        <row r="218">
          <cell r="A218" t="str">
            <v>BGD</v>
          </cell>
          <cell r="B218">
            <v>2022</v>
          </cell>
          <cell r="C218" t="str">
            <v>lfpop_65up</v>
          </cell>
          <cell r="D218">
            <v>8621047</v>
          </cell>
          <cell r="G218">
            <v>3</v>
          </cell>
        </row>
        <row r="219">
          <cell r="A219" t="str">
            <v>BGD</v>
          </cell>
          <cell r="B219">
            <v>2022</v>
          </cell>
          <cell r="C219" t="str">
            <v>lflstatus3_15up</v>
          </cell>
          <cell r="D219">
            <v>46270824</v>
          </cell>
          <cell r="G219">
            <v>3</v>
          </cell>
        </row>
        <row r="220">
          <cell r="A220" t="str">
            <v>BGD</v>
          </cell>
          <cell r="B220">
            <v>2022</v>
          </cell>
          <cell r="C220" t="str">
            <v>lflstatus2_15up</v>
          </cell>
          <cell r="D220">
            <v>2595568</v>
          </cell>
          <cell r="G220">
            <v>3</v>
          </cell>
        </row>
        <row r="221">
          <cell r="A221" t="str">
            <v>BGD</v>
          </cell>
          <cell r="B221">
            <v>2022</v>
          </cell>
          <cell r="C221" t="str">
            <v>lflstatus1_15up</v>
          </cell>
          <cell r="D221">
            <v>70462648</v>
          </cell>
          <cell r="G221">
            <v>3</v>
          </cell>
        </row>
        <row r="222">
          <cell r="A222" t="str">
            <v>BGD</v>
          </cell>
          <cell r="B222">
            <v>2022</v>
          </cell>
          <cell r="C222" t="str">
            <v>lflstatus12_15up</v>
          </cell>
          <cell r="D222">
            <v>73058216</v>
          </cell>
          <cell r="G222">
            <v>3</v>
          </cell>
        </row>
        <row r="223">
          <cell r="A223" t="str">
            <v>BGD</v>
          </cell>
          <cell r="B223">
            <v>2022</v>
          </cell>
          <cell r="C223" t="str">
            <v>lflstatus1_s0_a1</v>
          </cell>
          <cell r="D223">
            <v>15793763</v>
          </cell>
          <cell r="G223">
            <v>3</v>
          </cell>
        </row>
        <row r="224">
          <cell r="A224" t="str">
            <v>BGD</v>
          </cell>
          <cell r="B224">
            <v>2022</v>
          </cell>
          <cell r="C224" t="str">
            <v>lflstatus1_s0_a2</v>
          </cell>
          <cell r="D224">
            <v>10781156</v>
          </cell>
          <cell r="G224">
            <v>3</v>
          </cell>
        </row>
        <row r="225">
          <cell r="A225" t="str">
            <v>BGD</v>
          </cell>
          <cell r="B225">
            <v>2022</v>
          </cell>
          <cell r="C225" t="str">
            <v>lflstatus1_s0_a3</v>
          </cell>
          <cell r="D225">
            <v>22180030</v>
          </cell>
          <cell r="G225">
            <v>3</v>
          </cell>
        </row>
        <row r="226">
          <cell r="A226" t="str">
            <v>BGD</v>
          </cell>
          <cell r="B226">
            <v>2022</v>
          </cell>
          <cell r="C226" t="str">
            <v>lflstatus1_s1_a1</v>
          </cell>
          <cell r="D226">
            <v>13217936</v>
          </cell>
          <cell r="G226">
            <v>3</v>
          </cell>
        </row>
        <row r="227">
          <cell r="A227" t="str">
            <v>BGD</v>
          </cell>
          <cell r="B227">
            <v>2022</v>
          </cell>
          <cell r="C227" t="str">
            <v>lflstatus1_s1_a2</v>
          </cell>
          <cell r="D227">
            <v>1037171.8125</v>
          </cell>
          <cell r="G227">
            <v>3</v>
          </cell>
        </row>
        <row r="228">
          <cell r="A228" t="str">
            <v>BGD</v>
          </cell>
          <cell r="B228">
            <v>2022</v>
          </cell>
          <cell r="C228" t="str">
            <v>lflstatus1_s1_a3</v>
          </cell>
          <cell r="D228">
            <v>7452592</v>
          </cell>
          <cell r="G228">
            <v>3</v>
          </cell>
        </row>
        <row r="229">
          <cell r="A229" t="str">
            <v>BGD</v>
          </cell>
          <cell r="B229">
            <v>2022</v>
          </cell>
          <cell r="C229" t="str">
            <v>lfip_total</v>
          </cell>
          <cell r="D229">
            <v>13200.138671875</v>
          </cell>
          <cell r="G229">
            <v>3</v>
          </cell>
        </row>
        <row r="230">
          <cell r="A230" t="str">
            <v>BGD</v>
          </cell>
          <cell r="B230">
            <v>2022</v>
          </cell>
          <cell r="C230" t="str">
            <v>lfip_s0_a1</v>
          </cell>
          <cell r="D230">
            <v>8755.2080078125</v>
          </cell>
          <cell r="G230">
            <v>3</v>
          </cell>
        </row>
        <row r="231">
          <cell r="A231" t="str">
            <v>BGD</v>
          </cell>
          <cell r="B231">
            <v>2022</v>
          </cell>
          <cell r="C231" t="str">
            <v>lfip_s0_a2</v>
          </cell>
          <cell r="D231">
            <v>12220.458984375</v>
          </cell>
          <cell r="G231">
            <v>3</v>
          </cell>
        </row>
        <row r="232">
          <cell r="A232" t="str">
            <v>BGD</v>
          </cell>
          <cell r="B232">
            <v>2022</v>
          </cell>
          <cell r="C232" t="str">
            <v>lfip_s0_a3</v>
          </cell>
          <cell r="D232">
            <v>13440.2685546875</v>
          </cell>
          <cell r="G232">
            <v>3</v>
          </cell>
        </row>
        <row r="233">
          <cell r="A233" t="str">
            <v>BGD</v>
          </cell>
          <cell r="B233">
            <v>2022</v>
          </cell>
          <cell r="C233" t="str">
            <v>lfip_s1_a1</v>
          </cell>
          <cell r="D233">
            <v>8550.0966796875</v>
          </cell>
          <cell r="G233">
            <v>3</v>
          </cell>
        </row>
        <row r="234">
          <cell r="A234" t="str">
            <v>BGD</v>
          </cell>
          <cell r="B234">
            <v>2022</v>
          </cell>
          <cell r="C234" t="str">
            <v>lfip_s1_a2</v>
          </cell>
          <cell r="D234">
            <v>23635.66015625</v>
          </cell>
          <cell r="G234">
            <v>3</v>
          </cell>
        </row>
        <row r="235">
          <cell r="A235" t="str">
            <v>BGD</v>
          </cell>
          <cell r="B235">
            <v>2022</v>
          </cell>
          <cell r="C235" t="str">
            <v>lfip_s1_a3</v>
          </cell>
          <cell r="D235">
            <v>21013.87890625</v>
          </cell>
          <cell r="G235">
            <v>3</v>
          </cell>
        </row>
        <row r="236">
          <cell r="A236" t="str">
            <v>BGD</v>
          </cell>
          <cell r="B236">
            <v>2005</v>
          </cell>
          <cell r="C236" t="str">
            <v>lfpop_total</v>
          </cell>
          <cell r="D236">
            <v>137298800</v>
          </cell>
          <cell r="G236">
            <v>6</v>
          </cell>
        </row>
        <row r="237">
          <cell r="A237" t="str">
            <v>BGD</v>
          </cell>
          <cell r="B237">
            <v>2005</v>
          </cell>
          <cell r="C237" t="str">
            <v>lfpop_0014</v>
          </cell>
          <cell r="D237">
            <v>52712600</v>
          </cell>
          <cell r="G237">
            <v>6</v>
          </cell>
        </row>
        <row r="238">
          <cell r="A238" t="str">
            <v>BGD</v>
          </cell>
          <cell r="B238">
            <v>2005</v>
          </cell>
          <cell r="C238" t="str">
            <v>lfpop_15up</v>
          </cell>
          <cell r="D238">
            <v>84586192</v>
          </cell>
          <cell r="G238">
            <v>6</v>
          </cell>
        </row>
        <row r="239">
          <cell r="A239" t="str">
            <v>BGD</v>
          </cell>
          <cell r="B239">
            <v>2005</v>
          </cell>
          <cell r="C239" t="str">
            <v>lfpop_65up</v>
          </cell>
          <cell r="D239">
            <v>4987599</v>
          </cell>
          <cell r="G239">
            <v>6</v>
          </cell>
        </row>
        <row r="240">
          <cell r="A240" t="str">
            <v>BGD</v>
          </cell>
          <cell r="B240">
            <v>2005</v>
          </cell>
          <cell r="C240" t="str">
            <v>lflstatus3_15up</v>
          </cell>
          <cell r="D240">
            <v>35174708</v>
          </cell>
          <cell r="G240">
            <v>6</v>
          </cell>
        </row>
        <row r="241">
          <cell r="A241" t="str">
            <v>BGD</v>
          </cell>
          <cell r="B241">
            <v>2005</v>
          </cell>
          <cell r="C241" t="str">
            <v>lflstatus2_15up</v>
          </cell>
          <cell r="D241">
            <v>2054896</v>
          </cell>
          <cell r="G241">
            <v>6</v>
          </cell>
        </row>
        <row r="242">
          <cell r="A242" t="str">
            <v>BGD</v>
          </cell>
          <cell r="B242">
            <v>2005</v>
          </cell>
          <cell r="C242" t="str">
            <v>lflstatus1_15up</v>
          </cell>
          <cell r="D242">
            <v>47356592</v>
          </cell>
          <cell r="G242">
            <v>6</v>
          </cell>
        </row>
        <row r="243">
          <cell r="A243" t="str">
            <v>BGD</v>
          </cell>
          <cell r="B243">
            <v>2005</v>
          </cell>
          <cell r="C243" t="str">
            <v>lflstatus12_15up</v>
          </cell>
          <cell r="D243">
            <v>49411488</v>
          </cell>
          <cell r="G243">
            <v>6</v>
          </cell>
        </row>
        <row r="244">
          <cell r="A244" t="str">
            <v>BGD</v>
          </cell>
          <cell r="B244">
            <v>2005</v>
          </cell>
          <cell r="C244" t="str">
            <v>lflstatus1_s0_a1</v>
          </cell>
          <cell r="D244">
            <v>7005826.5</v>
          </cell>
          <cell r="G244">
            <v>6</v>
          </cell>
        </row>
        <row r="245">
          <cell r="A245" t="str">
            <v>BGD</v>
          </cell>
          <cell r="B245">
            <v>2005</v>
          </cell>
          <cell r="C245" t="str">
            <v>lflstatus1_s0_a2</v>
          </cell>
          <cell r="D245">
            <v>1450114.875</v>
          </cell>
          <cell r="G245">
            <v>6</v>
          </cell>
        </row>
        <row r="246">
          <cell r="A246" t="str">
            <v>BGD</v>
          </cell>
          <cell r="B246">
            <v>2005</v>
          </cell>
          <cell r="C246" t="str">
            <v>lflstatus1_s0_a3</v>
          </cell>
          <cell r="D246">
            <v>4884271.5</v>
          </cell>
          <cell r="G246">
            <v>6</v>
          </cell>
        </row>
        <row r="247">
          <cell r="A247" t="str">
            <v>BGD</v>
          </cell>
          <cell r="B247">
            <v>2005</v>
          </cell>
          <cell r="C247" t="str">
            <v>lflstatus1_s0_a4</v>
          </cell>
          <cell r="D247">
            <v>3935524.75</v>
          </cell>
          <cell r="G247">
            <v>6</v>
          </cell>
        </row>
        <row r="248">
          <cell r="A248" t="str">
            <v>BGD</v>
          </cell>
          <cell r="B248">
            <v>2005</v>
          </cell>
          <cell r="C248" t="str">
            <v>lflstatus1_s0_a5</v>
          </cell>
          <cell r="D248">
            <v>409830.46875</v>
          </cell>
          <cell r="G248">
            <v>6</v>
          </cell>
        </row>
        <row r="249">
          <cell r="A249" t="str">
            <v>BGD</v>
          </cell>
          <cell r="B249">
            <v>2005</v>
          </cell>
          <cell r="C249" t="str">
            <v>lflstatus1_s0_a6</v>
          </cell>
          <cell r="D249">
            <v>11302678</v>
          </cell>
          <cell r="G249">
            <v>6</v>
          </cell>
        </row>
        <row r="250">
          <cell r="A250" t="str">
            <v>BGD</v>
          </cell>
          <cell r="B250">
            <v>2005</v>
          </cell>
          <cell r="C250" t="str">
            <v>lflstatus1_s1_a1</v>
          </cell>
          <cell r="D250">
            <v>15761191</v>
          </cell>
          <cell r="G250">
            <v>6</v>
          </cell>
        </row>
        <row r="251">
          <cell r="A251" t="str">
            <v>BGD</v>
          </cell>
          <cell r="B251">
            <v>2005</v>
          </cell>
          <cell r="C251" t="str">
            <v>lflstatus1_s1_a2</v>
          </cell>
          <cell r="D251">
            <v>74227.421875</v>
          </cell>
          <cell r="G251">
            <v>6</v>
          </cell>
        </row>
        <row r="252">
          <cell r="A252" t="str">
            <v>BGD</v>
          </cell>
          <cell r="B252">
            <v>2005</v>
          </cell>
          <cell r="C252" t="str">
            <v>lflstatus1_s1_a3</v>
          </cell>
          <cell r="D252">
            <v>390912.21875</v>
          </cell>
          <cell r="G252">
            <v>6</v>
          </cell>
        </row>
        <row r="253">
          <cell r="A253" t="str">
            <v>BGD</v>
          </cell>
          <cell r="B253">
            <v>2005</v>
          </cell>
          <cell r="C253" t="str">
            <v>lflstatus1_s1_a4</v>
          </cell>
          <cell r="D253">
            <v>40371.58984375</v>
          </cell>
          <cell r="G253">
            <v>6</v>
          </cell>
        </row>
        <row r="254">
          <cell r="A254" t="str">
            <v>BGD</v>
          </cell>
          <cell r="B254">
            <v>2005</v>
          </cell>
          <cell r="C254" t="str">
            <v>lflstatus1_s1_a5</v>
          </cell>
          <cell r="D254">
            <v>335809.25</v>
          </cell>
          <cell r="G254">
            <v>6</v>
          </cell>
        </row>
        <row r="255">
          <cell r="A255" t="str">
            <v>BGD</v>
          </cell>
          <cell r="B255">
            <v>2005</v>
          </cell>
          <cell r="C255" t="str">
            <v>lflstatus1_s1_a6</v>
          </cell>
          <cell r="D255">
            <v>1765832.5</v>
          </cell>
          <cell r="G255">
            <v>6</v>
          </cell>
        </row>
        <row r="256">
          <cell r="A256" t="str">
            <v>BGD</v>
          </cell>
          <cell r="B256">
            <v>2005</v>
          </cell>
          <cell r="C256" t="str">
            <v>lfip_total</v>
          </cell>
          <cell r="D256">
            <v>2561.5537109375</v>
          </cell>
          <cell r="G256">
            <v>6</v>
          </cell>
        </row>
        <row r="257">
          <cell r="A257" t="str">
            <v>BGD</v>
          </cell>
          <cell r="B257">
            <v>2005</v>
          </cell>
          <cell r="C257" t="str">
            <v>lfip_s0_a1</v>
          </cell>
          <cell r="D257">
            <v>577.49951171875</v>
          </cell>
          <cell r="G257">
            <v>6</v>
          </cell>
        </row>
        <row r="258">
          <cell r="A258" t="str">
            <v>BGD</v>
          </cell>
          <cell r="B258">
            <v>2005</v>
          </cell>
          <cell r="C258" t="str">
            <v>lfip_s0_a2</v>
          </cell>
          <cell r="D258">
            <v>938.8114013671875</v>
          </cell>
          <cell r="G258">
            <v>6</v>
          </cell>
        </row>
        <row r="259">
          <cell r="A259" t="str">
            <v>BGD</v>
          </cell>
          <cell r="B259">
            <v>2005</v>
          </cell>
          <cell r="C259" t="str">
            <v>lfip_s0_a3</v>
          </cell>
          <cell r="D259">
            <v>2179.94580078125</v>
          </cell>
          <cell r="G259">
            <v>6</v>
          </cell>
        </row>
        <row r="260">
          <cell r="A260" t="str">
            <v>BGD</v>
          </cell>
          <cell r="B260">
            <v>2005</v>
          </cell>
          <cell r="C260" t="str">
            <v>lfip_s0_a4</v>
          </cell>
          <cell r="D260">
            <v>3002.865478515625</v>
          </cell>
          <cell r="G260">
            <v>6</v>
          </cell>
        </row>
        <row r="261">
          <cell r="A261" t="str">
            <v>BGD</v>
          </cell>
          <cell r="B261">
            <v>2005</v>
          </cell>
          <cell r="C261" t="str">
            <v>lfip_s0_a5</v>
          </cell>
          <cell r="D261">
            <v>6217.30419921875</v>
          </cell>
          <cell r="G261">
            <v>6</v>
          </cell>
        </row>
        <row r="262">
          <cell r="A262" t="str">
            <v>BGD</v>
          </cell>
          <cell r="B262">
            <v>2005</v>
          </cell>
          <cell r="C262" t="str">
            <v>lfip_s0_a6</v>
          </cell>
          <cell r="D262">
            <v>4191.7109375</v>
          </cell>
          <cell r="G262">
            <v>6</v>
          </cell>
        </row>
        <row r="263">
          <cell r="A263" t="str">
            <v>BGD</v>
          </cell>
          <cell r="B263">
            <v>2005</v>
          </cell>
          <cell r="C263" t="str">
            <v>lfip_s1_a1</v>
          </cell>
          <cell r="D263">
            <v>643.6427001953125</v>
          </cell>
          <cell r="G263">
            <v>6</v>
          </cell>
        </row>
        <row r="264">
          <cell r="A264" t="str">
            <v>BGD</v>
          </cell>
          <cell r="B264">
            <v>2005</v>
          </cell>
          <cell r="C264" t="str">
            <v>lfip_s1_a2</v>
          </cell>
          <cell r="D264">
            <v>7735.56591796875</v>
          </cell>
          <cell r="G264">
            <v>6</v>
          </cell>
        </row>
        <row r="265">
          <cell r="A265" t="str">
            <v>BGD</v>
          </cell>
          <cell r="B265">
            <v>2005</v>
          </cell>
          <cell r="C265" t="str">
            <v>lfip_s1_a3</v>
          </cell>
          <cell r="D265">
            <v>6337.97509765625</v>
          </cell>
          <cell r="G265">
            <v>6</v>
          </cell>
        </row>
        <row r="266">
          <cell r="A266" t="str">
            <v>BGD</v>
          </cell>
          <cell r="B266">
            <v>2005</v>
          </cell>
          <cell r="C266" t="str">
            <v>lfip_s1_a4</v>
          </cell>
          <cell r="D266">
            <v>8092.86669921875</v>
          </cell>
          <cell r="G266">
            <v>6</v>
          </cell>
        </row>
        <row r="267">
          <cell r="A267" t="str">
            <v>BGD</v>
          </cell>
          <cell r="B267">
            <v>2005</v>
          </cell>
          <cell r="C267" t="str">
            <v>lfip_s1_a5</v>
          </cell>
          <cell r="D267">
            <v>11334.40234375</v>
          </cell>
          <cell r="G267">
            <v>6</v>
          </cell>
        </row>
        <row r="268">
          <cell r="A268" t="str">
            <v>BGD</v>
          </cell>
          <cell r="B268">
            <v>2005</v>
          </cell>
          <cell r="C268" t="str">
            <v>lfip_s1_a6</v>
          </cell>
          <cell r="D268">
            <v>6214.62890625</v>
          </cell>
          <cell r="G268">
            <v>6</v>
          </cell>
        </row>
        <row r="269">
          <cell r="A269" t="str">
            <v>BGD</v>
          </cell>
          <cell r="B269">
            <v>2010</v>
          </cell>
          <cell r="C269" t="str">
            <v>lfpop_total</v>
          </cell>
          <cell r="D269">
            <v>148708832</v>
          </cell>
          <cell r="G269">
            <v>6</v>
          </cell>
        </row>
        <row r="270">
          <cell r="A270" t="str">
            <v>BGD</v>
          </cell>
          <cell r="B270">
            <v>2010</v>
          </cell>
          <cell r="C270" t="str">
            <v>lfpop_0014</v>
          </cell>
          <cell r="D270">
            <v>53149724</v>
          </cell>
          <cell r="G270">
            <v>6</v>
          </cell>
        </row>
        <row r="271">
          <cell r="A271" t="str">
            <v>BGD</v>
          </cell>
          <cell r="B271">
            <v>2010</v>
          </cell>
          <cell r="C271" t="str">
            <v>lfpop_15up</v>
          </cell>
          <cell r="D271">
            <v>95559112</v>
          </cell>
          <cell r="G271">
            <v>6</v>
          </cell>
        </row>
        <row r="272">
          <cell r="A272" t="str">
            <v>BGD</v>
          </cell>
          <cell r="B272">
            <v>2010</v>
          </cell>
          <cell r="C272" t="str">
            <v>lfpop_65up</v>
          </cell>
          <cell r="D272">
            <v>5862520</v>
          </cell>
          <cell r="G272">
            <v>6</v>
          </cell>
        </row>
        <row r="273">
          <cell r="A273" t="str">
            <v>BGD</v>
          </cell>
          <cell r="B273">
            <v>2010</v>
          </cell>
          <cell r="C273" t="str">
            <v>lflstatus3_15up</v>
          </cell>
          <cell r="D273">
            <v>39868780</v>
          </cell>
          <cell r="G273">
            <v>6</v>
          </cell>
        </row>
        <row r="274">
          <cell r="A274" t="str">
            <v>BGD</v>
          </cell>
          <cell r="B274">
            <v>2010</v>
          </cell>
          <cell r="C274" t="str">
            <v>lflstatus2_15up</v>
          </cell>
          <cell r="D274">
            <v>1608066.125</v>
          </cell>
          <cell r="G274">
            <v>6</v>
          </cell>
        </row>
        <row r="275">
          <cell r="A275" t="str">
            <v>BGD</v>
          </cell>
          <cell r="B275">
            <v>2010</v>
          </cell>
          <cell r="C275" t="str">
            <v>lflstatus1_15up</v>
          </cell>
          <cell r="D275">
            <v>54082264</v>
          </cell>
          <cell r="G275">
            <v>6</v>
          </cell>
        </row>
        <row r="276">
          <cell r="A276" t="str">
            <v>BGD</v>
          </cell>
          <cell r="B276">
            <v>2010</v>
          </cell>
          <cell r="C276" t="str">
            <v>lflstatus12_15up</v>
          </cell>
          <cell r="D276">
            <v>55690332</v>
          </cell>
          <cell r="G276">
            <v>6</v>
          </cell>
        </row>
        <row r="277">
          <cell r="A277" t="str">
            <v>BGD</v>
          </cell>
          <cell r="B277">
            <v>2010</v>
          </cell>
          <cell r="C277" t="str">
            <v>lflstatus1_s0_a1</v>
          </cell>
          <cell r="D277">
            <v>18267238</v>
          </cell>
          <cell r="G277">
            <v>6</v>
          </cell>
        </row>
        <row r="278">
          <cell r="A278" t="str">
            <v>BGD</v>
          </cell>
          <cell r="B278">
            <v>2010</v>
          </cell>
          <cell r="C278" t="str">
            <v>lflstatus1_s0_a2</v>
          </cell>
          <cell r="D278">
            <v>2502513.5</v>
          </cell>
          <cell r="G278">
            <v>6</v>
          </cell>
        </row>
        <row r="279">
          <cell r="A279" t="str">
            <v>BGD</v>
          </cell>
          <cell r="B279">
            <v>2010</v>
          </cell>
          <cell r="C279" t="str">
            <v>lflstatus1_s0_a3</v>
          </cell>
          <cell r="D279">
            <v>6548937.5</v>
          </cell>
          <cell r="G279">
            <v>6</v>
          </cell>
        </row>
        <row r="280">
          <cell r="A280" t="str">
            <v>BGD</v>
          </cell>
          <cell r="B280">
            <v>2010</v>
          </cell>
          <cell r="C280" t="str">
            <v>lflstatus1_s0_a4</v>
          </cell>
          <cell r="D280">
            <v>3945324.25</v>
          </cell>
          <cell r="G280">
            <v>6</v>
          </cell>
        </row>
        <row r="281">
          <cell r="A281" t="str">
            <v>BGD</v>
          </cell>
          <cell r="B281">
            <v>2010</v>
          </cell>
          <cell r="C281" t="str">
            <v>lflstatus1_s0_a5</v>
          </cell>
          <cell r="D281">
            <v>511314.21875</v>
          </cell>
          <cell r="G281">
            <v>6</v>
          </cell>
        </row>
        <row r="282">
          <cell r="A282" t="str">
            <v>BGD</v>
          </cell>
          <cell r="B282">
            <v>2010</v>
          </cell>
          <cell r="C282" t="str">
            <v>lflstatus1_s0_a6</v>
          </cell>
          <cell r="D282">
            <v>11958787</v>
          </cell>
          <cell r="G282">
            <v>6</v>
          </cell>
        </row>
        <row r="283">
          <cell r="A283" t="str">
            <v>BGD</v>
          </cell>
          <cell r="B283">
            <v>2010</v>
          </cell>
          <cell r="C283" t="str">
            <v>lflstatus1_s1_a1</v>
          </cell>
          <cell r="D283">
            <v>7314990</v>
          </cell>
          <cell r="G283">
            <v>6</v>
          </cell>
        </row>
        <row r="284">
          <cell r="A284" t="str">
            <v>BGD</v>
          </cell>
          <cell r="B284">
            <v>2010</v>
          </cell>
          <cell r="C284" t="str">
            <v>lflstatus1_s1_a2</v>
          </cell>
          <cell r="D284">
            <v>96820.8671875</v>
          </cell>
          <cell r="G284">
            <v>6</v>
          </cell>
        </row>
        <row r="285">
          <cell r="A285" t="str">
            <v>BGD</v>
          </cell>
          <cell r="B285">
            <v>2010</v>
          </cell>
          <cell r="C285" t="str">
            <v>lflstatus1_s1_a3</v>
          </cell>
          <cell r="D285">
            <v>262564.96875</v>
          </cell>
          <cell r="G285">
            <v>6</v>
          </cell>
        </row>
        <row r="286">
          <cell r="A286" t="str">
            <v>BGD</v>
          </cell>
          <cell r="B286">
            <v>2010</v>
          </cell>
          <cell r="C286" t="str">
            <v>lflstatus1_s1_a4</v>
          </cell>
          <cell r="D286">
            <v>66427.3125</v>
          </cell>
          <cell r="G286">
            <v>6</v>
          </cell>
        </row>
        <row r="287">
          <cell r="A287" t="str">
            <v>BGD</v>
          </cell>
          <cell r="B287">
            <v>2010</v>
          </cell>
          <cell r="C287" t="str">
            <v>lflstatus1_s1_a5</v>
          </cell>
          <cell r="D287">
            <v>485070.71875</v>
          </cell>
          <cell r="G287">
            <v>6</v>
          </cell>
        </row>
        <row r="288">
          <cell r="A288" t="str">
            <v>BGD</v>
          </cell>
          <cell r="B288">
            <v>2010</v>
          </cell>
          <cell r="C288" t="str">
            <v>lflstatus1_s1_a6</v>
          </cell>
          <cell r="D288">
            <v>2122277</v>
          </cell>
          <cell r="G288">
            <v>6</v>
          </cell>
        </row>
        <row r="289">
          <cell r="A289" t="str">
            <v>BGD</v>
          </cell>
          <cell r="B289">
            <v>2010</v>
          </cell>
          <cell r="C289" t="str">
            <v>lfip_total</v>
          </cell>
          <cell r="D289">
            <v>6925.07275390625</v>
          </cell>
          <cell r="G289">
            <v>6</v>
          </cell>
        </row>
        <row r="290">
          <cell r="A290" t="str">
            <v>BGD</v>
          </cell>
          <cell r="B290">
            <v>2010</v>
          </cell>
          <cell r="C290" t="str">
            <v>lfip_s0_a1</v>
          </cell>
          <cell r="D290">
            <v>5184.984375</v>
          </cell>
          <cell r="G290">
            <v>6</v>
          </cell>
        </row>
        <row r="291">
          <cell r="A291" t="str">
            <v>BGD</v>
          </cell>
          <cell r="B291">
            <v>2010</v>
          </cell>
          <cell r="C291" t="str">
            <v>lfip_s0_a2</v>
          </cell>
          <cell r="D291">
            <v>5606.43212890625</v>
          </cell>
          <cell r="G291">
            <v>6</v>
          </cell>
        </row>
        <row r="292">
          <cell r="A292" t="str">
            <v>BGD</v>
          </cell>
          <cell r="B292">
            <v>2010</v>
          </cell>
          <cell r="C292" t="str">
            <v>lfip_s0_a3</v>
          </cell>
          <cell r="D292">
            <v>6812.228515625</v>
          </cell>
          <cell r="G292">
            <v>6</v>
          </cell>
        </row>
        <row r="293">
          <cell r="A293" t="str">
            <v>BGD</v>
          </cell>
          <cell r="B293">
            <v>2010</v>
          </cell>
          <cell r="C293" t="str">
            <v>lfip_s0_a4</v>
          </cell>
          <cell r="D293">
            <v>5894.30322265625</v>
          </cell>
          <cell r="G293">
            <v>6</v>
          </cell>
        </row>
        <row r="294">
          <cell r="A294" t="str">
            <v>BGD</v>
          </cell>
          <cell r="B294">
            <v>2010</v>
          </cell>
          <cell r="C294" t="str">
            <v>lfip_s0_a5</v>
          </cell>
          <cell r="D294">
            <v>10740.423828125</v>
          </cell>
          <cell r="G294">
            <v>6</v>
          </cell>
        </row>
        <row r="295">
          <cell r="A295" t="str">
            <v>BGD</v>
          </cell>
          <cell r="B295">
            <v>2010</v>
          </cell>
          <cell r="C295" t="str">
            <v>lfip_s0_a6</v>
          </cell>
          <cell r="D295">
            <v>7682.86181640625</v>
          </cell>
          <cell r="G295">
            <v>6</v>
          </cell>
        </row>
        <row r="296">
          <cell r="A296" t="str">
            <v>BGD</v>
          </cell>
          <cell r="B296">
            <v>2010</v>
          </cell>
          <cell r="C296" t="str">
            <v>lfip_s1_a1</v>
          </cell>
          <cell r="D296">
            <v>6754.3857421875</v>
          </cell>
          <cell r="G296">
            <v>6</v>
          </cell>
        </row>
        <row r="297">
          <cell r="A297" t="str">
            <v>BGD</v>
          </cell>
          <cell r="B297">
            <v>2010</v>
          </cell>
          <cell r="C297" t="str">
            <v>lfip_s1_a2</v>
          </cell>
          <cell r="D297">
            <v>14989.1923828125</v>
          </cell>
          <cell r="G297">
            <v>6</v>
          </cell>
        </row>
        <row r="298">
          <cell r="A298" t="str">
            <v>BGD</v>
          </cell>
          <cell r="B298">
            <v>2010</v>
          </cell>
          <cell r="C298" t="str">
            <v>lfip_s1_a3</v>
          </cell>
          <cell r="D298">
            <v>10406.8916015625</v>
          </cell>
          <cell r="G298">
            <v>6</v>
          </cell>
        </row>
        <row r="299">
          <cell r="A299" t="str">
            <v>BGD</v>
          </cell>
          <cell r="B299">
            <v>2010</v>
          </cell>
          <cell r="C299" t="str">
            <v>lfip_s1_a4</v>
          </cell>
          <cell r="D299">
            <v>16210.470703125</v>
          </cell>
          <cell r="G299">
            <v>6</v>
          </cell>
        </row>
        <row r="300">
          <cell r="A300" t="str">
            <v>BGD</v>
          </cell>
          <cell r="B300">
            <v>2010</v>
          </cell>
          <cell r="C300" t="str">
            <v>lfip_s1_a5</v>
          </cell>
          <cell r="D300">
            <v>16350.1728515625</v>
          </cell>
          <cell r="G300">
            <v>6</v>
          </cell>
        </row>
        <row r="301">
          <cell r="A301" t="str">
            <v>BGD</v>
          </cell>
          <cell r="B301">
            <v>2010</v>
          </cell>
          <cell r="C301" t="str">
            <v>lfip_s1_a6</v>
          </cell>
          <cell r="D301">
            <v>10269.375</v>
          </cell>
          <cell r="G301">
            <v>6</v>
          </cell>
        </row>
        <row r="302">
          <cell r="A302" t="str">
            <v>BGD</v>
          </cell>
          <cell r="B302">
            <v>2013</v>
          </cell>
          <cell r="C302" t="str">
            <v>lfpop_total</v>
          </cell>
          <cell r="D302">
            <v>154145728</v>
          </cell>
          <cell r="G302">
            <v>6</v>
          </cell>
        </row>
        <row r="303">
          <cell r="A303" t="str">
            <v>BGD</v>
          </cell>
          <cell r="B303">
            <v>2013</v>
          </cell>
          <cell r="C303" t="str">
            <v>lfpop_0014</v>
          </cell>
          <cell r="D303">
            <v>47880580</v>
          </cell>
          <cell r="G303">
            <v>6</v>
          </cell>
        </row>
        <row r="304">
          <cell r="A304" t="str">
            <v>BGD</v>
          </cell>
          <cell r="B304">
            <v>2013</v>
          </cell>
          <cell r="C304" t="str">
            <v>lfpop_15up</v>
          </cell>
          <cell r="D304">
            <v>106265152</v>
          </cell>
          <cell r="G304">
            <v>6</v>
          </cell>
        </row>
        <row r="305">
          <cell r="A305" t="str">
            <v>BGD</v>
          </cell>
          <cell r="B305">
            <v>2013</v>
          </cell>
          <cell r="C305" t="str">
            <v>lfpop_65up</v>
          </cell>
          <cell r="D305">
            <v>8583175</v>
          </cell>
          <cell r="G305">
            <v>6</v>
          </cell>
        </row>
        <row r="306">
          <cell r="A306" t="str">
            <v>BGD</v>
          </cell>
          <cell r="B306">
            <v>2013</v>
          </cell>
          <cell r="C306" t="str">
            <v>lflstatus3_15up</v>
          </cell>
          <cell r="D306">
            <v>45604296</v>
          </cell>
          <cell r="G306">
            <v>6</v>
          </cell>
        </row>
        <row r="307">
          <cell r="A307" t="str">
            <v>BGD</v>
          </cell>
          <cell r="B307">
            <v>2013</v>
          </cell>
          <cell r="C307" t="str">
            <v>lflstatus2_15up</v>
          </cell>
          <cell r="D307">
            <v>2587918.75</v>
          </cell>
          <cell r="G307">
            <v>6</v>
          </cell>
        </row>
        <row r="308">
          <cell r="A308" t="str">
            <v>BGD</v>
          </cell>
          <cell r="B308">
            <v>2013</v>
          </cell>
          <cell r="C308" t="str">
            <v>lflstatus1_15up</v>
          </cell>
          <cell r="D308">
            <v>58072936</v>
          </cell>
          <cell r="G308">
            <v>6</v>
          </cell>
        </row>
        <row r="309">
          <cell r="A309" t="str">
            <v>BGD</v>
          </cell>
          <cell r="B309">
            <v>2013</v>
          </cell>
          <cell r="C309" t="str">
            <v>lflstatus12_15up</v>
          </cell>
          <cell r="D309">
            <v>60660856</v>
          </cell>
          <cell r="G309">
            <v>6</v>
          </cell>
        </row>
        <row r="310">
          <cell r="A310" t="str">
            <v>BGD</v>
          </cell>
          <cell r="B310">
            <v>2013</v>
          </cell>
          <cell r="C310" t="str">
            <v>lflstatus1_s0_a1</v>
          </cell>
          <cell r="D310">
            <v>4936498</v>
          </cell>
          <cell r="G310">
            <v>6</v>
          </cell>
        </row>
        <row r="311">
          <cell r="A311" t="str">
            <v>BGD</v>
          </cell>
          <cell r="B311">
            <v>2013</v>
          </cell>
          <cell r="C311" t="str">
            <v>lflstatus1_s0_a2</v>
          </cell>
          <cell r="D311">
            <v>1985236.875</v>
          </cell>
          <cell r="G311">
            <v>6</v>
          </cell>
        </row>
        <row r="312">
          <cell r="A312" t="str">
            <v>BGD</v>
          </cell>
          <cell r="B312">
            <v>2013</v>
          </cell>
          <cell r="C312" t="str">
            <v>lflstatus1_s0_a3</v>
          </cell>
          <cell r="D312">
            <v>9268217</v>
          </cell>
          <cell r="G312">
            <v>6</v>
          </cell>
        </row>
        <row r="313">
          <cell r="A313" t="str">
            <v>BGD</v>
          </cell>
          <cell r="B313">
            <v>2013</v>
          </cell>
          <cell r="C313" t="str">
            <v>lflstatus1_s0_a4</v>
          </cell>
          <cell r="D313">
            <v>3774465.75</v>
          </cell>
          <cell r="G313">
            <v>6</v>
          </cell>
        </row>
        <row r="314">
          <cell r="A314" t="str">
            <v>BGD</v>
          </cell>
          <cell r="B314">
            <v>2013</v>
          </cell>
          <cell r="C314" t="str">
            <v>lflstatus1_s0_a5</v>
          </cell>
          <cell r="D314">
            <v>708214.9375</v>
          </cell>
          <cell r="G314">
            <v>6</v>
          </cell>
        </row>
        <row r="315">
          <cell r="A315" t="str">
            <v>BGD</v>
          </cell>
          <cell r="B315">
            <v>2013</v>
          </cell>
          <cell r="C315" t="str">
            <v>lflstatus1_s0_a6</v>
          </cell>
          <cell r="D315">
            <v>11689054</v>
          </cell>
          <cell r="G315">
            <v>6</v>
          </cell>
        </row>
        <row r="316">
          <cell r="A316" t="str">
            <v>BGD</v>
          </cell>
          <cell r="B316">
            <v>2013</v>
          </cell>
          <cell r="C316" t="str">
            <v>lflstatus1_s1_a1</v>
          </cell>
          <cell r="D316">
            <v>21253488</v>
          </cell>
          <cell r="G316">
            <v>6</v>
          </cell>
        </row>
        <row r="317">
          <cell r="A317" t="str">
            <v>BGD</v>
          </cell>
          <cell r="B317">
            <v>2013</v>
          </cell>
          <cell r="C317" t="str">
            <v>lflstatus1_s1_a2</v>
          </cell>
          <cell r="D317">
            <v>158285.734375</v>
          </cell>
          <cell r="G317">
            <v>6</v>
          </cell>
        </row>
        <row r="318">
          <cell r="A318" t="str">
            <v>BGD</v>
          </cell>
          <cell r="B318">
            <v>2013</v>
          </cell>
          <cell r="C318" t="str">
            <v>lflstatus1_s1_a3</v>
          </cell>
          <cell r="D318">
            <v>462286.9375</v>
          </cell>
          <cell r="G318">
            <v>6</v>
          </cell>
        </row>
        <row r="319">
          <cell r="A319" t="str">
            <v>BGD</v>
          </cell>
          <cell r="B319">
            <v>2013</v>
          </cell>
          <cell r="C319" t="str">
            <v>lflstatus1_s1_a4</v>
          </cell>
          <cell r="D319">
            <v>114571.578125</v>
          </cell>
          <cell r="G319">
            <v>6</v>
          </cell>
        </row>
        <row r="320">
          <cell r="A320" t="str">
            <v>BGD</v>
          </cell>
          <cell r="B320">
            <v>2013</v>
          </cell>
          <cell r="C320" t="str">
            <v>lflstatus1_s1_a5</v>
          </cell>
          <cell r="D320">
            <v>581650.625</v>
          </cell>
          <cell r="G320">
            <v>6</v>
          </cell>
        </row>
        <row r="321">
          <cell r="A321" t="str">
            <v>BGD</v>
          </cell>
          <cell r="B321">
            <v>2013</v>
          </cell>
          <cell r="C321" t="str">
            <v>lflstatus1_s1_a6</v>
          </cell>
          <cell r="D321">
            <v>3140966.25</v>
          </cell>
          <cell r="G321">
            <v>6</v>
          </cell>
        </row>
        <row r="322">
          <cell r="A322" t="str">
            <v>BGD</v>
          </cell>
          <cell r="B322">
            <v>2013</v>
          </cell>
          <cell r="C322" t="str">
            <v>lfip_total</v>
          </cell>
          <cell r="D322">
            <v>11492.9521484375</v>
          </cell>
          <cell r="G322">
            <v>6</v>
          </cell>
        </row>
        <row r="323">
          <cell r="A323" t="str">
            <v>BGD</v>
          </cell>
          <cell r="B323">
            <v>2013</v>
          </cell>
          <cell r="C323" t="str">
            <v>lfip_s0_a1</v>
          </cell>
          <cell r="D323">
            <v>8323.298828125</v>
          </cell>
          <cell r="G323">
            <v>6</v>
          </cell>
        </row>
        <row r="324">
          <cell r="A324" t="str">
            <v>BGD</v>
          </cell>
          <cell r="B324">
            <v>2013</v>
          </cell>
          <cell r="C324" t="str">
            <v>lfip_s0_a2</v>
          </cell>
          <cell r="D324">
            <v>9857.9482421875</v>
          </cell>
          <cell r="G324">
            <v>6</v>
          </cell>
        </row>
        <row r="325">
          <cell r="A325" t="str">
            <v>BGD</v>
          </cell>
          <cell r="B325">
            <v>2013</v>
          </cell>
          <cell r="C325" t="str">
            <v>lfip_s0_a3</v>
          </cell>
          <cell r="D325">
            <v>11241.5908203125</v>
          </cell>
          <cell r="G325">
            <v>6</v>
          </cell>
        </row>
        <row r="326">
          <cell r="A326" t="str">
            <v>BGD</v>
          </cell>
          <cell r="B326">
            <v>2013</v>
          </cell>
          <cell r="C326" t="str">
            <v>lfip_s0_a4</v>
          </cell>
          <cell r="D326">
            <v>11264.982421875</v>
          </cell>
          <cell r="G326">
            <v>6</v>
          </cell>
        </row>
        <row r="327">
          <cell r="A327" t="str">
            <v>BGD</v>
          </cell>
          <cell r="B327">
            <v>2013</v>
          </cell>
          <cell r="C327" t="str">
            <v>lfip_s0_a5</v>
          </cell>
          <cell r="D327">
            <v>13702.2744140625</v>
          </cell>
          <cell r="G327">
            <v>6</v>
          </cell>
        </row>
        <row r="328">
          <cell r="A328" t="str">
            <v>BGD</v>
          </cell>
          <cell r="B328">
            <v>2013</v>
          </cell>
          <cell r="C328" t="str">
            <v>lfip_s0_a6</v>
          </cell>
          <cell r="D328">
            <v>10587.8779296875</v>
          </cell>
          <cell r="G328">
            <v>6</v>
          </cell>
        </row>
        <row r="329">
          <cell r="A329" t="str">
            <v>BGD</v>
          </cell>
          <cell r="B329">
            <v>2013</v>
          </cell>
          <cell r="C329" t="str">
            <v>lfip_s1_a1</v>
          </cell>
          <cell r="D329">
            <v>9774.9033203125</v>
          </cell>
          <cell r="G329">
            <v>6</v>
          </cell>
        </row>
        <row r="330">
          <cell r="A330" t="str">
            <v>BGD</v>
          </cell>
          <cell r="B330">
            <v>2013</v>
          </cell>
          <cell r="C330" t="str">
            <v>lfip_s1_a2</v>
          </cell>
          <cell r="D330">
            <v>17838.392578125</v>
          </cell>
          <cell r="G330">
            <v>6</v>
          </cell>
        </row>
        <row r="331">
          <cell r="A331" t="str">
            <v>BGD</v>
          </cell>
          <cell r="B331">
            <v>2013</v>
          </cell>
          <cell r="C331" t="str">
            <v>lfip_s1_a3</v>
          </cell>
          <cell r="D331">
            <v>19244.318359375</v>
          </cell>
          <cell r="G331">
            <v>6</v>
          </cell>
        </row>
        <row r="332">
          <cell r="A332" t="str">
            <v>BGD</v>
          </cell>
          <cell r="B332">
            <v>2013</v>
          </cell>
          <cell r="C332" t="str">
            <v>lfip_s1_a4</v>
          </cell>
          <cell r="D332">
            <v>35698.8203125</v>
          </cell>
          <cell r="G332">
            <v>6</v>
          </cell>
        </row>
        <row r="333">
          <cell r="A333" t="str">
            <v>BGD</v>
          </cell>
          <cell r="B333">
            <v>2013</v>
          </cell>
          <cell r="C333" t="str">
            <v>lfip_s1_a5</v>
          </cell>
          <cell r="D333">
            <v>21112.0625</v>
          </cell>
          <cell r="G333">
            <v>6</v>
          </cell>
        </row>
        <row r="334">
          <cell r="A334" t="str">
            <v>BGD</v>
          </cell>
          <cell r="B334">
            <v>2013</v>
          </cell>
          <cell r="C334" t="str">
            <v>lfip_s1_a6</v>
          </cell>
          <cell r="D334">
            <v>16726.619140625</v>
          </cell>
          <cell r="G334">
            <v>6</v>
          </cell>
        </row>
        <row r="335">
          <cell r="A335" t="str">
            <v>BGD</v>
          </cell>
          <cell r="B335">
            <v>2015</v>
          </cell>
          <cell r="C335" t="str">
            <v>lfpop_total</v>
          </cell>
          <cell r="D335">
            <v>158482912</v>
          </cell>
          <cell r="G335">
            <v>6</v>
          </cell>
        </row>
        <row r="336">
          <cell r="A336" t="str">
            <v>BGD</v>
          </cell>
          <cell r="B336">
            <v>2015</v>
          </cell>
          <cell r="C336" t="str">
            <v>lfpop_0014</v>
          </cell>
          <cell r="D336">
            <v>52350832</v>
          </cell>
          <cell r="G336">
            <v>6</v>
          </cell>
        </row>
        <row r="337">
          <cell r="A337" t="str">
            <v>BGD</v>
          </cell>
          <cell r="B337">
            <v>2015</v>
          </cell>
          <cell r="C337" t="str">
            <v>lfpop_15up</v>
          </cell>
          <cell r="D337">
            <v>106132080</v>
          </cell>
          <cell r="G337">
            <v>6</v>
          </cell>
        </row>
        <row r="338">
          <cell r="A338" t="str">
            <v>BGD</v>
          </cell>
          <cell r="B338">
            <v>2015</v>
          </cell>
          <cell r="C338" t="str">
            <v>lfpop_65up</v>
          </cell>
          <cell r="D338">
            <v>7456660</v>
          </cell>
          <cell r="G338">
            <v>6</v>
          </cell>
        </row>
        <row r="339">
          <cell r="A339" t="str">
            <v>BGD</v>
          </cell>
          <cell r="B339">
            <v>2015</v>
          </cell>
          <cell r="C339" t="str">
            <v>lflstatus3_15up</v>
          </cell>
          <cell r="D339">
            <v>44207308</v>
          </cell>
          <cell r="G339">
            <v>6</v>
          </cell>
        </row>
        <row r="340">
          <cell r="A340" t="str">
            <v>BGD</v>
          </cell>
          <cell r="B340">
            <v>2015</v>
          </cell>
          <cell r="C340" t="str">
            <v>lflstatus2_15up</v>
          </cell>
          <cell r="D340">
            <v>2268613</v>
          </cell>
          <cell r="G340">
            <v>6</v>
          </cell>
        </row>
        <row r="341">
          <cell r="A341" t="str">
            <v>BGD</v>
          </cell>
          <cell r="B341">
            <v>2015</v>
          </cell>
          <cell r="C341" t="str">
            <v>lflstatus1_15up</v>
          </cell>
          <cell r="D341">
            <v>59656156</v>
          </cell>
          <cell r="G341">
            <v>6</v>
          </cell>
        </row>
        <row r="342">
          <cell r="A342" t="str">
            <v>BGD</v>
          </cell>
          <cell r="B342">
            <v>2015</v>
          </cell>
          <cell r="C342" t="str">
            <v>lflstatus12_15up</v>
          </cell>
          <cell r="D342">
            <v>61924768</v>
          </cell>
          <cell r="G342">
            <v>6</v>
          </cell>
        </row>
        <row r="343">
          <cell r="A343" t="str">
            <v>BGD</v>
          </cell>
          <cell r="B343">
            <v>2015</v>
          </cell>
          <cell r="C343" t="str">
            <v>lflstatus1_s0_a1</v>
          </cell>
          <cell r="D343">
            <v>5990511.5</v>
          </cell>
          <cell r="G343">
            <v>6</v>
          </cell>
        </row>
        <row r="344">
          <cell r="A344" t="str">
            <v>BGD</v>
          </cell>
          <cell r="B344">
            <v>2015</v>
          </cell>
          <cell r="C344" t="str">
            <v>lflstatus1_s0_a2</v>
          </cell>
          <cell r="D344">
            <v>3172919.75</v>
          </cell>
          <cell r="G344">
            <v>6</v>
          </cell>
        </row>
        <row r="345">
          <cell r="A345" t="str">
            <v>BGD</v>
          </cell>
          <cell r="B345">
            <v>2015</v>
          </cell>
          <cell r="C345" t="str">
            <v>lflstatus1_s0_a3</v>
          </cell>
          <cell r="D345">
            <v>7856141</v>
          </cell>
          <cell r="G345">
            <v>6</v>
          </cell>
        </row>
        <row r="346">
          <cell r="A346" t="str">
            <v>BGD</v>
          </cell>
          <cell r="B346">
            <v>2015</v>
          </cell>
          <cell r="C346" t="str">
            <v>lflstatus1_s0_a4</v>
          </cell>
          <cell r="D346">
            <v>4612262.5</v>
          </cell>
          <cell r="G346">
            <v>6</v>
          </cell>
        </row>
        <row r="347">
          <cell r="A347" t="str">
            <v>BGD</v>
          </cell>
          <cell r="B347">
            <v>2015</v>
          </cell>
          <cell r="C347" t="str">
            <v>lflstatus1_s0_a5</v>
          </cell>
          <cell r="D347">
            <v>548176.375</v>
          </cell>
          <cell r="G347">
            <v>6</v>
          </cell>
        </row>
        <row r="348">
          <cell r="A348" t="str">
            <v>BGD</v>
          </cell>
          <cell r="B348">
            <v>2015</v>
          </cell>
          <cell r="C348" t="str">
            <v>lflstatus1_s0_a6</v>
          </cell>
          <cell r="D348">
            <v>12764639</v>
          </cell>
          <cell r="G348">
            <v>6</v>
          </cell>
        </row>
        <row r="349">
          <cell r="A349" t="str">
            <v>BGD</v>
          </cell>
          <cell r="B349">
            <v>2015</v>
          </cell>
          <cell r="C349" t="str">
            <v>lflstatus1_s1_a1</v>
          </cell>
          <cell r="D349">
            <v>19377780</v>
          </cell>
          <cell r="G349">
            <v>6</v>
          </cell>
        </row>
        <row r="350">
          <cell r="A350" t="str">
            <v>BGD</v>
          </cell>
          <cell r="B350">
            <v>2015</v>
          </cell>
          <cell r="C350" t="str">
            <v>lflstatus1_s1_a2</v>
          </cell>
          <cell r="D350">
            <v>154175.8125</v>
          </cell>
          <cell r="G350">
            <v>6</v>
          </cell>
        </row>
        <row r="351">
          <cell r="A351" t="str">
            <v>BGD</v>
          </cell>
          <cell r="B351">
            <v>2015</v>
          </cell>
          <cell r="C351" t="str">
            <v>lflstatus1_s1_a3</v>
          </cell>
          <cell r="D351">
            <v>831770.4375</v>
          </cell>
          <cell r="G351">
            <v>6</v>
          </cell>
        </row>
        <row r="352">
          <cell r="A352" t="str">
            <v>BGD</v>
          </cell>
          <cell r="B352">
            <v>2015</v>
          </cell>
          <cell r="C352" t="str">
            <v>lflstatus1_s1_a4</v>
          </cell>
          <cell r="D352">
            <v>165100.328125</v>
          </cell>
          <cell r="G352">
            <v>6</v>
          </cell>
        </row>
        <row r="353">
          <cell r="A353" t="str">
            <v>BGD</v>
          </cell>
          <cell r="B353">
            <v>2015</v>
          </cell>
          <cell r="C353" t="str">
            <v>lflstatus1_s1_a5</v>
          </cell>
          <cell r="D353">
            <v>599908.9375</v>
          </cell>
          <cell r="G353">
            <v>6</v>
          </cell>
        </row>
        <row r="354">
          <cell r="A354" t="str">
            <v>BGD</v>
          </cell>
          <cell r="B354">
            <v>2015</v>
          </cell>
          <cell r="C354" t="str">
            <v>lflstatus1_s1_a6</v>
          </cell>
          <cell r="D354">
            <v>3582769.75</v>
          </cell>
          <cell r="G354">
            <v>6</v>
          </cell>
        </row>
        <row r="355">
          <cell r="A355" t="str">
            <v>BGD</v>
          </cell>
          <cell r="B355">
            <v>2015</v>
          </cell>
          <cell r="C355" t="str">
            <v>lfip_total</v>
          </cell>
          <cell r="D355">
            <v>12714.9091796875</v>
          </cell>
          <cell r="G355">
            <v>6</v>
          </cell>
        </row>
        <row r="356">
          <cell r="A356" t="str">
            <v>BGD</v>
          </cell>
          <cell r="B356">
            <v>2015</v>
          </cell>
          <cell r="C356" t="str">
            <v>lfip_s0_a1</v>
          </cell>
          <cell r="D356">
            <v>9156.154296875</v>
          </cell>
          <cell r="G356">
            <v>6</v>
          </cell>
        </row>
        <row r="357">
          <cell r="A357" t="str">
            <v>BGD</v>
          </cell>
          <cell r="B357">
            <v>2015</v>
          </cell>
          <cell r="C357" t="str">
            <v>lfip_s0_a2</v>
          </cell>
          <cell r="D357">
            <v>11320.9833984375</v>
          </cell>
          <cell r="G357">
            <v>6</v>
          </cell>
        </row>
        <row r="358">
          <cell r="A358" t="str">
            <v>BGD</v>
          </cell>
          <cell r="B358">
            <v>2015</v>
          </cell>
          <cell r="C358" t="str">
            <v>lfip_s0_a3</v>
          </cell>
          <cell r="D358">
            <v>11384.4306640625</v>
          </cell>
          <cell r="G358">
            <v>6</v>
          </cell>
        </row>
        <row r="359">
          <cell r="A359" t="str">
            <v>BGD</v>
          </cell>
          <cell r="B359">
            <v>2015</v>
          </cell>
          <cell r="C359" t="str">
            <v>lfip_s0_a4</v>
          </cell>
          <cell r="D359">
            <v>11450.3701171875</v>
          </cell>
          <cell r="G359">
            <v>6</v>
          </cell>
        </row>
        <row r="360">
          <cell r="A360" t="str">
            <v>BGD</v>
          </cell>
          <cell r="B360">
            <v>2015</v>
          </cell>
          <cell r="C360" t="str">
            <v>lfip_s0_a5</v>
          </cell>
          <cell r="D360">
            <v>16513.61328125</v>
          </cell>
          <cell r="G360">
            <v>6</v>
          </cell>
        </row>
        <row r="361">
          <cell r="A361" t="str">
            <v>BGD</v>
          </cell>
          <cell r="B361">
            <v>2015</v>
          </cell>
          <cell r="C361" t="str">
            <v>lfip_s0_a6</v>
          </cell>
          <cell r="D361">
            <v>11908.1845703125</v>
          </cell>
          <cell r="G361">
            <v>6</v>
          </cell>
        </row>
        <row r="362">
          <cell r="A362" t="str">
            <v>BGD</v>
          </cell>
          <cell r="B362">
            <v>2015</v>
          </cell>
          <cell r="C362" t="str">
            <v>lfip_s1_a1</v>
          </cell>
          <cell r="D362">
            <v>9002.8056640625</v>
          </cell>
          <cell r="G362">
            <v>6</v>
          </cell>
        </row>
        <row r="363">
          <cell r="A363" t="str">
            <v>BGD</v>
          </cell>
          <cell r="B363">
            <v>2015</v>
          </cell>
          <cell r="C363" t="str">
            <v>lfip_s1_a2</v>
          </cell>
          <cell r="D363">
            <v>19279.48046875</v>
          </cell>
          <cell r="G363">
            <v>6</v>
          </cell>
        </row>
        <row r="364">
          <cell r="A364" t="str">
            <v>BGD</v>
          </cell>
          <cell r="B364">
            <v>2015</v>
          </cell>
          <cell r="C364" t="str">
            <v>lfip_s1_a3</v>
          </cell>
          <cell r="D364">
            <v>20839.12109375</v>
          </cell>
          <cell r="G364">
            <v>6</v>
          </cell>
        </row>
        <row r="365">
          <cell r="A365" t="str">
            <v>BGD</v>
          </cell>
          <cell r="B365">
            <v>2015</v>
          </cell>
          <cell r="C365" t="str">
            <v>lfip_s1_a4</v>
          </cell>
          <cell r="D365">
            <v>31058.23046875</v>
          </cell>
          <cell r="G365">
            <v>6</v>
          </cell>
        </row>
        <row r="366">
          <cell r="A366" t="str">
            <v>BGD</v>
          </cell>
          <cell r="B366">
            <v>2015</v>
          </cell>
          <cell r="C366" t="str">
            <v>lfip_s1_a5</v>
          </cell>
          <cell r="D366">
            <v>28637.17578125</v>
          </cell>
          <cell r="G366">
            <v>6</v>
          </cell>
        </row>
        <row r="367">
          <cell r="A367" t="str">
            <v>BGD</v>
          </cell>
          <cell r="B367">
            <v>2015</v>
          </cell>
          <cell r="C367" t="str">
            <v>lfip_s1_a6</v>
          </cell>
          <cell r="D367">
            <v>20280.744140625</v>
          </cell>
          <cell r="G367">
            <v>6</v>
          </cell>
        </row>
        <row r="368">
          <cell r="A368" t="str">
            <v>BGD</v>
          </cell>
          <cell r="B368">
            <v>2016</v>
          </cell>
          <cell r="C368" t="str">
            <v>lfpop_total</v>
          </cell>
          <cell r="D368">
            <v>161338496</v>
          </cell>
          <cell r="G368">
            <v>6</v>
          </cell>
        </row>
        <row r="369">
          <cell r="A369" t="str">
            <v>BGD</v>
          </cell>
          <cell r="B369">
            <v>2016</v>
          </cell>
          <cell r="C369" t="str">
            <v>lfpop_0014</v>
          </cell>
          <cell r="D369">
            <v>52284868</v>
          </cell>
          <cell r="G369">
            <v>6</v>
          </cell>
        </row>
        <row r="370">
          <cell r="A370" t="str">
            <v>BGD</v>
          </cell>
          <cell r="B370">
            <v>2016</v>
          </cell>
          <cell r="C370" t="str">
            <v>lfpop_15up</v>
          </cell>
          <cell r="D370">
            <v>109053624</v>
          </cell>
          <cell r="G370">
            <v>6</v>
          </cell>
        </row>
        <row r="371">
          <cell r="A371" t="str">
            <v>BGD</v>
          </cell>
          <cell r="B371">
            <v>2016</v>
          </cell>
          <cell r="C371" t="str">
            <v>lfpop_65up</v>
          </cell>
          <cell r="D371">
            <v>7915245</v>
          </cell>
          <cell r="G371">
            <v>6</v>
          </cell>
        </row>
        <row r="372">
          <cell r="A372" t="str">
            <v>BGD</v>
          </cell>
          <cell r="B372">
            <v>2016</v>
          </cell>
          <cell r="C372" t="str">
            <v>lflstatus3_15up</v>
          </cell>
          <cell r="D372">
            <v>45229800</v>
          </cell>
          <cell r="G372">
            <v>6</v>
          </cell>
        </row>
        <row r="373">
          <cell r="A373" t="str">
            <v>BGD</v>
          </cell>
          <cell r="B373">
            <v>2016</v>
          </cell>
          <cell r="C373" t="str">
            <v>lflstatus2_15up</v>
          </cell>
          <cell r="D373">
            <v>2676684.75</v>
          </cell>
          <cell r="G373">
            <v>6</v>
          </cell>
        </row>
        <row r="374">
          <cell r="A374" t="str">
            <v>BGD</v>
          </cell>
          <cell r="B374">
            <v>2016</v>
          </cell>
          <cell r="C374" t="str">
            <v>lflstatus1_15up</v>
          </cell>
          <cell r="D374">
            <v>61147140</v>
          </cell>
          <cell r="G374">
            <v>6</v>
          </cell>
        </row>
        <row r="375">
          <cell r="A375" t="str">
            <v>BGD</v>
          </cell>
          <cell r="B375">
            <v>2016</v>
          </cell>
          <cell r="C375" t="str">
            <v>lflstatus12_15up</v>
          </cell>
          <cell r="D375">
            <v>63823824</v>
          </cell>
          <cell r="G375">
            <v>6</v>
          </cell>
        </row>
        <row r="376">
          <cell r="A376" t="str">
            <v>BGD</v>
          </cell>
          <cell r="B376">
            <v>2016</v>
          </cell>
          <cell r="C376" t="str">
            <v>lflstatus1_s0_a1</v>
          </cell>
          <cell r="D376">
            <v>5412589.5</v>
          </cell>
          <cell r="G376">
            <v>6</v>
          </cell>
        </row>
        <row r="377">
          <cell r="A377" t="str">
            <v>BGD</v>
          </cell>
          <cell r="B377">
            <v>2016</v>
          </cell>
          <cell r="C377" t="str">
            <v>lflstatus1_s0_a2</v>
          </cell>
          <cell r="D377">
            <v>3277550.25</v>
          </cell>
          <cell r="G377">
            <v>6</v>
          </cell>
        </row>
        <row r="378">
          <cell r="A378" t="str">
            <v>BGD</v>
          </cell>
          <cell r="B378">
            <v>2016</v>
          </cell>
          <cell r="C378" t="str">
            <v>lflstatus1_s0_a3</v>
          </cell>
          <cell r="D378">
            <v>7973518.5</v>
          </cell>
          <cell r="G378">
            <v>6</v>
          </cell>
        </row>
        <row r="379">
          <cell r="A379" t="str">
            <v>BGD</v>
          </cell>
          <cell r="B379">
            <v>2016</v>
          </cell>
          <cell r="C379" t="str">
            <v>lflstatus1_s0_a4</v>
          </cell>
          <cell r="D379">
            <v>5250128.5</v>
          </cell>
          <cell r="G379">
            <v>6</v>
          </cell>
        </row>
        <row r="380">
          <cell r="A380" t="str">
            <v>BGD</v>
          </cell>
          <cell r="B380">
            <v>2016</v>
          </cell>
          <cell r="C380" t="str">
            <v>lflstatus1_s0_a5</v>
          </cell>
          <cell r="D380">
            <v>547446.5</v>
          </cell>
          <cell r="G380">
            <v>6</v>
          </cell>
        </row>
        <row r="381">
          <cell r="A381" t="str">
            <v>BGD</v>
          </cell>
          <cell r="B381">
            <v>2016</v>
          </cell>
          <cell r="C381" t="str">
            <v>lflstatus1_s0_a6</v>
          </cell>
          <cell r="D381">
            <v>13928847</v>
          </cell>
          <cell r="G381">
            <v>6</v>
          </cell>
        </row>
        <row r="382">
          <cell r="A382" t="str">
            <v>BGD</v>
          </cell>
          <cell r="B382">
            <v>2016</v>
          </cell>
          <cell r="C382" t="str">
            <v>lflstatus1_s1_a1</v>
          </cell>
          <cell r="D382">
            <v>19291128</v>
          </cell>
          <cell r="G382">
            <v>6</v>
          </cell>
        </row>
        <row r="383">
          <cell r="A383" t="str">
            <v>BGD</v>
          </cell>
          <cell r="B383">
            <v>2016</v>
          </cell>
          <cell r="C383" t="str">
            <v>lflstatus1_s1_a2</v>
          </cell>
          <cell r="D383">
            <v>158926.21875</v>
          </cell>
          <cell r="G383">
            <v>6</v>
          </cell>
        </row>
        <row r="384">
          <cell r="A384" t="str">
            <v>BGD</v>
          </cell>
          <cell r="B384">
            <v>2016</v>
          </cell>
          <cell r="C384" t="str">
            <v>lflstatus1_s1_a3</v>
          </cell>
          <cell r="D384">
            <v>900652.3125</v>
          </cell>
          <cell r="G384">
            <v>6</v>
          </cell>
        </row>
        <row r="385">
          <cell r="A385" t="str">
            <v>BGD</v>
          </cell>
          <cell r="B385">
            <v>2016</v>
          </cell>
          <cell r="C385" t="str">
            <v>lflstatus1_s1_a4</v>
          </cell>
          <cell r="D385">
            <v>158468.234375</v>
          </cell>
          <cell r="G385">
            <v>6</v>
          </cell>
        </row>
        <row r="386">
          <cell r="A386" t="str">
            <v>BGD</v>
          </cell>
          <cell r="B386">
            <v>2016</v>
          </cell>
          <cell r="C386" t="str">
            <v>lflstatus1_s1_a5</v>
          </cell>
          <cell r="D386">
            <v>605896.3125</v>
          </cell>
          <cell r="G386">
            <v>6</v>
          </cell>
        </row>
        <row r="387">
          <cell r="A387" t="str">
            <v>BGD</v>
          </cell>
          <cell r="B387">
            <v>2016</v>
          </cell>
          <cell r="C387" t="str">
            <v>lflstatus1_s1_a6</v>
          </cell>
          <cell r="D387">
            <v>3641989.5</v>
          </cell>
          <cell r="G387">
            <v>6</v>
          </cell>
        </row>
        <row r="388">
          <cell r="A388" t="str">
            <v>BGD</v>
          </cell>
          <cell r="B388">
            <v>2016</v>
          </cell>
          <cell r="C388" t="str">
            <v>lfip_total</v>
          </cell>
          <cell r="D388">
            <v>12960.4443359375</v>
          </cell>
          <cell r="G388">
            <v>6</v>
          </cell>
        </row>
        <row r="389">
          <cell r="A389" t="str">
            <v>BGD</v>
          </cell>
          <cell r="B389">
            <v>2016</v>
          </cell>
          <cell r="C389" t="str">
            <v>lfip_s0_a1</v>
          </cell>
          <cell r="D389">
            <v>8546.6611328125</v>
          </cell>
          <cell r="G389">
            <v>6</v>
          </cell>
        </row>
        <row r="390">
          <cell r="A390" t="str">
            <v>BGD</v>
          </cell>
          <cell r="B390">
            <v>2016</v>
          </cell>
          <cell r="C390" t="str">
            <v>lfip_s0_a2</v>
          </cell>
          <cell r="D390">
            <v>9530.6884765625</v>
          </cell>
          <cell r="G390">
            <v>6</v>
          </cell>
        </row>
        <row r="391">
          <cell r="A391" t="str">
            <v>BGD</v>
          </cell>
          <cell r="B391">
            <v>2016</v>
          </cell>
          <cell r="C391" t="str">
            <v>lfip_s0_a3</v>
          </cell>
          <cell r="D391">
            <v>10502.4013671875</v>
          </cell>
          <cell r="G391">
            <v>6</v>
          </cell>
        </row>
        <row r="392">
          <cell r="A392" t="str">
            <v>BGD</v>
          </cell>
          <cell r="B392">
            <v>2016</v>
          </cell>
          <cell r="C392" t="str">
            <v>lfip_s0_a4</v>
          </cell>
          <cell r="D392">
            <v>11063.3486328125</v>
          </cell>
          <cell r="G392">
            <v>6</v>
          </cell>
        </row>
        <row r="393">
          <cell r="A393" t="str">
            <v>BGD</v>
          </cell>
          <cell r="B393">
            <v>2016</v>
          </cell>
          <cell r="C393" t="str">
            <v>lfip_s0_a5</v>
          </cell>
          <cell r="D393">
            <v>13900.4287109375</v>
          </cell>
          <cell r="G393">
            <v>6</v>
          </cell>
        </row>
        <row r="394">
          <cell r="A394" t="str">
            <v>BGD</v>
          </cell>
          <cell r="B394">
            <v>2016</v>
          </cell>
          <cell r="C394" t="str">
            <v>lfip_s0_a6</v>
          </cell>
          <cell r="D394">
            <v>11507.60546875</v>
          </cell>
          <cell r="G394">
            <v>6</v>
          </cell>
        </row>
        <row r="395">
          <cell r="A395" t="str">
            <v>BGD</v>
          </cell>
          <cell r="B395">
            <v>2016</v>
          </cell>
          <cell r="C395" t="str">
            <v>lfip_s1_a1</v>
          </cell>
          <cell r="D395">
            <v>8247.0869140625</v>
          </cell>
          <cell r="G395">
            <v>6</v>
          </cell>
        </row>
        <row r="396">
          <cell r="A396" t="str">
            <v>BGD</v>
          </cell>
          <cell r="B396">
            <v>2016</v>
          </cell>
          <cell r="C396" t="str">
            <v>lfip_s1_a2</v>
          </cell>
          <cell r="D396">
            <v>21097.0234375</v>
          </cell>
          <cell r="G396">
            <v>6</v>
          </cell>
        </row>
        <row r="397">
          <cell r="A397" t="str">
            <v>BGD</v>
          </cell>
          <cell r="B397">
            <v>2016</v>
          </cell>
          <cell r="C397" t="str">
            <v>lfip_s1_a3</v>
          </cell>
          <cell r="D397">
            <v>24693.39453125</v>
          </cell>
          <cell r="G397">
            <v>6</v>
          </cell>
        </row>
        <row r="398">
          <cell r="A398" t="str">
            <v>BGD</v>
          </cell>
          <cell r="B398">
            <v>2016</v>
          </cell>
          <cell r="C398" t="str">
            <v>lfip_s1_a4</v>
          </cell>
          <cell r="D398">
            <v>30329.92578125</v>
          </cell>
          <cell r="G398">
            <v>6</v>
          </cell>
        </row>
        <row r="399">
          <cell r="A399" t="str">
            <v>BGD</v>
          </cell>
          <cell r="B399">
            <v>2016</v>
          </cell>
          <cell r="C399" t="str">
            <v>lfip_s1_a5</v>
          </cell>
          <cell r="D399">
            <v>37688.53515625</v>
          </cell>
          <cell r="G399">
            <v>6</v>
          </cell>
        </row>
        <row r="400">
          <cell r="A400" t="str">
            <v>BGD</v>
          </cell>
          <cell r="B400">
            <v>2016</v>
          </cell>
          <cell r="C400" t="str">
            <v>lfip_s1_a6</v>
          </cell>
          <cell r="D400">
            <v>25876.6953125</v>
          </cell>
          <cell r="G400">
            <v>6</v>
          </cell>
        </row>
        <row r="401">
          <cell r="A401" t="str">
            <v>BGD</v>
          </cell>
          <cell r="B401">
            <v>2022</v>
          </cell>
          <cell r="C401" t="str">
            <v>lfpop_total</v>
          </cell>
          <cell r="D401">
            <v>169777296</v>
          </cell>
          <cell r="G401">
            <v>6</v>
          </cell>
        </row>
        <row r="402">
          <cell r="A402" t="str">
            <v>BGD</v>
          </cell>
          <cell r="B402">
            <v>2022</v>
          </cell>
          <cell r="C402" t="str">
            <v>lfpop_0014</v>
          </cell>
          <cell r="D402">
            <v>50448260</v>
          </cell>
          <cell r="G402">
            <v>6</v>
          </cell>
        </row>
        <row r="403">
          <cell r="A403" t="str">
            <v>BGD</v>
          </cell>
          <cell r="B403">
            <v>2022</v>
          </cell>
          <cell r="C403" t="str">
            <v>lfpop_15up</v>
          </cell>
          <cell r="D403">
            <v>119329040</v>
          </cell>
          <cell r="G403">
            <v>6</v>
          </cell>
        </row>
        <row r="404">
          <cell r="A404" t="str">
            <v>BGD</v>
          </cell>
          <cell r="B404">
            <v>2022</v>
          </cell>
          <cell r="C404" t="str">
            <v>lfpop_65up</v>
          </cell>
          <cell r="D404">
            <v>8621047</v>
          </cell>
          <cell r="G404">
            <v>6</v>
          </cell>
        </row>
        <row r="405">
          <cell r="A405" t="str">
            <v>BGD</v>
          </cell>
          <cell r="B405">
            <v>2022</v>
          </cell>
          <cell r="C405" t="str">
            <v>lflstatus3_15up</v>
          </cell>
          <cell r="D405">
            <v>46270824</v>
          </cell>
          <cell r="G405">
            <v>6</v>
          </cell>
        </row>
        <row r="406">
          <cell r="A406" t="str">
            <v>BGD</v>
          </cell>
          <cell r="B406">
            <v>2022</v>
          </cell>
          <cell r="C406" t="str">
            <v>lflstatus2_15up</v>
          </cell>
          <cell r="D406">
            <v>2595568</v>
          </cell>
          <cell r="G406">
            <v>6</v>
          </cell>
        </row>
        <row r="407">
          <cell r="A407" t="str">
            <v>BGD</v>
          </cell>
          <cell r="B407">
            <v>2022</v>
          </cell>
          <cell r="C407" t="str">
            <v>lflstatus1_15up</v>
          </cell>
          <cell r="D407">
            <v>70462648</v>
          </cell>
          <cell r="G407">
            <v>6</v>
          </cell>
        </row>
        <row r="408">
          <cell r="A408" t="str">
            <v>BGD</v>
          </cell>
          <cell r="B408">
            <v>2022</v>
          </cell>
          <cell r="C408" t="str">
            <v>lflstatus12_15up</v>
          </cell>
          <cell r="D408">
            <v>73058216</v>
          </cell>
          <cell r="G408">
            <v>6</v>
          </cell>
        </row>
        <row r="409">
          <cell r="A409" t="str">
            <v>BGD</v>
          </cell>
          <cell r="B409">
            <v>2022</v>
          </cell>
          <cell r="C409" t="str">
            <v>lflstatus1_s0_a1</v>
          </cell>
          <cell r="D409">
            <v>15793763</v>
          </cell>
          <cell r="G409">
            <v>6</v>
          </cell>
        </row>
        <row r="410">
          <cell r="A410" t="str">
            <v>BGD</v>
          </cell>
          <cell r="B410">
            <v>2022</v>
          </cell>
          <cell r="C410" t="str">
            <v>lflstatus1_s0_a2</v>
          </cell>
          <cell r="D410">
            <v>3626202.75</v>
          </cell>
          <cell r="G410">
            <v>6</v>
          </cell>
        </row>
        <row r="411">
          <cell r="A411" t="str">
            <v>BGD</v>
          </cell>
          <cell r="B411">
            <v>2022</v>
          </cell>
          <cell r="C411" t="str">
            <v>lflstatus1_s0_a3</v>
          </cell>
          <cell r="D411">
            <v>7154953.5</v>
          </cell>
          <cell r="G411">
            <v>6</v>
          </cell>
        </row>
        <row r="412">
          <cell r="A412" t="str">
            <v>BGD</v>
          </cell>
          <cell r="B412">
            <v>2022</v>
          </cell>
          <cell r="C412" t="str">
            <v>lflstatus1_s0_a4</v>
          </cell>
          <cell r="D412">
            <v>5829453.5</v>
          </cell>
          <cell r="G412">
            <v>6</v>
          </cell>
        </row>
        <row r="413">
          <cell r="A413" t="str">
            <v>BGD</v>
          </cell>
          <cell r="B413">
            <v>2022</v>
          </cell>
          <cell r="C413" t="str">
            <v>lflstatus1_s0_a5</v>
          </cell>
          <cell r="D413">
            <v>1059425.25</v>
          </cell>
          <cell r="G413">
            <v>6</v>
          </cell>
        </row>
        <row r="414">
          <cell r="A414" t="str">
            <v>BGD</v>
          </cell>
          <cell r="B414">
            <v>2022</v>
          </cell>
          <cell r="C414" t="str">
            <v>lflstatus1_s0_a6</v>
          </cell>
          <cell r="D414">
            <v>15291152</v>
          </cell>
          <cell r="G414">
            <v>6</v>
          </cell>
        </row>
        <row r="415">
          <cell r="A415" t="str">
            <v>BGD</v>
          </cell>
          <cell r="B415">
            <v>2022</v>
          </cell>
          <cell r="C415" t="str">
            <v>lflstatus1_s1_a1</v>
          </cell>
          <cell r="D415">
            <v>13217936</v>
          </cell>
          <cell r="G415">
            <v>6</v>
          </cell>
        </row>
        <row r="416">
          <cell r="A416" t="str">
            <v>BGD</v>
          </cell>
          <cell r="B416">
            <v>2022</v>
          </cell>
          <cell r="C416" t="str">
            <v>lflstatus1_s1_a2</v>
          </cell>
          <cell r="D416">
            <v>204764.34375</v>
          </cell>
          <cell r="G416">
            <v>6</v>
          </cell>
        </row>
        <row r="417">
          <cell r="A417" t="str">
            <v>BGD</v>
          </cell>
          <cell r="B417">
            <v>2022</v>
          </cell>
          <cell r="C417" t="str">
            <v>lflstatus1_s1_a3</v>
          </cell>
          <cell r="D417">
            <v>832407.5</v>
          </cell>
          <cell r="G417">
            <v>6</v>
          </cell>
        </row>
        <row r="418">
          <cell r="A418" t="str">
            <v>BGD</v>
          </cell>
          <cell r="B418">
            <v>2022</v>
          </cell>
          <cell r="C418" t="str">
            <v>lflstatus1_s1_a4</v>
          </cell>
          <cell r="D418">
            <v>164844.78125</v>
          </cell>
          <cell r="G418">
            <v>6</v>
          </cell>
        </row>
        <row r="419">
          <cell r="A419" t="str">
            <v>BGD</v>
          </cell>
          <cell r="B419">
            <v>2022</v>
          </cell>
          <cell r="C419" t="str">
            <v>lflstatus1_s1_a5</v>
          </cell>
          <cell r="D419">
            <v>551831.4375</v>
          </cell>
          <cell r="G419">
            <v>6</v>
          </cell>
        </row>
        <row r="420">
          <cell r="A420" t="str">
            <v>BGD</v>
          </cell>
          <cell r="B420">
            <v>2022</v>
          </cell>
          <cell r="C420" t="str">
            <v>lflstatus1_s1_a6</v>
          </cell>
          <cell r="D420">
            <v>6735915.5</v>
          </cell>
          <cell r="G420">
            <v>6</v>
          </cell>
        </row>
        <row r="421">
          <cell r="A421" t="str">
            <v>BGD</v>
          </cell>
          <cell r="B421">
            <v>2022</v>
          </cell>
          <cell r="C421" t="str">
            <v>lfip_total</v>
          </cell>
          <cell r="D421">
            <v>13200.138671875</v>
          </cell>
          <cell r="G421">
            <v>6</v>
          </cell>
        </row>
        <row r="422">
          <cell r="A422" t="str">
            <v>BGD</v>
          </cell>
          <cell r="B422">
            <v>2022</v>
          </cell>
          <cell r="C422" t="str">
            <v>lfip_s0_a1</v>
          </cell>
          <cell r="D422">
            <v>8755.2080078125</v>
          </cell>
          <cell r="G422">
            <v>6</v>
          </cell>
        </row>
        <row r="423">
          <cell r="A423" t="str">
            <v>BGD</v>
          </cell>
          <cell r="B423">
            <v>2022</v>
          </cell>
          <cell r="C423" t="str">
            <v>lfip_s0_a2</v>
          </cell>
          <cell r="D423">
            <v>11062.37109375</v>
          </cell>
          <cell r="G423">
            <v>6</v>
          </cell>
        </row>
        <row r="424">
          <cell r="A424" t="str">
            <v>BGD</v>
          </cell>
          <cell r="B424">
            <v>2022</v>
          </cell>
          <cell r="C424" t="str">
            <v>lfip_s0_a3</v>
          </cell>
          <cell r="D424">
            <v>12854.2177734375</v>
          </cell>
          <cell r="G424">
            <v>6</v>
          </cell>
        </row>
        <row r="425">
          <cell r="A425" t="str">
            <v>BGD</v>
          </cell>
          <cell r="B425">
            <v>2022</v>
          </cell>
          <cell r="C425" t="str">
            <v>lfip_s0_a4</v>
          </cell>
          <cell r="D425">
            <v>12510.513671875</v>
          </cell>
          <cell r="G425">
            <v>6</v>
          </cell>
        </row>
        <row r="426">
          <cell r="A426" t="str">
            <v>BGD</v>
          </cell>
          <cell r="B426">
            <v>2022</v>
          </cell>
          <cell r="C426" t="str">
            <v>lfip_s0_a5</v>
          </cell>
          <cell r="D426">
            <v>18951.625</v>
          </cell>
          <cell r="G426">
            <v>6</v>
          </cell>
        </row>
        <row r="427">
          <cell r="A427" t="str">
            <v>BGD</v>
          </cell>
          <cell r="B427">
            <v>2022</v>
          </cell>
          <cell r="C427" t="str">
            <v>lfip_s0_a6</v>
          </cell>
          <cell r="D427">
            <v>13244.9033203125</v>
          </cell>
          <cell r="G427">
            <v>6</v>
          </cell>
        </row>
        <row r="428">
          <cell r="A428" t="str">
            <v>BGD</v>
          </cell>
          <cell r="B428">
            <v>2022</v>
          </cell>
          <cell r="C428" t="str">
            <v>lfip_s1_a1</v>
          </cell>
          <cell r="D428">
            <v>8550.0966796875</v>
          </cell>
          <cell r="G428">
            <v>6</v>
          </cell>
        </row>
        <row r="429">
          <cell r="A429" t="str">
            <v>BGD</v>
          </cell>
          <cell r="B429">
            <v>2022</v>
          </cell>
          <cell r="C429" t="str">
            <v>lfip_s1_a2</v>
          </cell>
          <cell r="D429">
            <v>22679.244140625</v>
          </cell>
          <cell r="G429">
            <v>6</v>
          </cell>
        </row>
        <row r="430">
          <cell r="A430" t="str">
            <v>BGD</v>
          </cell>
          <cell r="B430">
            <v>2022</v>
          </cell>
          <cell r="C430" t="str">
            <v>lfip_s1_a3</v>
          </cell>
          <cell r="D430">
            <v>23749.5625</v>
          </cell>
          <cell r="G430">
            <v>6</v>
          </cell>
        </row>
        <row r="431">
          <cell r="A431" t="str">
            <v>BGD</v>
          </cell>
          <cell r="B431">
            <v>2022</v>
          </cell>
          <cell r="C431" t="str">
            <v>lfip_s1_a4</v>
          </cell>
          <cell r="D431">
            <v>26814.138671875</v>
          </cell>
          <cell r="G431">
            <v>6</v>
          </cell>
        </row>
        <row r="432">
          <cell r="A432" t="str">
            <v>BGD</v>
          </cell>
          <cell r="B432">
            <v>2022</v>
          </cell>
          <cell r="C432" t="str">
            <v>lfip_s1_a5</v>
          </cell>
          <cell r="D432">
            <v>30522.552734375</v>
          </cell>
          <cell r="G432">
            <v>6</v>
          </cell>
        </row>
        <row r="433">
          <cell r="A433" t="str">
            <v>BGD</v>
          </cell>
          <cell r="B433">
            <v>2022</v>
          </cell>
          <cell r="C433" t="str">
            <v>lfip_s1_a6</v>
          </cell>
          <cell r="D433">
            <v>19062.375</v>
          </cell>
          <cell r="G433">
            <v>6</v>
          </cell>
        </row>
      </sheetData>
      <sheetData sheetId="2">
        <row r="1">
          <cell r="A1" t="str">
            <v>country</v>
          </cell>
          <cell r="B1" t="str">
            <v>period</v>
          </cell>
          <cell r="C1" t="str">
            <v>year</v>
          </cell>
          <cell r="D1" t="str">
            <v>model</v>
          </cell>
          <cell r="E1" t="str">
            <v>elasticity</v>
          </cell>
          <cell r="F1" t="str">
            <v>value</v>
          </cell>
          <cell r="G1" t="str">
            <v>nsectors</v>
          </cell>
        </row>
        <row r="2">
          <cell r="A2" t="str">
            <v>BGD</v>
          </cell>
          <cell r="B2" t="str">
            <v>Long</v>
          </cell>
          <cell r="C2" t="str">
            <v>2005 - 2022</v>
          </cell>
          <cell r="D2" t="str">
            <v>avg</v>
          </cell>
          <cell r="E2" t="str">
            <v>lfls12_S0_A0</v>
          </cell>
          <cell r="F2">
            <v>0.34328985214233398</v>
          </cell>
          <cell r="G2">
            <v>3</v>
          </cell>
        </row>
        <row r="3">
          <cell r="A3" t="str">
            <v>BGD</v>
          </cell>
          <cell r="B3" t="str">
            <v>Long</v>
          </cell>
          <cell r="C3" t="str">
            <v>2005 - 2022</v>
          </cell>
          <cell r="D3" t="str">
            <v>avg</v>
          </cell>
          <cell r="E3" t="str">
            <v>lfls1_S0_A0</v>
          </cell>
          <cell r="F3">
            <v>0.33396664261817932</v>
          </cell>
          <cell r="G3">
            <v>3</v>
          </cell>
        </row>
        <row r="4">
          <cell r="A4" t="str">
            <v>BGD</v>
          </cell>
          <cell r="B4" t="str">
            <v>Long</v>
          </cell>
          <cell r="C4" t="str">
            <v>2005 - 2022</v>
          </cell>
          <cell r="D4" t="str">
            <v>avg</v>
          </cell>
          <cell r="E4" t="str">
            <v>lfls1_S0_a1</v>
          </cell>
          <cell r="F4">
            <v>0.30467352271080017</v>
          </cell>
          <cell r="G4">
            <v>3</v>
          </cell>
        </row>
        <row r="5">
          <cell r="A5" t="str">
            <v>BGD</v>
          </cell>
          <cell r="B5" t="str">
            <v>Long</v>
          </cell>
          <cell r="C5" t="str">
            <v>2005 - 2022</v>
          </cell>
          <cell r="D5" t="str">
            <v>avg</v>
          </cell>
          <cell r="E5" t="str">
            <v>lfls1_S0_a2</v>
          </cell>
          <cell r="F5">
            <v>0.36990603804588318</v>
          </cell>
          <cell r="G5">
            <v>3</v>
          </cell>
        </row>
        <row r="6">
          <cell r="A6" t="str">
            <v>BGD</v>
          </cell>
          <cell r="B6" t="str">
            <v>Long</v>
          </cell>
          <cell r="C6" t="str">
            <v>2005 - 2022</v>
          </cell>
          <cell r="D6" t="str">
            <v>avg</v>
          </cell>
          <cell r="E6" t="str">
            <v>lfls1_S0_a3</v>
          </cell>
          <cell r="F6">
            <v>0.63533174991607666</v>
          </cell>
          <cell r="G6">
            <v>3</v>
          </cell>
        </row>
        <row r="7">
          <cell r="A7" t="str">
            <v>BGD</v>
          </cell>
          <cell r="B7" t="str">
            <v>Long</v>
          </cell>
          <cell r="C7" t="str">
            <v>2005 - 2022</v>
          </cell>
          <cell r="D7" t="str">
            <v>avg</v>
          </cell>
          <cell r="E7" t="str">
            <v>lfls1_s0_A0</v>
          </cell>
          <cell r="F7">
            <v>0.42584553360939026</v>
          </cell>
          <cell r="G7">
            <v>3</v>
          </cell>
        </row>
        <row r="8">
          <cell r="A8" t="str">
            <v>BGD</v>
          </cell>
          <cell r="B8" t="str">
            <v>Long</v>
          </cell>
          <cell r="C8" t="str">
            <v>2005 - 2022</v>
          </cell>
          <cell r="D8" t="str">
            <v>avg</v>
          </cell>
          <cell r="E8" t="str">
            <v>lfls1_s0_a1</v>
          </cell>
          <cell r="F8">
            <v>2.3513119220733643</v>
          </cell>
          <cell r="G8">
            <v>3</v>
          </cell>
        </row>
        <row r="9">
          <cell r="A9" t="str">
            <v>BGD</v>
          </cell>
          <cell r="B9" t="str">
            <v>Long</v>
          </cell>
          <cell r="C9" t="str">
            <v>2005 - 2022</v>
          </cell>
          <cell r="D9" t="str">
            <v>avg</v>
          </cell>
          <cell r="E9" t="str">
            <v>lfls1_s0_a2</v>
          </cell>
          <cell r="F9">
            <v>0.33621832728385925</v>
          </cell>
          <cell r="G9">
            <v>3</v>
          </cell>
        </row>
        <row r="10">
          <cell r="A10" t="str">
            <v>BGD</v>
          </cell>
          <cell r="B10" t="str">
            <v>Long</v>
          </cell>
          <cell r="C10" t="str">
            <v>2005 - 2022</v>
          </cell>
          <cell r="D10" t="str">
            <v>avg</v>
          </cell>
          <cell r="E10" t="str">
            <v>lfls1_s0_a3</v>
          </cell>
          <cell r="F10">
            <v>0.54669183492660522</v>
          </cell>
          <cell r="G10">
            <v>3</v>
          </cell>
        </row>
        <row r="11">
          <cell r="A11" t="str">
            <v>BGD</v>
          </cell>
          <cell r="B11" t="str">
            <v>Long</v>
          </cell>
          <cell r="C11" t="str">
            <v>2005 - 2022</v>
          </cell>
          <cell r="D11" t="str">
            <v>avg</v>
          </cell>
          <cell r="E11" t="str">
            <v>lfls1_s1_A0</v>
          </cell>
          <cell r="F11">
            <v>1.1051839590072632</v>
          </cell>
          <cell r="G11">
            <v>3</v>
          </cell>
        </row>
        <row r="12">
          <cell r="A12" t="str">
            <v>BGD</v>
          </cell>
          <cell r="B12" t="str">
            <v>Long</v>
          </cell>
          <cell r="C12" t="str">
            <v>2005 - 2022</v>
          </cell>
          <cell r="D12" t="str">
            <v>avg</v>
          </cell>
          <cell r="E12" t="str">
            <v>lfls1_s1_a1</v>
          </cell>
          <cell r="F12">
            <v>2.8441412448883057</v>
          </cell>
          <cell r="G12">
            <v>3</v>
          </cell>
        </row>
        <row r="13">
          <cell r="A13" t="str">
            <v>BGD</v>
          </cell>
          <cell r="B13" t="str">
            <v>Long</v>
          </cell>
          <cell r="C13" t="str">
            <v>2005 - 2022</v>
          </cell>
          <cell r="D13" t="str">
            <v>avg</v>
          </cell>
          <cell r="E13" t="str">
            <v>lfls1_s1_a2</v>
          </cell>
          <cell r="F13">
            <v>1.1048816442489624</v>
          </cell>
          <cell r="G13">
            <v>3</v>
          </cell>
        </row>
        <row r="14">
          <cell r="A14" t="str">
            <v>BGD</v>
          </cell>
          <cell r="B14" t="str">
            <v>Long</v>
          </cell>
          <cell r="C14" t="str">
            <v>2005 - 2022</v>
          </cell>
          <cell r="D14" t="str">
            <v>avg</v>
          </cell>
          <cell r="E14" t="str">
            <v>lfls1_s1_a3</v>
          </cell>
          <cell r="F14">
            <v>1.196010947227478</v>
          </cell>
          <cell r="G14">
            <v>3</v>
          </cell>
        </row>
        <row r="15">
          <cell r="A15" t="str">
            <v>BGD</v>
          </cell>
          <cell r="B15" t="str">
            <v>Long</v>
          </cell>
          <cell r="C15" t="str">
            <v>2005 - 2022</v>
          </cell>
          <cell r="D15" t="str">
            <v>avg</v>
          </cell>
          <cell r="E15" t="str">
            <v>lfprod_s0_a1</v>
          </cell>
          <cell r="F15">
            <v>1.0009294748306274</v>
          </cell>
          <cell r="G15">
            <v>3</v>
          </cell>
        </row>
        <row r="16">
          <cell r="A16" t="str">
            <v>BGD</v>
          </cell>
          <cell r="B16" t="str">
            <v>Long</v>
          </cell>
          <cell r="C16" t="str">
            <v>2005 - 2022</v>
          </cell>
          <cell r="D16" t="str">
            <v>avg</v>
          </cell>
          <cell r="E16" t="str">
            <v>lfprod_s0_a2</v>
          </cell>
          <cell r="F16">
            <v>-0.50713980197906494</v>
          </cell>
          <cell r="G16">
            <v>3</v>
          </cell>
        </row>
        <row r="17">
          <cell r="A17" t="str">
            <v>BGD</v>
          </cell>
          <cell r="B17" t="str">
            <v>Long</v>
          </cell>
          <cell r="C17" t="str">
            <v>2005 - 2022</v>
          </cell>
          <cell r="D17" t="str">
            <v>avg</v>
          </cell>
          <cell r="E17" t="str">
            <v>lfprod_s0_a3</v>
          </cell>
          <cell r="F17">
            <v>-0.33893957734107971</v>
          </cell>
          <cell r="G17">
            <v>3</v>
          </cell>
        </row>
        <row r="18">
          <cell r="A18" t="str">
            <v>BGD</v>
          </cell>
          <cell r="B18" t="str">
            <v>Long</v>
          </cell>
          <cell r="C18" t="str">
            <v>2005 - 2022</v>
          </cell>
          <cell r="D18" t="str">
            <v>avg</v>
          </cell>
          <cell r="E18" t="str">
            <v>lfprod_s1_a1</v>
          </cell>
          <cell r="F18">
            <v>1.7518855333328247</v>
          </cell>
          <cell r="G18">
            <v>3</v>
          </cell>
        </row>
        <row r="19">
          <cell r="A19" t="str">
            <v>BGD</v>
          </cell>
          <cell r="B19" t="str">
            <v>Long</v>
          </cell>
          <cell r="C19" t="str">
            <v>2005 - 2022</v>
          </cell>
          <cell r="D19" t="str">
            <v>avg</v>
          </cell>
          <cell r="E19" t="str">
            <v>lfprod_s1_a2</v>
          </cell>
          <cell r="F19">
            <v>0.16247689723968506</v>
          </cell>
          <cell r="G19">
            <v>3</v>
          </cell>
        </row>
        <row r="20">
          <cell r="A20" t="str">
            <v>BGD</v>
          </cell>
          <cell r="B20" t="str">
            <v>Long</v>
          </cell>
          <cell r="C20" t="str">
            <v>2005 - 2022</v>
          </cell>
          <cell r="D20" t="str">
            <v>avg</v>
          </cell>
          <cell r="E20" t="str">
            <v>lfprod_s1_a3</v>
          </cell>
          <cell r="F20">
            <v>0.13680732250213623</v>
          </cell>
          <cell r="G20">
            <v>3</v>
          </cell>
        </row>
        <row r="21">
          <cell r="A21" t="str">
            <v>BGD</v>
          </cell>
          <cell r="B21" t="str">
            <v>Long</v>
          </cell>
          <cell r="C21" t="str">
            <v>2005 - 2022</v>
          </cell>
          <cell r="D21" t="str">
            <v>avg_1_99</v>
          </cell>
          <cell r="E21" t="str">
            <v>lfls12_S0_A0</v>
          </cell>
          <cell r="F21">
            <v>0.37168604135513306</v>
          </cell>
          <cell r="G21">
            <v>3</v>
          </cell>
        </row>
        <row r="22">
          <cell r="A22" t="str">
            <v>BGD</v>
          </cell>
          <cell r="B22" t="str">
            <v>Long</v>
          </cell>
          <cell r="C22" t="str">
            <v>2005 - 2022</v>
          </cell>
          <cell r="D22" t="str">
            <v>avg_1_99</v>
          </cell>
          <cell r="E22" t="str">
            <v>lfls1_S0_A0</v>
          </cell>
          <cell r="F22">
            <v>0.34859895706176758</v>
          </cell>
          <cell r="G22">
            <v>3</v>
          </cell>
        </row>
        <row r="23">
          <cell r="A23" t="str">
            <v>BGD</v>
          </cell>
          <cell r="B23" t="str">
            <v>Long</v>
          </cell>
          <cell r="C23" t="str">
            <v>2005 - 2022</v>
          </cell>
          <cell r="D23" t="str">
            <v>avg_1_99</v>
          </cell>
          <cell r="E23" t="str">
            <v>lfls1_S0_a1</v>
          </cell>
          <cell r="F23">
            <v>0.36857318878173828</v>
          </cell>
          <cell r="G23">
            <v>3</v>
          </cell>
        </row>
        <row r="24">
          <cell r="A24" t="str">
            <v>BGD</v>
          </cell>
          <cell r="B24" t="str">
            <v>Long</v>
          </cell>
          <cell r="C24" t="str">
            <v>2005 - 2022</v>
          </cell>
          <cell r="D24" t="str">
            <v>avg_1_99</v>
          </cell>
          <cell r="E24" t="str">
            <v>lfls1_S0_a2</v>
          </cell>
          <cell r="F24">
            <v>0.35313531756401062</v>
          </cell>
          <cell r="G24">
            <v>3</v>
          </cell>
        </row>
        <row r="25">
          <cell r="A25" t="str">
            <v>BGD</v>
          </cell>
          <cell r="B25" t="str">
            <v>Long</v>
          </cell>
          <cell r="C25" t="str">
            <v>2005 - 2022</v>
          </cell>
          <cell r="D25" t="str">
            <v>avg_1_99</v>
          </cell>
          <cell r="E25" t="str">
            <v>lfls1_S0_a3</v>
          </cell>
          <cell r="F25">
            <v>0.58678263425827026</v>
          </cell>
          <cell r="G25">
            <v>3</v>
          </cell>
        </row>
        <row r="26">
          <cell r="A26" t="str">
            <v>BGD</v>
          </cell>
          <cell r="B26" t="str">
            <v>Long</v>
          </cell>
          <cell r="C26" t="str">
            <v>2005 - 2022</v>
          </cell>
          <cell r="D26" t="str">
            <v>avg_1_99</v>
          </cell>
          <cell r="E26" t="str">
            <v>lfls1_s0_A0</v>
          </cell>
          <cell r="F26">
            <v>0.64339053630828857</v>
          </cell>
          <cell r="G26">
            <v>3</v>
          </cell>
        </row>
        <row r="27">
          <cell r="A27" t="str">
            <v>BGD</v>
          </cell>
          <cell r="B27" t="str">
            <v>Long</v>
          </cell>
          <cell r="C27" t="str">
            <v>2005 - 2022</v>
          </cell>
          <cell r="D27" t="str">
            <v>avg_1_99</v>
          </cell>
          <cell r="E27" t="str">
            <v>lfls1_s0_a1</v>
          </cell>
          <cell r="F27">
            <v>3.2931687831878662</v>
          </cell>
          <cell r="G27">
            <v>3</v>
          </cell>
        </row>
        <row r="28">
          <cell r="A28" t="str">
            <v>BGD</v>
          </cell>
          <cell r="B28" t="str">
            <v>Long</v>
          </cell>
          <cell r="C28" t="str">
            <v>2005 - 2022</v>
          </cell>
          <cell r="D28" t="str">
            <v>avg_1_99</v>
          </cell>
          <cell r="E28" t="str">
            <v>lfls1_s0_a2</v>
          </cell>
          <cell r="F28">
            <v>0.28938496112823486</v>
          </cell>
          <cell r="G28">
            <v>3</v>
          </cell>
        </row>
        <row r="29">
          <cell r="A29" t="str">
            <v>BGD</v>
          </cell>
          <cell r="B29" t="str">
            <v>Long</v>
          </cell>
          <cell r="C29" t="str">
            <v>2005 - 2022</v>
          </cell>
          <cell r="D29" t="str">
            <v>avg_1_99</v>
          </cell>
          <cell r="E29" t="str">
            <v>lfls1_s0_a3</v>
          </cell>
          <cell r="F29">
            <v>0.45688459277153015</v>
          </cell>
          <cell r="G29">
            <v>3</v>
          </cell>
        </row>
        <row r="30">
          <cell r="A30" t="str">
            <v>BGD</v>
          </cell>
          <cell r="B30" t="str">
            <v>Long</v>
          </cell>
          <cell r="C30" t="str">
            <v>2005 - 2022</v>
          </cell>
          <cell r="D30" t="str">
            <v>avg_1_99</v>
          </cell>
          <cell r="E30" t="str">
            <v>lfls1_s1_A0</v>
          </cell>
          <cell r="F30">
            <v>-0.17981988191604614</v>
          </cell>
          <cell r="G30">
            <v>3</v>
          </cell>
        </row>
        <row r="31">
          <cell r="A31" t="str">
            <v>BGD</v>
          </cell>
          <cell r="B31" t="str">
            <v>Long</v>
          </cell>
          <cell r="C31" t="str">
            <v>2005 - 2022</v>
          </cell>
          <cell r="D31" t="str">
            <v>avg_1_99</v>
          </cell>
          <cell r="E31" t="str">
            <v>lfls1_s1_a1</v>
          </cell>
          <cell r="F31">
            <v>-0.84124022722244263</v>
          </cell>
          <cell r="G31">
            <v>3</v>
          </cell>
        </row>
        <row r="32">
          <cell r="A32" t="str">
            <v>BGD</v>
          </cell>
          <cell r="B32" t="str">
            <v>Long</v>
          </cell>
          <cell r="C32" t="str">
            <v>2005 - 2022</v>
          </cell>
          <cell r="D32" t="str">
            <v>avg_1_99</v>
          </cell>
          <cell r="E32" t="str">
            <v>lfls1_s1_a2</v>
          </cell>
          <cell r="F32">
            <v>0.94977873563766479</v>
          </cell>
          <cell r="G32">
            <v>3</v>
          </cell>
        </row>
        <row r="33">
          <cell r="A33" t="str">
            <v>BGD</v>
          </cell>
          <cell r="B33" t="str">
            <v>Long</v>
          </cell>
          <cell r="C33" t="str">
            <v>2005 - 2022</v>
          </cell>
          <cell r="D33" t="str">
            <v>avg_1_99</v>
          </cell>
          <cell r="E33" t="str">
            <v>lfls1_s1_a3</v>
          </cell>
          <cell r="F33">
            <v>1.1830865144729614</v>
          </cell>
          <cell r="G33">
            <v>3</v>
          </cell>
        </row>
        <row r="34">
          <cell r="A34" t="str">
            <v>BGD</v>
          </cell>
          <cell r="B34" t="str">
            <v>Long</v>
          </cell>
          <cell r="C34" t="str">
            <v>2005 - 2022</v>
          </cell>
          <cell r="D34" t="str">
            <v>avg_1_99</v>
          </cell>
          <cell r="E34" t="str">
            <v>lfprod_s0_a1</v>
          </cell>
          <cell r="F34">
            <v>1.9258879423141479</v>
          </cell>
          <cell r="G34">
            <v>3</v>
          </cell>
        </row>
        <row r="35">
          <cell r="A35" t="str">
            <v>BGD</v>
          </cell>
          <cell r="B35" t="str">
            <v>Long</v>
          </cell>
          <cell r="C35" t="str">
            <v>2005 - 2022</v>
          </cell>
          <cell r="D35" t="str">
            <v>avg_1_99</v>
          </cell>
          <cell r="E35" t="str">
            <v>lfprod_s0_a2</v>
          </cell>
          <cell r="F35">
            <v>-0.51593655347824097</v>
          </cell>
          <cell r="G35">
            <v>3</v>
          </cell>
        </row>
        <row r="36">
          <cell r="A36" t="str">
            <v>BGD</v>
          </cell>
          <cell r="B36" t="str">
            <v>Long</v>
          </cell>
          <cell r="C36" t="str">
            <v>2005 - 2022</v>
          </cell>
          <cell r="D36" t="str">
            <v>avg_1_99</v>
          </cell>
          <cell r="E36" t="str">
            <v>lfprod_s0_a3</v>
          </cell>
          <cell r="F36">
            <v>-0.40135094523429871</v>
          </cell>
          <cell r="G36">
            <v>3</v>
          </cell>
        </row>
        <row r="37">
          <cell r="A37" t="str">
            <v>BGD</v>
          </cell>
          <cell r="B37" t="str">
            <v>Long</v>
          </cell>
          <cell r="C37" t="str">
            <v>2005 - 2022</v>
          </cell>
          <cell r="D37" t="str">
            <v>avg_1_99</v>
          </cell>
          <cell r="E37" t="str">
            <v>lfprod_s1_a1</v>
          </cell>
          <cell r="F37">
            <v>-1.6635783910751343</v>
          </cell>
          <cell r="G37">
            <v>3</v>
          </cell>
        </row>
        <row r="38">
          <cell r="A38" t="str">
            <v>BGD</v>
          </cell>
          <cell r="B38" t="str">
            <v>Long</v>
          </cell>
          <cell r="C38" t="str">
            <v>2005 - 2022</v>
          </cell>
          <cell r="D38" t="str">
            <v>avg_1_99</v>
          </cell>
          <cell r="E38" t="str">
            <v>lfprod_s1_a2</v>
          </cell>
          <cell r="F38">
            <v>1.2335801729932427E-3</v>
          </cell>
          <cell r="G38">
            <v>3</v>
          </cell>
        </row>
        <row r="39">
          <cell r="A39" t="str">
            <v>BGD</v>
          </cell>
          <cell r="B39" t="str">
            <v>Long</v>
          </cell>
          <cell r="C39" t="str">
            <v>2005 - 2022</v>
          </cell>
          <cell r="D39" t="str">
            <v>avg_1_99</v>
          </cell>
          <cell r="E39" t="str">
            <v>lfprod_s1_a3</v>
          </cell>
          <cell r="F39">
            <v>0.13402286171913147</v>
          </cell>
          <cell r="G39">
            <v>3</v>
          </cell>
        </row>
        <row r="40">
          <cell r="A40" t="str">
            <v>BGD</v>
          </cell>
          <cell r="B40" t="str">
            <v>Long</v>
          </cell>
          <cell r="C40" t="str">
            <v>2005 - 2022</v>
          </cell>
          <cell r="D40" t="str">
            <v>avg_1_99_imp</v>
          </cell>
          <cell r="E40" t="str">
            <v>lfls12_S0_A0</v>
          </cell>
          <cell r="F40">
            <v>0.3712775707244873</v>
          </cell>
          <cell r="G40">
            <v>3</v>
          </cell>
        </row>
        <row r="41">
          <cell r="A41" t="str">
            <v>BGD</v>
          </cell>
          <cell r="B41" t="str">
            <v>Long</v>
          </cell>
          <cell r="C41" t="str">
            <v>2005 - 2022</v>
          </cell>
          <cell r="D41" t="str">
            <v>avg_1_99_imp</v>
          </cell>
          <cell r="E41" t="str">
            <v>lfls1_S0_A0</v>
          </cell>
          <cell r="F41">
            <v>0.34997311234474182</v>
          </cell>
          <cell r="G41">
            <v>3</v>
          </cell>
        </row>
        <row r="42">
          <cell r="A42" t="str">
            <v>BGD</v>
          </cell>
          <cell r="B42" t="str">
            <v>Long</v>
          </cell>
          <cell r="C42" t="str">
            <v>2005 - 2022</v>
          </cell>
          <cell r="D42" t="str">
            <v>avg_1_99_imp</v>
          </cell>
          <cell r="E42" t="str">
            <v>lfls1_S0_a1</v>
          </cell>
          <cell r="F42">
            <v>0.39568176865577698</v>
          </cell>
          <cell r="G42">
            <v>3</v>
          </cell>
        </row>
        <row r="43">
          <cell r="A43" t="str">
            <v>BGD</v>
          </cell>
          <cell r="B43" t="str">
            <v>Long</v>
          </cell>
          <cell r="C43" t="str">
            <v>2005 - 2022</v>
          </cell>
          <cell r="D43" t="str">
            <v>avg_1_99_imp</v>
          </cell>
          <cell r="E43" t="str">
            <v>lfls1_S0_a2</v>
          </cell>
          <cell r="F43">
            <v>0.26250544190406799</v>
          </cell>
          <cell r="G43">
            <v>3</v>
          </cell>
        </row>
        <row r="44">
          <cell r="A44" t="str">
            <v>BGD</v>
          </cell>
          <cell r="B44" t="str">
            <v>Long</v>
          </cell>
          <cell r="C44" t="str">
            <v>2005 - 2022</v>
          </cell>
          <cell r="D44" t="str">
            <v>avg_1_99_imp</v>
          </cell>
          <cell r="E44" t="str">
            <v>lfls1_S0_a3</v>
          </cell>
          <cell r="F44">
            <v>0.56826406717300415</v>
          </cell>
          <cell r="G44">
            <v>3</v>
          </cell>
        </row>
        <row r="45">
          <cell r="A45" t="str">
            <v>BGD</v>
          </cell>
          <cell r="B45" t="str">
            <v>Long</v>
          </cell>
          <cell r="C45" t="str">
            <v>2005 - 2022</v>
          </cell>
          <cell r="D45" t="str">
            <v>avg_1_99_imp</v>
          </cell>
          <cell r="E45" t="str">
            <v>lfls1_s0_A0</v>
          </cell>
          <cell r="F45">
            <v>0.62842065095901489</v>
          </cell>
          <cell r="G45">
            <v>3</v>
          </cell>
        </row>
        <row r="46">
          <cell r="A46" t="str">
            <v>BGD</v>
          </cell>
          <cell r="B46" t="str">
            <v>Long</v>
          </cell>
          <cell r="C46" t="str">
            <v>2005 - 2022</v>
          </cell>
          <cell r="D46" t="str">
            <v>avg_1_99_imp</v>
          </cell>
          <cell r="E46" t="str">
            <v>lfls1_s0_a1</v>
          </cell>
          <cell r="F46">
            <v>3.0072832107543945</v>
          </cell>
          <cell r="G46">
            <v>3</v>
          </cell>
        </row>
        <row r="47">
          <cell r="A47" t="str">
            <v>BGD</v>
          </cell>
          <cell r="B47" t="str">
            <v>Long</v>
          </cell>
          <cell r="C47" t="str">
            <v>2005 - 2022</v>
          </cell>
          <cell r="D47" t="str">
            <v>avg_1_99_imp</v>
          </cell>
          <cell r="E47" t="str">
            <v>lfls1_s0_a2</v>
          </cell>
          <cell r="F47">
            <v>0.2149956077337265</v>
          </cell>
          <cell r="G47">
            <v>3</v>
          </cell>
        </row>
        <row r="48">
          <cell r="A48" t="str">
            <v>BGD</v>
          </cell>
          <cell r="B48" t="str">
            <v>Long</v>
          </cell>
          <cell r="C48" t="str">
            <v>2005 - 2022</v>
          </cell>
          <cell r="D48" t="str">
            <v>avg_1_99_imp</v>
          </cell>
          <cell r="E48" t="str">
            <v>lfls1_s0_a3</v>
          </cell>
          <cell r="F48">
            <v>0.37846094369888306</v>
          </cell>
          <cell r="G48">
            <v>3</v>
          </cell>
        </row>
        <row r="49">
          <cell r="A49" t="str">
            <v>BGD</v>
          </cell>
          <cell r="B49" t="str">
            <v>Long</v>
          </cell>
          <cell r="C49" t="str">
            <v>2005 - 2022</v>
          </cell>
          <cell r="D49" t="str">
            <v>avg_1_99_imp</v>
          </cell>
          <cell r="E49" t="str">
            <v>lfls1_s1_A0</v>
          </cell>
          <cell r="F49">
            <v>-0.22317075729370117</v>
          </cell>
          <cell r="G49">
            <v>3</v>
          </cell>
        </row>
        <row r="50">
          <cell r="A50" t="str">
            <v>BGD</v>
          </cell>
          <cell r="B50" t="str">
            <v>Long</v>
          </cell>
          <cell r="C50" t="str">
            <v>2005 - 2022</v>
          </cell>
          <cell r="D50" t="str">
            <v>avg_1_99_imp</v>
          </cell>
          <cell r="E50" t="str">
            <v>lfls1_s1_a1</v>
          </cell>
          <cell r="F50">
            <v>-0.9830518364906311</v>
          </cell>
          <cell r="G50">
            <v>3</v>
          </cell>
        </row>
        <row r="51">
          <cell r="A51" t="str">
            <v>BGD</v>
          </cell>
          <cell r="B51" t="str">
            <v>Long</v>
          </cell>
          <cell r="C51" t="str">
            <v>2005 - 2022</v>
          </cell>
          <cell r="D51" t="str">
            <v>avg_1_99_imp</v>
          </cell>
          <cell r="E51" t="str">
            <v>lfls1_s1_a2</v>
          </cell>
          <cell r="F51">
            <v>0.73572051525115967</v>
          </cell>
          <cell r="G51">
            <v>3</v>
          </cell>
        </row>
        <row r="52">
          <cell r="A52" t="str">
            <v>BGD</v>
          </cell>
          <cell r="B52" t="str">
            <v>Long</v>
          </cell>
          <cell r="C52" t="str">
            <v>2005 - 2022</v>
          </cell>
          <cell r="D52" t="str">
            <v>avg_1_99_imp</v>
          </cell>
          <cell r="E52" t="str">
            <v>lfls1_s1_a3</v>
          </cell>
          <cell r="F52">
            <v>1.1576902866363525</v>
          </cell>
          <cell r="G52">
            <v>3</v>
          </cell>
        </row>
        <row r="53">
          <cell r="A53" t="str">
            <v>BGD</v>
          </cell>
          <cell r="B53" t="str">
            <v>Long</v>
          </cell>
          <cell r="C53" t="str">
            <v>2005 - 2022</v>
          </cell>
          <cell r="D53" t="str">
            <v>avg_1_99_imp</v>
          </cell>
          <cell r="E53" t="str">
            <v>lfprod_s0_a1</v>
          </cell>
          <cell r="F53">
            <v>1.7610269784927368</v>
          </cell>
          <cell r="G53">
            <v>3</v>
          </cell>
        </row>
        <row r="54">
          <cell r="A54" t="str">
            <v>BGD</v>
          </cell>
          <cell r="B54" t="str">
            <v>Long</v>
          </cell>
          <cell r="C54" t="str">
            <v>2005 - 2022</v>
          </cell>
          <cell r="D54" t="str">
            <v>avg_1_99_imp</v>
          </cell>
          <cell r="E54" t="str">
            <v>lfprod_s0_a2</v>
          </cell>
          <cell r="F54">
            <v>-0.57560330629348755</v>
          </cell>
          <cell r="G54">
            <v>3</v>
          </cell>
        </row>
        <row r="55">
          <cell r="A55" t="str">
            <v>BGD</v>
          </cell>
          <cell r="B55" t="str">
            <v>Long</v>
          </cell>
          <cell r="C55" t="str">
            <v>2005 - 2022</v>
          </cell>
          <cell r="D55" t="str">
            <v>avg_1_99_imp</v>
          </cell>
          <cell r="E55" t="str">
            <v>lfprod_s0_a3</v>
          </cell>
          <cell r="F55">
            <v>-0.44809001684188843</v>
          </cell>
          <cell r="G55">
            <v>3</v>
          </cell>
        </row>
        <row r="56">
          <cell r="A56" t="str">
            <v>BGD</v>
          </cell>
          <cell r="B56" t="str">
            <v>Long</v>
          </cell>
          <cell r="C56" t="str">
            <v>2005 - 2022</v>
          </cell>
          <cell r="D56" t="str">
            <v>avg_1_99_imp</v>
          </cell>
          <cell r="E56" t="str">
            <v>lfprod_s1_a1</v>
          </cell>
          <cell r="F56">
            <v>-1.8169291019439697</v>
          </cell>
          <cell r="G56">
            <v>3</v>
          </cell>
        </row>
        <row r="57">
          <cell r="A57" t="str">
            <v>BGD</v>
          </cell>
          <cell r="B57" t="str">
            <v>Long</v>
          </cell>
          <cell r="C57" t="str">
            <v>2005 - 2022</v>
          </cell>
          <cell r="D57" t="str">
            <v>avg_1_99_imp</v>
          </cell>
          <cell r="E57" t="str">
            <v>lfprod_s1_a2</v>
          </cell>
          <cell r="F57">
            <v>-0.20860031247138977</v>
          </cell>
          <cell r="G57">
            <v>3</v>
          </cell>
        </row>
        <row r="58">
          <cell r="A58" t="str">
            <v>BGD</v>
          </cell>
          <cell r="B58" t="str">
            <v>Long</v>
          </cell>
          <cell r="C58" t="str">
            <v>2005 - 2022</v>
          </cell>
          <cell r="D58" t="str">
            <v>avg_1_99_imp</v>
          </cell>
          <cell r="E58" t="str">
            <v>lfprod_s1_a3</v>
          </cell>
          <cell r="F58">
            <v>0.12620247900485992</v>
          </cell>
          <cell r="G58">
            <v>3</v>
          </cell>
        </row>
        <row r="59">
          <cell r="A59" t="str">
            <v>BGD</v>
          </cell>
          <cell r="B59" t="str">
            <v>Long</v>
          </cell>
          <cell r="C59" t="str">
            <v>2005 - 2022</v>
          </cell>
          <cell r="D59" t="str">
            <v>med_reg</v>
          </cell>
          <cell r="E59" t="str">
            <v>lfls12_S0_A0</v>
          </cell>
          <cell r="F59">
            <v>0.359465092420578</v>
          </cell>
          <cell r="G59">
            <v>3</v>
          </cell>
        </row>
        <row r="60">
          <cell r="A60" t="str">
            <v>BGD</v>
          </cell>
          <cell r="B60" t="str">
            <v>Long</v>
          </cell>
          <cell r="C60" t="str">
            <v>2005 - 2022</v>
          </cell>
          <cell r="D60" t="str">
            <v>med_reg</v>
          </cell>
          <cell r="E60" t="str">
            <v>lfls1_S0_A0</v>
          </cell>
          <cell r="F60">
            <v>0.37110373377799988</v>
          </cell>
          <cell r="G60">
            <v>3</v>
          </cell>
        </row>
        <row r="61">
          <cell r="A61" t="str">
            <v>BGD</v>
          </cell>
          <cell r="B61" t="str">
            <v>Long</v>
          </cell>
          <cell r="C61" t="str">
            <v>2005 - 2022</v>
          </cell>
          <cell r="D61" t="str">
            <v>med_reg</v>
          </cell>
          <cell r="E61" t="str">
            <v>lfls1_S0_a1</v>
          </cell>
          <cell r="F61">
            <v>0.39543730020523071</v>
          </cell>
          <cell r="G61">
            <v>3</v>
          </cell>
        </row>
        <row r="62">
          <cell r="A62" t="str">
            <v>BGD</v>
          </cell>
          <cell r="B62" t="str">
            <v>Long</v>
          </cell>
          <cell r="C62" t="str">
            <v>2005 - 2022</v>
          </cell>
          <cell r="D62" t="str">
            <v>med_reg</v>
          </cell>
          <cell r="E62" t="str">
            <v>lfls1_S0_a2</v>
          </cell>
          <cell r="F62">
            <v>0.46871489286422729</v>
          </cell>
          <cell r="G62">
            <v>3</v>
          </cell>
        </row>
        <row r="63">
          <cell r="A63" t="str">
            <v>BGD</v>
          </cell>
          <cell r="B63" t="str">
            <v>Long</v>
          </cell>
          <cell r="C63" t="str">
            <v>2005 - 2022</v>
          </cell>
          <cell r="D63" t="str">
            <v>med_reg</v>
          </cell>
          <cell r="E63" t="str">
            <v>lfls1_S0_a3</v>
          </cell>
          <cell r="F63">
            <v>0.62545281648635864</v>
          </cell>
          <cell r="G63">
            <v>3</v>
          </cell>
        </row>
        <row r="64">
          <cell r="A64" t="str">
            <v>BGD</v>
          </cell>
          <cell r="B64" t="str">
            <v>Long</v>
          </cell>
          <cell r="C64" t="str">
            <v>2005 - 2022</v>
          </cell>
          <cell r="D64" t="str">
            <v>med_reg</v>
          </cell>
          <cell r="E64" t="str">
            <v>lfls1_s0_A0</v>
          </cell>
          <cell r="F64">
            <v>0.33947250247001648</v>
          </cell>
          <cell r="G64">
            <v>3</v>
          </cell>
        </row>
        <row r="65">
          <cell r="A65" t="str">
            <v>BGD</v>
          </cell>
          <cell r="B65" t="str">
            <v>Long</v>
          </cell>
          <cell r="C65" t="str">
            <v>2005 - 2022</v>
          </cell>
          <cell r="D65" t="str">
            <v>med_reg</v>
          </cell>
          <cell r="E65" t="str">
            <v>lfls1_s0_a1</v>
          </cell>
          <cell r="F65">
            <v>-0.36433190107345581</v>
          </cell>
          <cell r="G65">
            <v>3</v>
          </cell>
        </row>
        <row r="66">
          <cell r="A66" t="str">
            <v>BGD</v>
          </cell>
          <cell r="B66" t="str">
            <v>Long</v>
          </cell>
          <cell r="C66" t="str">
            <v>2005 - 2022</v>
          </cell>
          <cell r="D66" t="str">
            <v>med_reg</v>
          </cell>
          <cell r="E66" t="str">
            <v>lfls1_s0_a2</v>
          </cell>
          <cell r="F66">
            <v>0.37960657477378845</v>
          </cell>
          <cell r="G66">
            <v>3</v>
          </cell>
        </row>
        <row r="67">
          <cell r="A67" t="str">
            <v>BGD</v>
          </cell>
          <cell r="B67" t="str">
            <v>Long</v>
          </cell>
          <cell r="C67" t="str">
            <v>2005 - 2022</v>
          </cell>
          <cell r="D67" t="str">
            <v>med_reg</v>
          </cell>
          <cell r="E67" t="str">
            <v>lfls1_s0_a3</v>
          </cell>
          <cell r="F67">
            <v>0.42806535959243774</v>
          </cell>
          <cell r="G67">
            <v>3</v>
          </cell>
        </row>
        <row r="68">
          <cell r="A68" t="str">
            <v>BGD</v>
          </cell>
          <cell r="B68" t="str">
            <v>Long</v>
          </cell>
          <cell r="C68" t="str">
            <v>2005 - 2022</v>
          </cell>
          <cell r="D68" t="str">
            <v>med_reg</v>
          </cell>
          <cell r="E68" t="str">
            <v>lfls1_s1_A0</v>
          </cell>
          <cell r="F68">
            <v>0.44557538628578186</v>
          </cell>
          <cell r="G68">
            <v>3</v>
          </cell>
        </row>
        <row r="69">
          <cell r="A69" t="str">
            <v>BGD</v>
          </cell>
          <cell r="B69" t="str">
            <v>Long</v>
          </cell>
          <cell r="C69" t="str">
            <v>2005 - 2022</v>
          </cell>
          <cell r="D69" t="str">
            <v>med_reg</v>
          </cell>
          <cell r="E69" t="str">
            <v>lfls1_s1_a1</v>
          </cell>
          <cell r="F69">
            <v>0.48070895671844482</v>
          </cell>
          <cell r="G69">
            <v>3</v>
          </cell>
        </row>
        <row r="70">
          <cell r="A70" t="str">
            <v>BGD</v>
          </cell>
          <cell r="B70" t="str">
            <v>Long</v>
          </cell>
          <cell r="C70" t="str">
            <v>2005 - 2022</v>
          </cell>
          <cell r="D70" t="str">
            <v>med_reg</v>
          </cell>
          <cell r="E70" t="str">
            <v>lfls1_s1_a2</v>
          </cell>
          <cell r="F70">
            <v>0.54561376571655273</v>
          </cell>
          <cell r="G70">
            <v>3</v>
          </cell>
        </row>
        <row r="71">
          <cell r="A71" t="str">
            <v>BGD</v>
          </cell>
          <cell r="B71" t="str">
            <v>Long</v>
          </cell>
          <cell r="C71" t="str">
            <v>2005 - 2022</v>
          </cell>
          <cell r="D71" t="str">
            <v>med_reg</v>
          </cell>
          <cell r="E71" t="str">
            <v>lfls1_s1_a3</v>
          </cell>
          <cell r="F71">
            <v>1.2312884330749512</v>
          </cell>
          <cell r="G71">
            <v>3</v>
          </cell>
        </row>
        <row r="72">
          <cell r="A72" t="str">
            <v>BGD</v>
          </cell>
          <cell r="B72" t="str">
            <v>Long</v>
          </cell>
          <cell r="C72" t="str">
            <v>2005 - 2022</v>
          </cell>
          <cell r="D72" t="str">
            <v>med_reg</v>
          </cell>
          <cell r="E72" t="str">
            <v>lfprod_s0_a1</v>
          </cell>
          <cell r="F72">
            <v>-1.364331841468811</v>
          </cell>
          <cell r="G72">
            <v>3</v>
          </cell>
        </row>
        <row r="73">
          <cell r="A73" t="str">
            <v>BGD</v>
          </cell>
          <cell r="B73" t="str">
            <v>Long</v>
          </cell>
          <cell r="C73" t="str">
            <v>2005 - 2022</v>
          </cell>
          <cell r="D73" t="str">
            <v>med_reg</v>
          </cell>
          <cell r="E73" t="str">
            <v>lfprod_s0_a2</v>
          </cell>
          <cell r="F73">
            <v>-0.62039339542388916</v>
          </cell>
          <cell r="G73">
            <v>3</v>
          </cell>
        </row>
        <row r="74">
          <cell r="A74" t="str">
            <v>BGD</v>
          </cell>
          <cell r="B74" t="str">
            <v>Long</v>
          </cell>
          <cell r="C74" t="str">
            <v>2005 - 2022</v>
          </cell>
          <cell r="D74" t="str">
            <v>med_reg</v>
          </cell>
          <cell r="E74" t="str">
            <v>lfprod_s0_a3</v>
          </cell>
          <cell r="F74">
            <v>-0.57193464040756226</v>
          </cell>
          <cell r="G74">
            <v>3</v>
          </cell>
        </row>
        <row r="75">
          <cell r="A75" t="str">
            <v>BGD</v>
          </cell>
          <cell r="B75" t="str">
            <v>Long</v>
          </cell>
          <cell r="C75" t="str">
            <v>2005 - 2022</v>
          </cell>
          <cell r="D75" t="str">
            <v>med_reg</v>
          </cell>
          <cell r="E75" t="str">
            <v>lfprod_s1_a1</v>
          </cell>
          <cell r="F75">
            <v>-0.51929104328155518</v>
          </cell>
          <cell r="G75">
            <v>3</v>
          </cell>
        </row>
        <row r="76">
          <cell r="A76" t="str">
            <v>BGD</v>
          </cell>
          <cell r="B76" t="str">
            <v>Long</v>
          </cell>
          <cell r="C76" t="str">
            <v>2005 - 2022</v>
          </cell>
          <cell r="D76" t="str">
            <v>med_reg</v>
          </cell>
          <cell r="E76" t="str">
            <v>lfprod_s1_a2</v>
          </cell>
          <cell r="F76">
            <v>-0.45438623428344727</v>
          </cell>
          <cell r="G76">
            <v>3</v>
          </cell>
        </row>
        <row r="77">
          <cell r="A77" t="str">
            <v>BGD</v>
          </cell>
          <cell r="B77" t="str">
            <v>Long</v>
          </cell>
          <cell r="C77" t="str">
            <v>2005 - 2022</v>
          </cell>
          <cell r="D77" t="str">
            <v>med_reg</v>
          </cell>
          <cell r="E77" t="str">
            <v>lfprod_s1_a3</v>
          </cell>
          <cell r="F77">
            <v>0.23128838837146759</v>
          </cell>
          <cell r="G77">
            <v>3</v>
          </cell>
        </row>
        <row r="78">
          <cell r="A78" t="str">
            <v>BGD</v>
          </cell>
          <cell r="B78" t="str">
            <v>Long</v>
          </cell>
          <cell r="C78" t="str">
            <v>2005 - 2022</v>
          </cell>
          <cell r="D78" t="str">
            <v>med_reg_gdp</v>
          </cell>
          <cell r="E78" t="str">
            <v>lfls12_S0_A0</v>
          </cell>
          <cell r="F78">
            <v>0.359465092420578</v>
          </cell>
          <cell r="G78">
            <v>3</v>
          </cell>
        </row>
        <row r="79">
          <cell r="A79" t="str">
            <v>BGD</v>
          </cell>
          <cell r="B79" t="str">
            <v>Long</v>
          </cell>
          <cell r="C79" t="str">
            <v>2005 - 2022</v>
          </cell>
          <cell r="D79" t="str">
            <v>med_reg_gdp</v>
          </cell>
          <cell r="E79" t="str">
            <v>lfls1_S0_A0</v>
          </cell>
          <cell r="F79">
            <v>0.37110373377799988</v>
          </cell>
          <cell r="G79">
            <v>3</v>
          </cell>
        </row>
        <row r="80">
          <cell r="A80" t="str">
            <v>BGD</v>
          </cell>
          <cell r="B80" t="str">
            <v>Long</v>
          </cell>
          <cell r="C80" t="str">
            <v>2005 - 2022</v>
          </cell>
          <cell r="D80" t="str">
            <v>med_reg_gdp</v>
          </cell>
          <cell r="E80" t="str">
            <v>lfls1_S0_a1</v>
          </cell>
          <cell r="F80">
            <v>0.30331897735595703</v>
          </cell>
          <cell r="G80">
            <v>3</v>
          </cell>
        </row>
        <row r="81">
          <cell r="A81" t="str">
            <v>BGD</v>
          </cell>
          <cell r="B81" t="str">
            <v>Long</v>
          </cell>
          <cell r="C81" t="str">
            <v>2005 - 2022</v>
          </cell>
          <cell r="D81" t="str">
            <v>med_reg_gdp</v>
          </cell>
          <cell r="E81" t="str">
            <v>lfls1_S0_a2</v>
          </cell>
          <cell r="F81">
            <v>-2.281212329864502</v>
          </cell>
          <cell r="G81">
            <v>3</v>
          </cell>
        </row>
        <row r="82">
          <cell r="A82" t="str">
            <v>BGD</v>
          </cell>
          <cell r="B82" t="str">
            <v>Long</v>
          </cell>
          <cell r="C82" t="str">
            <v>2005 - 2022</v>
          </cell>
          <cell r="D82" t="str">
            <v>med_reg_gdp</v>
          </cell>
          <cell r="E82" t="str">
            <v>lfls1_S0_a3</v>
          </cell>
          <cell r="F82">
            <v>-8.5422267913818359</v>
          </cell>
          <cell r="G82">
            <v>3</v>
          </cell>
        </row>
        <row r="83">
          <cell r="A83" t="str">
            <v>BGD</v>
          </cell>
          <cell r="B83" t="str">
            <v>Long</v>
          </cell>
          <cell r="C83" t="str">
            <v>2005 - 2022</v>
          </cell>
          <cell r="D83" t="str">
            <v>med_reg_gdp</v>
          </cell>
          <cell r="E83" t="str">
            <v>lfls1_s0_A0</v>
          </cell>
          <cell r="F83">
            <v>0.33947250247001648</v>
          </cell>
          <cell r="G83">
            <v>3</v>
          </cell>
        </row>
        <row r="84">
          <cell r="A84" t="str">
            <v>BGD</v>
          </cell>
          <cell r="B84" t="str">
            <v>Long</v>
          </cell>
          <cell r="C84" t="str">
            <v>2005 - 2022</v>
          </cell>
          <cell r="D84" t="str">
            <v>med_reg_gdp</v>
          </cell>
          <cell r="E84" t="str">
            <v>lfls1_s0_a1</v>
          </cell>
          <cell r="F84">
            <v>-5.8045792579650879</v>
          </cell>
          <cell r="G84">
            <v>3</v>
          </cell>
        </row>
        <row r="85">
          <cell r="A85" t="str">
            <v>BGD</v>
          </cell>
          <cell r="B85" t="str">
            <v>Long</v>
          </cell>
          <cell r="C85" t="str">
            <v>2005 - 2022</v>
          </cell>
          <cell r="D85" t="str">
            <v>med_reg_gdp</v>
          </cell>
          <cell r="E85" t="str">
            <v>lfls1_s0_a2</v>
          </cell>
          <cell r="F85">
            <v>-4.2236099243164063</v>
          </cell>
          <cell r="G85">
            <v>3</v>
          </cell>
        </row>
        <row r="86">
          <cell r="A86" t="str">
            <v>BGD</v>
          </cell>
          <cell r="B86" t="str">
            <v>Long</v>
          </cell>
          <cell r="C86" t="str">
            <v>2005 - 2022</v>
          </cell>
          <cell r="D86" t="str">
            <v>med_reg_gdp</v>
          </cell>
          <cell r="E86" t="str">
            <v>lfls1_s0_a3</v>
          </cell>
          <cell r="F86">
            <v>-7.5700645446777344</v>
          </cell>
          <cell r="G86">
            <v>3</v>
          </cell>
        </row>
        <row r="87">
          <cell r="A87" t="str">
            <v>BGD</v>
          </cell>
          <cell r="B87" t="str">
            <v>Long</v>
          </cell>
          <cell r="C87" t="str">
            <v>2005 - 2022</v>
          </cell>
          <cell r="D87" t="str">
            <v>med_reg_gdp</v>
          </cell>
          <cell r="E87" t="str">
            <v>lfls1_s1_A0</v>
          </cell>
          <cell r="F87">
            <v>0.44557538628578186</v>
          </cell>
          <cell r="G87">
            <v>3</v>
          </cell>
        </row>
        <row r="88">
          <cell r="A88" t="str">
            <v>BGD</v>
          </cell>
          <cell r="B88" t="str">
            <v>Long</v>
          </cell>
          <cell r="C88" t="str">
            <v>2005 - 2022</v>
          </cell>
          <cell r="D88" t="str">
            <v>med_reg_gdp</v>
          </cell>
          <cell r="E88" t="str">
            <v>lfls1_s1_a1</v>
          </cell>
          <cell r="F88">
            <v>2.8679497241973877</v>
          </cell>
          <cell r="G88">
            <v>3</v>
          </cell>
        </row>
        <row r="89">
          <cell r="A89" t="str">
            <v>BGD</v>
          </cell>
          <cell r="B89" t="str">
            <v>Long</v>
          </cell>
          <cell r="C89" t="str">
            <v>2005 - 2022</v>
          </cell>
          <cell r="D89" t="str">
            <v>med_reg_gdp</v>
          </cell>
          <cell r="E89" t="str">
            <v>lfls1_s1_a2</v>
          </cell>
          <cell r="F89">
            <v>9.3923301696777344</v>
          </cell>
          <cell r="G89">
            <v>3</v>
          </cell>
        </row>
        <row r="90">
          <cell r="A90" t="str">
            <v>BGD</v>
          </cell>
          <cell r="B90" t="str">
            <v>Long</v>
          </cell>
          <cell r="C90" t="str">
            <v>2005 - 2022</v>
          </cell>
          <cell r="D90" t="str">
            <v>med_reg_gdp</v>
          </cell>
          <cell r="E90" t="str">
            <v>lfls1_s1_a3</v>
          </cell>
          <cell r="F90">
            <v>-0.71934640407562256</v>
          </cell>
          <cell r="G90">
            <v>3</v>
          </cell>
        </row>
        <row r="91">
          <cell r="A91" t="str">
            <v>BGD</v>
          </cell>
          <cell r="B91" t="str">
            <v>Long</v>
          </cell>
          <cell r="C91" t="str">
            <v>2005 - 2022</v>
          </cell>
          <cell r="D91" t="str">
            <v>med_reg_gdp</v>
          </cell>
          <cell r="E91" t="str">
            <v>lfprod_s0_a1</v>
          </cell>
          <cell r="F91">
            <v>-6.8045792579650879</v>
          </cell>
          <cell r="G91">
            <v>3</v>
          </cell>
        </row>
        <row r="92">
          <cell r="A92" t="str">
            <v>BGD</v>
          </cell>
          <cell r="B92" t="str">
            <v>Long</v>
          </cell>
          <cell r="C92" t="str">
            <v>2005 - 2022</v>
          </cell>
          <cell r="D92" t="str">
            <v>med_reg_gdp</v>
          </cell>
          <cell r="E92" t="str">
            <v>lfprod_s0_a2</v>
          </cell>
          <cell r="F92">
            <v>-5.2236099243164063</v>
          </cell>
          <cell r="G92">
            <v>3</v>
          </cell>
        </row>
        <row r="93">
          <cell r="A93" t="str">
            <v>BGD</v>
          </cell>
          <cell r="B93" t="str">
            <v>Long</v>
          </cell>
          <cell r="C93" t="str">
            <v>2005 - 2022</v>
          </cell>
          <cell r="D93" t="str">
            <v>med_reg_gdp</v>
          </cell>
          <cell r="E93" t="str">
            <v>lfprod_s0_a3</v>
          </cell>
          <cell r="F93">
            <v>-8.5700645446777344</v>
          </cell>
          <cell r="G93">
            <v>3</v>
          </cell>
        </row>
        <row r="94">
          <cell r="A94" t="str">
            <v>BGD</v>
          </cell>
          <cell r="B94" t="str">
            <v>Long</v>
          </cell>
          <cell r="C94" t="str">
            <v>2005 - 2022</v>
          </cell>
          <cell r="D94" t="str">
            <v>med_reg_gdp</v>
          </cell>
          <cell r="E94" t="str">
            <v>lfprod_s1_a1</v>
          </cell>
          <cell r="F94">
            <v>1.8679498434066772</v>
          </cell>
          <cell r="G94">
            <v>3</v>
          </cell>
        </row>
        <row r="95">
          <cell r="A95" t="str">
            <v>BGD</v>
          </cell>
          <cell r="B95" t="str">
            <v>Long</v>
          </cell>
          <cell r="C95" t="str">
            <v>2005 - 2022</v>
          </cell>
          <cell r="D95" t="str">
            <v>med_reg_gdp</v>
          </cell>
          <cell r="E95" t="str">
            <v>lfprod_s1_a2</v>
          </cell>
          <cell r="F95">
            <v>8.3923301696777344</v>
          </cell>
          <cell r="G95">
            <v>3</v>
          </cell>
        </row>
        <row r="96">
          <cell r="A96" t="str">
            <v>BGD</v>
          </cell>
          <cell r="B96" t="str">
            <v>Long</v>
          </cell>
          <cell r="C96" t="str">
            <v>2005 - 2022</v>
          </cell>
          <cell r="D96" t="str">
            <v>med_reg_gdp</v>
          </cell>
          <cell r="E96" t="str">
            <v>lfprod_s1_a3</v>
          </cell>
          <cell r="F96">
            <v>-1.7193464040756226</v>
          </cell>
          <cell r="G96">
            <v>3</v>
          </cell>
        </row>
        <row r="97">
          <cell r="A97" t="str">
            <v>BGD</v>
          </cell>
          <cell r="B97" t="str">
            <v>Long</v>
          </cell>
          <cell r="C97" t="str">
            <v>2005 - 2022</v>
          </cell>
          <cell r="D97" t="str">
            <v>med_reg_iter</v>
          </cell>
          <cell r="E97" t="str">
            <v>lfls12_S0_A0</v>
          </cell>
          <cell r="F97">
            <v>0.359465092420578</v>
          </cell>
          <cell r="G97">
            <v>3</v>
          </cell>
        </row>
        <row r="98">
          <cell r="A98" t="str">
            <v>BGD</v>
          </cell>
          <cell r="B98" t="str">
            <v>Long</v>
          </cell>
          <cell r="C98" t="str">
            <v>2005 - 2022</v>
          </cell>
          <cell r="D98" t="str">
            <v>med_reg_iter</v>
          </cell>
          <cell r="E98" t="str">
            <v>lfls1_S0_A0</v>
          </cell>
          <cell r="F98">
            <v>0.37110373377799988</v>
          </cell>
          <cell r="G98">
            <v>3</v>
          </cell>
        </row>
        <row r="99">
          <cell r="A99" t="str">
            <v>BGD</v>
          </cell>
          <cell r="B99" t="str">
            <v>Long</v>
          </cell>
          <cell r="C99" t="str">
            <v>2005 - 2022</v>
          </cell>
          <cell r="D99" t="str">
            <v>med_reg_iter</v>
          </cell>
          <cell r="E99" t="str">
            <v>lfls1_S0_a1</v>
          </cell>
          <cell r="F99">
            <v>0.30331897735595703</v>
          </cell>
          <cell r="G99">
            <v>3</v>
          </cell>
        </row>
        <row r="100">
          <cell r="A100" t="str">
            <v>BGD</v>
          </cell>
          <cell r="B100" t="str">
            <v>Long</v>
          </cell>
          <cell r="C100" t="str">
            <v>2005 - 2022</v>
          </cell>
          <cell r="D100" t="str">
            <v>med_reg_iter</v>
          </cell>
          <cell r="E100" t="str">
            <v>lfls1_S0_a2</v>
          </cell>
          <cell r="F100">
            <v>-2.281212329864502</v>
          </cell>
          <cell r="G100">
            <v>3</v>
          </cell>
        </row>
        <row r="101">
          <cell r="A101" t="str">
            <v>BGD</v>
          </cell>
          <cell r="B101" t="str">
            <v>Long</v>
          </cell>
          <cell r="C101" t="str">
            <v>2005 - 2022</v>
          </cell>
          <cell r="D101" t="str">
            <v>med_reg_iter</v>
          </cell>
          <cell r="E101" t="str">
            <v>lfls1_S0_a3</v>
          </cell>
          <cell r="F101">
            <v>-8.5422267913818359</v>
          </cell>
          <cell r="G101">
            <v>3</v>
          </cell>
        </row>
        <row r="102">
          <cell r="A102" t="str">
            <v>BGD</v>
          </cell>
          <cell r="B102" t="str">
            <v>Long</v>
          </cell>
          <cell r="C102" t="str">
            <v>2005 - 2022</v>
          </cell>
          <cell r="D102" t="str">
            <v>med_reg_iter</v>
          </cell>
          <cell r="E102" t="str">
            <v>lfls1_s0_A0</v>
          </cell>
          <cell r="F102">
            <v>0.33947250247001648</v>
          </cell>
          <cell r="G102">
            <v>3</v>
          </cell>
        </row>
        <row r="103">
          <cell r="A103" t="str">
            <v>BGD</v>
          </cell>
          <cell r="B103" t="str">
            <v>Long</v>
          </cell>
          <cell r="C103" t="str">
            <v>2005 - 2022</v>
          </cell>
          <cell r="D103" t="str">
            <v>med_reg_iter</v>
          </cell>
          <cell r="E103" t="str">
            <v>lfls1_s0_a1</v>
          </cell>
          <cell r="F103">
            <v>-5.8045792579650879</v>
          </cell>
          <cell r="G103">
            <v>3</v>
          </cell>
        </row>
        <row r="104">
          <cell r="A104" t="str">
            <v>BGD</v>
          </cell>
          <cell r="B104" t="str">
            <v>Long</v>
          </cell>
          <cell r="C104" t="str">
            <v>2005 - 2022</v>
          </cell>
          <cell r="D104" t="str">
            <v>med_reg_iter</v>
          </cell>
          <cell r="E104" t="str">
            <v>lfls1_s0_a2</v>
          </cell>
          <cell r="F104">
            <v>-4.2236099243164063</v>
          </cell>
          <cell r="G104">
            <v>3</v>
          </cell>
        </row>
        <row r="105">
          <cell r="A105" t="str">
            <v>BGD</v>
          </cell>
          <cell r="B105" t="str">
            <v>Long</v>
          </cell>
          <cell r="C105" t="str">
            <v>2005 - 2022</v>
          </cell>
          <cell r="D105" t="str">
            <v>med_reg_iter</v>
          </cell>
          <cell r="E105" t="str">
            <v>lfls1_s0_a3</v>
          </cell>
          <cell r="F105">
            <v>-7.5700645446777344</v>
          </cell>
          <cell r="G105">
            <v>3</v>
          </cell>
        </row>
        <row r="106">
          <cell r="A106" t="str">
            <v>BGD</v>
          </cell>
          <cell r="B106" t="str">
            <v>Long</v>
          </cell>
          <cell r="C106" t="str">
            <v>2005 - 2022</v>
          </cell>
          <cell r="D106" t="str">
            <v>med_reg_iter</v>
          </cell>
          <cell r="E106" t="str">
            <v>lfls1_s1_A0</v>
          </cell>
          <cell r="F106">
            <v>0.44557538628578186</v>
          </cell>
          <cell r="G106">
            <v>3</v>
          </cell>
        </row>
        <row r="107">
          <cell r="A107" t="str">
            <v>BGD</v>
          </cell>
          <cell r="B107" t="str">
            <v>Long</v>
          </cell>
          <cell r="C107" t="str">
            <v>2005 - 2022</v>
          </cell>
          <cell r="D107" t="str">
            <v>med_reg_iter</v>
          </cell>
          <cell r="E107" t="str">
            <v>lfls1_s1_a1</v>
          </cell>
          <cell r="F107">
            <v>2.8679497241973877</v>
          </cell>
          <cell r="G107">
            <v>3</v>
          </cell>
        </row>
        <row r="108">
          <cell r="A108" t="str">
            <v>BGD</v>
          </cell>
          <cell r="B108" t="str">
            <v>Long</v>
          </cell>
          <cell r="C108" t="str">
            <v>2005 - 2022</v>
          </cell>
          <cell r="D108" t="str">
            <v>med_reg_iter</v>
          </cell>
          <cell r="E108" t="str">
            <v>lfls1_s1_a2</v>
          </cell>
          <cell r="F108">
            <v>9.3923301696777344</v>
          </cell>
          <cell r="G108">
            <v>3</v>
          </cell>
        </row>
        <row r="109">
          <cell r="A109" t="str">
            <v>BGD</v>
          </cell>
          <cell r="B109" t="str">
            <v>Long</v>
          </cell>
          <cell r="C109" t="str">
            <v>2005 - 2022</v>
          </cell>
          <cell r="D109" t="str">
            <v>med_reg_iter</v>
          </cell>
          <cell r="E109" t="str">
            <v>lfls1_s1_a3</v>
          </cell>
          <cell r="F109">
            <v>-0.71934640407562256</v>
          </cell>
          <cell r="G109">
            <v>3</v>
          </cell>
        </row>
        <row r="110">
          <cell r="A110" t="str">
            <v>BGD</v>
          </cell>
          <cell r="B110" t="str">
            <v>Long</v>
          </cell>
          <cell r="C110" t="str">
            <v>2005 - 2022</v>
          </cell>
          <cell r="D110" t="str">
            <v>med_reg_iter</v>
          </cell>
          <cell r="E110" t="str">
            <v>lfprod_s0_a1</v>
          </cell>
          <cell r="F110">
            <v>-6.8045792579650879</v>
          </cell>
          <cell r="G110">
            <v>3</v>
          </cell>
        </row>
        <row r="111">
          <cell r="A111" t="str">
            <v>BGD</v>
          </cell>
          <cell r="B111" t="str">
            <v>Long</v>
          </cell>
          <cell r="C111" t="str">
            <v>2005 - 2022</v>
          </cell>
          <cell r="D111" t="str">
            <v>med_reg_iter</v>
          </cell>
          <cell r="E111" t="str">
            <v>lfprod_s0_a2</v>
          </cell>
          <cell r="F111">
            <v>-5.2236099243164063</v>
          </cell>
          <cell r="G111">
            <v>3</v>
          </cell>
        </row>
        <row r="112">
          <cell r="A112" t="str">
            <v>BGD</v>
          </cell>
          <cell r="B112" t="str">
            <v>Long</v>
          </cell>
          <cell r="C112" t="str">
            <v>2005 - 2022</v>
          </cell>
          <cell r="D112" t="str">
            <v>med_reg_iter</v>
          </cell>
          <cell r="E112" t="str">
            <v>lfprod_s0_a3</v>
          </cell>
          <cell r="F112">
            <v>-8.5700645446777344</v>
          </cell>
          <cell r="G112">
            <v>3</v>
          </cell>
        </row>
        <row r="113">
          <cell r="A113" t="str">
            <v>BGD</v>
          </cell>
          <cell r="B113" t="str">
            <v>Long</v>
          </cell>
          <cell r="C113" t="str">
            <v>2005 - 2022</v>
          </cell>
          <cell r="D113" t="str">
            <v>med_reg_iter</v>
          </cell>
          <cell r="E113" t="str">
            <v>lfprod_s1_a1</v>
          </cell>
          <cell r="F113">
            <v>1.8679498434066772</v>
          </cell>
          <cell r="G113">
            <v>3</v>
          </cell>
        </row>
        <row r="114">
          <cell r="A114" t="str">
            <v>BGD</v>
          </cell>
          <cell r="B114" t="str">
            <v>Long</v>
          </cell>
          <cell r="C114" t="str">
            <v>2005 - 2022</v>
          </cell>
          <cell r="D114" t="str">
            <v>med_reg_iter</v>
          </cell>
          <cell r="E114" t="str">
            <v>lfprod_s1_a2</v>
          </cell>
          <cell r="F114">
            <v>8.3923301696777344</v>
          </cell>
          <cell r="G114">
            <v>3</v>
          </cell>
        </row>
        <row r="115">
          <cell r="A115" t="str">
            <v>BGD</v>
          </cell>
          <cell r="B115" t="str">
            <v>Long</v>
          </cell>
          <cell r="C115" t="str">
            <v>2005 - 2022</v>
          </cell>
          <cell r="D115" t="str">
            <v>med_reg_iter</v>
          </cell>
          <cell r="E115" t="str">
            <v>lfprod_s1_a3</v>
          </cell>
          <cell r="F115">
            <v>-1.7193464040756226</v>
          </cell>
          <cell r="G115">
            <v>3</v>
          </cell>
        </row>
        <row r="116">
          <cell r="A116" t="str">
            <v>BGD</v>
          </cell>
          <cell r="B116" t="str">
            <v>Long</v>
          </cell>
          <cell r="C116" t="str">
            <v>2005 - 2022</v>
          </cell>
          <cell r="D116" t="str">
            <v>reg</v>
          </cell>
          <cell r="E116" t="str">
            <v>lfls12_S0_A0</v>
          </cell>
          <cell r="F116">
            <v>0.36932170391082764</v>
          </cell>
          <cell r="G116">
            <v>3</v>
          </cell>
        </row>
        <row r="117">
          <cell r="A117" t="str">
            <v>BGD</v>
          </cell>
          <cell r="B117" t="str">
            <v>Long</v>
          </cell>
          <cell r="C117" t="str">
            <v>2005 - 2022</v>
          </cell>
          <cell r="D117" t="str">
            <v>reg</v>
          </cell>
          <cell r="E117" t="str">
            <v>lfls1_S0_A0</v>
          </cell>
          <cell r="F117">
            <v>0.37071043252944946</v>
          </cell>
          <cell r="G117">
            <v>3</v>
          </cell>
        </row>
        <row r="118">
          <cell r="A118" t="str">
            <v>BGD</v>
          </cell>
          <cell r="B118" t="str">
            <v>Long</v>
          </cell>
          <cell r="C118" t="str">
            <v>2005 - 2022</v>
          </cell>
          <cell r="D118" t="str">
            <v>reg</v>
          </cell>
          <cell r="E118" t="str">
            <v>lfls1_S0_a1</v>
          </cell>
          <cell r="F118">
            <v>0.36577045917510986</v>
          </cell>
          <cell r="G118">
            <v>3</v>
          </cell>
        </row>
        <row r="119">
          <cell r="A119" t="str">
            <v>BGD</v>
          </cell>
          <cell r="B119" t="str">
            <v>Long</v>
          </cell>
          <cell r="C119" t="str">
            <v>2005 - 2022</v>
          </cell>
          <cell r="D119" t="str">
            <v>reg</v>
          </cell>
          <cell r="E119" t="str">
            <v>lfls1_S0_a2</v>
          </cell>
          <cell r="F119">
            <v>0.38047227263450623</v>
          </cell>
          <cell r="G119">
            <v>3</v>
          </cell>
        </row>
        <row r="120">
          <cell r="A120" t="str">
            <v>BGD</v>
          </cell>
          <cell r="B120" t="str">
            <v>Long</v>
          </cell>
          <cell r="C120" t="str">
            <v>2005 - 2022</v>
          </cell>
          <cell r="D120" t="str">
            <v>reg</v>
          </cell>
          <cell r="E120" t="str">
            <v>lfls1_S0_a3</v>
          </cell>
          <cell r="F120">
            <v>0.53285741806030273</v>
          </cell>
          <cell r="G120">
            <v>3</v>
          </cell>
        </row>
        <row r="121">
          <cell r="A121" t="str">
            <v>BGD</v>
          </cell>
          <cell r="B121" t="str">
            <v>Long</v>
          </cell>
          <cell r="C121" t="str">
            <v>2005 - 2022</v>
          </cell>
          <cell r="D121" t="str">
            <v>reg</v>
          </cell>
          <cell r="E121" t="str">
            <v>lfls1_s0_A0</v>
          </cell>
          <cell r="F121">
            <v>0.36951625347137451</v>
          </cell>
          <cell r="G121">
            <v>3</v>
          </cell>
        </row>
        <row r="122">
          <cell r="A122" t="str">
            <v>BGD</v>
          </cell>
          <cell r="B122" t="str">
            <v>Long</v>
          </cell>
          <cell r="C122" t="str">
            <v>2005 - 2022</v>
          </cell>
          <cell r="D122" t="str">
            <v>reg</v>
          </cell>
          <cell r="E122" t="str">
            <v>lfls1_s0_a1</v>
          </cell>
          <cell r="F122">
            <v>0.47505542635917664</v>
          </cell>
          <cell r="G122">
            <v>3</v>
          </cell>
        </row>
        <row r="123">
          <cell r="A123" t="str">
            <v>BGD</v>
          </cell>
          <cell r="B123" t="str">
            <v>Long</v>
          </cell>
          <cell r="C123" t="str">
            <v>2005 - 2022</v>
          </cell>
          <cell r="D123" t="str">
            <v>reg</v>
          </cell>
          <cell r="E123" t="str">
            <v>lfls1_s0_a2</v>
          </cell>
          <cell r="F123">
            <v>0.35379263758659363</v>
          </cell>
          <cell r="G123">
            <v>3</v>
          </cell>
        </row>
        <row r="124">
          <cell r="A124" t="str">
            <v>BGD</v>
          </cell>
          <cell r="B124" t="str">
            <v>Long</v>
          </cell>
          <cell r="C124" t="str">
            <v>2005 - 2022</v>
          </cell>
          <cell r="D124" t="str">
            <v>reg</v>
          </cell>
          <cell r="E124" t="str">
            <v>lfls1_s0_a3</v>
          </cell>
          <cell r="F124">
            <v>0.3704301118850708</v>
          </cell>
          <cell r="G124">
            <v>3</v>
          </cell>
        </row>
        <row r="125">
          <cell r="A125" t="str">
            <v>BGD</v>
          </cell>
          <cell r="B125" t="str">
            <v>Long</v>
          </cell>
          <cell r="C125" t="str">
            <v>2005 - 2022</v>
          </cell>
          <cell r="D125" t="str">
            <v>reg</v>
          </cell>
          <cell r="E125" t="str">
            <v>lfls1_s1_A0</v>
          </cell>
          <cell r="F125">
            <v>0.43483832478523254</v>
          </cell>
          <cell r="G125">
            <v>3</v>
          </cell>
        </row>
        <row r="126">
          <cell r="A126" t="str">
            <v>BGD</v>
          </cell>
          <cell r="B126" t="str">
            <v>Long</v>
          </cell>
          <cell r="C126" t="str">
            <v>2005 - 2022</v>
          </cell>
          <cell r="D126" t="str">
            <v>reg</v>
          </cell>
          <cell r="E126" t="str">
            <v>lfls1_s1_a1</v>
          </cell>
          <cell r="F126">
            <v>0.28195315599441528</v>
          </cell>
          <cell r="G126">
            <v>3</v>
          </cell>
        </row>
        <row r="127">
          <cell r="A127" t="str">
            <v>BGD</v>
          </cell>
          <cell r="B127" t="str">
            <v>Long</v>
          </cell>
          <cell r="C127" t="str">
            <v>2005 - 2022</v>
          </cell>
          <cell r="D127" t="str">
            <v>reg</v>
          </cell>
          <cell r="E127" t="str">
            <v>lfls1_s1_a2</v>
          </cell>
          <cell r="F127">
            <v>0.75476574897766113</v>
          </cell>
          <cell r="G127">
            <v>3</v>
          </cell>
        </row>
        <row r="128">
          <cell r="A128" t="str">
            <v>BGD</v>
          </cell>
          <cell r="B128" t="str">
            <v>Long</v>
          </cell>
          <cell r="C128" t="str">
            <v>2005 - 2022</v>
          </cell>
          <cell r="D128" t="str">
            <v>reg</v>
          </cell>
          <cell r="E128" t="str">
            <v>lfls1_s1_a3</v>
          </cell>
          <cell r="F128">
            <v>1.2855267524719238</v>
          </cell>
          <cell r="G128">
            <v>3</v>
          </cell>
        </row>
        <row r="129">
          <cell r="A129" t="str">
            <v>BGD</v>
          </cell>
          <cell r="B129" t="str">
            <v>Long</v>
          </cell>
          <cell r="C129" t="str">
            <v>2005 - 2022</v>
          </cell>
          <cell r="D129" t="str">
            <v>reg</v>
          </cell>
          <cell r="E129" t="str">
            <v>lfprod_s0_a1</v>
          </cell>
          <cell r="F129">
            <v>-0.52494460344314575</v>
          </cell>
          <cell r="G129">
            <v>3</v>
          </cell>
        </row>
        <row r="130">
          <cell r="A130" t="str">
            <v>BGD</v>
          </cell>
          <cell r="B130" t="str">
            <v>Long</v>
          </cell>
          <cell r="C130" t="str">
            <v>2005 - 2022</v>
          </cell>
          <cell r="D130" t="str">
            <v>reg</v>
          </cell>
          <cell r="E130" t="str">
            <v>lfprod_s0_a2</v>
          </cell>
          <cell r="F130">
            <v>-0.64620739221572876</v>
          </cell>
          <cell r="G130">
            <v>3</v>
          </cell>
        </row>
        <row r="131">
          <cell r="A131" t="str">
            <v>BGD</v>
          </cell>
          <cell r="B131" t="str">
            <v>Long</v>
          </cell>
          <cell r="C131" t="str">
            <v>2005 - 2022</v>
          </cell>
          <cell r="D131" t="str">
            <v>reg</v>
          </cell>
          <cell r="E131" t="str">
            <v>lfprod_s0_a3</v>
          </cell>
          <cell r="F131">
            <v>-0.6295698881149292</v>
          </cell>
          <cell r="G131">
            <v>3</v>
          </cell>
        </row>
        <row r="132">
          <cell r="A132" t="str">
            <v>BGD</v>
          </cell>
          <cell r="B132" t="str">
            <v>Long</v>
          </cell>
          <cell r="C132" t="str">
            <v>2005 - 2022</v>
          </cell>
          <cell r="D132" t="str">
            <v>reg</v>
          </cell>
          <cell r="E132" t="str">
            <v>lfprod_s1_a1</v>
          </cell>
          <cell r="F132">
            <v>-0.71804684400558472</v>
          </cell>
          <cell r="G132">
            <v>3</v>
          </cell>
        </row>
        <row r="133">
          <cell r="A133" t="str">
            <v>BGD</v>
          </cell>
          <cell r="B133" t="str">
            <v>Long</v>
          </cell>
          <cell r="C133" t="str">
            <v>2005 - 2022</v>
          </cell>
          <cell r="D133" t="str">
            <v>reg</v>
          </cell>
          <cell r="E133" t="str">
            <v>lfprod_s1_a2</v>
          </cell>
          <cell r="F133">
            <v>-0.24523423612117767</v>
          </cell>
          <cell r="G133">
            <v>3</v>
          </cell>
        </row>
        <row r="134">
          <cell r="A134" t="str">
            <v>BGD</v>
          </cell>
          <cell r="B134" t="str">
            <v>Long</v>
          </cell>
          <cell r="C134" t="str">
            <v>2005 - 2022</v>
          </cell>
          <cell r="D134" t="str">
            <v>reg</v>
          </cell>
          <cell r="E134" t="str">
            <v>lfprod_s1_a3</v>
          </cell>
          <cell r="F134">
            <v>0.28552675247192383</v>
          </cell>
          <cell r="G134">
            <v>3</v>
          </cell>
        </row>
        <row r="135">
          <cell r="A135" t="str">
            <v>BGD</v>
          </cell>
          <cell r="B135" t="str">
            <v>Long</v>
          </cell>
          <cell r="C135" t="str">
            <v>2005 - 2022</v>
          </cell>
          <cell r="D135" t="str">
            <v>reg_gdp</v>
          </cell>
          <cell r="E135" t="str">
            <v>lfls12_S0_A0</v>
          </cell>
          <cell r="F135">
            <v>0.36932170391082764</v>
          </cell>
          <cell r="G135">
            <v>3</v>
          </cell>
        </row>
        <row r="136">
          <cell r="A136" t="str">
            <v>BGD</v>
          </cell>
          <cell r="B136" t="str">
            <v>Long</v>
          </cell>
          <cell r="C136" t="str">
            <v>2005 - 2022</v>
          </cell>
          <cell r="D136" t="str">
            <v>reg_gdp</v>
          </cell>
          <cell r="E136" t="str">
            <v>lfls1_S0_A0</v>
          </cell>
          <cell r="F136">
            <v>0.37071043252944946</v>
          </cell>
          <cell r="G136">
            <v>3</v>
          </cell>
        </row>
        <row r="137">
          <cell r="A137" t="str">
            <v>BGD</v>
          </cell>
          <cell r="B137" t="str">
            <v>Long</v>
          </cell>
          <cell r="C137" t="str">
            <v>2005 - 2022</v>
          </cell>
          <cell r="D137" t="str">
            <v>reg_gdp</v>
          </cell>
          <cell r="E137" t="str">
            <v>lfls1_S0_a1</v>
          </cell>
          <cell r="F137">
            <v>0.30950301885604858</v>
          </cell>
          <cell r="G137">
            <v>3</v>
          </cell>
        </row>
        <row r="138">
          <cell r="A138" t="str">
            <v>BGD</v>
          </cell>
          <cell r="B138" t="str">
            <v>Long</v>
          </cell>
          <cell r="C138" t="str">
            <v>2005 - 2022</v>
          </cell>
          <cell r="D138" t="str">
            <v>reg_gdp</v>
          </cell>
          <cell r="E138" t="str">
            <v>lfls1_S0_a2</v>
          </cell>
          <cell r="F138">
            <v>-2.4726812839508057</v>
          </cell>
          <cell r="G138">
            <v>3</v>
          </cell>
        </row>
        <row r="139">
          <cell r="A139" t="str">
            <v>BGD</v>
          </cell>
          <cell r="B139" t="str">
            <v>Long</v>
          </cell>
          <cell r="C139" t="str">
            <v>2005 - 2022</v>
          </cell>
          <cell r="D139" t="str">
            <v>reg_gdp</v>
          </cell>
          <cell r="E139" t="str">
            <v>lfls1_S0_a3</v>
          </cell>
          <cell r="F139">
            <v>-6.6156702041625977</v>
          </cell>
          <cell r="G139">
            <v>3</v>
          </cell>
        </row>
        <row r="140">
          <cell r="A140" t="str">
            <v>BGD</v>
          </cell>
          <cell r="B140" t="str">
            <v>Long</v>
          </cell>
          <cell r="C140" t="str">
            <v>2005 - 2022</v>
          </cell>
          <cell r="D140" t="str">
            <v>reg_gdp</v>
          </cell>
          <cell r="E140" t="str">
            <v>lfls1_s0_A0</v>
          </cell>
          <cell r="F140">
            <v>0.36951625347137451</v>
          </cell>
          <cell r="G140">
            <v>3</v>
          </cell>
        </row>
        <row r="141">
          <cell r="A141" t="str">
            <v>BGD</v>
          </cell>
          <cell r="B141" t="str">
            <v>Long</v>
          </cell>
          <cell r="C141" t="str">
            <v>2005 - 2022</v>
          </cell>
          <cell r="D141" t="str">
            <v>reg_gdp</v>
          </cell>
          <cell r="E141" t="str">
            <v>lfls1_s0_a1</v>
          </cell>
          <cell r="F141">
            <v>-0.53788930177688599</v>
          </cell>
          <cell r="G141">
            <v>3</v>
          </cell>
        </row>
        <row r="142">
          <cell r="A142" t="str">
            <v>BGD</v>
          </cell>
          <cell r="B142" t="str">
            <v>Long</v>
          </cell>
          <cell r="C142" t="str">
            <v>2005 - 2022</v>
          </cell>
          <cell r="D142" t="str">
            <v>reg_gdp</v>
          </cell>
          <cell r="E142" t="str">
            <v>lfls1_s0_a2</v>
          </cell>
          <cell r="F142">
            <v>-3.2283270359039307</v>
          </cell>
          <cell r="G142">
            <v>3</v>
          </cell>
        </row>
        <row r="143">
          <cell r="A143" t="str">
            <v>BGD</v>
          </cell>
          <cell r="B143" t="str">
            <v>Long</v>
          </cell>
          <cell r="C143" t="str">
            <v>2005 - 2022</v>
          </cell>
          <cell r="D143" t="str">
            <v>reg_gdp</v>
          </cell>
          <cell r="E143" t="str">
            <v>lfls1_s0_a3</v>
          </cell>
          <cell r="F143">
            <v>-5.8772344589233398</v>
          </cell>
          <cell r="G143">
            <v>3</v>
          </cell>
        </row>
        <row r="144">
          <cell r="A144" t="str">
            <v>BGD</v>
          </cell>
          <cell r="B144" t="str">
            <v>Long</v>
          </cell>
          <cell r="C144" t="str">
            <v>2005 - 2022</v>
          </cell>
          <cell r="D144" t="str">
            <v>reg_gdp</v>
          </cell>
          <cell r="E144" t="str">
            <v>lfls1_s1_A0</v>
          </cell>
          <cell r="F144">
            <v>0.43483832478523254</v>
          </cell>
          <cell r="G144">
            <v>3</v>
          </cell>
        </row>
        <row r="145">
          <cell r="A145" t="str">
            <v>BGD</v>
          </cell>
          <cell r="B145" t="str">
            <v>Long</v>
          </cell>
          <cell r="C145" t="str">
            <v>2005 - 2022</v>
          </cell>
          <cell r="D145" t="str">
            <v>reg_gdp</v>
          </cell>
          <cell r="E145" t="str">
            <v>lfls1_s1_a1</v>
          </cell>
          <cell r="F145">
            <v>-0.51990371942520142</v>
          </cell>
          <cell r="G145">
            <v>3</v>
          </cell>
        </row>
        <row r="146">
          <cell r="A146" t="str">
            <v>BGD</v>
          </cell>
          <cell r="B146" t="str">
            <v>Long</v>
          </cell>
          <cell r="C146" t="str">
            <v>2005 - 2022</v>
          </cell>
          <cell r="D146" t="str">
            <v>reg_gdp</v>
          </cell>
          <cell r="E146" t="str">
            <v>lfls1_s1_a2</v>
          </cell>
          <cell r="F146">
            <v>9.588592529296875</v>
          </cell>
          <cell r="G146">
            <v>3</v>
          </cell>
        </row>
        <row r="147">
          <cell r="A147" t="str">
            <v>BGD</v>
          </cell>
          <cell r="B147" t="str">
            <v>Long</v>
          </cell>
          <cell r="C147" t="str">
            <v>2005 - 2022</v>
          </cell>
          <cell r="D147" t="str">
            <v>reg_gdp</v>
          </cell>
          <cell r="E147" t="str">
            <v>lfls1_s1_a3</v>
          </cell>
          <cell r="F147">
            <v>-3.162362813949585</v>
          </cell>
          <cell r="G147">
            <v>3</v>
          </cell>
        </row>
        <row r="148">
          <cell r="A148" t="str">
            <v>BGD</v>
          </cell>
          <cell r="B148" t="str">
            <v>Long</v>
          </cell>
          <cell r="C148" t="str">
            <v>2005 - 2022</v>
          </cell>
          <cell r="D148" t="str">
            <v>reg_gdp</v>
          </cell>
          <cell r="E148" t="str">
            <v>lfprod_s0_a1</v>
          </cell>
          <cell r="F148">
            <v>-1.5378892421722412</v>
          </cell>
          <cell r="G148">
            <v>3</v>
          </cell>
        </row>
        <row r="149">
          <cell r="A149" t="str">
            <v>BGD</v>
          </cell>
          <cell r="B149" t="str">
            <v>Long</v>
          </cell>
          <cell r="C149" t="str">
            <v>2005 - 2022</v>
          </cell>
          <cell r="D149" t="str">
            <v>reg_gdp</v>
          </cell>
          <cell r="E149" t="str">
            <v>lfprod_s0_a2</v>
          </cell>
          <cell r="F149">
            <v>-4.2283267974853516</v>
          </cell>
          <cell r="G149">
            <v>3</v>
          </cell>
        </row>
        <row r="150">
          <cell r="A150" t="str">
            <v>BGD</v>
          </cell>
          <cell r="B150" t="str">
            <v>Long</v>
          </cell>
          <cell r="C150" t="str">
            <v>2005 - 2022</v>
          </cell>
          <cell r="D150" t="str">
            <v>reg_gdp</v>
          </cell>
          <cell r="E150" t="str">
            <v>lfprod_s0_a3</v>
          </cell>
          <cell r="F150">
            <v>-6.8772344589233398</v>
          </cell>
          <cell r="G150">
            <v>3</v>
          </cell>
        </row>
        <row r="151">
          <cell r="A151" t="str">
            <v>BGD</v>
          </cell>
          <cell r="B151" t="str">
            <v>Long</v>
          </cell>
          <cell r="C151" t="str">
            <v>2005 - 2022</v>
          </cell>
          <cell r="D151" t="str">
            <v>reg_gdp</v>
          </cell>
          <cell r="E151" t="str">
            <v>lfprod_s1_a1</v>
          </cell>
          <cell r="F151">
            <v>-1.5199037790298462</v>
          </cell>
          <cell r="G151">
            <v>3</v>
          </cell>
        </row>
        <row r="152">
          <cell r="A152" t="str">
            <v>BGD</v>
          </cell>
          <cell r="B152" t="str">
            <v>Long</v>
          </cell>
          <cell r="C152" t="str">
            <v>2005 - 2022</v>
          </cell>
          <cell r="D152" t="str">
            <v>reg_gdp</v>
          </cell>
          <cell r="E152" t="str">
            <v>lfprod_s1_a2</v>
          </cell>
          <cell r="F152">
            <v>8.588592529296875</v>
          </cell>
          <cell r="G152">
            <v>3</v>
          </cell>
        </row>
        <row r="153">
          <cell r="A153" t="str">
            <v>BGD</v>
          </cell>
          <cell r="B153" t="str">
            <v>Long</v>
          </cell>
          <cell r="C153" t="str">
            <v>2005 - 2022</v>
          </cell>
          <cell r="D153" t="str">
            <v>reg_gdp</v>
          </cell>
          <cell r="E153" t="str">
            <v>lfprod_s1_a3</v>
          </cell>
          <cell r="F153">
            <v>-4.1623630523681641</v>
          </cell>
          <cell r="G153">
            <v>3</v>
          </cell>
        </row>
        <row r="154">
          <cell r="A154" t="str">
            <v>BGD</v>
          </cell>
          <cell r="B154" t="str">
            <v>Long</v>
          </cell>
          <cell r="C154" t="str">
            <v>2005 - 2022</v>
          </cell>
          <cell r="D154" t="str">
            <v>reg_iter</v>
          </cell>
          <cell r="E154" t="str">
            <v>lfls12_S0_A0</v>
          </cell>
          <cell r="F154">
            <v>0.36932170391082764</v>
          </cell>
          <cell r="G154">
            <v>3</v>
          </cell>
        </row>
        <row r="155">
          <cell r="A155" t="str">
            <v>BGD</v>
          </cell>
          <cell r="B155" t="str">
            <v>Long</v>
          </cell>
          <cell r="C155" t="str">
            <v>2005 - 2022</v>
          </cell>
          <cell r="D155" t="str">
            <v>reg_iter</v>
          </cell>
          <cell r="E155" t="str">
            <v>lfls1_S0_A0</v>
          </cell>
          <cell r="F155">
            <v>0.37071043252944946</v>
          </cell>
          <cell r="G155">
            <v>3</v>
          </cell>
        </row>
        <row r="156">
          <cell r="A156" t="str">
            <v>BGD</v>
          </cell>
          <cell r="B156" t="str">
            <v>Long</v>
          </cell>
          <cell r="C156" t="str">
            <v>2005 - 2022</v>
          </cell>
          <cell r="D156" t="str">
            <v>reg_iter</v>
          </cell>
          <cell r="E156" t="str">
            <v>lfls1_S0_a1</v>
          </cell>
          <cell r="F156">
            <v>0.30950301885604858</v>
          </cell>
          <cell r="G156">
            <v>3</v>
          </cell>
        </row>
        <row r="157">
          <cell r="A157" t="str">
            <v>BGD</v>
          </cell>
          <cell r="B157" t="str">
            <v>Long</v>
          </cell>
          <cell r="C157" t="str">
            <v>2005 - 2022</v>
          </cell>
          <cell r="D157" t="str">
            <v>reg_iter</v>
          </cell>
          <cell r="E157" t="str">
            <v>lfls1_S0_a2</v>
          </cell>
          <cell r="F157">
            <v>-2.4726812839508057</v>
          </cell>
          <cell r="G157">
            <v>3</v>
          </cell>
        </row>
        <row r="158">
          <cell r="A158" t="str">
            <v>BGD</v>
          </cell>
          <cell r="B158" t="str">
            <v>Long</v>
          </cell>
          <cell r="C158" t="str">
            <v>2005 - 2022</v>
          </cell>
          <cell r="D158" t="str">
            <v>reg_iter</v>
          </cell>
          <cell r="E158" t="str">
            <v>lfls1_S0_a3</v>
          </cell>
          <cell r="F158">
            <v>-6.6156702041625977</v>
          </cell>
          <cell r="G158">
            <v>3</v>
          </cell>
        </row>
        <row r="159">
          <cell r="A159" t="str">
            <v>BGD</v>
          </cell>
          <cell r="B159" t="str">
            <v>Long</v>
          </cell>
          <cell r="C159" t="str">
            <v>2005 - 2022</v>
          </cell>
          <cell r="D159" t="str">
            <v>reg_iter</v>
          </cell>
          <cell r="E159" t="str">
            <v>lfls1_s0_A0</v>
          </cell>
          <cell r="F159">
            <v>0.36951625347137451</v>
          </cell>
          <cell r="G159">
            <v>3</v>
          </cell>
        </row>
        <row r="160">
          <cell r="A160" t="str">
            <v>BGD</v>
          </cell>
          <cell r="B160" t="str">
            <v>Long</v>
          </cell>
          <cell r="C160" t="str">
            <v>2005 - 2022</v>
          </cell>
          <cell r="D160" t="str">
            <v>reg_iter</v>
          </cell>
          <cell r="E160" t="str">
            <v>lfls1_s0_a1</v>
          </cell>
          <cell r="F160">
            <v>-0.53788930177688599</v>
          </cell>
          <cell r="G160">
            <v>3</v>
          </cell>
        </row>
        <row r="161">
          <cell r="A161" t="str">
            <v>BGD</v>
          </cell>
          <cell r="B161" t="str">
            <v>Long</v>
          </cell>
          <cell r="C161" t="str">
            <v>2005 - 2022</v>
          </cell>
          <cell r="D161" t="str">
            <v>reg_iter</v>
          </cell>
          <cell r="E161" t="str">
            <v>lfls1_s0_a2</v>
          </cell>
          <cell r="F161">
            <v>-3.2283270359039307</v>
          </cell>
          <cell r="G161">
            <v>3</v>
          </cell>
        </row>
        <row r="162">
          <cell r="A162" t="str">
            <v>BGD</v>
          </cell>
          <cell r="B162" t="str">
            <v>Long</v>
          </cell>
          <cell r="C162" t="str">
            <v>2005 - 2022</v>
          </cell>
          <cell r="D162" t="str">
            <v>reg_iter</v>
          </cell>
          <cell r="E162" t="str">
            <v>lfls1_s0_a3</v>
          </cell>
          <cell r="F162">
            <v>-5.8772344589233398</v>
          </cell>
          <cell r="G162">
            <v>3</v>
          </cell>
        </row>
        <row r="163">
          <cell r="A163" t="str">
            <v>BGD</v>
          </cell>
          <cell r="B163" t="str">
            <v>Long</v>
          </cell>
          <cell r="C163" t="str">
            <v>2005 - 2022</v>
          </cell>
          <cell r="D163" t="str">
            <v>reg_iter</v>
          </cell>
          <cell r="E163" t="str">
            <v>lfls1_s1_A0</v>
          </cell>
          <cell r="F163">
            <v>0.43483832478523254</v>
          </cell>
          <cell r="G163">
            <v>3</v>
          </cell>
        </row>
        <row r="164">
          <cell r="A164" t="str">
            <v>BGD</v>
          </cell>
          <cell r="B164" t="str">
            <v>Long</v>
          </cell>
          <cell r="C164" t="str">
            <v>2005 - 2022</v>
          </cell>
          <cell r="D164" t="str">
            <v>reg_iter</v>
          </cell>
          <cell r="E164" t="str">
            <v>lfls1_s1_a1</v>
          </cell>
          <cell r="F164">
            <v>-0.51990371942520142</v>
          </cell>
          <cell r="G164">
            <v>3</v>
          </cell>
        </row>
        <row r="165">
          <cell r="A165" t="str">
            <v>BGD</v>
          </cell>
          <cell r="B165" t="str">
            <v>Long</v>
          </cell>
          <cell r="C165" t="str">
            <v>2005 - 2022</v>
          </cell>
          <cell r="D165" t="str">
            <v>reg_iter</v>
          </cell>
          <cell r="E165" t="str">
            <v>lfls1_s1_a2</v>
          </cell>
          <cell r="F165">
            <v>9.588592529296875</v>
          </cell>
          <cell r="G165">
            <v>3</v>
          </cell>
        </row>
        <row r="166">
          <cell r="A166" t="str">
            <v>BGD</v>
          </cell>
          <cell r="B166" t="str">
            <v>Long</v>
          </cell>
          <cell r="C166" t="str">
            <v>2005 - 2022</v>
          </cell>
          <cell r="D166" t="str">
            <v>reg_iter</v>
          </cell>
          <cell r="E166" t="str">
            <v>lfls1_s1_a3</v>
          </cell>
          <cell r="F166">
            <v>-3.162362813949585</v>
          </cell>
          <cell r="G166">
            <v>3</v>
          </cell>
        </row>
        <row r="167">
          <cell r="A167" t="str">
            <v>BGD</v>
          </cell>
          <cell r="B167" t="str">
            <v>Long</v>
          </cell>
          <cell r="C167" t="str">
            <v>2005 - 2022</v>
          </cell>
          <cell r="D167" t="str">
            <v>reg_iter</v>
          </cell>
          <cell r="E167" t="str">
            <v>lfprod_s0_a1</v>
          </cell>
          <cell r="F167">
            <v>-1.5378892421722412</v>
          </cell>
          <cell r="G167">
            <v>3</v>
          </cell>
        </row>
        <row r="168">
          <cell r="A168" t="str">
            <v>BGD</v>
          </cell>
          <cell r="B168" t="str">
            <v>Long</v>
          </cell>
          <cell r="C168" t="str">
            <v>2005 - 2022</v>
          </cell>
          <cell r="D168" t="str">
            <v>reg_iter</v>
          </cell>
          <cell r="E168" t="str">
            <v>lfprod_s0_a2</v>
          </cell>
          <cell r="F168">
            <v>-4.2283267974853516</v>
          </cell>
          <cell r="G168">
            <v>3</v>
          </cell>
        </row>
        <row r="169">
          <cell r="A169" t="str">
            <v>BGD</v>
          </cell>
          <cell r="B169" t="str">
            <v>Long</v>
          </cell>
          <cell r="C169" t="str">
            <v>2005 - 2022</v>
          </cell>
          <cell r="D169" t="str">
            <v>reg_iter</v>
          </cell>
          <cell r="E169" t="str">
            <v>lfprod_s0_a3</v>
          </cell>
          <cell r="F169">
            <v>-6.8772344589233398</v>
          </cell>
          <cell r="G169">
            <v>3</v>
          </cell>
        </row>
        <row r="170">
          <cell r="A170" t="str">
            <v>BGD</v>
          </cell>
          <cell r="B170" t="str">
            <v>Long</v>
          </cell>
          <cell r="C170" t="str">
            <v>2005 - 2022</v>
          </cell>
          <cell r="D170" t="str">
            <v>reg_iter</v>
          </cell>
          <cell r="E170" t="str">
            <v>lfprod_s1_a1</v>
          </cell>
          <cell r="F170">
            <v>-1.5199037790298462</v>
          </cell>
          <cell r="G170">
            <v>3</v>
          </cell>
        </row>
        <row r="171">
          <cell r="A171" t="str">
            <v>BGD</v>
          </cell>
          <cell r="B171" t="str">
            <v>Long</v>
          </cell>
          <cell r="C171" t="str">
            <v>2005 - 2022</v>
          </cell>
          <cell r="D171" t="str">
            <v>reg_iter</v>
          </cell>
          <cell r="E171" t="str">
            <v>lfprod_s1_a2</v>
          </cell>
          <cell r="F171">
            <v>8.588592529296875</v>
          </cell>
          <cell r="G171">
            <v>3</v>
          </cell>
        </row>
        <row r="172">
          <cell r="A172" t="str">
            <v>BGD</v>
          </cell>
          <cell r="B172" t="str">
            <v>Long</v>
          </cell>
          <cell r="C172" t="str">
            <v>2005 - 2022</v>
          </cell>
          <cell r="D172" t="str">
            <v>reg_iter</v>
          </cell>
          <cell r="E172" t="str">
            <v>lfprod_s1_a3</v>
          </cell>
          <cell r="F172">
            <v>-4.1623630523681641</v>
          </cell>
          <cell r="G172">
            <v>3</v>
          </cell>
        </row>
        <row r="173">
          <cell r="A173" t="str">
            <v>BGD</v>
          </cell>
          <cell r="B173" t="str">
            <v>Middle</v>
          </cell>
          <cell r="C173" t="str">
            <v>2010 - 2022</v>
          </cell>
          <cell r="D173" t="str">
            <v>avg</v>
          </cell>
          <cell r="E173" t="str">
            <v>lfls12_S0_A0</v>
          </cell>
          <cell r="F173">
            <v>0.34328985214233398</v>
          </cell>
          <cell r="G173">
            <v>3</v>
          </cell>
        </row>
        <row r="174">
          <cell r="A174" t="str">
            <v>BGD</v>
          </cell>
          <cell r="B174" t="str">
            <v>Middle</v>
          </cell>
          <cell r="C174" t="str">
            <v>2010 - 2022</v>
          </cell>
          <cell r="D174" t="str">
            <v>avg</v>
          </cell>
          <cell r="E174" t="str">
            <v>lfls1_S0_A0</v>
          </cell>
          <cell r="F174">
            <v>0.33396664261817932</v>
          </cell>
          <cell r="G174">
            <v>3</v>
          </cell>
        </row>
        <row r="175">
          <cell r="A175" t="str">
            <v>BGD</v>
          </cell>
          <cell r="B175" t="str">
            <v>Middle</v>
          </cell>
          <cell r="C175" t="str">
            <v>2010 - 2022</v>
          </cell>
          <cell r="D175" t="str">
            <v>avg</v>
          </cell>
          <cell r="E175" t="str">
            <v>lfls1_S0_a1</v>
          </cell>
          <cell r="F175">
            <v>0.30467352271080017</v>
          </cell>
          <cell r="G175">
            <v>3</v>
          </cell>
        </row>
        <row r="176">
          <cell r="A176" t="str">
            <v>BGD</v>
          </cell>
          <cell r="B176" t="str">
            <v>Middle</v>
          </cell>
          <cell r="C176" t="str">
            <v>2010 - 2022</v>
          </cell>
          <cell r="D176" t="str">
            <v>avg</v>
          </cell>
          <cell r="E176" t="str">
            <v>lfls1_S0_a2</v>
          </cell>
          <cell r="F176">
            <v>0.36990603804588318</v>
          </cell>
          <cell r="G176">
            <v>3</v>
          </cell>
        </row>
        <row r="177">
          <cell r="A177" t="str">
            <v>BGD</v>
          </cell>
          <cell r="B177" t="str">
            <v>Middle</v>
          </cell>
          <cell r="C177" t="str">
            <v>2010 - 2022</v>
          </cell>
          <cell r="D177" t="str">
            <v>avg</v>
          </cell>
          <cell r="E177" t="str">
            <v>lfls1_S0_a3</v>
          </cell>
          <cell r="F177">
            <v>0.63533174991607666</v>
          </cell>
          <cell r="G177">
            <v>3</v>
          </cell>
        </row>
        <row r="178">
          <cell r="A178" t="str">
            <v>BGD</v>
          </cell>
          <cell r="B178" t="str">
            <v>Middle</v>
          </cell>
          <cell r="C178" t="str">
            <v>2010 - 2022</v>
          </cell>
          <cell r="D178" t="str">
            <v>avg</v>
          </cell>
          <cell r="E178" t="str">
            <v>lfls1_s0_A0</v>
          </cell>
          <cell r="F178">
            <v>0.42584553360939026</v>
          </cell>
          <cell r="G178">
            <v>3</v>
          </cell>
        </row>
        <row r="179">
          <cell r="A179" t="str">
            <v>BGD</v>
          </cell>
          <cell r="B179" t="str">
            <v>Middle</v>
          </cell>
          <cell r="C179" t="str">
            <v>2010 - 2022</v>
          </cell>
          <cell r="D179" t="str">
            <v>avg</v>
          </cell>
          <cell r="E179" t="str">
            <v>lfls1_s0_a1</v>
          </cell>
          <cell r="F179">
            <v>2.3513119220733643</v>
          </cell>
          <cell r="G179">
            <v>3</v>
          </cell>
        </row>
        <row r="180">
          <cell r="A180" t="str">
            <v>BGD</v>
          </cell>
          <cell r="B180" t="str">
            <v>Middle</v>
          </cell>
          <cell r="C180" t="str">
            <v>2010 - 2022</v>
          </cell>
          <cell r="D180" t="str">
            <v>avg</v>
          </cell>
          <cell r="E180" t="str">
            <v>lfls1_s0_a2</v>
          </cell>
          <cell r="F180">
            <v>0.33621832728385925</v>
          </cell>
          <cell r="G180">
            <v>3</v>
          </cell>
        </row>
        <row r="181">
          <cell r="A181" t="str">
            <v>BGD</v>
          </cell>
          <cell r="B181" t="str">
            <v>Middle</v>
          </cell>
          <cell r="C181" t="str">
            <v>2010 - 2022</v>
          </cell>
          <cell r="D181" t="str">
            <v>avg</v>
          </cell>
          <cell r="E181" t="str">
            <v>lfls1_s0_a3</v>
          </cell>
          <cell r="F181">
            <v>0.54669183492660522</v>
          </cell>
          <cell r="G181">
            <v>3</v>
          </cell>
        </row>
        <row r="182">
          <cell r="A182" t="str">
            <v>BGD</v>
          </cell>
          <cell r="B182" t="str">
            <v>Middle</v>
          </cell>
          <cell r="C182" t="str">
            <v>2010 - 2022</v>
          </cell>
          <cell r="D182" t="str">
            <v>avg</v>
          </cell>
          <cell r="E182" t="str">
            <v>lfls1_s1_A0</v>
          </cell>
          <cell r="F182">
            <v>1.1051839590072632</v>
          </cell>
          <cell r="G182">
            <v>3</v>
          </cell>
        </row>
        <row r="183">
          <cell r="A183" t="str">
            <v>BGD</v>
          </cell>
          <cell r="B183" t="str">
            <v>Middle</v>
          </cell>
          <cell r="C183" t="str">
            <v>2010 - 2022</v>
          </cell>
          <cell r="D183" t="str">
            <v>avg</v>
          </cell>
          <cell r="E183" t="str">
            <v>lfls1_s1_a1</v>
          </cell>
          <cell r="F183">
            <v>2.8441412448883057</v>
          </cell>
          <cell r="G183">
            <v>3</v>
          </cell>
        </row>
        <row r="184">
          <cell r="A184" t="str">
            <v>BGD</v>
          </cell>
          <cell r="B184" t="str">
            <v>Middle</v>
          </cell>
          <cell r="C184" t="str">
            <v>2010 - 2022</v>
          </cell>
          <cell r="D184" t="str">
            <v>avg</v>
          </cell>
          <cell r="E184" t="str">
            <v>lfls1_s1_a2</v>
          </cell>
          <cell r="F184">
            <v>1.1048816442489624</v>
          </cell>
          <cell r="G184">
            <v>3</v>
          </cell>
        </row>
        <row r="185">
          <cell r="A185" t="str">
            <v>BGD</v>
          </cell>
          <cell r="B185" t="str">
            <v>Middle</v>
          </cell>
          <cell r="C185" t="str">
            <v>2010 - 2022</v>
          </cell>
          <cell r="D185" t="str">
            <v>avg</v>
          </cell>
          <cell r="E185" t="str">
            <v>lfls1_s1_a3</v>
          </cell>
          <cell r="F185">
            <v>1.196010947227478</v>
          </cell>
          <cell r="G185">
            <v>3</v>
          </cell>
        </row>
        <row r="186">
          <cell r="A186" t="str">
            <v>BGD</v>
          </cell>
          <cell r="B186" t="str">
            <v>Middle</v>
          </cell>
          <cell r="C186" t="str">
            <v>2010 - 2022</v>
          </cell>
          <cell r="D186" t="str">
            <v>avg</v>
          </cell>
          <cell r="E186" t="str">
            <v>lfprod_s0_a1</v>
          </cell>
          <cell r="F186">
            <v>1.0009294748306274</v>
          </cell>
          <cell r="G186">
            <v>3</v>
          </cell>
        </row>
        <row r="187">
          <cell r="A187" t="str">
            <v>BGD</v>
          </cell>
          <cell r="B187" t="str">
            <v>Middle</v>
          </cell>
          <cell r="C187" t="str">
            <v>2010 - 2022</v>
          </cell>
          <cell r="D187" t="str">
            <v>avg</v>
          </cell>
          <cell r="E187" t="str">
            <v>lfprod_s0_a2</v>
          </cell>
          <cell r="F187">
            <v>-0.50713980197906494</v>
          </cell>
          <cell r="G187">
            <v>3</v>
          </cell>
        </row>
        <row r="188">
          <cell r="A188" t="str">
            <v>BGD</v>
          </cell>
          <cell r="B188" t="str">
            <v>Middle</v>
          </cell>
          <cell r="C188" t="str">
            <v>2010 - 2022</v>
          </cell>
          <cell r="D188" t="str">
            <v>avg</v>
          </cell>
          <cell r="E188" t="str">
            <v>lfprod_s0_a3</v>
          </cell>
          <cell r="F188">
            <v>-0.33893957734107971</v>
          </cell>
          <cell r="G188">
            <v>3</v>
          </cell>
        </row>
        <row r="189">
          <cell r="A189" t="str">
            <v>BGD</v>
          </cell>
          <cell r="B189" t="str">
            <v>Middle</v>
          </cell>
          <cell r="C189" t="str">
            <v>2010 - 2022</v>
          </cell>
          <cell r="D189" t="str">
            <v>avg</v>
          </cell>
          <cell r="E189" t="str">
            <v>lfprod_s1_a1</v>
          </cell>
          <cell r="F189">
            <v>1.7518855333328247</v>
          </cell>
          <cell r="G189">
            <v>3</v>
          </cell>
        </row>
        <row r="190">
          <cell r="A190" t="str">
            <v>BGD</v>
          </cell>
          <cell r="B190" t="str">
            <v>Middle</v>
          </cell>
          <cell r="C190" t="str">
            <v>2010 - 2022</v>
          </cell>
          <cell r="D190" t="str">
            <v>avg</v>
          </cell>
          <cell r="E190" t="str">
            <v>lfprod_s1_a2</v>
          </cell>
          <cell r="F190">
            <v>0.16247689723968506</v>
          </cell>
          <cell r="G190">
            <v>3</v>
          </cell>
        </row>
        <row r="191">
          <cell r="A191" t="str">
            <v>BGD</v>
          </cell>
          <cell r="B191" t="str">
            <v>Middle</v>
          </cell>
          <cell r="C191" t="str">
            <v>2010 - 2022</v>
          </cell>
          <cell r="D191" t="str">
            <v>avg</v>
          </cell>
          <cell r="E191" t="str">
            <v>lfprod_s1_a3</v>
          </cell>
          <cell r="F191">
            <v>0.13680732250213623</v>
          </cell>
          <cell r="G191">
            <v>3</v>
          </cell>
        </row>
        <row r="192">
          <cell r="A192" t="str">
            <v>BGD</v>
          </cell>
          <cell r="B192" t="str">
            <v>Middle</v>
          </cell>
          <cell r="C192" t="str">
            <v>2010 - 2022</v>
          </cell>
          <cell r="D192" t="str">
            <v>avg_1_99</v>
          </cell>
          <cell r="E192" t="str">
            <v>lfls12_S0_A0</v>
          </cell>
          <cell r="F192">
            <v>0.37168604135513306</v>
          </cell>
          <cell r="G192">
            <v>3</v>
          </cell>
        </row>
        <row r="193">
          <cell r="A193" t="str">
            <v>BGD</v>
          </cell>
          <cell r="B193" t="str">
            <v>Middle</v>
          </cell>
          <cell r="C193" t="str">
            <v>2010 - 2022</v>
          </cell>
          <cell r="D193" t="str">
            <v>avg_1_99</v>
          </cell>
          <cell r="E193" t="str">
            <v>lfls1_S0_A0</v>
          </cell>
          <cell r="F193">
            <v>0.34859895706176758</v>
          </cell>
          <cell r="G193">
            <v>3</v>
          </cell>
        </row>
        <row r="194">
          <cell r="A194" t="str">
            <v>BGD</v>
          </cell>
          <cell r="B194" t="str">
            <v>Middle</v>
          </cell>
          <cell r="C194" t="str">
            <v>2010 - 2022</v>
          </cell>
          <cell r="D194" t="str">
            <v>avg_1_99</v>
          </cell>
          <cell r="E194" t="str">
            <v>lfls1_S0_a1</v>
          </cell>
          <cell r="F194">
            <v>0.36857318878173828</v>
          </cell>
          <cell r="G194">
            <v>3</v>
          </cell>
        </row>
        <row r="195">
          <cell r="A195" t="str">
            <v>BGD</v>
          </cell>
          <cell r="B195" t="str">
            <v>Middle</v>
          </cell>
          <cell r="C195" t="str">
            <v>2010 - 2022</v>
          </cell>
          <cell r="D195" t="str">
            <v>avg_1_99</v>
          </cell>
          <cell r="E195" t="str">
            <v>lfls1_S0_a2</v>
          </cell>
          <cell r="F195">
            <v>0.35313531756401062</v>
          </cell>
          <cell r="G195">
            <v>3</v>
          </cell>
        </row>
        <row r="196">
          <cell r="A196" t="str">
            <v>BGD</v>
          </cell>
          <cell r="B196" t="str">
            <v>Middle</v>
          </cell>
          <cell r="C196" t="str">
            <v>2010 - 2022</v>
          </cell>
          <cell r="D196" t="str">
            <v>avg_1_99</v>
          </cell>
          <cell r="E196" t="str">
            <v>lfls1_S0_a3</v>
          </cell>
          <cell r="F196">
            <v>0.58678263425827026</v>
          </cell>
          <cell r="G196">
            <v>3</v>
          </cell>
        </row>
        <row r="197">
          <cell r="A197" t="str">
            <v>BGD</v>
          </cell>
          <cell r="B197" t="str">
            <v>Middle</v>
          </cell>
          <cell r="C197" t="str">
            <v>2010 - 2022</v>
          </cell>
          <cell r="D197" t="str">
            <v>avg_1_99</v>
          </cell>
          <cell r="E197" t="str">
            <v>lfls1_s0_A0</v>
          </cell>
          <cell r="F197">
            <v>0.64339053630828857</v>
          </cell>
          <cell r="G197">
            <v>3</v>
          </cell>
        </row>
        <row r="198">
          <cell r="A198" t="str">
            <v>BGD</v>
          </cell>
          <cell r="B198" t="str">
            <v>Middle</v>
          </cell>
          <cell r="C198" t="str">
            <v>2010 - 2022</v>
          </cell>
          <cell r="D198" t="str">
            <v>avg_1_99</v>
          </cell>
          <cell r="E198" t="str">
            <v>lfls1_s0_a1</v>
          </cell>
          <cell r="F198">
            <v>3.2931687831878662</v>
          </cell>
          <cell r="G198">
            <v>3</v>
          </cell>
        </row>
        <row r="199">
          <cell r="A199" t="str">
            <v>BGD</v>
          </cell>
          <cell r="B199" t="str">
            <v>Middle</v>
          </cell>
          <cell r="C199" t="str">
            <v>2010 - 2022</v>
          </cell>
          <cell r="D199" t="str">
            <v>avg_1_99</v>
          </cell>
          <cell r="E199" t="str">
            <v>lfls1_s0_a2</v>
          </cell>
          <cell r="F199">
            <v>0.28938496112823486</v>
          </cell>
          <cell r="G199">
            <v>3</v>
          </cell>
        </row>
        <row r="200">
          <cell r="A200" t="str">
            <v>BGD</v>
          </cell>
          <cell r="B200" t="str">
            <v>Middle</v>
          </cell>
          <cell r="C200" t="str">
            <v>2010 - 2022</v>
          </cell>
          <cell r="D200" t="str">
            <v>avg_1_99</v>
          </cell>
          <cell r="E200" t="str">
            <v>lfls1_s0_a3</v>
          </cell>
          <cell r="F200">
            <v>0.45688459277153015</v>
          </cell>
          <cell r="G200">
            <v>3</v>
          </cell>
        </row>
        <row r="201">
          <cell r="A201" t="str">
            <v>BGD</v>
          </cell>
          <cell r="B201" t="str">
            <v>Middle</v>
          </cell>
          <cell r="C201" t="str">
            <v>2010 - 2022</v>
          </cell>
          <cell r="D201" t="str">
            <v>avg_1_99</v>
          </cell>
          <cell r="E201" t="str">
            <v>lfls1_s1_A0</v>
          </cell>
          <cell r="F201">
            <v>-0.17981988191604614</v>
          </cell>
          <cell r="G201">
            <v>3</v>
          </cell>
        </row>
        <row r="202">
          <cell r="A202" t="str">
            <v>BGD</v>
          </cell>
          <cell r="B202" t="str">
            <v>Middle</v>
          </cell>
          <cell r="C202" t="str">
            <v>2010 - 2022</v>
          </cell>
          <cell r="D202" t="str">
            <v>avg_1_99</v>
          </cell>
          <cell r="E202" t="str">
            <v>lfls1_s1_a1</v>
          </cell>
          <cell r="F202">
            <v>-0.84124022722244263</v>
          </cell>
          <cell r="G202">
            <v>3</v>
          </cell>
        </row>
        <row r="203">
          <cell r="A203" t="str">
            <v>BGD</v>
          </cell>
          <cell r="B203" t="str">
            <v>Middle</v>
          </cell>
          <cell r="C203" t="str">
            <v>2010 - 2022</v>
          </cell>
          <cell r="D203" t="str">
            <v>avg_1_99</v>
          </cell>
          <cell r="E203" t="str">
            <v>lfls1_s1_a2</v>
          </cell>
          <cell r="F203">
            <v>0.94977873563766479</v>
          </cell>
          <cell r="G203">
            <v>3</v>
          </cell>
        </row>
        <row r="204">
          <cell r="A204" t="str">
            <v>BGD</v>
          </cell>
          <cell r="B204" t="str">
            <v>Middle</v>
          </cell>
          <cell r="C204" t="str">
            <v>2010 - 2022</v>
          </cell>
          <cell r="D204" t="str">
            <v>avg_1_99</v>
          </cell>
          <cell r="E204" t="str">
            <v>lfls1_s1_a3</v>
          </cell>
          <cell r="F204">
            <v>1.1830865144729614</v>
          </cell>
          <cell r="G204">
            <v>3</v>
          </cell>
        </row>
        <row r="205">
          <cell r="A205" t="str">
            <v>BGD</v>
          </cell>
          <cell r="B205" t="str">
            <v>Middle</v>
          </cell>
          <cell r="C205" t="str">
            <v>2010 - 2022</v>
          </cell>
          <cell r="D205" t="str">
            <v>avg_1_99</v>
          </cell>
          <cell r="E205" t="str">
            <v>lfprod_s0_a1</v>
          </cell>
          <cell r="F205">
            <v>1.9258879423141479</v>
          </cell>
          <cell r="G205">
            <v>3</v>
          </cell>
        </row>
        <row r="206">
          <cell r="A206" t="str">
            <v>BGD</v>
          </cell>
          <cell r="B206" t="str">
            <v>Middle</v>
          </cell>
          <cell r="C206" t="str">
            <v>2010 - 2022</v>
          </cell>
          <cell r="D206" t="str">
            <v>avg_1_99</v>
          </cell>
          <cell r="E206" t="str">
            <v>lfprod_s0_a2</v>
          </cell>
          <cell r="F206">
            <v>-0.51593655347824097</v>
          </cell>
          <cell r="G206">
            <v>3</v>
          </cell>
        </row>
        <row r="207">
          <cell r="A207" t="str">
            <v>BGD</v>
          </cell>
          <cell r="B207" t="str">
            <v>Middle</v>
          </cell>
          <cell r="C207" t="str">
            <v>2010 - 2022</v>
          </cell>
          <cell r="D207" t="str">
            <v>avg_1_99</v>
          </cell>
          <cell r="E207" t="str">
            <v>lfprod_s0_a3</v>
          </cell>
          <cell r="F207">
            <v>-0.40135094523429871</v>
          </cell>
          <cell r="G207">
            <v>3</v>
          </cell>
        </row>
        <row r="208">
          <cell r="A208" t="str">
            <v>BGD</v>
          </cell>
          <cell r="B208" t="str">
            <v>Middle</v>
          </cell>
          <cell r="C208" t="str">
            <v>2010 - 2022</v>
          </cell>
          <cell r="D208" t="str">
            <v>avg_1_99</v>
          </cell>
          <cell r="E208" t="str">
            <v>lfprod_s1_a1</v>
          </cell>
          <cell r="F208">
            <v>-1.6635783910751343</v>
          </cell>
          <cell r="G208">
            <v>3</v>
          </cell>
        </row>
        <row r="209">
          <cell r="A209" t="str">
            <v>BGD</v>
          </cell>
          <cell r="B209" t="str">
            <v>Middle</v>
          </cell>
          <cell r="C209" t="str">
            <v>2010 - 2022</v>
          </cell>
          <cell r="D209" t="str">
            <v>avg_1_99</v>
          </cell>
          <cell r="E209" t="str">
            <v>lfprod_s1_a2</v>
          </cell>
          <cell r="F209">
            <v>1.2335801729932427E-3</v>
          </cell>
          <cell r="G209">
            <v>3</v>
          </cell>
        </row>
        <row r="210">
          <cell r="A210" t="str">
            <v>BGD</v>
          </cell>
          <cell r="B210" t="str">
            <v>Middle</v>
          </cell>
          <cell r="C210" t="str">
            <v>2010 - 2022</v>
          </cell>
          <cell r="D210" t="str">
            <v>avg_1_99</v>
          </cell>
          <cell r="E210" t="str">
            <v>lfprod_s1_a3</v>
          </cell>
          <cell r="F210">
            <v>0.13402286171913147</v>
          </cell>
          <cell r="G210">
            <v>3</v>
          </cell>
        </row>
        <row r="211">
          <cell r="A211" t="str">
            <v>BGD</v>
          </cell>
          <cell r="B211" t="str">
            <v>Middle</v>
          </cell>
          <cell r="C211" t="str">
            <v>2010 - 2022</v>
          </cell>
          <cell r="D211" t="str">
            <v>avg_1_99_imp</v>
          </cell>
          <cell r="E211" t="str">
            <v>lfls12_S0_A0</v>
          </cell>
          <cell r="F211">
            <v>0.37135925889015198</v>
          </cell>
          <cell r="G211">
            <v>3</v>
          </cell>
        </row>
        <row r="212">
          <cell r="A212" t="str">
            <v>BGD</v>
          </cell>
          <cell r="B212" t="str">
            <v>Middle</v>
          </cell>
          <cell r="C212" t="str">
            <v>2010 - 2022</v>
          </cell>
          <cell r="D212" t="str">
            <v>avg_1_99_imp</v>
          </cell>
          <cell r="E212" t="str">
            <v>lfls1_S0_A0</v>
          </cell>
          <cell r="F212">
            <v>0.3496982753276825</v>
          </cell>
          <cell r="G212">
            <v>3</v>
          </cell>
        </row>
        <row r="213">
          <cell r="A213" t="str">
            <v>BGD</v>
          </cell>
          <cell r="B213" t="str">
            <v>Middle</v>
          </cell>
          <cell r="C213" t="str">
            <v>2010 - 2022</v>
          </cell>
          <cell r="D213" t="str">
            <v>avg_1_99_imp</v>
          </cell>
          <cell r="E213" t="str">
            <v>lfls1_S0_a1</v>
          </cell>
          <cell r="F213">
            <v>0.39026004076004028</v>
          </cell>
          <cell r="G213">
            <v>3</v>
          </cell>
        </row>
        <row r="214">
          <cell r="A214" t="str">
            <v>BGD</v>
          </cell>
          <cell r="B214" t="str">
            <v>Middle</v>
          </cell>
          <cell r="C214" t="str">
            <v>2010 - 2022</v>
          </cell>
          <cell r="D214" t="str">
            <v>avg_1_99_imp</v>
          </cell>
          <cell r="E214" t="str">
            <v>lfls1_S0_a2</v>
          </cell>
          <cell r="F214">
            <v>0.280631422996521</v>
          </cell>
          <cell r="G214">
            <v>3</v>
          </cell>
        </row>
        <row r="215">
          <cell r="A215" t="str">
            <v>BGD</v>
          </cell>
          <cell r="B215" t="str">
            <v>Middle</v>
          </cell>
          <cell r="C215" t="str">
            <v>2010 - 2022</v>
          </cell>
          <cell r="D215" t="str">
            <v>avg_1_99_imp</v>
          </cell>
          <cell r="E215" t="str">
            <v>lfls1_S0_a3</v>
          </cell>
          <cell r="F215">
            <v>0.57196778059005737</v>
          </cell>
          <cell r="G215">
            <v>3</v>
          </cell>
        </row>
        <row r="216">
          <cell r="A216" t="str">
            <v>BGD</v>
          </cell>
          <cell r="B216" t="str">
            <v>Middle</v>
          </cell>
          <cell r="C216" t="str">
            <v>2010 - 2022</v>
          </cell>
          <cell r="D216" t="str">
            <v>avg_1_99_imp</v>
          </cell>
          <cell r="E216" t="str">
            <v>lfls1_s0_A0</v>
          </cell>
          <cell r="F216">
            <v>0.63141465187072754</v>
          </cell>
          <cell r="G216">
            <v>3</v>
          </cell>
        </row>
        <row r="217">
          <cell r="A217" t="str">
            <v>BGD</v>
          </cell>
          <cell r="B217" t="str">
            <v>Middle</v>
          </cell>
          <cell r="C217" t="str">
            <v>2010 - 2022</v>
          </cell>
          <cell r="D217" t="str">
            <v>avg_1_99_imp</v>
          </cell>
          <cell r="E217" t="str">
            <v>lfls1_s0_a1</v>
          </cell>
          <cell r="F217">
            <v>3.064460277557373</v>
          </cell>
          <cell r="G217">
            <v>3</v>
          </cell>
        </row>
        <row r="218">
          <cell r="A218" t="str">
            <v>BGD</v>
          </cell>
          <cell r="B218" t="str">
            <v>Middle</v>
          </cell>
          <cell r="C218" t="str">
            <v>2010 - 2022</v>
          </cell>
          <cell r="D218" t="str">
            <v>avg_1_99_imp</v>
          </cell>
          <cell r="E218" t="str">
            <v>lfls1_s0_a2</v>
          </cell>
          <cell r="F218">
            <v>0.22987347841262817</v>
          </cell>
          <cell r="G218">
            <v>3</v>
          </cell>
        </row>
        <row r="219">
          <cell r="A219" t="str">
            <v>BGD</v>
          </cell>
          <cell r="B219" t="str">
            <v>Middle</v>
          </cell>
          <cell r="C219" t="str">
            <v>2010 - 2022</v>
          </cell>
          <cell r="D219" t="str">
            <v>avg_1_99_imp</v>
          </cell>
          <cell r="E219" t="str">
            <v>lfls1_s0_a3</v>
          </cell>
          <cell r="F219">
            <v>0.39414569735527039</v>
          </cell>
          <cell r="G219">
            <v>3</v>
          </cell>
        </row>
        <row r="220">
          <cell r="A220" t="str">
            <v>BGD</v>
          </cell>
          <cell r="B220" t="str">
            <v>Middle</v>
          </cell>
          <cell r="C220" t="str">
            <v>2010 - 2022</v>
          </cell>
          <cell r="D220" t="str">
            <v>avg_1_99_imp</v>
          </cell>
          <cell r="E220" t="str">
            <v>lfls1_s1_A0</v>
          </cell>
          <cell r="F220">
            <v>-0.21450057625770569</v>
          </cell>
          <cell r="G220">
            <v>3</v>
          </cell>
        </row>
        <row r="221">
          <cell r="A221" t="str">
            <v>BGD</v>
          </cell>
          <cell r="B221" t="str">
            <v>Middle</v>
          </cell>
          <cell r="C221" t="str">
            <v>2010 - 2022</v>
          </cell>
          <cell r="D221" t="str">
            <v>avg_1_99_imp</v>
          </cell>
          <cell r="E221" t="str">
            <v>lfls1_s1_a1</v>
          </cell>
          <cell r="F221">
            <v>-0.95468950271606445</v>
          </cell>
          <cell r="G221">
            <v>3</v>
          </cell>
        </row>
        <row r="222">
          <cell r="A222" t="str">
            <v>BGD</v>
          </cell>
          <cell r="B222" t="str">
            <v>Middle</v>
          </cell>
          <cell r="C222" t="str">
            <v>2010 - 2022</v>
          </cell>
          <cell r="D222" t="str">
            <v>avg_1_99_imp</v>
          </cell>
          <cell r="E222" t="str">
            <v>lfls1_s1_a2</v>
          </cell>
          <cell r="F222">
            <v>0.77853214740753174</v>
          </cell>
          <cell r="G222">
            <v>3</v>
          </cell>
        </row>
        <row r="223">
          <cell r="A223" t="str">
            <v>BGD</v>
          </cell>
          <cell r="B223" t="str">
            <v>Middle</v>
          </cell>
          <cell r="C223" t="str">
            <v>2010 - 2022</v>
          </cell>
          <cell r="D223" t="str">
            <v>avg_1_99_imp</v>
          </cell>
          <cell r="E223" t="str">
            <v>lfls1_s1_a3</v>
          </cell>
          <cell r="F223">
            <v>1.1627695560455322</v>
          </cell>
          <cell r="G223">
            <v>3</v>
          </cell>
        </row>
        <row r="224">
          <cell r="A224" t="str">
            <v>BGD</v>
          </cell>
          <cell r="B224" t="str">
            <v>Middle</v>
          </cell>
          <cell r="C224" t="str">
            <v>2010 - 2022</v>
          </cell>
          <cell r="D224" t="str">
            <v>avg_1_99_imp</v>
          </cell>
          <cell r="E224" t="str">
            <v>lfprod_s0_a1</v>
          </cell>
          <cell r="F224">
            <v>1.793999195098877</v>
          </cell>
          <cell r="G224">
            <v>3</v>
          </cell>
        </row>
        <row r="225">
          <cell r="A225" t="str">
            <v>BGD</v>
          </cell>
          <cell r="B225" t="str">
            <v>Middle</v>
          </cell>
          <cell r="C225" t="str">
            <v>2010 - 2022</v>
          </cell>
          <cell r="D225" t="str">
            <v>avg_1_99_imp</v>
          </cell>
          <cell r="E225" t="str">
            <v>lfprod_s0_a2</v>
          </cell>
          <cell r="F225">
            <v>-0.56366997957229614</v>
          </cell>
          <cell r="G225">
            <v>3</v>
          </cell>
        </row>
        <row r="226">
          <cell r="A226" t="str">
            <v>BGD</v>
          </cell>
          <cell r="B226" t="str">
            <v>Middle</v>
          </cell>
          <cell r="C226" t="str">
            <v>2010 - 2022</v>
          </cell>
          <cell r="D226" t="str">
            <v>avg_1_99_imp</v>
          </cell>
          <cell r="E226" t="str">
            <v>lfprod_s0_a3</v>
          </cell>
          <cell r="F226">
            <v>-0.43874219059944153</v>
          </cell>
          <cell r="G226">
            <v>3</v>
          </cell>
        </row>
        <row r="227">
          <cell r="A227" t="str">
            <v>BGD</v>
          </cell>
          <cell r="B227" t="str">
            <v>Middle</v>
          </cell>
          <cell r="C227" t="str">
            <v>2010 - 2022</v>
          </cell>
          <cell r="D227" t="str">
            <v>avg_1_99_imp</v>
          </cell>
          <cell r="E227" t="str">
            <v>lfprod_s1_a1</v>
          </cell>
          <cell r="F227">
            <v>-1.7862590551376343</v>
          </cell>
          <cell r="G227">
            <v>3</v>
          </cell>
        </row>
        <row r="228">
          <cell r="A228" t="str">
            <v>BGD</v>
          </cell>
          <cell r="B228" t="str">
            <v>Middle</v>
          </cell>
          <cell r="C228" t="str">
            <v>2010 - 2022</v>
          </cell>
          <cell r="D228" t="str">
            <v>avg_1_99_imp</v>
          </cell>
          <cell r="E228" t="str">
            <v>lfprod_s1_a2</v>
          </cell>
          <cell r="F228">
            <v>-0.16663353145122528</v>
          </cell>
          <cell r="G228">
            <v>3</v>
          </cell>
        </row>
        <row r="229">
          <cell r="A229" t="str">
            <v>BGD</v>
          </cell>
          <cell r="B229" t="str">
            <v>Middle</v>
          </cell>
          <cell r="C229" t="str">
            <v>2010 - 2022</v>
          </cell>
          <cell r="D229" t="str">
            <v>avg_1_99_imp</v>
          </cell>
          <cell r="E229" t="str">
            <v>lfprod_s1_a3</v>
          </cell>
          <cell r="F229">
            <v>0.12776654958724976</v>
          </cell>
          <cell r="G229">
            <v>3</v>
          </cell>
        </row>
        <row r="230">
          <cell r="A230" t="str">
            <v>BGD</v>
          </cell>
          <cell r="B230" t="str">
            <v>Middle</v>
          </cell>
          <cell r="C230" t="str">
            <v>2010 - 2022</v>
          </cell>
          <cell r="D230" t="str">
            <v>med_reg</v>
          </cell>
          <cell r="E230" t="str">
            <v>lfls12_S0_A0</v>
          </cell>
          <cell r="F230">
            <v>0.359465092420578</v>
          </cell>
          <cell r="G230">
            <v>3</v>
          </cell>
        </row>
        <row r="231">
          <cell r="A231" t="str">
            <v>BGD</v>
          </cell>
          <cell r="B231" t="str">
            <v>Middle</v>
          </cell>
          <cell r="C231" t="str">
            <v>2010 - 2022</v>
          </cell>
          <cell r="D231" t="str">
            <v>med_reg</v>
          </cell>
          <cell r="E231" t="str">
            <v>lfls1_S0_A0</v>
          </cell>
          <cell r="F231">
            <v>0.35036280751228333</v>
          </cell>
          <cell r="G231">
            <v>3</v>
          </cell>
        </row>
        <row r="232">
          <cell r="A232" t="str">
            <v>BGD</v>
          </cell>
          <cell r="B232" t="str">
            <v>Middle</v>
          </cell>
          <cell r="C232" t="str">
            <v>2010 - 2022</v>
          </cell>
          <cell r="D232" t="str">
            <v>med_reg</v>
          </cell>
          <cell r="E232" t="str">
            <v>lfls1_S0_a1</v>
          </cell>
          <cell r="F232">
            <v>0.48938548564910889</v>
          </cell>
          <cell r="G232">
            <v>3</v>
          </cell>
        </row>
        <row r="233">
          <cell r="A233" t="str">
            <v>BGD</v>
          </cell>
          <cell r="B233" t="str">
            <v>Middle</v>
          </cell>
          <cell r="C233" t="str">
            <v>2010 - 2022</v>
          </cell>
          <cell r="D233" t="str">
            <v>med_reg</v>
          </cell>
          <cell r="E233" t="str">
            <v>lfls1_S0_a2</v>
          </cell>
          <cell r="F233">
            <v>-5.7443282566964626E-3</v>
          </cell>
          <cell r="G233">
            <v>3</v>
          </cell>
        </row>
        <row r="234">
          <cell r="A234" t="str">
            <v>BGD</v>
          </cell>
          <cell r="B234" t="str">
            <v>Middle</v>
          </cell>
          <cell r="C234" t="str">
            <v>2010 - 2022</v>
          </cell>
          <cell r="D234" t="str">
            <v>med_reg</v>
          </cell>
          <cell r="E234" t="str">
            <v>lfls1_S0_a3</v>
          </cell>
          <cell r="F234">
            <v>0.62545281648635864</v>
          </cell>
          <cell r="G234">
            <v>3</v>
          </cell>
        </row>
        <row r="235">
          <cell r="A235" t="str">
            <v>BGD</v>
          </cell>
          <cell r="B235" t="str">
            <v>Middle</v>
          </cell>
          <cell r="C235" t="str">
            <v>2010 - 2022</v>
          </cell>
          <cell r="D235" t="str">
            <v>med_reg</v>
          </cell>
          <cell r="E235" t="str">
            <v>lfls1_s0_A0</v>
          </cell>
          <cell r="F235">
            <v>0.71782338619232178</v>
          </cell>
          <cell r="G235">
            <v>3</v>
          </cell>
        </row>
        <row r="236">
          <cell r="A236" t="str">
            <v>BGD</v>
          </cell>
          <cell r="B236" t="str">
            <v>Middle</v>
          </cell>
          <cell r="C236" t="str">
            <v>2010 - 2022</v>
          </cell>
          <cell r="D236" t="str">
            <v>med_reg</v>
          </cell>
          <cell r="E236" t="str">
            <v>lfls1_s0_a1</v>
          </cell>
          <cell r="F236">
            <v>5.5386190414428711</v>
          </cell>
          <cell r="G236">
            <v>3</v>
          </cell>
        </row>
        <row r="237">
          <cell r="A237" t="str">
            <v>BGD</v>
          </cell>
          <cell r="B237" t="str">
            <v>Middle</v>
          </cell>
          <cell r="C237" t="str">
            <v>2010 - 2022</v>
          </cell>
          <cell r="D237" t="str">
            <v>med_reg</v>
          </cell>
          <cell r="E237" t="str">
            <v>lfls1_s0_a2</v>
          </cell>
          <cell r="F237">
            <v>-3.5093914717435837E-2</v>
          </cell>
          <cell r="G237">
            <v>3</v>
          </cell>
        </row>
        <row r="238">
          <cell r="A238" t="str">
            <v>BGD</v>
          </cell>
          <cell r="B238" t="str">
            <v>Middle</v>
          </cell>
          <cell r="C238" t="str">
            <v>2010 - 2022</v>
          </cell>
          <cell r="D238" t="str">
            <v>med_reg</v>
          </cell>
          <cell r="E238" t="str">
            <v>lfls1_s0_a3</v>
          </cell>
          <cell r="F238">
            <v>0.42806535959243774</v>
          </cell>
          <cell r="G238">
            <v>3</v>
          </cell>
        </row>
        <row r="239">
          <cell r="A239" t="str">
            <v>BGD</v>
          </cell>
          <cell r="B239" t="str">
            <v>Middle</v>
          </cell>
          <cell r="C239" t="str">
            <v>2010 - 2022</v>
          </cell>
          <cell r="D239" t="str">
            <v>med_reg</v>
          </cell>
          <cell r="E239" t="str">
            <v>lfls1_s1_A0</v>
          </cell>
          <cell r="F239">
            <v>-0.28888869285583496</v>
          </cell>
          <cell r="G239">
            <v>3</v>
          </cell>
        </row>
        <row r="240">
          <cell r="A240" t="str">
            <v>BGD</v>
          </cell>
          <cell r="B240" t="str">
            <v>Middle</v>
          </cell>
          <cell r="C240" t="str">
            <v>2010 - 2022</v>
          </cell>
          <cell r="D240" t="str">
            <v>med_reg</v>
          </cell>
          <cell r="E240" t="str">
            <v>lfls1_s1_a1</v>
          </cell>
          <cell r="F240">
            <v>-1.9553773403167725</v>
          </cell>
          <cell r="G240">
            <v>3</v>
          </cell>
        </row>
        <row r="241">
          <cell r="A241" t="str">
            <v>BGD</v>
          </cell>
          <cell r="B241" t="str">
            <v>Middle</v>
          </cell>
          <cell r="C241" t="str">
            <v>2010 - 2022</v>
          </cell>
          <cell r="D241" t="str">
            <v>med_reg</v>
          </cell>
          <cell r="E241" t="str">
            <v>lfls1_s1_a2</v>
          </cell>
          <cell r="F241">
            <v>0.62748575210571289</v>
          </cell>
          <cell r="G241">
            <v>3</v>
          </cell>
        </row>
        <row r="242">
          <cell r="A242" t="str">
            <v>BGD</v>
          </cell>
          <cell r="B242" t="str">
            <v>Middle</v>
          </cell>
          <cell r="C242" t="str">
            <v>2010 - 2022</v>
          </cell>
          <cell r="D242" t="str">
            <v>med_reg</v>
          </cell>
          <cell r="E242" t="str">
            <v>lfls1_s1_a3</v>
          </cell>
          <cell r="F242">
            <v>1.4579391479492188</v>
          </cell>
          <cell r="G242">
            <v>3</v>
          </cell>
        </row>
        <row r="243">
          <cell r="A243" t="str">
            <v>BGD</v>
          </cell>
          <cell r="B243" t="str">
            <v>Middle</v>
          </cell>
          <cell r="C243" t="str">
            <v>2010 - 2022</v>
          </cell>
          <cell r="D243" t="str">
            <v>med_reg</v>
          </cell>
          <cell r="E243" t="str">
            <v>lfprod_s0_a1</v>
          </cell>
          <cell r="F243">
            <v>4.5386190414428711</v>
          </cell>
          <cell r="G243">
            <v>3</v>
          </cell>
        </row>
        <row r="244">
          <cell r="A244" t="str">
            <v>BGD</v>
          </cell>
          <cell r="B244" t="str">
            <v>Middle</v>
          </cell>
          <cell r="C244" t="str">
            <v>2010 - 2022</v>
          </cell>
          <cell r="D244" t="str">
            <v>med_reg</v>
          </cell>
          <cell r="E244" t="str">
            <v>lfprod_s0_a2</v>
          </cell>
          <cell r="F244">
            <v>-1.0350939035415649</v>
          </cell>
          <cell r="G244">
            <v>3</v>
          </cell>
        </row>
        <row r="245">
          <cell r="A245" t="str">
            <v>BGD</v>
          </cell>
          <cell r="B245" t="str">
            <v>Middle</v>
          </cell>
          <cell r="C245" t="str">
            <v>2010 - 2022</v>
          </cell>
          <cell r="D245" t="str">
            <v>med_reg</v>
          </cell>
          <cell r="E245" t="str">
            <v>lfprod_s0_a3</v>
          </cell>
          <cell r="F245">
            <v>-0.57193464040756226</v>
          </cell>
          <cell r="G245">
            <v>3</v>
          </cell>
        </row>
        <row r="246">
          <cell r="A246" t="str">
            <v>BGD</v>
          </cell>
          <cell r="B246" t="str">
            <v>Middle</v>
          </cell>
          <cell r="C246" t="str">
            <v>2010 - 2022</v>
          </cell>
          <cell r="D246" t="str">
            <v>med_reg</v>
          </cell>
          <cell r="E246" t="str">
            <v>lfprod_s1_a1</v>
          </cell>
          <cell r="F246">
            <v>-2.9553773403167725</v>
          </cell>
          <cell r="G246">
            <v>3</v>
          </cell>
        </row>
        <row r="247">
          <cell r="A247" t="str">
            <v>BGD</v>
          </cell>
          <cell r="B247" t="str">
            <v>Middle</v>
          </cell>
          <cell r="C247" t="str">
            <v>2010 - 2022</v>
          </cell>
          <cell r="D247" t="str">
            <v>med_reg</v>
          </cell>
          <cell r="E247" t="str">
            <v>lfprod_s1_a2</v>
          </cell>
          <cell r="F247">
            <v>-0.3725142776966095</v>
          </cell>
          <cell r="G247">
            <v>3</v>
          </cell>
        </row>
        <row r="248">
          <cell r="A248" t="str">
            <v>BGD</v>
          </cell>
          <cell r="B248" t="str">
            <v>Middle</v>
          </cell>
          <cell r="C248" t="str">
            <v>2010 - 2022</v>
          </cell>
          <cell r="D248" t="str">
            <v>med_reg</v>
          </cell>
          <cell r="E248" t="str">
            <v>lfprod_s1_a3</v>
          </cell>
          <cell r="F248">
            <v>0.45793911814689636</v>
          </cell>
          <cell r="G248">
            <v>3</v>
          </cell>
        </row>
        <row r="249">
          <cell r="A249" t="str">
            <v>BGD</v>
          </cell>
          <cell r="B249" t="str">
            <v>Middle</v>
          </cell>
          <cell r="C249" t="str">
            <v>2010 - 2022</v>
          </cell>
          <cell r="D249" t="str">
            <v>med_reg_gdp</v>
          </cell>
          <cell r="E249" t="str">
            <v>lfls12_S0_A0</v>
          </cell>
          <cell r="F249">
            <v>0.359465092420578</v>
          </cell>
          <cell r="G249">
            <v>3</v>
          </cell>
        </row>
        <row r="250">
          <cell r="A250" t="str">
            <v>BGD</v>
          </cell>
          <cell r="B250" t="str">
            <v>Middle</v>
          </cell>
          <cell r="C250" t="str">
            <v>2010 - 2022</v>
          </cell>
          <cell r="D250" t="str">
            <v>med_reg_gdp</v>
          </cell>
          <cell r="E250" t="str">
            <v>lfls1_S0_A0</v>
          </cell>
          <cell r="F250">
            <v>0.35036280751228333</v>
          </cell>
          <cell r="G250">
            <v>3</v>
          </cell>
        </row>
        <row r="251">
          <cell r="A251" t="str">
            <v>BGD</v>
          </cell>
          <cell r="B251" t="str">
            <v>Middle</v>
          </cell>
          <cell r="C251" t="str">
            <v>2010 - 2022</v>
          </cell>
          <cell r="D251" t="str">
            <v>med_reg_gdp</v>
          </cell>
          <cell r="E251" t="str">
            <v>lfls1_S0_a1</v>
          </cell>
          <cell r="F251">
            <v>-0.31588190793991089</v>
          </cell>
          <cell r="G251">
            <v>3</v>
          </cell>
        </row>
        <row r="252">
          <cell r="A252" t="str">
            <v>BGD</v>
          </cell>
          <cell r="B252" t="str">
            <v>Middle</v>
          </cell>
          <cell r="C252" t="str">
            <v>2010 - 2022</v>
          </cell>
          <cell r="D252" t="str">
            <v>med_reg_gdp</v>
          </cell>
          <cell r="E252" t="str">
            <v>lfls1_S0_a2</v>
          </cell>
          <cell r="F252">
            <v>1.2297768592834473</v>
          </cell>
          <cell r="G252">
            <v>3</v>
          </cell>
        </row>
        <row r="253">
          <cell r="A253" t="str">
            <v>BGD</v>
          </cell>
          <cell r="B253" t="str">
            <v>Middle</v>
          </cell>
          <cell r="C253" t="str">
            <v>2010 - 2022</v>
          </cell>
          <cell r="D253" t="str">
            <v>med_reg_gdp</v>
          </cell>
          <cell r="E253" t="str">
            <v>lfls1_S0_a3</v>
          </cell>
          <cell r="F253">
            <v>-7.1652069091796875</v>
          </cell>
          <cell r="G253">
            <v>3</v>
          </cell>
        </row>
        <row r="254">
          <cell r="A254" t="str">
            <v>BGD</v>
          </cell>
          <cell r="B254" t="str">
            <v>Middle</v>
          </cell>
          <cell r="C254" t="str">
            <v>2010 - 2022</v>
          </cell>
          <cell r="D254" t="str">
            <v>med_reg_gdp</v>
          </cell>
          <cell r="E254" t="str">
            <v>lfls1_s0_A0</v>
          </cell>
          <cell r="F254">
            <v>0.71782338619232178</v>
          </cell>
          <cell r="G254">
            <v>3</v>
          </cell>
        </row>
        <row r="255">
          <cell r="A255" t="str">
            <v>BGD</v>
          </cell>
          <cell r="B255" t="str">
            <v>Middle</v>
          </cell>
          <cell r="C255" t="str">
            <v>2010 - 2022</v>
          </cell>
          <cell r="D255" t="str">
            <v>med_reg_gdp</v>
          </cell>
          <cell r="E255" t="str">
            <v>lfls1_s0_a1</v>
          </cell>
          <cell r="F255">
            <v>-1.8095742464065552</v>
          </cell>
          <cell r="G255">
            <v>3</v>
          </cell>
        </row>
        <row r="256">
          <cell r="A256" t="str">
            <v>BGD</v>
          </cell>
          <cell r="B256" t="str">
            <v>Middle</v>
          </cell>
          <cell r="C256" t="str">
            <v>2010 - 2022</v>
          </cell>
          <cell r="D256" t="str">
            <v>med_reg_gdp</v>
          </cell>
          <cell r="E256" t="str">
            <v>lfls1_s0_a2</v>
          </cell>
          <cell r="F256">
            <v>0.67724204063415527</v>
          </cell>
          <cell r="G256">
            <v>3</v>
          </cell>
        </row>
        <row r="257">
          <cell r="A257" t="str">
            <v>BGD</v>
          </cell>
          <cell r="B257" t="str">
            <v>Middle</v>
          </cell>
          <cell r="C257" t="str">
            <v>2010 - 2022</v>
          </cell>
          <cell r="D257" t="str">
            <v>med_reg_gdp</v>
          </cell>
          <cell r="E257" t="str">
            <v>lfls1_s0_a3</v>
          </cell>
          <cell r="F257">
            <v>-10.099226951599121</v>
          </cell>
          <cell r="G257">
            <v>3</v>
          </cell>
        </row>
        <row r="258">
          <cell r="A258" t="str">
            <v>BGD</v>
          </cell>
          <cell r="B258" t="str">
            <v>Middle</v>
          </cell>
          <cell r="C258" t="str">
            <v>2010 - 2022</v>
          </cell>
          <cell r="D258" t="str">
            <v>med_reg_gdp</v>
          </cell>
          <cell r="E258" t="str">
            <v>lfls1_s1_A0</v>
          </cell>
          <cell r="F258">
            <v>-0.28888869285583496</v>
          </cell>
          <cell r="G258">
            <v>3</v>
          </cell>
        </row>
        <row r="259">
          <cell r="A259" t="str">
            <v>BGD</v>
          </cell>
          <cell r="B259" t="str">
            <v>Middle</v>
          </cell>
          <cell r="C259" t="str">
            <v>2010 - 2022</v>
          </cell>
          <cell r="D259" t="str">
            <v>med_reg_gdp</v>
          </cell>
          <cell r="E259" t="str">
            <v>lfls1_s1_a1</v>
          </cell>
          <cell r="F259">
            <v>0.30435913801193237</v>
          </cell>
          <cell r="G259">
            <v>3</v>
          </cell>
        </row>
        <row r="260">
          <cell r="A260" t="str">
            <v>BGD</v>
          </cell>
          <cell r="B260" t="str">
            <v>Middle</v>
          </cell>
          <cell r="C260" t="str">
            <v>2010 - 2022</v>
          </cell>
          <cell r="D260" t="str">
            <v>med_reg_gdp</v>
          </cell>
          <cell r="E260" t="str">
            <v>lfls1_s1_a2</v>
          </cell>
          <cell r="F260">
            <v>11.850312232971191</v>
          </cell>
          <cell r="G260">
            <v>3</v>
          </cell>
        </row>
        <row r="261">
          <cell r="A261" t="str">
            <v>BGD</v>
          </cell>
          <cell r="B261" t="str">
            <v>Middle</v>
          </cell>
          <cell r="C261" t="str">
            <v>2010 - 2022</v>
          </cell>
          <cell r="D261" t="str">
            <v>med_reg_gdp</v>
          </cell>
          <cell r="E261" t="str">
            <v>lfls1_s1_a3</v>
          </cell>
          <cell r="F261">
            <v>18.053594589233398</v>
          </cell>
          <cell r="G261">
            <v>3</v>
          </cell>
        </row>
        <row r="262">
          <cell r="A262" t="str">
            <v>BGD</v>
          </cell>
          <cell r="B262" t="str">
            <v>Middle</v>
          </cell>
          <cell r="C262" t="str">
            <v>2010 - 2022</v>
          </cell>
          <cell r="D262" t="str">
            <v>med_reg_gdp</v>
          </cell>
          <cell r="E262" t="str">
            <v>lfprod_s0_a1</v>
          </cell>
          <cell r="F262">
            <v>-2.8095743656158447</v>
          </cell>
          <cell r="G262">
            <v>3</v>
          </cell>
        </row>
        <row r="263">
          <cell r="A263" t="str">
            <v>BGD</v>
          </cell>
          <cell r="B263" t="str">
            <v>Middle</v>
          </cell>
          <cell r="C263" t="str">
            <v>2010 - 2022</v>
          </cell>
          <cell r="D263" t="str">
            <v>med_reg_gdp</v>
          </cell>
          <cell r="E263" t="str">
            <v>lfprod_s0_a2</v>
          </cell>
          <cell r="F263">
            <v>-0.32275795936584473</v>
          </cell>
          <cell r="G263">
            <v>3</v>
          </cell>
        </row>
        <row r="264">
          <cell r="A264" t="str">
            <v>BGD</v>
          </cell>
          <cell r="B264" t="str">
            <v>Middle</v>
          </cell>
          <cell r="C264" t="str">
            <v>2010 - 2022</v>
          </cell>
          <cell r="D264" t="str">
            <v>med_reg_gdp</v>
          </cell>
          <cell r="E264" t="str">
            <v>lfprod_s0_a3</v>
          </cell>
          <cell r="F264">
            <v>-11.099226951599121</v>
          </cell>
          <cell r="G264">
            <v>3</v>
          </cell>
        </row>
        <row r="265">
          <cell r="A265" t="str">
            <v>BGD</v>
          </cell>
          <cell r="B265" t="str">
            <v>Middle</v>
          </cell>
          <cell r="C265" t="str">
            <v>2010 - 2022</v>
          </cell>
          <cell r="D265" t="str">
            <v>med_reg_gdp</v>
          </cell>
          <cell r="E265" t="str">
            <v>lfprod_s1_a1</v>
          </cell>
          <cell r="F265">
            <v>-0.69564086198806763</v>
          </cell>
          <cell r="G265">
            <v>3</v>
          </cell>
        </row>
        <row r="266">
          <cell r="A266" t="str">
            <v>BGD</v>
          </cell>
          <cell r="B266" t="str">
            <v>Middle</v>
          </cell>
          <cell r="C266" t="str">
            <v>2010 - 2022</v>
          </cell>
          <cell r="D266" t="str">
            <v>med_reg_gdp</v>
          </cell>
          <cell r="E266" t="str">
            <v>lfprod_s1_a2</v>
          </cell>
          <cell r="F266">
            <v>10.850312232971191</v>
          </cell>
          <cell r="G266">
            <v>3</v>
          </cell>
        </row>
        <row r="267">
          <cell r="A267" t="str">
            <v>BGD</v>
          </cell>
          <cell r="B267" t="str">
            <v>Middle</v>
          </cell>
          <cell r="C267" t="str">
            <v>2010 - 2022</v>
          </cell>
          <cell r="D267" t="str">
            <v>med_reg_gdp</v>
          </cell>
          <cell r="E267" t="str">
            <v>lfprod_s1_a3</v>
          </cell>
          <cell r="F267">
            <v>17.053594589233398</v>
          </cell>
          <cell r="G267">
            <v>3</v>
          </cell>
        </row>
        <row r="268">
          <cell r="A268" t="str">
            <v>BGD</v>
          </cell>
          <cell r="B268" t="str">
            <v>Middle</v>
          </cell>
          <cell r="C268" t="str">
            <v>2010 - 2022</v>
          </cell>
          <cell r="D268" t="str">
            <v>med_reg_iter</v>
          </cell>
          <cell r="E268" t="str">
            <v>lfls12_S0_A0</v>
          </cell>
          <cell r="F268">
            <v>0.359465092420578</v>
          </cell>
          <cell r="G268">
            <v>3</v>
          </cell>
        </row>
        <row r="269">
          <cell r="A269" t="str">
            <v>BGD</v>
          </cell>
          <cell r="B269" t="str">
            <v>Middle</v>
          </cell>
          <cell r="C269" t="str">
            <v>2010 - 2022</v>
          </cell>
          <cell r="D269" t="str">
            <v>med_reg_iter</v>
          </cell>
          <cell r="E269" t="str">
            <v>lfls1_S0_A0</v>
          </cell>
          <cell r="F269">
            <v>0.35036280751228333</v>
          </cell>
          <cell r="G269">
            <v>3</v>
          </cell>
        </row>
        <row r="270">
          <cell r="A270" t="str">
            <v>BGD</v>
          </cell>
          <cell r="B270" t="str">
            <v>Middle</v>
          </cell>
          <cell r="C270" t="str">
            <v>2010 - 2022</v>
          </cell>
          <cell r="D270" t="str">
            <v>med_reg_iter</v>
          </cell>
          <cell r="E270" t="str">
            <v>lfls1_S0_a1</v>
          </cell>
          <cell r="F270">
            <v>-0.31588190793991089</v>
          </cell>
          <cell r="G270">
            <v>3</v>
          </cell>
        </row>
        <row r="271">
          <cell r="A271" t="str">
            <v>BGD</v>
          </cell>
          <cell r="B271" t="str">
            <v>Middle</v>
          </cell>
          <cell r="C271" t="str">
            <v>2010 - 2022</v>
          </cell>
          <cell r="D271" t="str">
            <v>med_reg_iter</v>
          </cell>
          <cell r="E271" t="str">
            <v>lfls1_S0_a2</v>
          </cell>
          <cell r="F271">
            <v>1.2297768592834473</v>
          </cell>
          <cell r="G271">
            <v>3</v>
          </cell>
        </row>
        <row r="272">
          <cell r="A272" t="str">
            <v>BGD</v>
          </cell>
          <cell r="B272" t="str">
            <v>Middle</v>
          </cell>
          <cell r="C272" t="str">
            <v>2010 - 2022</v>
          </cell>
          <cell r="D272" t="str">
            <v>med_reg_iter</v>
          </cell>
          <cell r="E272" t="str">
            <v>lfls1_S0_a3</v>
          </cell>
          <cell r="F272">
            <v>-7.1652069091796875</v>
          </cell>
          <cell r="G272">
            <v>3</v>
          </cell>
        </row>
        <row r="273">
          <cell r="A273" t="str">
            <v>BGD</v>
          </cell>
          <cell r="B273" t="str">
            <v>Middle</v>
          </cell>
          <cell r="C273" t="str">
            <v>2010 - 2022</v>
          </cell>
          <cell r="D273" t="str">
            <v>med_reg_iter</v>
          </cell>
          <cell r="E273" t="str">
            <v>lfls1_s0_A0</v>
          </cell>
          <cell r="F273">
            <v>0.71782338619232178</v>
          </cell>
          <cell r="G273">
            <v>3</v>
          </cell>
        </row>
        <row r="274">
          <cell r="A274" t="str">
            <v>BGD</v>
          </cell>
          <cell r="B274" t="str">
            <v>Middle</v>
          </cell>
          <cell r="C274" t="str">
            <v>2010 - 2022</v>
          </cell>
          <cell r="D274" t="str">
            <v>med_reg_iter</v>
          </cell>
          <cell r="E274" t="str">
            <v>lfls1_s0_a1</v>
          </cell>
          <cell r="F274">
            <v>-1.8095742464065552</v>
          </cell>
          <cell r="G274">
            <v>3</v>
          </cell>
        </row>
        <row r="275">
          <cell r="A275" t="str">
            <v>BGD</v>
          </cell>
          <cell r="B275" t="str">
            <v>Middle</v>
          </cell>
          <cell r="C275" t="str">
            <v>2010 - 2022</v>
          </cell>
          <cell r="D275" t="str">
            <v>med_reg_iter</v>
          </cell>
          <cell r="E275" t="str">
            <v>lfls1_s0_a2</v>
          </cell>
          <cell r="F275">
            <v>0.67724204063415527</v>
          </cell>
          <cell r="G275">
            <v>3</v>
          </cell>
        </row>
        <row r="276">
          <cell r="A276" t="str">
            <v>BGD</v>
          </cell>
          <cell r="B276" t="str">
            <v>Middle</v>
          </cell>
          <cell r="C276" t="str">
            <v>2010 - 2022</v>
          </cell>
          <cell r="D276" t="str">
            <v>med_reg_iter</v>
          </cell>
          <cell r="E276" t="str">
            <v>lfls1_s0_a3</v>
          </cell>
          <cell r="F276">
            <v>-10.099226951599121</v>
          </cell>
          <cell r="G276">
            <v>3</v>
          </cell>
        </row>
        <row r="277">
          <cell r="A277" t="str">
            <v>BGD</v>
          </cell>
          <cell r="B277" t="str">
            <v>Middle</v>
          </cell>
          <cell r="C277" t="str">
            <v>2010 - 2022</v>
          </cell>
          <cell r="D277" t="str">
            <v>med_reg_iter</v>
          </cell>
          <cell r="E277" t="str">
            <v>lfls1_s1_A0</v>
          </cell>
          <cell r="F277">
            <v>-0.28888869285583496</v>
          </cell>
          <cell r="G277">
            <v>3</v>
          </cell>
        </row>
        <row r="278">
          <cell r="A278" t="str">
            <v>BGD</v>
          </cell>
          <cell r="B278" t="str">
            <v>Middle</v>
          </cell>
          <cell r="C278" t="str">
            <v>2010 - 2022</v>
          </cell>
          <cell r="D278" t="str">
            <v>med_reg_iter</v>
          </cell>
          <cell r="E278" t="str">
            <v>lfls1_s1_a1</v>
          </cell>
          <cell r="F278">
            <v>0.30435913801193237</v>
          </cell>
          <cell r="G278">
            <v>3</v>
          </cell>
        </row>
        <row r="279">
          <cell r="A279" t="str">
            <v>BGD</v>
          </cell>
          <cell r="B279" t="str">
            <v>Middle</v>
          </cell>
          <cell r="C279" t="str">
            <v>2010 - 2022</v>
          </cell>
          <cell r="D279" t="str">
            <v>med_reg_iter</v>
          </cell>
          <cell r="E279" t="str">
            <v>lfls1_s1_a2</v>
          </cell>
          <cell r="F279">
            <v>11.850312232971191</v>
          </cell>
          <cell r="G279">
            <v>3</v>
          </cell>
        </row>
        <row r="280">
          <cell r="A280" t="str">
            <v>BGD</v>
          </cell>
          <cell r="B280" t="str">
            <v>Middle</v>
          </cell>
          <cell r="C280" t="str">
            <v>2010 - 2022</v>
          </cell>
          <cell r="D280" t="str">
            <v>med_reg_iter</v>
          </cell>
          <cell r="E280" t="str">
            <v>lfls1_s1_a3</v>
          </cell>
          <cell r="F280">
            <v>18.053594589233398</v>
          </cell>
          <cell r="G280">
            <v>3</v>
          </cell>
        </row>
        <row r="281">
          <cell r="A281" t="str">
            <v>BGD</v>
          </cell>
          <cell r="B281" t="str">
            <v>Middle</v>
          </cell>
          <cell r="C281" t="str">
            <v>2010 - 2022</v>
          </cell>
          <cell r="D281" t="str">
            <v>med_reg_iter</v>
          </cell>
          <cell r="E281" t="str">
            <v>lfprod_s0_a1</v>
          </cell>
          <cell r="F281">
            <v>-2.8095743656158447</v>
          </cell>
          <cell r="G281">
            <v>3</v>
          </cell>
        </row>
        <row r="282">
          <cell r="A282" t="str">
            <v>BGD</v>
          </cell>
          <cell r="B282" t="str">
            <v>Middle</v>
          </cell>
          <cell r="C282" t="str">
            <v>2010 - 2022</v>
          </cell>
          <cell r="D282" t="str">
            <v>med_reg_iter</v>
          </cell>
          <cell r="E282" t="str">
            <v>lfprod_s0_a2</v>
          </cell>
          <cell r="F282">
            <v>-0.32275795936584473</v>
          </cell>
          <cell r="G282">
            <v>3</v>
          </cell>
        </row>
        <row r="283">
          <cell r="A283" t="str">
            <v>BGD</v>
          </cell>
          <cell r="B283" t="str">
            <v>Middle</v>
          </cell>
          <cell r="C283" t="str">
            <v>2010 - 2022</v>
          </cell>
          <cell r="D283" t="str">
            <v>med_reg_iter</v>
          </cell>
          <cell r="E283" t="str">
            <v>lfprod_s0_a3</v>
          </cell>
          <cell r="F283">
            <v>-11.099226951599121</v>
          </cell>
          <cell r="G283">
            <v>3</v>
          </cell>
        </row>
        <row r="284">
          <cell r="A284" t="str">
            <v>BGD</v>
          </cell>
          <cell r="B284" t="str">
            <v>Middle</v>
          </cell>
          <cell r="C284" t="str">
            <v>2010 - 2022</v>
          </cell>
          <cell r="D284" t="str">
            <v>med_reg_iter</v>
          </cell>
          <cell r="E284" t="str">
            <v>lfprod_s1_a1</v>
          </cell>
          <cell r="F284">
            <v>-0.69564086198806763</v>
          </cell>
          <cell r="G284">
            <v>3</v>
          </cell>
        </row>
        <row r="285">
          <cell r="A285" t="str">
            <v>BGD</v>
          </cell>
          <cell r="B285" t="str">
            <v>Middle</v>
          </cell>
          <cell r="C285" t="str">
            <v>2010 - 2022</v>
          </cell>
          <cell r="D285" t="str">
            <v>med_reg_iter</v>
          </cell>
          <cell r="E285" t="str">
            <v>lfprod_s1_a2</v>
          </cell>
          <cell r="F285">
            <v>10.850312232971191</v>
          </cell>
          <cell r="G285">
            <v>3</v>
          </cell>
        </row>
        <row r="286">
          <cell r="A286" t="str">
            <v>BGD</v>
          </cell>
          <cell r="B286" t="str">
            <v>Middle</v>
          </cell>
          <cell r="C286" t="str">
            <v>2010 - 2022</v>
          </cell>
          <cell r="D286" t="str">
            <v>med_reg_iter</v>
          </cell>
          <cell r="E286" t="str">
            <v>lfprod_s1_a3</v>
          </cell>
          <cell r="F286">
            <v>17.053594589233398</v>
          </cell>
          <cell r="G286">
            <v>3</v>
          </cell>
        </row>
        <row r="287">
          <cell r="A287" t="str">
            <v>BGD</v>
          </cell>
          <cell r="B287" t="str">
            <v>Middle</v>
          </cell>
          <cell r="C287" t="str">
            <v>2010 - 2022</v>
          </cell>
          <cell r="D287" t="str">
            <v>reg</v>
          </cell>
          <cell r="E287" t="str">
            <v>lfls12_S0_A0</v>
          </cell>
          <cell r="F287">
            <v>0.35131591558456421</v>
          </cell>
          <cell r="G287">
            <v>3</v>
          </cell>
        </row>
        <row r="288">
          <cell r="A288" t="str">
            <v>BGD</v>
          </cell>
          <cell r="B288" t="str">
            <v>Middle</v>
          </cell>
          <cell r="C288" t="str">
            <v>2010 - 2022</v>
          </cell>
          <cell r="D288" t="str">
            <v>reg</v>
          </cell>
          <cell r="E288" t="str">
            <v>lfls1_S0_A0</v>
          </cell>
          <cell r="F288">
            <v>0.34650024771690369</v>
          </cell>
          <cell r="G288">
            <v>3</v>
          </cell>
        </row>
        <row r="289">
          <cell r="A289" t="str">
            <v>BGD</v>
          </cell>
          <cell r="B289" t="str">
            <v>Middle</v>
          </cell>
          <cell r="C289" t="str">
            <v>2010 - 2022</v>
          </cell>
          <cell r="D289" t="str">
            <v>reg</v>
          </cell>
          <cell r="E289" t="str">
            <v>lfls1_S0_a1</v>
          </cell>
          <cell r="F289">
            <v>0.40842989087104797</v>
          </cell>
          <cell r="G289">
            <v>3</v>
          </cell>
        </row>
        <row r="290">
          <cell r="A290" t="str">
            <v>BGD</v>
          </cell>
          <cell r="B290" t="str">
            <v>Middle</v>
          </cell>
          <cell r="C290" t="str">
            <v>2010 - 2022</v>
          </cell>
          <cell r="D290" t="str">
            <v>reg</v>
          </cell>
          <cell r="E290" t="str">
            <v>lfls1_S0_a2</v>
          </cell>
          <cell r="F290">
            <v>0.16888178884983063</v>
          </cell>
          <cell r="G290">
            <v>3</v>
          </cell>
        </row>
        <row r="291">
          <cell r="A291" t="str">
            <v>BGD</v>
          </cell>
          <cell r="B291" t="str">
            <v>Middle</v>
          </cell>
          <cell r="C291" t="str">
            <v>2010 - 2022</v>
          </cell>
          <cell r="D291" t="str">
            <v>reg</v>
          </cell>
          <cell r="E291" t="str">
            <v>lfls1_S0_a3</v>
          </cell>
          <cell r="F291">
            <v>0.65942871570587158</v>
          </cell>
          <cell r="G291">
            <v>3</v>
          </cell>
        </row>
        <row r="292">
          <cell r="A292" t="str">
            <v>BGD</v>
          </cell>
          <cell r="B292" t="str">
            <v>Middle</v>
          </cell>
          <cell r="C292" t="str">
            <v>2010 - 2022</v>
          </cell>
          <cell r="D292" t="str">
            <v>reg</v>
          </cell>
          <cell r="E292" t="str">
            <v>lfls1_s0_A0</v>
          </cell>
          <cell r="F292">
            <v>0.26677238941192627</v>
          </cell>
          <cell r="G292">
            <v>3</v>
          </cell>
        </row>
        <row r="293">
          <cell r="A293" t="str">
            <v>BGD</v>
          </cell>
          <cell r="B293" t="str">
            <v>Middle</v>
          </cell>
          <cell r="C293" t="str">
            <v>2010 - 2022</v>
          </cell>
          <cell r="D293" t="str">
            <v>reg</v>
          </cell>
          <cell r="E293" t="str">
            <v>lfls1_s0_a1</v>
          </cell>
          <cell r="F293">
            <v>0.38607856631278992</v>
          </cell>
          <cell r="G293">
            <v>3</v>
          </cell>
        </row>
        <row r="294">
          <cell r="A294" t="str">
            <v>BGD</v>
          </cell>
          <cell r="B294" t="str">
            <v>Middle</v>
          </cell>
          <cell r="C294" t="str">
            <v>2010 - 2022</v>
          </cell>
          <cell r="D294" t="str">
            <v>reg</v>
          </cell>
          <cell r="E294" t="str">
            <v>lfls1_s0_a2</v>
          </cell>
          <cell r="F294">
            <v>0.11853163689374924</v>
          </cell>
          <cell r="G294">
            <v>3</v>
          </cell>
        </row>
        <row r="295">
          <cell r="A295" t="str">
            <v>BGD</v>
          </cell>
          <cell r="B295" t="str">
            <v>Middle</v>
          </cell>
          <cell r="C295" t="str">
            <v>2010 - 2022</v>
          </cell>
          <cell r="D295" t="str">
            <v>reg</v>
          </cell>
          <cell r="E295" t="str">
            <v>lfls1_s0_a3</v>
          </cell>
          <cell r="F295">
            <v>0.47900009155273438</v>
          </cell>
          <cell r="G295">
            <v>3</v>
          </cell>
        </row>
        <row r="296">
          <cell r="A296" t="str">
            <v>BGD</v>
          </cell>
          <cell r="B296" t="str">
            <v>Middle</v>
          </cell>
          <cell r="C296" t="str">
            <v>2010 - 2022</v>
          </cell>
          <cell r="D296" t="str">
            <v>reg</v>
          </cell>
          <cell r="E296" t="str">
            <v>lfls1_s1_A0</v>
          </cell>
          <cell r="F296">
            <v>0.70505416393280029</v>
          </cell>
          <cell r="G296">
            <v>3</v>
          </cell>
        </row>
        <row r="297">
          <cell r="A297" t="str">
            <v>BGD</v>
          </cell>
          <cell r="B297" t="str">
            <v>Middle</v>
          </cell>
          <cell r="C297" t="str">
            <v>2010 - 2022</v>
          </cell>
          <cell r="D297" t="str">
            <v>reg</v>
          </cell>
          <cell r="E297" t="str">
            <v>lfls1_s1_a1</v>
          </cell>
          <cell r="F297">
            <v>1.3045108318328857</v>
          </cell>
          <cell r="G297">
            <v>3</v>
          </cell>
        </row>
        <row r="298">
          <cell r="A298" t="str">
            <v>BGD</v>
          </cell>
          <cell r="B298" t="str">
            <v>Middle</v>
          </cell>
          <cell r="C298" t="str">
            <v>2010 - 2022</v>
          </cell>
          <cell r="D298" t="str">
            <v>reg</v>
          </cell>
          <cell r="E298" t="str">
            <v>lfls1_s1_a2</v>
          </cell>
          <cell r="F298">
            <v>0.93476837873458862</v>
          </cell>
          <cell r="G298">
            <v>3</v>
          </cell>
        </row>
        <row r="299">
          <cell r="A299" t="str">
            <v>BGD</v>
          </cell>
          <cell r="B299" t="str">
            <v>Middle</v>
          </cell>
          <cell r="C299" t="str">
            <v>2010 - 2022</v>
          </cell>
          <cell r="D299" t="str">
            <v>reg</v>
          </cell>
          <cell r="E299" t="str">
            <v>lfls1_s1_a3</v>
          </cell>
          <cell r="F299">
            <v>1.4020854234695435</v>
          </cell>
          <cell r="G299">
            <v>3</v>
          </cell>
        </row>
        <row r="300">
          <cell r="A300" t="str">
            <v>BGD</v>
          </cell>
          <cell r="B300" t="str">
            <v>Middle</v>
          </cell>
          <cell r="C300" t="str">
            <v>2010 - 2022</v>
          </cell>
          <cell r="D300" t="str">
            <v>reg</v>
          </cell>
          <cell r="E300" t="str">
            <v>lfprod_s0_a1</v>
          </cell>
          <cell r="F300">
            <v>-0.6139214038848877</v>
          </cell>
          <cell r="G300">
            <v>3</v>
          </cell>
        </row>
        <row r="301">
          <cell r="A301" t="str">
            <v>BGD</v>
          </cell>
          <cell r="B301" t="str">
            <v>Middle</v>
          </cell>
          <cell r="C301" t="str">
            <v>2010 - 2022</v>
          </cell>
          <cell r="D301" t="str">
            <v>reg</v>
          </cell>
          <cell r="E301" t="str">
            <v>lfprod_s0_a2</v>
          </cell>
          <cell r="F301">
            <v>-0.88146835565567017</v>
          </cell>
          <cell r="G301">
            <v>3</v>
          </cell>
        </row>
        <row r="302">
          <cell r="A302" t="str">
            <v>BGD</v>
          </cell>
          <cell r="B302" t="str">
            <v>Middle</v>
          </cell>
          <cell r="C302" t="str">
            <v>2010 - 2022</v>
          </cell>
          <cell r="D302" t="str">
            <v>reg</v>
          </cell>
          <cell r="E302" t="str">
            <v>lfprod_s0_a3</v>
          </cell>
          <cell r="F302">
            <v>-0.52099990844726563</v>
          </cell>
          <cell r="G302">
            <v>3</v>
          </cell>
        </row>
        <row r="303">
          <cell r="A303" t="str">
            <v>BGD</v>
          </cell>
          <cell r="B303" t="str">
            <v>Middle</v>
          </cell>
          <cell r="C303" t="str">
            <v>2010 - 2022</v>
          </cell>
          <cell r="D303" t="str">
            <v>reg</v>
          </cell>
          <cell r="E303" t="str">
            <v>lfprod_s1_a1</v>
          </cell>
          <cell r="F303">
            <v>0.30451083183288574</v>
          </cell>
          <cell r="G303">
            <v>3</v>
          </cell>
        </row>
        <row r="304">
          <cell r="A304" t="str">
            <v>BGD</v>
          </cell>
          <cell r="B304" t="str">
            <v>Middle</v>
          </cell>
          <cell r="C304" t="str">
            <v>2010 - 2022</v>
          </cell>
          <cell r="D304" t="str">
            <v>reg</v>
          </cell>
          <cell r="E304" t="str">
            <v>lfprod_s1_a2</v>
          </cell>
          <cell r="F304">
            <v>-6.5231643617153168E-2</v>
          </cell>
          <cell r="G304">
            <v>3</v>
          </cell>
        </row>
        <row r="305">
          <cell r="A305" t="str">
            <v>BGD</v>
          </cell>
          <cell r="B305" t="str">
            <v>Middle</v>
          </cell>
          <cell r="C305" t="str">
            <v>2010 - 2022</v>
          </cell>
          <cell r="D305" t="str">
            <v>reg</v>
          </cell>
          <cell r="E305" t="str">
            <v>lfprod_s1_a3</v>
          </cell>
          <cell r="F305">
            <v>0.40208545327186584</v>
          </cell>
          <cell r="G305">
            <v>3</v>
          </cell>
        </row>
        <row r="306">
          <cell r="A306" t="str">
            <v>BGD</v>
          </cell>
          <cell r="B306" t="str">
            <v>Middle</v>
          </cell>
          <cell r="C306" t="str">
            <v>2010 - 2022</v>
          </cell>
          <cell r="D306" t="str">
            <v>reg_gdp</v>
          </cell>
          <cell r="E306" t="str">
            <v>lfls12_S0_A0</v>
          </cell>
          <cell r="F306">
            <v>0.35131591558456421</v>
          </cell>
          <cell r="G306">
            <v>3</v>
          </cell>
        </row>
        <row r="307">
          <cell r="A307" t="str">
            <v>BGD</v>
          </cell>
          <cell r="B307" t="str">
            <v>Middle</v>
          </cell>
          <cell r="C307" t="str">
            <v>2010 - 2022</v>
          </cell>
          <cell r="D307" t="str">
            <v>reg_gdp</v>
          </cell>
          <cell r="E307" t="str">
            <v>lfls1_S0_A0</v>
          </cell>
          <cell r="F307">
            <v>0.34650024771690369</v>
          </cell>
          <cell r="G307">
            <v>3</v>
          </cell>
        </row>
        <row r="308">
          <cell r="A308" t="str">
            <v>BGD</v>
          </cell>
          <cell r="B308" t="str">
            <v>Middle</v>
          </cell>
          <cell r="C308" t="str">
            <v>2010 - 2022</v>
          </cell>
          <cell r="D308" t="str">
            <v>reg_gdp</v>
          </cell>
          <cell r="E308" t="str">
            <v>lfls1_S0_a1</v>
          </cell>
          <cell r="F308">
            <v>0.42949250340461731</v>
          </cell>
          <cell r="G308">
            <v>3</v>
          </cell>
        </row>
        <row r="309">
          <cell r="A309" t="str">
            <v>BGD</v>
          </cell>
          <cell r="B309" t="str">
            <v>Middle</v>
          </cell>
          <cell r="C309" t="str">
            <v>2010 - 2022</v>
          </cell>
          <cell r="D309" t="str">
            <v>reg_gdp</v>
          </cell>
          <cell r="E309" t="str">
            <v>lfls1_S0_a2</v>
          </cell>
          <cell r="F309">
            <v>2.524463415145874</v>
          </cell>
          <cell r="G309">
            <v>3</v>
          </cell>
        </row>
        <row r="310">
          <cell r="A310" t="str">
            <v>BGD</v>
          </cell>
          <cell r="B310" t="str">
            <v>Middle</v>
          </cell>
          <cell r="C310" t="str">
            <v>2010 - 2022</v>
          </cell>
          <cell r="D310" t="str">
            <v>reg_gdp</v>
          </cell>
          <cell r="E310" t="str">
            <v>lfls1_S0_a3</v>
          </cell>
          <cell r="F310">
            <v>-2.387270450592041</v>
          </cell>
          <cell r="G310">
            <v>3</v>
          </cell>
        </row>
        <row r="311">
          <cell r="A311" t="str">
            <v>BGD</v>
          </cell>
          <cell r="B311" t="str">
            <v>Middle</v>
          </cell>
          <cell r="C311" t="str">
            <v>2010 - 2022</v>
          </cell>
          <cell r="D311" t="str">
            <v>reg_gdp</v>
          </cell>
          <cell r="E311" t="str">
            <v>lfls1_s0_A0</v>
          </cell>
          <cell r="F311">
            <v>0.26677238941192627</v>
          </cell>
          <cell r="G311">
            <v>3</v>
          </cell>
        </row>
        <row r="312">
          <cell r="A312" t="str">
            <v>BGD</v>
          </cell>
          <cell r="B312" t="str">
            <v>Middle</v>
          </cell>
          <cell r="C312" t="str">
            <v>2010 - 2022</v>
          </cell>
          <cell r="D312" t="str">
            <v>reg_gdp</v>
          </cell>
          <cell r="E312" t="str">
            <v>lfls1_s0_a1</v>
          </cell>
          <cell r="F312">
            <v>-2.5847146511077881</v>
          </cell>
          <cell r="G312">
            <v>3</v>
          </cell>
        </row>
        <row r="313">
          <cell r="A313" t="str">
            <v>BGD</v>
          </cell>
          <cell r="B313" t="str">
            <v>Middle</v>
          </cell>
          <cell r="C313" t="str">
            <v>2010 - 2022</v>
          </cell>
          <cell r="D313" t="str">
            <v>reg_gdp</v>
          </cell>
          <cell r="E313" t="str">
            <v>lfls1_s0_a2</v>
          </cell>
          <cell r="F313">
            <v>2.0421957969665527</v>
          </cell>
          <cell r="G313">
            <v>3</v>
          </cell>
        </row>
        <row r="314">
          <cell r="A314" t="str">
            <v>BGD</v>
          </cell>
          <cell r="B314" t="str">
            <v>Middle</v>
          </cell>
          <cell r="C314" t="str">
            <v>2010 - 2022</v>
          </cell>
          <cell r="D314" t="str">
            <v>reg_gdp</v>
          </cell>
          <cell r="E314" t="str">
            <v>lfls1_s0_a3</v>
          </cell>
          <cell r="F314">
            <v>-2.5457243919372559</v>
          </cell>
          <cell r="G314">
            <v>3</v>
          </cell>
        </row>
        <row r="315">
          <cell r="A315" t="str">
            <v>BGD</v>
          </cell>
          <cell r="B315" t="str">
            <v>Middle</v>
          </cell>
          <cell r="C315" t="str">
            <v>2010 - 2022</v>
          </cell>
          <cell r="D315" t="str">
            <v>reg_gdp</v>
          </cell>
          <cell r="E315" t="str">
            <v>lfls1_s1_A0</v>
          </cell>
          <cell r="F315">
            <v>0.70505416393280029</v>
          </cell>
          <cell r="G315">
            <v>3</v>
          </cell>
        </row>
        <row r="316">
          <cell r="A316" t="str">
            <v>BGD</v>
          </cell>
          <cell r="B316" t="str">
            <v>Middle</v>
          </cell>
          <cell r="C316" t="str">
            <v>2010 - 2022</v>
          </cell>
          <cell r="D316" t="str">
            <v>reg_gdp</v>
          </cell>
          <cell r="E316" t="str">
            <v>lfls1_s1_a1</v>
          </cell>
          <cell r="F316">
            <v>3.2255244255065918</v>
          </cell>
          <cell r="G316">
            <v>3</v>
          </cell>
        </row>
        <row r="317">
          <cell r="A317" t="str">
            <v>BGD</v>
          </cell>
          <cell r="B317" t="str">
            <v>Middle</v>
          </cell>
          <cell r="C317" t="str">
            <v>2010 - 2022</v>
          </cell>
          <cell r="D317" t="str">
            <v>reg_gdp</v>
          </cell>
          <cell r="E317" t="str">
            <v>lfls1_s1_a2</v>
          </cell>
          <cell r="F317">
            <v>9.8033332824707031</v>
          </cell>
          <cell r="G317">
            <v>3</v>
          </cell>
        </row>
        <row r="318">
          <cell r="A318" t="str">
            <v>BGD</v>
          </cell>
          <cell r="B318" t="str">
            <v>Middle</v>
          </cell>
          <cell r="C318" t="str">
            <v>2010 - 2022</v>
          </cell>
          <cell r="D318" t="str">
            <v>reg_gdp</v>
          </cell>
          <cell r="E318" t="str">
            <v>lfls1_s1_a3</v>
          </cell>
          <cell r="F318">
            <v>6.1793012619018555</v>
          </cell>
          <cell r="G318">
            <v>3</v>
          </cell>
        </row>
        <row r="319">
          <cell r="A319" t="str">
            <v>BGD</v>
          </cell>
          <cell r="B319" t="str">
            <v>Middle</v>
          </cell>
          <cell r="C319" t="str">
            <v>2010 - 2022</v>
          </cell>
          <cell r="D319" t="str">
            <v>reg_gdp</v>
          </cell>
          <cell r="E319" t="str">
            <v>lfprod_s0_a1</v>
          </cell>
          <cell r="F319">
            <v>-3.5847146511077881</v>
          </cell>
          <cell r="G319">
            <v>3</v>
          </cell>
        </row>
        <row r="320">
          <cell r="A320" t="str">
            <v>BGD</v>
          </cell>
          <cell r="B320" t="str">
            <v>Middle</v>
          </cell>
          <cell r="C320" t="str">
            <v>2010 - 2022</v>
          </cell>
          <cell r="D320" t="str">
            <v>reg_gdp</v>
          </cell>
          <cell r="E320" t="str">
            <v>lfprod_s0_a2</v>
          </cell>
          <cell r="F320">
            <v>1.0421956777572632</v>
          </cell>
          <cell r="G320">
            <v>3</v>
          </cell>
        </row>
        <row r="321">
          <cell r="A321" t="str">
            <v>BGD</v>
          </cell>
          <cell r="B321" t="str">
            <v>Middle</v>
          </cell>
          <cell r="C321" t="str">
            <v>2010 - 2022</v>
          </cell>
          <cell r="D321" t="str">
            <v>reg_gdp</v>
          </cell>
          <cell r="E321" t="str">
            <v>lfprod_s0_a3</v>
          </cell>
          <cell r="F321">
            <v>-3.5457243919372559</v>
          </cell>
          <cell r="G321">
            <v>3</v>
          </cell>
        </row>
        <row r="322">
          <cell r="A322" t="str">
            <v>BGD</v>
          </cell>
          <cell r="B322" t="str">
            <v>Middle</v>
          </cell>
          <cell r="C322" t="str">
            <v>2010 - 2022</v>
          </cell>
          <cell r="D322" t="str">
            <v>reg_gdp</v>
          </cell>
          <cell r="E322" t="str">
            <v>lfprod_s1_a1</v>
          </cell>
          <cell r="F322">
            <v>2.2255244255065918</v>
          </cell>
          <cell r="G322">
            <v>3</v>
          </cell>
        </row>
        <row r="323">
          <cell r="A323" t="str">
            <v>BGD</v>
          </cell>
          <cell r="B323" t="str">
            <v>Middle</v>
          </cell>
          <cell r="C323" t="str">
            <v>2010 - 2022</v>
          </cell>
          <cell r="D323" t="str">
            <v>reg_gdp</v>
          </cell>
          <cell r="E323" t="str">
            <v>lfprod_s1_a2</v>
          </cell>
          <cell r="F323">
            <v>8.8033332824707031</v>
          </cell>
          <cell r="G323">
            <v>3</v>
          </cell>
        </row>
        <row r="324">
          <cell r="A324" t="str">
            <v>BGD</v>
          </cell>
          <cell r="B324" t="str">
            <v>Middle</v>
          </cell>
          <cell r="C324" t="str">
            <v>2010 - 2022</v>
          </cell>
          <cell r="D324" t="str">
            <v>reg_gdp</v>
          </cell>
          <cell r="E324" t="str">
            <v>lfprod_s1_a3</v>
          </cell>
          <cell r="F324">
            <v>5.1793012619018555</v>
          </cell>
          <cell r="G324">
            <v>3</v>
          </cell>
        </row>
        <row r="325">
          <cell r="A325" t="str">
            <v>BGD</v>
          </cell>
          <cell r="B325" t="str">
            <v>Middle</v>
          </cell>
          <cell r="C325" t="str">
            <v>2010 - 2022</v>
          </cell>
          <cell r="D325" t="str">
            <v>reg_iter</v>
          </cell>
          <cell r="E325" t="str">
            <v>lfls12_S0_A0</v>
          </cell>
          <cell r="F325">
            <v>0.35131591558456421</v>
          </cell>
          <cell r="G325">
            <v>3</v>
          </cell>
        </row>
        <row r="326">
          <cell r="A326" t="str">
            <v>BGD</v>
          </cell>
          <cell r="B326" t="str">
            <v>Middle</v>
          </cell>
          <cell r="C326" t="str">
            <v>2010 - 2022</v>
          </cell>
          <cell r="D326" t="str">
            <v>reg_iter</v>
          </cell>
          <cell r="E326" t="str">
            <v>lfls1_S0_A0</v>
          </cell>
          <cell r="F326">
            <v>0.34650024771690369</v>
          </cell>
          <cell r="G326">
            <v>3</v>
          </cell>
        </row>
        <row r="327">
          <cell r="A327" t="str">
            <v>BGD</v>
          </cell>
          <cell r="B327" t="str">
            <v>Middle</v>
          </cell>
          <cell r="C327" t="str">
            <v>2010 - 2022</v>
          </cell>
          <cell r="D327" t="str">
            <v>reg_iter</v>
          </cell>
          <cell r="E327" t="str">
            <v>lfls1_S0_a1</v>
          </cell>
          <cell r="F327">
            <v>0.42949250340461731</v>
          </cell>
          <cell r="G327">
            <v>3</v>
          </cell>
        </row>
        <row r="328">
          <cell r="A328" t="str">
            <v>BGD</v>
          </cell>
          <cell r="B328" t="str">
            <v>Middle</v>
          </cell>
          <cell r="C328" t="str">
            <v>2010 - 2022</v>
          </cell>
          <cell r="D328" t="str">
            <v>reg_iter</v>
          </cell>
          <cell r="E328" t="str">
            <v>lfls1_S0_a2</v>
          </cell>
          <cell r="F328">
            <v>2.524463415145874</v>
          </cell>
          <cell r="G328">
            <v>3</v>
          </cell>
        </row>
        <row r="329">
          <cell r="A329" t="str">
            <v>BGD</v>
          </cell>
          <cell r="B329" t="str">
            <v>Middle</v>
          </cell>
          <cell r="C329" t="str">
            <v>2010 - 2022</v>
          </cell>
          <cell r="D329" t="str">
            <v>reg_iter</v>
          </cell>
          <cell r="E329" t="str">
            <v>lfls1_S0_a3</v>
          </cell>
          <cell r="F329">
            <v>-2.387270450592041</v>
          </cell>
          <cell r="G329">
            <v>3</v>
          </cell>
        </row>
        <row r="330">
          <cell r="A330" t="str">
            <v>BGD</v>
          </cell>
          <cell r="B330" t="str">
            <v>Middle</v>
          </cell>
          <cell r="C330" t="str">
            <v>2010 - 2022</v>
          </cell>
          <cell r="D330" t="str">
            <v>reg_iter</v>
          </cell>
          <cell r="E330" t="str">
            <v>lfls1_s0_A0</v>
          </cell>
          <cell r="F330">
            <v>0.26677238941192627</v>
          </cell>
          <cell r="G330">
            <v>3</v>
          </cell>
        </row>
        <row r="331">
          <cell r="A331" t="str">
            <v>BGD</v>
          </cell>
          <cell r="B331" t="str">
            <v>Middle</v>
          </cell>
          <cell r="C331" t="str">
            <v>2010 - 2022</v>
          </cell>
          <cell r="D331" t="str">
            <v>reg_iter</v>
          </cell>
          <cell r="E331" t="str">
            <v>lfls1_s0_a1</v>
          </cell>
          <cell r="F331">
            <v>-2.5847146511077881</v>
          </cell>
          <cell r="G331">
            <v>3</v>
          </cell>
        </row>
        <row r="332">
          <cell r="A332" t="str">
            <v>BGD</v>
          </cell>
          <cell r="B332" t="str">
            <v>Middle</v>
          </cell>
          <cell r="C332" t="str">
            <v>2010 - 2022</v>
          </cell>
          <cell r="D332" t="str">
            <v>reg_iter</v>
          </cell>
          <cell r="E332" t="str">
            <v>lfls1_s0_a2</v>
          </cell>
          <cell r="F332">
            <v>2.0421957969665527</v>
          </cell>
          <cell r="G332">
            <v>3</v>
          </cell>
        </row>
        <row r="333">
          <cell r="A333" t="str">
            <v>BGD</v>
          </cell>
          <cell r="B333" t="str">
            <v>Middle</v>
          </cell>
          <cell r="C333" t="str">
            <v>2010 - 2022</v>
          </cell>
          <cell r="D333" t="str">
            <v>reg_iter</v>
          </cell>
          <cell r="E333" t="str">
            <v>lfls1_s0_a3</v>
          </cell>
          <cell r="F333">
            <v>-2.5457243919372559</v>
          </cell>
          <cell r="G333">
            <v>3</v>
          </cell>
        </row>
        <row r="334">
          <cell r="A334" t="str">
            <v>BGD</v>
          </cell>
          <cell r="B334" t="str">
            <v>Middle</v>
          </cell>
          <cell r="C334" t="str">
            <v>2010 - 2022</v>
          </cell>
          <cell r="D334" t="str">
            <v>reg_iter</v>
          </cell>
          <cell r="E334" t="str">
            <v>lfls1_s1_A0</v>
          </cell>
          <cell r="F334">
            <v>0.70505416393280029</v>
          </cell>
          <cell r="G334">
            <v>3</v>
          </cell>
        </row>
        <row r="335">
          <cell r="A335" t="str">
            <v>BGD</v>
          </cell>
          <cell r="B335" t="str">
            <v>Middle</v>
          </cell>
          <cell r="C335" t="str">
            <v>2010 - 2022</v>
          </cell>
          <cell r="D335" t="str">
            <v>reg_iter</v>
          </cell>
          <cell r="E335" t="str">
            <v>lfls1_s1_a1</v>
          </cell>
          <cell r="F335">
            <v>3.2255244255065918</v>
          </cell>
          <cell r="G335">
            <v>3</v>
          </cell>
        </row>
        <row r="336">
          <cell r="A336" t="str">
            <v>BGD</v>
          </cell>
          <cell r="B336" t="str">
            <v>Middle</v>
          </cell>
          <cell r="C336" t="str">
            <v>2010 - 2022</v>
          </cell>
          <cell r="D336" t="str">
            <v>reg_iter</v>
          </cell>
          <cell r="E336" t="str">
            <v>lfls1_s1_a2</v>
          </cell>
          <cell r="F336">
            <v>9.8033332824707031</v>
          </cell>
          <cell r="G336">
            <v>3</v>
          </cell>
        </row>
        <row r="337">
          <cell r="A337" t="str">
            <v>BGD</v>
          </cell>
          <cell r="B337" t="str">
            <v>Middle</v>
          </cell>
          <cell r="C337" t="str">
            <v>2010 - 2022</v>
          </cell>
          <cell r="D337" t="str">
            <v>reg_iter</v>
          </cell>
          <cell r="E337" t="str">
            <v>lfls1_s1_a3</v>
          </cell>
          <cell r="F337">
            <v>6.1793012619018555</v>
          </cell>
          <cell r="G337">
            <v>3</v>
          </cell>
        </row>
        <row r="338">
          <cell r="A338" t="str">
            <v>BGD</v>
          </cell>
          <cell r="B338" t="str">
            <v>Middle</v>
          </cell>
          <cell r="C338" t="str">
            <v>2010 - 2022</v>
          </cell>
          <cell r="D338" t="str">
            <v>reg_iter</v>
          </cell>
          <cell r="E338" t="str">
            <v>lfprod_s0_a1</v>
          </cell>
          <cell r="F338">
            <v>-3.5847146511077881</v>
          </cell>
          <cell r="G338">
            <v>3</v>
          </cell>
        </row>
        <row r="339">
          <cell r="A339" t="str">
            <v>BGD</v>
          </cell>
          <cell r="B339" t="str">
            <v>Middle</v>
          </cell>
          <cell r="C339" t="str">
            <v>2010 - 2022</v>
          </cell>
          <cell r="D339" t="str">
            <v>reg_iter</v>
          </cell>
          <cell r="E339" t="str">
            <v>lfprod_s0_a2</v>
          </cell>
          <cell r="F339">
            <v>1.0421956777572632</v>
          </cell>
          <cell r="G339">
            <v>3</v>
          </cell>
        </row>
        <row r="340">
          <cell r="A340" t="str">
            <v>BGD</v>
          </cell>
          <cell r="B340" t="str">
            <v>Middle</v>
          </cell>
          <cell r="C340" t="str">
            <v>2010 - 2022</v>
          </cell>
          <cell r="D340" t="str">
            <v>reg_iter</v>
          </cell>
          <cell r="E340" t="str">
            <v>lfprod_s0_a3</v>
          </cell>
          <cell r="F340">
            <v>-3.5457243919372559</v>
          </cell>
          <cell r="G340">
            <v>3</v>
          </cell>
        </row>
        <row r="341">
          <cell r="A341" t="str">
            <v>BGD</v>
          </cell>
          <cell r="B341" t="str">
            <v>Middle</v>
          </cell>
          <cell r="C341" t="str">
            <v>2010 - 2022</v>
          </cell>
          <cell r="D341" t="str">
            <v>reg_iter</v>
          </cell>
          <cell r="E341" t="str">
            <v>lfprod_s1_a1</v>
          </cell>
          <cell r="F341">
            <v>2.2255244255065918</v>
          </cell>
          <cell r="G341">
            <v>3</v>
          </cell>
        </row>
        <row r="342">
          <cell r="A342" t="str">
            <v>BGD</v>
          </cell>
          <cell r="B342" t="str">
            <v>Middle</v>
          </cell>
          <cell r="C342" t="str">
            <v>2010 - 2022</v>
          </cell>
          <cell r="D342" t="str">
            <v>reg_iter</v>
          </cell>
          <cell r="E342" t="str">
            <v>lfprod_s1_a2</v>
          </cell>
          <cell r="F342">
            <v>8.8033332824707031</v>
          </cell>
          <cell r="G342">
            <v>3</v>
          </cell>
        </row>
        <row r="343">
          <cell r="A343" t="str">
            <v>BGD</v>
          </cell>
          <cell r="B343" t="str">
            <v>Middle</v>
          </cell>
          <cell r="C343" t="str">
            <v>2010 - 2022</v>
          </cell>
          <cell r="D343" t="str">
            <v>reg_iter</v>
          </cell>
          <cell r="E343" t="str">
            <v>lfprod_s1_a3</v>
          </cell>
          <cell r="F343">
            <v>5.1793012619018555</v>
          </cell>
          <cell r="G343">
            <v>3</v>
          </cell>
        </row>
        <row r="344">
          <cell r="A344" t="str">
            <v>BGD</v>
          </cell>
          <cell r="B344" t="str">
            <v>Short</v>
          </cell>
          <cell r="C344" t="str">
            <v>2015 - 2022</v>
          </cell>
          <cell r="D344" t="str">
            <v>avg</v>
          </cell>
          <cell r="E344" t="str">
            <v>lfls12_S0_A0</v>
          </cell>
          <cell r="F344">
            <v>0.30144312977790833</v>
          </cell>
          <cell r="G344">
            <v>3</v>
          </cell>
        </row>
        <row r="345">
          <cell r="A345" t="str">
            <v>BGD</v>
          </cell>
          <cell r="B345" t="str">
            <v>Short</v>
          </cell>
          <cell r="C345" t="str">
            <v>2015 - 2022</v>
          </cell>
          <cell r="D345" t="str">
            <v>avg</v>
          </cell>
          <cell r="E345" t="str">
            <v>lfls1_S0_A0</v>
          </cell>
          <cell r="F345">
            <v>0.29684466123580933</v>
          </cell>
          <cell r="G345">
            <v>3</v>
          </cell>
        </row>
        <row r="346">
          <cell r="A346" t="str">
            <v>BGD</v>
          </cell>
          <cell r="B346" t="str">
            <v>Short</v>
          </cell>
          <cell r="C346" t="str">
            <v>2015 - 2022</v>
          </cell>
          <cell r="D346" t="str">
            <v>avg</v>
          </cell>
          <cell r="E346" t="str">
            <v>lfls1_S0_a1</v>
          </cell>
          <cell r="F346">
            <v>0.28965547680854797</v>
          </cell>
          <cell r="G346">
            <v>3</v>
          </cell>
        </row>
        <row r="347">
          <cell r="A347" t="str">
            <v>BGD</v>
          </cell>
          <cell r="B347" t="str">
            <v>Short</v>
          </cell>
          <cell r="C347" t="str">
            <v>2015 - 2022</v>
          </cell>
          <cell r="D347" t="str">
            <v>avg</v>
          </cell>
          <cell r="E347" t="str">
            <v>lfls1_S0_a2</v>
          </cell>
          <cell r="F347">
            <v>5.8713890612125397E-2</v>
          </cell>
          <cell r="G347">
            <v>3</v>
          </cell>
        </row>
        <row r="348">
          <cell r="A348" t="str">
            <v>BGD</v>
          </cell>
          <cell r="B348" t="str">
            <v>Short</v>
          </cell>
          <cell r="C348" t="str">
            <v>2015 - 2022</v>
          </cell>
          <cell r="D348" t="str">
            <v>avg</v>
          </cell>
          <cell r="E348" t="str">
            <v>lfls1_S0_a3</v>
          </cell>
          <cell r="F348">
            <v>0.90281343460083008</v>
          </cell>
          <cell r="G348">
            <v>3</v>
          </cell>
        </row>
        <row r="349">
          <cell r="A349" t="str">
            <v>BGD</v>
          </cell>
          <cell r="B349" t="str">
            <v>Short</v>
          </cell>
          <cell r="C349" t="str">
            <v>2015 - 2022</v>
          </cell>
          <cell r="D349" t="str">
            <v>avg</v>
          </cell>
          <cell r="E349" t="str">
            <v>lfls1_s0_A0</v>
          </cell>
          <cell r="F349">
            <v>0.64339053630828857</v>
          </cell>
          <cell r="G349">
            <v>3</v>
          </cell>
        </row>
        <row r="350">
          <cell r="A350" t="str">
            <v>BGD</v>
          </cell>
          <cell r="B350" t="str">
            <v>Short</v>
          </cell>
          <cell r="C350" t="str">
            <v>2015 - 2022</v>
          </cell>
          <cell r="D350" t="str">
            <v>avg</v>
          </cell>
          <cell r="E350" t="str">
            <v>lfls1_s0_a1</v>
          </cell>
          <cell r="F350">
            <v>4.4583425521850586</v>
          </cell>
          <cell r="G350">
            <v>3</v>
          </cell>
        </row>
        <row r="351">
          <cell r="A351" t="str">
            <v>BGD</v>
          </cell>
          <cell r="B351" t="str">
            <v>Short</v>
          </cell>
          <cell r="C351" t="str">
            <v>2015 - 2022</v>
          </cell>
          <cell r="D351" t="str">
            <v>avg</v>
          </cell>
          <cell r="E351" t="str">
            <v>lfls1_s0_a2</v>
          </cell>
          <cell r="F351">
            <v>-9.5537863671779633E-3</v>
          </cell>
          <cell r="G351">
            <v>3</v>
          </cell>
        </row>
        <row r="352">
          <cell r="A352" t="str">
            <v>BGD</v>
          </cell>
          <cell r="B352" t="str">
            <v>Short</v>
          </cell>
          <cell r="C352" t="str">
            <v>2015 - 2022</v>
          </cell>
          <cell r="D352" t="str">
            <v>avg</v>
          </cell>
          <cell r="E352" t="str">
            <v>lfls1_s0_a3</v>
          </cell>
          <cell r="F352">
            <v>0.88726180791854858</v>
          </cell>
          <cell r="G352">
            <v>3</v>
          </cell>
        </row>
        <row r="353">
          <cell r="A353" t="str">
            <v>BGD</v>
          </cell>
          <cell r="B353" t="str">
            <v>Short</v>
          </cell>
          <cell r="C353" t="str">
            <v>2015 - 2022</v>
          </cell>
          <cell r="D353" t="str">
            <v>avg</v>
          </cell>
          <cell r="E353" t="str">
            <v>lfls1_s1_A0</v>
          </cell>
          <cell r="F353">
            <v>-0.17981988191604614</v>
          </cell>
          <cell r="G353">
            <v>3</v>
          </cell>
        </row>
        <row r="354">
          <cell r="A354" t="str">
            <v>BGD</v>
          </cell>
          <cell r="B354" t="str">
            <v>Short</v>
          </cell>
          <cell r="C354" t="str">
            <v>2015 - 2022</v>
          </cell>
          <cell r="D354" t="str">
            <v>avg</v>
          </cell>
          <cell r="E354" t="str">
            <v>lfls1_s1_a1</v>
          </cell>
          <cell r="F354">
            <v>-0.84124022722244263</v>
          </cell>
          <cell r="G354">
            <v>3</v>
          </cell>
        </row>
        <row r="355">
          <cell r="A355" t="str">
            <v>BGD</v>
          </cell>
          <cell r="B355" t="str">
            <v>Short</v>
          </cell>
          <cell r="C355" t="str">
            <v>2015 - 2022</v>
          </cell>
          <cell r="D355" t="str">
            <v>avg</v>
          </cell>
          <cell r="E355" t="str">
            <v>lfls1_s1_a2</v>
          </cell>
          <cell r="F355">
            <v>1.2176457643508911</v>
          </cell>
          <cell r="G355">
            <v>3</v>
          </cell>
        </row>
        <row r="356">
          <cell r="A356" t="str">
            <v>BGD</v>
          </cell>
          <cell r="B356" t="str">
            <v>Short</v>
          </cell>
          <cell r="C356" t="str">
            <v>2015 - 2022</v>
          </cell>
          <cell r="D356" t="str">
            <v>avg</v>
          </cell>
          <cell r="E356" t="str">
            <v>lfls1_s1_a3</v>
          </cell>
          <cell r="F356">
            <v>0.99762457609176636</v>
          </cell>
          <cell r="G356">
            <v>3</v>
          </cell>
        </row>
        <row r="357">
          <cell r="A357" t="str">
            <v>BGD</v>
          </cell>
          <cell r="B357" t="str">
            <v>Short</v>
          </cell>
          <cell r="C357" t="str">
            <v>2015 - 2022</v>
          </cell>
          <cell r="D357" t="str">
            <v>avg</v>
          </cell>
          <cell r="E357" t="str">
            <v>lfprod_s0_a1</v>
          </cell>
          <cell r="F357">
            <v>2.9618732929229736</v>
          </cell>
          <cell r="G357">
            <v>3</v>
          </cell>
        </row>
        <row r="358">
          <cell r="A358" t="str">
            <v>BGD</v>
          </cell>
          <cell r="B358" t="str">
            <v>Short</v>
          </cell>
          <cell r="C358" t="str">
            <v>2015 - 2022</v>
          </cell>
          <cell r="D358" t="str">
            <v>avg</v>
          </cell>
          <cell r="E358" t="str">
            <v>lfprod_s0_a2</v>
          </cell>
          <cell r="F358">
            <v>-0.77346688508987427</v>
          </cell>
          <cell r="G358">
            <v>3</v>
          </cell>
        </row>
        <row r="359">
          <cell r="A359" t="str">
            <v>BGD</v>
          </cell>
          <cell r="B359" t="str">
            <v>Short</v>
          </cell>
          <cell r="C359" t="str">
            <v>2015 - 2022</v>
          </cell>
          <cell r="D359" t="str">
            <v>avg</v>
          </cell>
          <cell r="E359" t="str">
            <v>lfprod_s0_a3</v>
          </cell>
          <cell r="F359">
            <v>-5.1201559603214264E-2</v>
          </cell>
          <cell r="G359">
            <v>3</v>
          </cell>
        </row>
        <row r="360">
          <cell r="A360" t="str">
            <v>BGD</v>
          </cell>
          <cell r="B360" t="str">
            <v>Short</v>
          </cell>
          <cell r="C360" t="str">
            <v>2015 - 2022</v>
          </cell>
          <cell r="D360" t="str">
            <v>avg</v>
          </cell>
          <cell r="E360" t="str">
            <v>lfprod_s1_a1</v>
          </cell>
          <cell r="F360">
            <v>-1.6635783910751343</v>
          </cell>
          <cell r="G360">
            <v>3</v>
          </cell>
        </row>
        <row r="361">
          <cell r="A361" t="str">
            <v>BGD</v>
          </cell>
          <cell r="B361" t="str">
            <v>Short</v>
          </cell>
          <cell r="C361" t="str">
            <v>2015 - 2022</v>
          </cell>
          <cell r="D361" t="str">
            <v>avg</v>
          </cell>
          <cell r="E361" t="str">
            <v>lfprod_s1_a2</v>
          </cell>
          <cell r="F361">
            <v>0.26265612244606018</v>
          </cell>
          <cell r="G361">
            <v>3</v>
          </cell>
        </row>
        <row r="362">
          <cell r="A362" t="str">
            <v>BGD</v>
          </cell>
          <cell r="B362" t="str">
            <v>Short</v>
          </cell>
          <cell r="C362" t="str">
            <v>2015 - 2022</v>
          </cell>
          <cell r="D362" t="str">
            <v>avg</v>
          </cell>
          <cell r="E362" t="str">
            <v>lfprod_s1_a3</v>
          </cell>
          <cell r="F362">
            <v>-5.4674252867698669E-2</v>
          </cell>
          <cell r="G362">
            <v>3</v>
          </cell>
        </row>
        <row r="363">
          <cell r="A363" t="str">
            <v>BGD</v>
          </cell>
          <cell r="B363" t="str">
            <v>Short</v>
          </cell>
          <cell r="C363" t="str">
            <v>2015 - 2022</v>
          </cell>
          <cell r="D363" t="str">
            <v>avg_1_99</v>
          </cell>
          <cell r="E363" t="str">
            <v>lfls12_S0_A0</v>
          </cell>
          <cell r="F363">
            <v>0.31307488679885864</v>
          </cell>
          <cell r="G363">
            <v>3</v>
          </cell>
        </row>
        <row r="364">
          <cell r="A364" t="str">
            <v>BGD</v>
          </cell>
          <cell r="B364" t="str">
            <v>Short</v>
          </cell>
          <cell r="C364" t="str">
            <v>2015 - 2022</v>
          </cell>
          <cell r="D364" t="str">
            <v>avg_1_99</v>
          </cell>
          <cell r="E364" t="str">
            <v>lfls1_S0_A0</v>
          </cell>
          <cell r="F364">
            <v>0.32965004444122314</v>
          </cell>
          <cell r="G364">
            <v>3</v>
          </cell>
        </row>
        <row r="365">
          <cell r="A365" t="str">
            <v>BGD</v>
          </cell>
          <cell r="B365" t="str">
            <v>Short</v>
          </cell>
          <cell r="C365" t="str">
            <v>2015 - 2022</v>
          </cell>
          <cell r="D365" t="str">
            <v>avg_1_99</v>
          </cell>
          <cell r="E365" t="str">
            <v>lfls1_S0_a1</v>
          </cell>
          <cell r="F365">
            <v>0.45131835341453552</v>
          </cell>
          <cell r="G365">
            <v>3</v>
          </cell>
        </row>
        <row r="366">
          <cell r="A366" t="str">
            <v>BGD</v>
          </cell>
          <cell r="B366" t="str">
            <v>Short</v>
          </cell>
          <cell r="C366" t="str">
            <v>2015 - 2022</v>
          </cell>
          <cell r="D366" t="str">
            <v>avg_1_99</v>
          </cell>
          <cell r="E366" t="str">
            <v>lfls1_S0_a2</v>
          </cell>
          <cell r="F366">
            <v>6.3779465854167938E-2</v>
          </cell>
          <cell r="G366">
            <v>3</v>
          </cell>
        </row>
        <row r="367">
          <cell r="A367" t="str">
            <v>BGD</v>
          </cell>
          <cell r="B367" t="str">
            <v>Short</v>
          </cell>
          <cell r="C367" t="str">
            <v>2015 - 2022</v>
          </cell>
          <cell r="D367" t="str">
            <v>avg_1_99</v>
          </cell>
          <cell r="E367" t="str">
            <v>lfls1_S0_a3</v>
          </cell>
          <cell r="F367">
            <v>0.96280765533447266</v>
          </cell>
          <cell r="G367">
            <v>3</v>
          </cell>
        </row>
        <row r="368">
          <cell r="A368" t="str">
            <v>BGD</v>
          </cell>
          <cell r="B368" t="str">
            <v>Short</v>
          </cell>
          <cell r="C368" t="str">
            <v>2015 - 2022</v>
          </cell>
          <cell r="D368" t="str">
            <v>avg_1_99</v>
          </cell>
          <cell r="E368" t="str">
            <v>lfls1_s0_A0</v>
          </cell>
          <cell r="F368">
            <v>0.61345076560974121</v>
          </cell>
          <cell r="G368">
            <v>3</v>
          </cell>
        </row>
        <row r="369">
          <cell r="A369" t="str">
            <v>BGD</v>
          </cell>
          <cell r="B369" t="str">
            <v>Short</v>
          </cell>
          <cell r="C369" t="str">
            <v>2015 - 2022</v>
          </cell>
          <cell r="D369" t="str">
            <v>avg_1_99</v>
          </cell>
          <cell r="E369" t="str">
            <v>lfls1_s0_a1</v>
          </cell>
          <cell r="F369">
            <v>2.7213976383209229</v>
          </cell>
          <cell r="G369">
            <v>3</v>
          </cell>
        </row>
        <row r="370">
          <cell r="A370" t="str">
            <v>BGD</v>
          </cell>
          <cell r="B370" t="str">
            <v>Short</v>
          </cell>
          <cell r="C370" t="str">
            <v>2015 - 2022</v>
          </cell>
          <cell r="D370" t="str">
            <v>avg_1_99</v>
          </cell>
          <cell r="E370" t="str">
            <v>lfls1_s0_a2</v>
          </cell>
          <cell r="F370">
            <v>-6.2154393643140793E-2</v>
          </cell>
          <cell r="G370">
            <v>3</v>
          </cell>
        </row>
        <row r="371">
          <cell r="A371" t="str">
            <v>BGD</v>
          </cell>
          <cell r="B371" t="str">
            <v>Short</v>
          </cell>
          <cell r="C371" t="str">
            <v>2015 - 2022</v>
          </cell>
          <cell r="D371" t="str">
            <v>avg_1_99</v>
          </cell>
          <cell r="E371" t="str">
            <v>lfls1_s0_a3</v>
          </cell>
          <cell r="F371">
            <v>0.92259246110916138</v>
          </cell>
          <cell r="G371">
            <v>3</v>
          </cell>
        </row>
        <row r="372">
          <cell r="A372" t="str">
            <v>BGD</v>
          </cell>
          <cell r="B372" t="str">
            <v>Short</v>
          </cell>
          <cell r="C372" t="str">
            <v>2015 - 2022</v>
          </cell>
          <cell r="D372" t="str">
            <v>avg_1_99</v>
          </cell>
          <cell r="E372" t="str">
            <v>lfls1_s1_A0</v>
          </cell>
          <cell r="F372">
            <v>-0.2665216326713562</v>
          </cell>
          <cell r="G372">
            <v>3</v>
          </cell>
        </row>
        <row r="373">
          <cell r="A373" t="str">
            <v>BGD</v>
          </cell>
          <cell r="B373" t="str">
            <v>Short</v>
          </cell>
          <cell r="C373" t="str">
            <v>2015 - 2022</v>
          </cell>
          <cell r="D373" t="str">
            <v>avg_1_99</v>
          </cell>
          <cell r="E373" t="str">
            <v>lfls1_s1_a1</v>
          </cell>
          <cell r="F373">
            <v>-1.1248633861541748</v>
          </cell>
          <cell r="G373">
            <v>3</v>
          </cell>
        </row>
        <row r="374">
          <cell r="A374" t="str">
            <v>BGD</v>
          </cell>
          <cell r="B374" t="str">
            <v>Short</v>
          </cell>
          <cell r="C374" t="str">
            <v>2015 - 2022</v>
          </cell>
          <cell r="D374" t="str">
            <v>avg_1_99</v>
          </cell>
          <cell r="E374" t="str">
            <v>lfls1_s1_a2</v>
          </cell>
          <cell r="F374">
            <v>0.52166229486465454</v>
          </cell>
          <cell r="G374">
            <v>3</v>
          </cell>
        </row>
        <row r="375">
          <cell r="A375" t="str">
            <v>BGD</v>
          </cell>
          <cell r="B375" t="str">
            <v>Short</v>
          </cell>
          <cell r="C375" t="str">
            <v>2015 - 2022</v>
          </cell>
          <cell r="D375" t="str">
            <v>avg_1_99</v>
          </cell>
          <cell r="E375" t="str">
            <v>lfls1_s1_a3</v>
          </cell>
          <cell r="F375">
            <v>1.1322939395904541</v>
          </cell>
          <cell r="G375">
            <v>3</v>
          </cell>
        </row>
        <row r="376">
          <cell r="A376" t="str">
            <v>BGD</v>
          </cell>
          <cell r="B376" t="str">
            <v>Short</v>
          </cell>
          <cell r="C376" t="str">
            <v>2015 - 2022</v>
          </cell>
          <cell r="D376" t="str">
            <v>avg_1_99</v>
          </cell>
          <cell r="E376" t="str">
            <v>lfprod_s0_a1</v>
          </cell>
          <cell r="F376">
            <v>1.5961661338806152</v>
          </cell>
          <cell r="G376">
            <v>3</v>
          </cell>
        </row>
        <row r="377">
          <cell r="A377" t="str">
            <v>BGD</v>
          </cell>
          <cell r="B377" t="str">
            <v>Short</v>
          </cell>
          <cell r="C377" t="str">
            <v>2015 - 2022</v>
          </cell>
          <cell r="D377" t="str">
            <v>avg_1_99</v>
          </cell>
          <cell r="E377" t="str">
            <v>lfprod_s0_a2</v>
          </cell>
          <cell r="F377">
            <v>-0.75176948308944702</v>
          </cell>
          <cell r="G377">
            <v>3</v>
          </cell>
        </row>
        <row r="378">
          <cell r="A378" t="str">
            <v>BGD</v>
          </cell>
          <cell r="B378" t="str">
            <v>Short</v>
          </cell>
          <cell r="C378" t="str">
            <v>2015 - 2022</v>
          </cell>
          <cell r="D378" t="str">
            <v>avg_1_99</v>
          </cell>
          <cell r="E378" t="str">
            <v>lfprod_s0_a3</v>
          </cell>
          <cell r="F378">
            <v>-6.9267489016056061E-2</v>
          </cell>
          <cell r="G378">
            <v>3</v>
          </cell>
        </row>
        <row r="379">
          <cell r="A379" t="str">
            <v>BGD</v>
          </cell>
          <cell r="B379" t="str">
            <v>Short</v>
          </cell>
          <cell r="C379" t="str">
            <v>2015 - 2022</v>
          </cell>
          <cell r="D379" t="str">
            <v>avg_1_99</v>
          </cell>
          <cell r="E379" t="str">
            <v>lfprod_s1_a1</v>
          </cell>
          <cell r="F379">
            <v>-1.9702798128128052</v>
          </cell>
          <cell r="G379">
            <v>3</v>
          </cell>
        </row>
        <row r="380">
          <cell r="A380" t="str">
            <v>BGD</v>
          </cell>
          <cell r="B380" t="str">
            <v>Short</v>
          </cell>
          <cell r="C380" t="str">
            <v>2015 - 2022</v>
          </cell>
          <cell r="D380" t="str">
            <v>avg_1_99</v>
          </cell>
          <cell r="E380" t="str">
            <v>lfprod_s1_a2</v>
          </cell>
          <cell r="F380">
            <v>-0.41843420267105103</v>
          </cell>
          <cell r="G380">
            <v>3</v>
          </cell>
        </row>
        <row r="381">
          <cell r="A381" t="str">
            <v>BGD</v>
          </cell>
          <cell r="B381" t="str">
            <v>Short</v>
          </cell>
          <cell r="C381" t="str">
            <v>2015 - 2022</v>
          </cell>
          <cell r="D381" t="str">
            <v>avg_1_99</v>
          </cell>
          <cell r="E381" t="str">
            <v>lfprod_s1_a3</v>
          </cell>
          <cell r="F381">
            <v>0.11838209629058838</v>
          </cell>
          <cell r="G381">
            <v>3</v>
          </cell>
        </row>
        <row r="382">
          <cell r="A382" t="str">
            <v>BGD</v>
          </cell>
          <cell r="B382" t="str">
            <v>Short</v>
          </cell>
          <cell r="C382" t="str">
            <v>2015 - 2022</v>
          </cell>
          <cell r="D382" t="str">
            <v>avg_1_99_imp</v>
          </cell>
          <cell r="E382" t="str">
            <v>lfls12_S0_A0</v>
          </cell>
          <cell r="F382">
            <v>0.31307488679885864</v>
          </cell>
          <cell r="G382">
            <v>3</v>
          </cell>
        </row>
        <row r="383">
          <cell r="A383" t="str">
            <v>BGD</v>
          </cell>
          <cell r="B383" t="str">
            <v>Short</v>
          </cell>
          <cell r="C383" t="str">
            <v>2015 - 2022</v>
          </cell>
          <cell r="D383" t="str">
            <v>avg_1_99_imp</v>
          </cell>
          <cell r="E383" t="str">
            <v>lfls1_S0_A0</v>
          </cell>
          <cell r="F383">
            <v>0.32965004444122314</v>
          </cell>
          <cell r="G383">
            <v>3</v>
          </cell>
        </row>
        <row r="384">
          <cell r="A384" t="str">
            <v>BGD</v>
          </cell>
          <cell r="B384" t="str">
            <v>Short</v>
          </cell>
          <cell r="C384" t="str">
            <v>2015 - 2022</v>
          </cell>
          <cell r="D384" t="str">
            <v>avg_1_99_imp</v>
          </cell>
          <cell r="E384" t="str">
            <v>lfls1_S0_a1</v>
          </cell>
          <cell r="F384">
            <v>0.45131835341453552</v>
          </cell>
          <cell r="G384">
            <v>3</v>
          </cell>
        </row>
        <row r="385">
          <cell r="A385" t="str">
            <v>BGD</v>
          </cell>
          <cell r="B385" t="str">
            <v>Short</v>
          </cell>
          <cell r="C385" t="str">
            <v>2015 - 2022</v>
          </cell>
          <cell r="D385" t="str">
            <v>avg_1_99_imp</v>
          </cell>
          <cell r="E385" t="str">
            <v>lfls1_S0_a2</v>
          </cell>
          <cell r="F385">
            <v>6.3779465854167938E-2</v>
          </cell>
          <cell r="G385">
            <v>3</v>
          </cell>
        </row>
        <row r="386">
          <cell r="A386" t="str">
            <v>BGD</v>
          </cell>
          <cell r="B386" t="str">
            <v>Short</v>
          </cell>
          <cell r="C386" t="str">
            <v>2015 - 2022</v>
          </cell>
          <cell r="D386" t="str">
            <v>avg_1_99_imp</v>
          </cell>
          <cell r="E386" t="str">
            <v>lfls1_S0_a3</v>
          </cell>
          <cell r="F386">
            <v>0.96280765533447266</v>
          </cell>
          <cell r="G386">
            <v>3</v>
          </cell>
        </row>
        <row r="387">
          <cell r="A387" t="str">
            <v>BGD</v>
          </cell>
          <cell r="B387" t="str">
            <v>Short</v>
          </cell>
          <cell r="C387" t="str">
            <v>2015 - 2022</v>
          </cell>
          <cell r="D387" t="str">
            <v>avg_1_99_imp</v>
          </cell>
          <cell r="E387" t="str">
            <v>lfls1_s0_A0</v>
          </cell>
          <cell r="F387">
            <v>0.61345076560974121</v>
          </cell>
          <cell r="G387">
            <v>3</v>
          </cell>
        </row>
        <row r="388">
          <cell r="A388" t="str">
            <v>BGD</v>
          </cell>
          <cell r="B388" t="str">
            <v>Short</v>
          </cell>
          <cell r="C388" t="str">
            <v>2015 - 2022</v>
          </cell>
          <cell r="D388" t="str">
            <v>avg_1_99_imp</v>
          </cell>
          <cell r="E388" t="str">
            <v>lfls1_s0_a1</v>
          </cell>
          <cell r="F388">
            <v>2.7213976383209229</v>
          </cell>
          <cell r="G388">
            <v>3</v>
          </cell>
        </row>
        <row r="389">
          <cell r="A389" t="str">
            <v>BGD</v>
          </cell>
          <cell r="B389" t="str">
            <v>Short</v>
          </cell>
          <cell r="C389" t="str">
            <v>2015 - 2022</v>
          </cell>
          <cell r="D389" t="str">
            <v>avg_1_99_imp</v>
          </cell>
          <cell r="E389" t="str">
            <v>lfls1_s0_a2</v>
          </cell>
          <cell r="F389">
            <v>-6.2154393643140793E-2</v>
          </cell>
          <cell r="G389">
            <v>3</v>
          </cell>
        </row>
        <row r="390">
          <cell r="A390" t="str">
            <v>BGD</v>
          </cell>
          <cell r="B390" t="str">
            <v>Short</v>
          </cell>
          <cell r="C390" t="str">
            <v>2015 - 2022</v>
          </cell>
          <cell r="D390" t="str">
            <v>avg_1_99_imp</v>
          </cell>
          <cell r="E390" t="str">
            <v>lfls1_s0_a3</v>
          </cell>
          <cell r="F390">
            <v>0.92259246110916138</v>
          </cell>
          <cell r="G390">
            <v>3</v>
          </cell>
        </row>
        <row r="391">
          <cell r="A391" t="str">
            <v>BGD</v>
          </cell>
          <cell r="B391" t="str">
            <v>Short</v>
          </cell>
          <cell r="C391" t="str">
            <v>2015 - 2022</v>
          </cell>
          <cell r="D391" t="str">
            <v>avg_1_99_imp</v>
          </cell>
          <cell r="E391" t="str">
            <v>lfls1_s1_A0</v>
          </cell>
          <cell r="F391">
            <v>-0.2665216326713562</v>
          </cell>
          <cell r="G391">
            <v>3</v>
          </cell>
        </row>
        <row r="392">
          <cell r="A392" t="str">
            <v>BGD</v>
          </cell>
          <cell r="B392" t="str">
            <v>Short</v>
          </cell>
          <cell r="C392" t="str">
            <v>2015 - 2022</v>
          </cell>
          <cell r="D392" t="str">
            <v>avg_1_99_imp</v>
          </cell>
          <cell r="E392" t="str">
            <v>lfls1_s1_a1</v>
          </cell>
          <cell r="F392">
            <v>-1.1248633861541748</v>
          </cell>
          <cell r="G392">
            <v>3</v>
          </cell>
        </row>
        <row r="393">
          <cell r="A393" t="str">
            <v>BGD</v>
          </cell>
          <cell r="B393" t="str">
            <v>Short</v>
          </cell>
          <cell r="C393" t="str">
            <v>2015 - 2022</v>
          </cell>
          <cell r="D393" t="str">
            <v>avg_1_99_imp</v>
          </cell>
          <cell r="E393" t="str">
            <v>lfls1_s1_a2</v>
          </cell>
          <cell r="F393">
            <v>0.52166229486465454</v>
          </cell>
          <cell r="G393">
            <v>3</v>
          </cell>
        </row>
        <row r="394">
          <cell r="A394" t="str">
            <v>BGD</v>
          </cell>
          <cell r="B394" t="str">
            <v>Short</v>
          </cell>
          <cell r="C394" t="str">
            <v>2015 - 2022</v>
          </cell>
          <cell r="D394" t="str">
            <v>avg_1_99_imp</v>
          </cell>
          <cell r="E394" t="str">
            <v>lfls1_s1_a3</v>
          </cell>
          <cell r="F394">
            <v>1.1322939395904541</v>
          </cell>
          <cell r="G394">
            <v>3</v>
          </cell>
        </row>
        <row r="395">
          <cell r="A395" t="str">
            <v>BGD</v>
          </cell>
          <cell r="B395" t="str">
            <v>Short</v>
          </cell>
          <cell r="C395" t="str">
            <v>2015 - 2022</v>
          </cell>
          <cell r="D395" t="str">
            <v>avg_1_99_imp</v>
          </cell>
          <cell r="E395" t="str">
            <v>lfprod_s0_a1</v>
          </cell>
          <cell r="F395">
            <v>1.5961661338806152</v>
          </cell>
          <cell r="G395">
            <v>3</v>
          </cell>
        </row>
        <row r="396">
          <cell r="A396" t="str">
            <v>BGD</v>
          </cell>
          <cell r="B396" t="str">
            <v>Short</v>
          </cell>
          <cell r="C396" t="str">
            <v>2015 - 2022</v>
          </cell>
          <cell r="D396" t="str">
            <v>avg_1_99_imp</v>
          </cell>
          <cell r="E396" t="str">
            <v>lfprod_s0_a2</v>
          </cell>
          <cell r="F396">
            <v>-0.75176948308944702</v>
          </cell>
          <cell r="G396">
            <v>3</v>
          </cell>
        </row>
        <row r="397">
          <cell r="A397" t="str">
            <v>BGD</v>
          </cell>
          <cell r="B397" t="str">
            <v>Short</v>
          </cell>
          <cell r="C397" t="str">
            <v>2015 - 2022</v>
          </cell>
          <cell r="D397" t="str">
            <v>avg_1_99_imp</v>
          </cell>
          <cell r="E397" t="str">
            <v>lfprod_s0_a3</v>
          </cell>
          <cell r="F397">
            <v>-6.9267489016056061E-2</v>
          </cell>
          <cell r="G397">
            <v>3</v>
          </cell>
        </row>
        <row r="398">
          <cell r="A398" t="str">
            <v>BGD</v>
          </cell>
          <cell r="B398" t="str">
            <v>Short</v>
          </cell>
          <cell r="C398" t="str">
            <v>2015 - 2022</v>
          </cell>
          <cell r="D398" t="str">
            <v>avg_1_99_imp</v>
          </cell>
          <cell r="E398" t="str">
            <v>lfprod_s1_a1</v>
          </cell>
          <cell r="F398">
            <v>-1.9702798128128052</v>
          </cell>
          <cell r="G398">
            <v>3</v>
          </cell>
        </row>
        <row r="399">
          <cell r="A399" t="str">
            <v>BGD</v>
          </cell>
          <cell r="B399" t="str">
            <v>Short</v>
          </cell>
          <cell r="C399" t="str">
            <v>2015 - 2022</v>
          </cell>
          <cell r="D399" t="str">
            <v>avg_1_99_imp</v>
          </cell>
          <cell r="E399" t="str">
            <v>lfprod_s1_a2</v>
          </cell>
          <cell r="F399">
            <v>-0.41843420267105103</v>
          </cell>
          <cell r="G399">
            <v>3</v>
          </cell>
        </row>
        <row r="400">
          <cell r="A400" t="str">
            <v>BGD</v>
          </cell>
          <cell r="B400" t="str">
            <v>Short</v>
          </cell>
          <cell r="C400" t="str">
            <v>2015 - 2022</v>
          </cell>
          <cell r="D400" t="str">
            <v>avg_1_99_imp</v>
          </cell>
          <cell r="E400" t="str">
            <v>lfprod_s1_a3</v>
          </cell>
          <cell r="F400">
            <v>0.11838209629058838</v>
          </cell>
          <cell r="G400">
            <v>3</v>
          </cell>
        </row>
        <row r="401">
          <cell r="A401" t="str">
            <v>BGD</v>
          </cell>
          <cell r="B401" t="str">
            <v>Short</v>
          </cell>
          <cell r="C401" t="str">
            <v>2015 - 2022</v>
          </cell>
          <cell r="D401" t="str">
            <v>med_reg</v>
          </cell>
          <cell r="E401" t="str">
            <v>lfls12_S0_A0</v>
          </cell>
          <cell r="F401">
            <v>0.36854246258735657</v>
          </cell>
          <cell r="G401">
            <v>3</v>
          </cell>
        </row>
        <row r="402">
          <cell r="A402" t="str">
            <v>BGD</v>
          </cell>
          <cell r="B402" t="str">
            <v>Short</v>
          </cell>
          <cell r="C402" t="str">
            <v>2015 - 2022</v>
          </cell>
          <cell r="D402" t="str">
            <v>med_reg</v>
          </cell>
          <cell r="E402" t="str">
            <v>lfls1_S0_A0</v>
          </cell>
          <cell r="F402">
            <v>0.37110373377799988</v>
          </cell>
          <cell r="G402">
            <v>3</v>
          </cell>
        </row>
        <row r="403">
          <cell r="A403" t="str">
            <v>BGD</v>
          </cell>
          <cell r="B403" t="str">
            <v>Short</v>
          </cell>
          <cell r="C403" t="str">
            <v>2015 - 2022</v>
          </cell>
          <cell r="D403" t="str">
            <v>med_reg</v>
          </cell>
          <cell r="E403" t="str">
            <v>lfls1_S0_a1</v>
          </cell>
          <cell r="F403">
            <v>0.83137369155883789</v>
          </cell>
          <cell r="G403">
            <v>3</v>
          </cell>
        </row>
        <row r="404">
          <cell r="A404" t="str">
            <v>BGD</v>
          </cell>
          <cell r="B404" t="str">
            <v>Short</v>
          </cell>
          <cell r="C404" t="str">
            <v>2015 - 2022</v>
          </cell>
          <cell r="D404" t="str">
            <v>med_reg</v>
          </cell>
          <cell r="E404" t="str">
            <v>lfls1_S0_a2</v>
          </cell>
          <cell r="F404">
            <v>-2.5478381663560867E-2</v>
          </cell>
          <cell r="G404">
            <v>3</v>
          </cell>
        </row>
        <row r="405">
          <cell r="A405" t="str">
            <v>BGD</v>
          </cell>
          <cell r="B405" t="str">
            <v>Short</v>
          </cell>
          <cell r="C405" t="str">
            <v>2015 - 2022</v>
          </cell>
          <cell r="D405" t="str">
            <v>med_reg</v>
          </cell>
          <cell r="E405" t="str">
            <v>lfls1_S0_a3</v>
          </cell>
          <cell r="F405">
            <v>0.68911093473434448</v>
          </cell>
          <cell r="G405">
            <v>3</v>
          </cell>
        </row>
        <row r="406">
          <cell r="A406" t="str">
            <v>BGD</v>
          </cell>
          <cell r="B406" t="str">
            <v>Short</v>
          </cell>
          <cell r="C406" t="str">
            <v>2015 - 2022</v>
          </cell>
          <cell r="D406" t="str">
            <v>med_reg</v>
          </cell>
          <cell r="E406" t="str">
            <v>lfls1_s0_A0</v>
          </cell>
          <cell r="F406">
            <v>0.74236458539962769</v>
          </cell>
          <cell r="G406">
            <v>3</v>
          </cell>
        </row>
        <row r="407">
          <cell r="A407" t="str">
            <v>BGD</v>
          </cell>
          <cell r="B407" t="str">
            <v>Short</v>
          </cell>
          <cell r="C407" t="str">
            <v>2015 - 2022</v>
          </cell>
          <cell r="D407" t="str">
            <v>med_reg</v>
          </cell>
          <cell r="E407" t="str">
            <v>lfls1_s0_a1</v>
          </cell>
          <cell r="F407">
            <v>5.5386190414428711</v>
          </cell>
          <cell r="G407">
            <v>3</v>
          </cell>
        </row>
        <row r="408">
          <cell r="A408" t="str">
            <v>BGD</v>
          </cell>
          <cell r="B408" t="str">
            <v>Short</v>
          </cell>
          <cell r="C408" t="str">
            <v>2015 - 2022</v>
          </cell>
          <cell r="D408" t="str">
            <v>med_reg</v>
          </cell>
          <cell r="E408" t="str">
            <v>lfls1_s0_a2</v>
          </cell>
          <cell r="F408">
            <v>-3.5093914717435837E-2</v>
          </cell>
          <cell r="G408">
            <v>3</v>
          </cell>
        </row>
        <row r="409">
          <cell r="A409" t="str">
            <v>BGD</v>
          </cell>
          <cell r="B409" t="str">
            <v>Short</v>
          </cell>
          <cell r="C409" t="str">
            <v>2015 - 2022</v>
          </cell>
          <cell r="D409" t="str">
            <v>med_reg</v>
          </cell>
          <cell r="E409" t="str">
            <v>lfls1_s0_a3</v>
          </cell>
          <cell r="F409">
            <v>0.51408475637435913</v>
          </cell>
          <cell r="G409">
            <v>3</v>
          </cell>
        </row>
        <row r="410">
          <cell r="A410" t="str">
            <v>BGD</v>
          </cell>
          <cell r="B410" t="str">
            <v>Short</v>
          </cell>
          <cell r="C410" t="str">
            <v>2015 - 2022</v>
          </cell>
          <cell r="D410" t="str">
            <v>med_reg</v>
          </cell>
          <cell r="E410" t="str">
            <v>lfls1_s1_A0</v>
          </cell>
          <cell r="F410">
            <v>-0.28888869285583496</v>
          </cell>
          <cell r="G410">
            <v>3</v>
          </cell>
        </row>
        <row r="411">
          <cell r="A411" t="str">
            <v>BGD</v>
          </cell>
          <cell r="B411" t="str">
            <v>Short</v>
          </cell>
          <cell r="C411" t="str">
            <v>2015 - 2022</v>
          </cell>
          <cell r="D411" t="str">
            <v>med_reg</v>
          </cell>
          <cell r="E411" t="str">
            <v>lfls1_s1_a1</v>
          </cell>
          <cell r="F411">
            <v>-1.9553773403167725</v>
          </cell>
          <cell r="G411">
            <v>3</v>
          </cell>
        </row>
        <row r="412">
          <cell r="A412" t="str">
            <v>BGD</v>
          </cell>
          <cell r="B412" t="str">
            <v>Short</v>
          </cell>
          <cell r="C412" t="str">
            <v>2015 - 2022</v>
          </cell>
          <cell r="D412" t="str">
            <v>med_reg</v>
          </cell>
          <cell r="E412" t="str">
            <v>lfls1_s1_a2</v>
          </cell>
          <cell r="F412">
            <v>7.8189089894294739E-2</v>
          </cell>
          <cell r="G412">
            <v>3</v>
          </cell>
        </row>
        <row r="413">
          <cell r="A413" t="str">
            <v>BGD</v>
          </cell>
          <cell r="B413" t="str">
            <v>Short</v>
          </cell>
          <cell r="C413" t="str">
            <v>2015 - 2022</v>
          </cell>
          <cell r="D413" t="str">
            <v>med_reg</v>
          </cell>
          <cell r="E413" t="str">
            <v>lfls1_s1_a3</v>
          </cell>
          <cell r="F413">
            <v>1.3007019758224487</v>
          </cell>
          <cell r="G413">
            <v>3</v>
          </cell>
        </row>
        <row r="414">
          <cell r="A414" t="str">
            <v>BGD</v>
          </cell>
          <cell r="B414" t="str">
            <v>Short</v>
          </cell>
          <cell r="C414" t="str">
            <v>2015 - 2022</v>
          </cell>
          <cell r="D414" t="str">
            <v>med_reg</v>
          </cell>
          <cell r="E414" t="str">
            <v>lfprod_s0_a1</v>
          </cell>
          <cell r="F414">
            <v>4.5386190414428711</v>
          </cell>
          <cell r="G414">
            <v>3</v>
          </cell>
        </row>
        <row r="415">
          <cell r="A415" t="str">
            <v>BGD</v>
          </cell>
          <cell r="B415" t="str">
            <v>Short</v>
          </cell>
          <cell r="C415" t="str">
            <v>2015 - 2022</v>
          </cell>
          <cell r="D415" t="str">
            <v>med_reg</v>
          </cell>
          <cell r="E415" t="str">
            <v>lfprod_s0_a2</v>
          </cell>
          <cell r="F415">
            <v>-1.0350939035415649</v>
          </cell>
          <cell r="G415">
            <v>3</v>
          </cell>
        </row>
        <row r="416">
          <cell r="A416" t="str">
            <v>BGD</v>
          </cell>
          <cell r="B416" t="str">
            <v>Short</v>
          </cell>
          <cell r="C416" t="str">
            <v>2015 - 2022</v>
          </cell>
          <cell r="D416" t="str">
            <v>med_reg</v>
          </cell>
          <cell r="E416" t="str">
            <v>lfprod_s0_a3</v>
          </cell>
          <cell r="F416">
            <v>-0.48591527342796326</v>
          </cell>
          <cell r="G416">
            <v>3</v>
          </cell>
        </row>
        <row r="417">
          <cell r="A417" t="str">
            <v>BGD</v>
          </cell>
          <cell r="B417" t="str">
            <v>Short</v>
          </cell>
          <cell r="C417" t="str">
            <v>2015 - 2022</v>
          </cell>
          <cell r="D417" t="str">
            <v>med_reg</v>
          </cell>
          <cell r="E417" t="str">
            <v>lfprod_s1_a1</v>
          </cell>
          <cell r="F417">
            <v>-2.9553773403167725</v>
          </cell>
          <cell r="G417">
            <v>3</v>
          </cell>
        </row>
        <row r="418">
          <cell r="A418" t="str">
            <v>BGD</v>
          </cell>
          <cell r="B418" t="str">
            <v>Short</v>
          </cell>
          <cell r="C418" t="str">
            <v>2015 - 2022</v>
          </cell>
          <cell r="D418" t="str">
            <v>med_reg</v>
          </cell>
          <cell r="E418" t="str">
            <v>lfprod_s1_a2</v>
          </cell>
          <cell r="F418">
            <v>-0.92181092500686646</v>
          </cell>
          <cell r="G418">
            <v>3</v>
          </cell>
        </row>
        <row r="419">
          <cell r="A419" t="str">
            <v>BGD</v>
          </cell>
          <cell r="B419" t="str">
            <v>Short</v>
          </cell>
          <cell r="C419" t="str">
            <v>2015 - 2022</v>
          </cell>
          <cell r="D419" t="str">
            <v>med_reg</v>
          </cell>
          <cell r="E419" t="str">
            <v>lfprod_s1_a3</v>
          </cell>
          <cell r="F419">
            <v>0.30070197582244873</v>
          </cell>
          <cell r="G419">
            <v>3</v>
          </cell>
        </row>
        <row r="420">
          <cell r="A420" t="str">
            <v>BGD</v>
          </cell>
          <cell r="B420" t="str">
            <v>Short</v>
          </cell>
          <cell r="C420" t="str">
            <v>2015 - 2022</v>
          </cell>
          <cell r="D420" t="str">
            <v>reg</v>
          </cell>
          <cell r="E420" t="str">
            <v>lfls12_S0_A0</v>
          </cell>
          <cell r="F420">
            <v>0.36420696973800659</v>
          </cell>
          <cell r="G420">
            <v>3</v>
          </cell>
        </row>
        <row r="421">
          <cell r="A421" t="str">
            <v>BGD</v>
          </cell>
          <cell r="B421" t="str">
            <v>Short</v>
          </cell>
          <cell r="C421" t="str">
            <v>2015 - 2022</v>
          </cell>
          <cell r="D421" t="str">
            <v>reg</v>
          </cell>
          <cell r="E421" t="str">
            <v>lfls1_S0_A0</v>
          </cell>
          <cell r="F421">
            <v>0.37182855606079102</v>
          </cell>
          <cell r="G421">
            <v>3</v>
          </cell>
        </row>
        <row r="422">
          <cell r="A422" t="str">
            <v>BGD</v>
          </cell>
          <cell r="B422" t="str">
            <v>Short</v>
          </cell>
          <cell r="C422" t="str">
            <v>2015 - 2022</v>
          </cell>
          <cell r="D422" t="str">
            <v>reg</v>
          </cell>
          <cell r="E422" t="str">
            <v>lfls1_S0_a1</v>
          </cell>
          <cell r="F422">
            <v>0.86043602228164673</v>
          </cell>
          <cell r="G422">
            <v>3</v>
          </cell>
        </row>
        <row r="423">
          <cell r="A423" t="str">
            <v>BGD</v>
          </cell>
          <cell r="B423" t="str">
            <v>Short</v>
          </cell>
          <cell r="C423" t="str">
            <v>2015 - 2022</v>
          </cell>
          <cell r="D423" t="str">
            <v>reg</v>
          </cell>
          <cell r="E423" t="str">
            <v>lfls1_S0_a2</v>
          </cell>
          <cell r="F423">
            <v>-4.049542173743248E-2</v>
          </cell>
          <cell r="G423">
            <v>3</v>
          </cell>
        </row>
        <row r="424">
          <cell r="A424" t="str">
            <v>BGD</v>
          </cell>
          <cell r="B424" t="str">
            <v>Short</v>
          </cell>
          <cell r="C424" t="str">
            <v>2015 - 2022</v>
          </cell>
          <cell r="D424" t="str">
            <v>reg</v>
          </cell>
          <cell r="E424" t="str">
            <v>lfls1_S0_a3</v>
          </cell>
          <cell r="F424">
            <v>0.65737348794937134</v>
          </cell>
          <cell r="G424">
            <v>3</v>
          </cell>
        </row>
        <row r="425">
          <cell r="A425" t="str">
            <v>BGD</v>
          </cell>
          <cell r="B425" t="str">
            <v>Short</v>
          </cell>
          <cell r="C425" t="str">
            <v>2015 - 2022</v>
          </cell>
          <cell r="D425" t="str">
            <v>reg</v>
          </cell>
          <cell r="E425" t="str">
            <v>lfls1_s0_A0</v>
          </cell>
          <cell r="F425">
            <v>0.75167709589004517</v>
          </cell>
          <cell r="G425">
            <v>3</v>
          </cell>
        </row>
        <row r="426">
          <cell r="A426" t="str">
            <v>BGD</v>
          </cell>
          <cell r="B426" t="str">
            <v>Short</v>
          </cell>
          <cell r="C426" t="str">
            <v>2015 - 2022</v>
          </cell>
          <cell r="D426" t="str">
            <v>reg</v>
          </cell>
          <cell r="E426" t="str">
            <v>lfls1_s0_a1</v>
          </cell>
          <cell r="F426">
            <v>5.8268165588378906</v>
          </cell>
          <cell r="G426">
            <v>3</v>
          </cell>
        </row>
        <row r="427">
          <cell r="A427" t="str">
            <v>BGD</v>
          </cell>
          <cell r="B427" t="str">
            <v>Short</v>
          </cell>
          <cell r="C427" t="str">
            <v>2015 - 2022</v>
          </cell>
          <cell r="D427" t="str">
            <v>reg</v>
          </cell>
          <cell r="E427" t="str">
            <v>lfls1_s0_a2</v>
          </cell>
          <cell r="F427">
            <v>-4.8435669392347336E-2</v>
          </cell>
          <cell r="G427">
            <v>3</v>
          </cell>
        </row>
        <row r="428">
          <cell r="A428" t="str">
            <v>BGD</v>
          </cell>
          <cell r="B428" t="str">
            <v>Short</v>
          </cell>
          <cell r="C428" t="str">
            <v>2015 - 2022</v>
          </cell>
          <cell r="D428" t="str">
            <v>reg</v>
          </cell>
          <cell r="E428" t="str">
            <v>lfls1_s0_a3</v>
          </cell>
          <cell r="F428">
            <v>0.45656278729438782</v>
          </cell>
          <cell r="G428">
            <v>3</v>
          </cell>
        </row>
        <row r="429">
          <cell r="A429" t="str">
            <v>BGD</v>
          </cell>
          <cell r="B429" t="str">
            <v>Short</v>
          </cell>
          <cell r="C429" t="str">
            <v>2015 - 2022</v>
          </cell>
          <cell r="D429" t="str">
            <v>reg</v>
          </cell>
          <cell r="E429" t="str">
            <v>lfls1_s1_A0</v>
          </cell>
          <cell r="F429">
            <v>-0.30815953016281128</v>
          </cell>
          <cell r="G429">
            <v>3</v>
          </cell>
        </row>
        <row r="430">
          <cell r="A430" t="str">
            <v>BGD</v>
          </cell>
          <cell r="B430" t="str">
            <v>Short</v>
          </cell>
          <cell r="C430" t="str">
            <v>2015 - 2022</v>
          </cell>
          <cell r="D430" t="str">
            <v>reg</v>
          </cell>
          <cell r="E430" t="str">
            <v>lfls1_s1_a1</v>
          </cell>
          <cell r="F430">
            <v>-2.1076726913452148</v>
          </cell>
          <cell r="G430">
            <v>3</v>
          </cell>
        </row>
        <row r="431">
          <cell r="A431" t="str">
            <v>BGD</v>
          </cell>
          <cell r="B431" t="str">
            <v>Short</v>
          </cell>
          <cell r="C431" t="str">
            <v>2015 - 2022</v>
          </cell>
          <cell r="D431" t="str">
            <v>reg</v>
          </cell>
          <cell r="E431" t="str">
            <v>lfls1_s1_a2</v>
          </cell>
          <cell r="F431">
            <v>4.4834267348051071E-2</v>
          </cell>
          <cell r="G431">
            <v>3</v>
          </cell>
        </row>
        <row r="432">
          <cell r="A432" t="str">
            <v>BGD</v>
          </cell>
          <cell r="B432" t="str">
            <v>Short</v>
          </cell>
          <cell r="C432" t="str">
            <v>2015 - 2022</v>
          </cell>
          <cell r="D432" t="str">
            <v>reg</v>
          </cell>
          <cell r="E432" t="str">
            <v>lfls1_s1_a3</v>
          </cell>
          <cell r="F432">
            <v>1.3708035945892334</v>
          </cell>
          <cell r="G432">
            <v>3</v>
          </cell>
        </row>
        <row r="433">
          <cell r="A433" t="str">
            <v>BGD</v>
          </cell>
          <cell r="B433" t="str">
            <v>Short</v>
          </cell>
          <cell r="C433" t="str">
            <v>2015 - 2022</v>
          </cell>
          <cell r="D433" t="str">
            <v>reg</v>
          </cell>
          <cell r="E433" t="str">
            <v>lfprod_s0_a1</v>
          </cell>
          <cell r="F433">
            <v>4.8268165588378906</v>
          </cell>
          <cell r="G433">
            <v>3</v>
          </cell>
        </row>
        <row r="434">
          <cell r="A434" t="str">
            <v>BGD</v>
          </cell>
          <cell r="B434" t="str">
            <v>Short</v>
          </cell>
          <cell r="C434" t="str">
            <v>2015 - 2022</v>
          </cell>
          <cell r="D434" t="str">
            <v>reg</v>
          </cell>
          <cell r="E434" t="str">
            <v>lfprod_s0_a2</v>
          </cell>
          <cell r="F434">
            <v>-1.0484356880187988</v>
          </cell>
          <cell r="G434">
            <v>3</v>
          </cell>
        </row>
        <row r="435">
          <cell r="A435" t="str">
            <v>BGD</v>
          </cell>
          <cell r="B435" t="str">
            <v>Short</v>
          </cell>
          <cell r="C435" t="str">
            <v>2015 - 2022</v>
          </cell>
          <cell r="D435" t="str">
            <v>reg</v>
          </cell>
          <cell r="E435" t="str">
            <v>lfprod_s0_a3</v>
          </cell>
          <cell r="F435">
            <v>-0.54343724250793457</v>
          </cell>
          <cell r="G435">
            <v>3</v>
          </cell>
        </row>
        <row r="436">
          <cell r="A436" t="str">
            <v>BGD</v>
          </cell>
          <cell r="B436" t="str">
            <v>Short</v>
          </cell>
          <cell r="C436" t="str">
            <v>2015 - 2022</v>
          </cell>
          <cell r="D436" t="str">
            <v>reg</v>
          </cell>
          <cell r="E436" t="str">
            <v>lfprod_s1_a1</v>
          </cell>
          <cell r="F436">
            <v>-3.1076726913452148</v>
          </cell>
          <cell r="G436">
            <v>3</v>
          </cell>
        </row>
        <row r="437">
          <cell r="A437" t="str">
            <v>BGD</v>
          </cell>
          <cell r="B437" t="str">
            <v>Short</v>
          </cell>
          <cell r="C437" t="str">
            <v>2015 - 2022</v>
          </cell>
          <cell r="D437" t="str">
            <v>reg</v>
          </cell>
          <cell r="E437" t="str">
            <v>lfprod_s1_a2</v>
          </cell>
          <cell r="F437">
            <v>-0.95516574382781982</v>
          </cell>
          <cell r="G437">
            <v>3</v>
          </cell>
        </row>
        <row r="438">
          <cell r="A438" t="str">
            <v>BGD</v>
          </cell>
          <cell r="B438" t="str">
            <v>Short</v>
          </cell>
          <cell r="C438" t="str">
            <v>2015 - 2022</v>
          </cell>
          <cell r="D438" t="str">
            <v>reg</v>
          </cell>
          <cell r="E438" t="str">
            <v>lfprod_s1_a3</v>
          </cell>
          <cell r="F438">
            <v>0.3708035945892334</v>
          </cell>
          <cell r="G438">
            <v>3</v>
          </cell>
        </row>
        <row r="439">
          <cell r="A439" t="str">
            <v>BGD</v>
          </cell>
          <cell r="B439" t="str">
            <v>Short</v>
          </cell>
          <cell r="C439" t="str">
            <v>2016 - 2022</v>
          </cell>
          <cell r="D439" t="str">
            <v>avg</v>
          </cell>
          <cell r="E439" t="str">
            <v>hsls12_S0_A0</v>
          </cell>
          <cell r="F439">
            <v>0.35838958621025085</v>
          </cell>
          <cell r="G439">
            <v>3</v>
          </cell>
        </row>
        <row r="440">
          <cell r="A440" t="str">
            <v>BGD</v>
          </cell>
          <cell r="B440" t="str">
            <v>Short</v>
          </cell>
          <cell r="C440" t="str">
            <v>2016 - 2022</v>
          </cell>
          <cell r="D440" t="str">
            <v>avg</v>
          </cell>
          <cell r="E440" t="str">
            <v>hsls1_S0_A0</v>
          </cell>
          <cell r="F440">
            <v>0.33362236618995667</v>
          </cell>
          <cell r="G440">
            <v>3</v>
          </cell>
        </row>
        <row r="441">
          <cell r="A441" t="str">
            <v>BGD</v>
          </cell>
          <cell r="B441" t="str">
            <v>Short</v>
          </cell>
          <cell r="C441" t="str">
            <v>2016 - 2022</v>
          </cell>
          <cell r="D441" t="str">
            <v>avg</v>
          </cell>
          <cell r="E441" t="str">
            <v>hsls1_S0_a1</v>
          </cell>
          <cell r="F441">
            <v>0.55237853527069092</v>
          </cell>
          <cell r="G441">
            <v>3</v>
          </cell>
        </row>
        <row r="442">
          <cell r="A442" t="str">
            <v>BGD</v>
          </cell>
          <cell r="B442" t="str">
            <v>Short</v>
          </cell>
          <cell r="C442" t="str">
            <v>2016 - 2022</v>
          </cell>
          <cell r="D442" t="str">
            <v>avg</v>
          </cell>
          <cell r="E442" t="str">
            <v>hsls1_S0_a2</v>
          </cell>
          <cell r="F442">
            <v>0.4157787561416626</v>
          </cell>
          <cell r="G442">
            <v>3</v>
          </cell>
        </row>
        <row r="443">
          <cell r="A443" t="str">
            <v>BGD</v>
          </cell>
          <cell r="B443" t="str">
            <v>Short</v>
          </cell>
          <cell r="C443" t="str">
            <v>2016 - 2022</v>
          </cell>
          <cell r="D443" t="str">
            <v>avg</v>
          </cell>
          <cell r="E443" t="str">
            <v>hsls1_S0_a3</v>
          </cell>
          <cell r="F443">
            <v>0.31719303131103516</v>
          </cell>
          <cell r="G443">
            <v>3</v>
          </cell>
        </row>
        <row r="444">
          <cell r="A444" t="str">
            <v>BGD</v>
          </cell>
          <cell r="B444" t="str">
            <v>Short</v>
          </cell>
          <cell r="C444" t="str">
            <v>2016 - 2022</v>
          </cell>
          <cell r="D444" t="str">
            <v>avg</v>
          </cell>
          <cell r="E444" t="str">
            <v>hsls1_s0_A0</v>
          </cell>
          <cell r="F444">
            <v>1.8806383013725281E-2</v>
          </cell>
          <cell r="G444">
            <v>3</v>
          </cell>
        </row>
        <row r="445">
          <cell r="A445" t="str">
            <v>BGD</v>
          </cell>
          <cell r="B445" t="str">
            <v>Short</v>
          </cell>
          <cell r="C445" t="str">
            <v>2016 - 2022</v>
          </cell>
          <cell r="D445" t="str">
            <v>avg</v>
          </cell>
          <cell r="E445" t="str">
            <v>hsls1_s0_a1</v>
          </cell>
          <cell r="F445">
            <v>1.0052577257156372</v>
          </cell>
          <cell r="G445">
            <v>3</v>
          </cell>
        </row>
        <row r="446">
          <cell r="A446" t="str">
            <v>BGD</v>
          </cell>
          <cell r="B446" t="str">
            <v>Short</v>
          </cell>
          <cell r="C446" t="str">
            <v>2016 - 2022</v>
          </cell>
          <cell r="D446" t="str">
            <v>avg</v>
          </cell>
          <cell r="E446" t="str">
            <v>hsls1_s0_a2</v>
          </cell>
          <cell r="F446">
            <v>6.6100537776947021E-2</v>
          </cell>
          <cell r="G446">
            <v>3</v>
          </cell>
        </row>
        <row r="447">
          <cell r="A447" t="str">
            <v>BGD</v>
          </cell>
          <cell r="B447" t="str">
            <v>Short</v>
          </cell>
          <cell r="C447" t="str">
            <v>2016 - 2022</v>
          </cell>
          <cell r="D447" t="str">
            <v>avg</v>
          </cell>
          <cell r="E447" t="str">
            <v>hsls1_s0_a3</v>
          </cell>
          <cell r="F447">
            <v>-0.11544506996870041</v>
          </cell>
          <cell r="G447">
            <v>3</v>
          </cell>
        </row>
        <row r="448">
          <cell r="A448" t="str">
            <v>BGD</v>
          </cell>
          <cell r="B448" t="str">
            <v>Short</v>
          </cell>
          <cell r="C448" t="str">
            <v>2016 - 2022</v>
          </cell>
          <cell r="D448" t="str">
            <v>avg</v>
          </cell>
          <cell r="E448" t="str">
            <v>hsls1_s1_A0</v>
          </cell>
          <cell r="F448">
            <v>0.71599185466766357</v>
          </cell>
          <cell r="G448">
            <v>3</v>
          </cell>
        </row>
        <row r="449">
          <cell r="A449" t="str">
            <v>BGD</v>
          </cell>
          <cell r="B449" t="str">
            <v>Short</v>
          </cell>
          <cell r="C449" t="str">
            <v>2016 - 2022</v>
          </cell>
          <cell r="D449" t="str">
            <v>avg</v>
          </cell>
          <cell r="E449" t="str">
            <v>hsls1_s1_a1</v>
          </cell>
          <cell r="F449">
            <v>0.48470062017440796</v>
          </cell>
          <cell r="G449">
            <v>3</v>
          </cell>
        </row>
        <row r="450">
          <cell r="A450" t="str">
            <v>BGD</v>
          </cell>
          <cell r="B450" t="str">
            <v>Short</v>
          </cell>
          <cell r="C450" t="str">
            <v>2016 - 2022</v>
          </cell>
          <cell r="D450" t="str">
            <v>avg</v>
          </cell>
          <cell r="E450" t="str">
            <v>hsls1_s1_a2</v>
          </cell>
          <cell r="F450">
            <v>1.5607167482376099</v>
          </cell>
          <cell r="G450">
            <v>3</v>
          </cell>
        </row>
        <row r="451">
          <cell r="A451" t="str">
            <v>BGD</v>
          </cell>
          <cell r="B451" t="str">
            <v>Short</v>
          </cell>
          <cell r="C451" t="str">
            <v>2016 - 2022</v>
          </cell>
          <cell r="D451" t="str">
            <v>avg</v>
          </cell>
          <cell r="E451" t="str">
            <v>hsls1_s1_a3</v>
          </cell>
          <cell r="F451">
            <v>1.2054864168167114</v>
          </cell>
          <cell r="G451">
            <v>3</v>
          </cell>
        </row>
        <row r="452">
          <cell r="A452" t="str">
            <v>BGD</v>
          </cell>
          <cell r="B452" t="str">
            <v>Short</v>
          </cell>
          <cell r="C452" t="str">
            <v>2016 - 2022</v>
          </cell>
          <cell r="D452" t="str">
            <v>avg</v>
          </cell>
          <cell r="E452" t="str">
            <v>hsprod_s0_a1</v>
          </cell>
          <cell r="F452">
            <v>4.3333717621862888E-3</v>
          </cell>
          <cell r="G452">
            <v>3</v>
          </cell>
        </row>
        <row r="453">
          <cell r="A453" t="str">
            <v>BGD</v>
          </cell>
          <cell r="B453" t="str">
            <v>Short</v>
          </cell>
          <cell r="C453" t="str">
            <v>2016 - 2022</v>
          </cell>
          <cell r="D453" t="str">
            <v>avg</v>
          </cell>
          <cell r="E453" t="str">
            <v>hsprod_s0_a2</v>
          </cell>
          <cell r="F453">
            <v>-0.55856132507324219</v>
          </cell>
          <cell r="G453">
            <v>3</v>
          </cell>
        </row>
        <row r="454">
          <cell r="A454" t="str">
            <v>BGD</v>
          </cell>
          <cell r="B454" t="str">
            <v>Short</v>
          </cell>
          <cell r="C454" t="str">
            <v>2016 - 2022</v>
          </cell>
          <cell r="D454" t="str">
            <v>avg</v>
          </cell>
          <cell r="E454" t="str">
            <v>hsprod_s0_a3</v>
          </cell>
          <cell r="F454">
            <v>-0.78854858875274658</v>
          </cell>
          <cell r="G454">
            <v>3</v>
          </cell>
        </row>
        <row r="455">
          <cell r="A455" t="str">
            <v>BGD</v>
          </cell>
          <cell r="B455" t="str">
            <v>Short</v>
          </cell>
          <cell r="C455" t="str">
            <v>2016 - 2022</v>
          </cell>
          <cell r="D455" t="str">
            <v>avg</v>
          </cell>
          <cell r="E455" t="str">
            <v>hsprod_s1_a1</v>
          </cell>
          <cell r="F455">
            <v>-0.42470669746398926</v>
          </cell>
          <cell r="G455">
            <v>3</v>
          </cell>
        </row>
        <row r="456">
          <cell r="A456" t="str">
            <v>BGD</v>
          </cell>
          <cell r="B456" t="str">
            <v>Short</v>
          </cell>
          <cell r="C456" t="str">
            <v>2016 - 2022</v>
          </cell>
          <cell r="D456" t="str">
            <v>avg</v>
          </cell>
          <cell r="E456" t="str">
            <v>hsprod_s1_a2</v>
          </cell>
          <cell r="F456">
            <v>0.33536225557327271</v>
          </cell>
          <cell r="G456">
            <v>3</v>
          </cell>
        </row>
        <row r="457">
          <cell r="A457" t="str">
            <v>BGD</v>
          </cell>
          <cell r="B457" t="str">
            <v>Short</v>
          </cell>
          <cell r="C457" t="str">
            <v>2016 - 2022</v>
          </cell>
          <cell r="D457" t="str">
            <v>avg</v>
          </cell>
          <cell r="E457" t="str">
            <v>hsprod_s1_a3</v>
          </cell>
          <cell r="F457">
            <v>0.14526587724685669</v>
          </cell>
          <cell r="G457">
            <v>3</v>
          </cell>
        </row>
        <row r="458">
          <cell r="A458" t="str">
            <v>BGD</v>
          </cell>
          <cell r="B458" t="str">
            <v>Short</v>
          </cell>
          <cell r="C458" t="str">
            <v>2016 - 2022</v>
          </cell>
          <cell r="D458" t="str">
            <v>avg_1_99_imp</v>
          </cell>
          <cell r="E458" t="str">
            <v>hsls12_S0_A0</v>
          </cell>
          <cell r="F458">
            <v>0.35838958621025085</v>
          </cell>
          <cell r="G458">
            <v>3</v>
          </cell>
        </row>
        <row r="459">
          <cell r="A459" t="str">
            <v>BGD</v>
          </cell>
          <cell r="B459" t="str">
            <v>Short</v>
          </cell>
          <cell r="C459" t="str">
            <v>2016 - 2022</v>
          </cell>
          <cell r="D459" t="str">
            <v>avg_1_99_imp</v>
          </cell>
          <cell r="E459" t="str">
            <v>hsls1_S0_A0</v>
          </cell>
          <cell r="F459">
            <v>0.33362236618995667</v>
          </cell>
          <cell r="G459">
            <v>3</v>
          </cell>
        </row>
        <row r="460">
          <cell r="A460" t="str">
            <v>BGD</v>
          </cell>
          <cell r="B460" t="str">
            <v>Short</v>
          </cell>
          <cell r="C460" t="str">
            <v>2016 - 2022</v>
          </cell>
          <cell r="D460" t="str">
            <v>avg_1_99_imp</v>
          </cell>
          <cell r="E460" t="str">
            <v>hsls1_S0_a1</v>
          </cell>
          <cell r="F460">
            <v>0.55237853527069092</v>
          </cell>
          <cell r="G460">
            <v>3</v>
          </cell>
        </row>
        <row r="461">
          <cell r="A461" t="str">
            <v>BGD</v>
          </cell>
          <cell r="B461" t="str">
            <v>Short</v>
          </cell>
          <cell r="C461" t="str">
            <v>2016 - 2022</v>
          </cell>
          <cell r="D461" t="str">
            <v>avg_1_99_imp</v>
          </cell>
          <cell r="E461" t="str">
            <v>hsls1_S0_a2</v>
          </cell>
          <cell r="F461">
            <v>0.4157787561416626</v>
          </cell>
          <cell r="G461">
            <v>3</v>
          </cell>
        </row>
        <row r="462">
          <cell r="A462" t="str">
            <v>BGD</v>
          </cell>
          <cell r="B462" t="str">
            <v>Short</v>
          </cell>
          <cell r="C462" t="str">
            <v>2016 - 2022</v>
          </cell>
          <cell r="D462" t="str">
            <v>avg_1_99_imp</v>
          </cell>
          <cell r="E462" t="str">
            <v>hsls1_S0_a3</v>
          </cell>
          <cell r="F462">
            <v>0.31719303131103516</v>
          </cell>
          <cell r="G462">
            <v>3</v>
          </cell>
        </row>
        <row r="463">
          <cell r="A463" t="str">
            <v>BGD</v>
          </cell>
          <cell r="B463" t="str">
            <v>Short</v>
          </cell>
          <cell r="C463" t="str">
            <v>2016 - 2022</v>
          </cell>
          <cell r="D463" t="str">
            <v>avg_1_99_imp</v>
          </cell>
          <cell r="E463" t="str">
            <v>hsls1_s0_A0</v>
          </cell>
          <cell r="F463">
            <v>1.8806383013725281E-2</v>
          </cell>
          <cell r="G463">
            <v>3</v>
          </cell>
        </row>
        <row r="464">
          <cell r="A464" t="str">
            <v>BGD</v>
          </cell>
          <cell r="B464" t="str">
            <v>Short</v>
          </cell>
          <cell r="C464" t="str">
            <v>2016 - 2022</v>
          </cell>
          <cell r="D464" t="str">
            <v>avg_1_99_imp</v>
          </cell>
          <cell r="E464" t="str">
            <v>hsls1_s0_a1</v>
          </cell>
          <cell r="F464">
            <v>1.0052577257156372</v>
          </cell>
          <cell r="G464">
            <v>3</v>
          </cell>
        </row>
        <row r="465">
          <cell r="A465" t="str">
            <v>BGD</v>
          </cell>
          <cell r="B465" t="str">
            <v>Short</v>
          </cell>
          <cell r="C465" t="str">
            <v>2016 - 2022</v>
          </cell>
          <cell r="D465" t="str">
            <v>avg_1_99_imp</v>
          </cell>
          <cell r="E465" t="str">
            <v>hsls1_s0_a2</v>
          </cell>
          <cell r="F465">
            <v>6.6100537776947021E-2</v>
          </cell>
          <cell r="G465">
            <v>3</v>
          </cell>
        </row>
        <row r="466">
          <cell r="A466" t="str">
            <v>BGD</v>
          </cell>
          <cell r="B466" t="str">
            <v>Short</v>
          </cell>
          <cell r="C466" t="str">
            <v>2016 - 2022</v>
          </cell>
          <cell r="D466" t="str">
            <v>avg_1_99_imp</v>
          </cell>
          <cell r="E466" t="str">
            <v>hsls1_s0_a3</v>
          </cell>
          <cell r="F466">
            <v>-0.11544506996870041</v>
          </cell>
          <cell r="G466">
            <v>3</v>
          </cell>
        </row>
        <row r="467">
          <cell r="A467" t="str">
            <v>BGD</v>
          </cell>
          <cell r="B467" t="str">
            <v>Short</v>
          </cell>
          <cell r="C467" t="str">
            <v>2016 - 2022</v>
          </cell>
          <cell r="D467" t="str">
            <v>avg_1_99_imp</v>
          </cell>
          <cell r="E467" t="str">
            <v>hsls1_s1_A0</v>
          </cell>
          <cell r="F467">
            <v>0.71599185466766357</v>
          </cell>
          <cell r="G467">
            <v>3</v>
          </cell>
        </row>
        <row r="468">
          <cell r="A468" t="str">
            <v>BGD</v>
          </cell>
          <cell r="B468" t="str">
            <v>Short</v>
          </cell>
          <cell r="C468" t="str">
            <v>2016 - 2022</v>
          </cell>
          <cell r="D468" t="str">
            <v>avg_1_99_imp</v>
          </cell>
          <cell r="E468" t="str">
            <v>hsls1_s1_a1</v>
          </cell>
          <cell r="F468">
            <v>0.48470062017440796</v>
          </cell>
          <cell r="G468">
            <v>3</v>
          </cell>
        </row>
        <row r="469">
          <cell r="A469" t="str">
            <v>BGD</v>
          </cell>
          <cell r="B469" t="str">
            <v>Short</v>
          </cell>
          <cell r="C469" t="str">
            <v>2016 - 2022</v>
          </cell>
          <cell r="D469" t="str">
            <v>avg_1_99_imp</v>
          </cell>
          <cell r="E469" t="str">
            <v>hsls1_s1_a2</v>
          </cell>
          <cell r="F469">
            <v>1.5607167482376099</v>
          </cell>
          <cell r="G469">
            <v>3</v>
          </cell>
        </row>
        <row r="470">
          <cell r="A470" t="str">
            <v>BGD</v>
          </cell>
          <cell r="B470" t="str">
            <v>Short</v>
          </cell>
          <cell r="C470" t="str">
            <v>2016 - 2022</v>
          </cell>
          <cell r="D470" t="str">
            <v>avg_1_99_imp</v>
          </cell>
          <cell r="E470" t="str">
            <v>hsls1_s1_a3</v>
          </cell>
          <cell r="F470">
            <v>1.2054864168167114</v>
          </cell>
          <cell r="G470">
            <v>3</v>
          </cell>
        </row>
        <row r="471">
          <cell r="A471" t="str">
            <v>BGD</v>
          </cell>
          <cell r="B471" t="str">
            <v>Short</v>
          </cell>
          <cell r="C471" t="str">
            <v>2016 - 2022</v>
          </cell>
          <cell r="D471" t="str">
            <v>avg_1_99_imp</v>
          </cell>
          <cell r="E471" t="str">
            <v>hsprod_s0_a1</v>
          </cell>
          <cell r="F471">
            <v>4.3333717621862888E-3</v>
          </cell>
          <cell r="G471">
            <v>3</v>
          </cell>
        </row>
        <row r="472">
          <cell r="A472" t="str">
            <v>BGD</v>
          </cell>
          <cell r="B472" t="str">
            <v>Short</v>
          </cell>
          <cell r="C472" t="str">
            <v>2016 - 2022</v>
          </cell>
          <cell r="D472" t="str">
            <v>avg_1_99_imp</v>
          </cell>
          <cell r="E472" t="str">
            <v>hsprod_s0_a2</v>
          </cell>
          <cell r="F472">
            <v>-0.55856132507324219</v>
          </cell>
          <cell r="G472">
            <v>3</v>
          </cell>
        </row>
        <row r="473">
          <cell r="A473" t="str">
            <v>BGD</v>
          </cell>
          <cell r="B473" t="str">
            <v>Short</v>
          </cell>
          <cell r="C473" t="str">
            <v>2016 - 2022</v>
          </cell>
          <cell r="D473" t="str">
            <v>avg_1_99_imp</v>
          </cell>
          <cell r="E473" t="str">
            <v>hsprod_s0_a3</v>
          </cell>
          <cell r="F473">
            <v>-0.78854858875274658</v>
          </cell>
          <cell r="G473">
            <v>3</v>
          </cell>
        </row>
        <row r="474">
          <cell r="A474" t="str">
            <v>BGD</v>
          </cell>
          <cell r="B474" t="str">
            <v>Short</v>
          </cell>
          <cell r="C474" t="str">
            <v>2016 - 2022</v>
          </cell>
          <cell r="D474" t="str">
            <v>avg_1_99_imp</v>
          </cell>
          <cell r="E474" t="str">
            <v>hsprod_s1_a1</v>
          </cell>
          <cell r="F474">
            <v>-0.42470669746398926</v>
          </cell>
          <cell r="G474">
            <v>3</v>
          </cell>
        </row>
        <row r="475">
          <cell r="A475" t="str">
            <v>BGD</v>
          </cell>
          <cell r="B475" t="str">
            <v>Short</v>
          </cell>
          <cell r="C475" t="str">
            <v>2016 - 2022</v>
          </cell>
          <cell r="D475" t="str">
            <v>avg_1_99_imp</v>
          </cell>
          <cell r="E475" t="str">
            <v>hsprod_s1_a2</v>
          </cell>
          <cell r="F475">
            <v>0.33536225557327271</v>
          </cell>
          <cell r="G475">
            <v>3</v>
          </cell>
        </row>
        <row r="476">
          <cell r="A476" t="str">
            <v>BGD</v>
          </cell>
          <cell r="B476" t="str">
            <v>Short</v>
          </cell>
          <cell r="C476" t="str">
            <v>2016 - 2022</v>
          </cell>
          <cell r="D476" t="str">
            <v>avg_1_99_imp</v>
          </cell>
          <cell r="E476" t="str">
            <v>hsprod_s1_a3</v>
          </cell>
          <cell r="F476">
            <v>0.14526587724685669</v>
          </cell>
          <cell r="G476">
            <v>3</v>
          </cell>
        </row>
        <row r="477">
          <cell r="A477" t="str">
            <v>BGD</v>
          </cell>
          <cell r="B477" t="str">
            <v>Short</v>
          </cell>
          <cell r="C477" t="str">
            <v>2016 - 2022</v>
          </cell>
          <cell r="D477" t="str">
            <v>reg</v>
          </cell>
          <cell r="E477" t="str">
            <v>hsls12_S0_A0</v>
          </cell>
          <cell r="F477">
            <v>0.4034169614315033</v>
          </cell>
          <cell r="G477">
            <v>3</v>
          </cell>
        </row>
        <row r="478">
          <cell r="A478" t="str">
            <v>BGD</v>
          </cell>
          <cell r="B478" t="str">
            <v>Short</v>
          </cell>
          <cell r="C478" t="str">
            <v>2016 - 2022</v>
          </cell>
          <cell r="D478" t="str">
            <v>reg</v>
          </cell>
          <cell r="E478" t="str">
            <v>hsls1_S0_A0</v>
          </cell>
          <cell r="F478">
            <v>0.37744155526161194</v>
          </cell>
          <cell r="G478">
            <v>3</v>
          </cell>
        </row>
        <row r="479">
          <cell r="A479" t="str">
            <v>BGD</v>
          </cell>
          <cell r="B479" t="str">
            <v>Short</v>
          </cell>
          <cell r="C479" t="str">
            <v>2016 - 2022</v>
          </cell>
          <cell r="D479" t="str">
            <v>reg</v>
          </cell>
          <cell r="E479" t="str">
            <v>hsls1_S0_a1</v>
          </cell>
          <cell r="F479">
            <v>0.57608526945114136</v>
          </cell>
          <cell r="G479">
            <v>3</v>
          </cell>
        </row>
        <row r="480">
          <cell r="A480" t="str">
            <v>BGD</v>
          </cell>
          <cell r="B480" t="str">
            <v>Short</v>
          </cell>
          <cell r="C480" t="str">
            <v>2016 - 2022</v>
          </cell>
          <cell r="D480" t="str">
            <v>reg</v>
          </cell>
          <cell r="E480" t="str">
            <v>hsls1_S0_a2</v>
          </cell>
          <cell r="F480">
            <v>0.47934424877166748</v>
          </cell>
          <cell r="G480">
            <v>3</v>
          </cell>
        </row>
        <row r="481">
          <cell r="A481" t="str">
            <v>BGD</v>
          </cell>
          <cell r="B481" t="str">
            <v>Short</v>
          </cell>
          <cell r="C481" t="str">
            <v>2016 - 2022</v>
          </cell>
          <cell r="D481" t="str">
            <v>reg</v>
          </cell>
          <cell r="E481" t="str">
            <v>hsls1_S0_a3</v>
          </cell>
          <cell r="F481">
            <v>0.35620963573455811</v>
          </cell>
          <cell r="G481">
            <v>3</v>
          </cell>
        </row>
        <row r="482">
          <cell r="A482" t="str">
            <v>BGD</v>
          </cell>
          <cell r="B482" t="str">
            <v>Short</v>
          </cell>
          <cell r="C482" t="str">
            <v>2016 - 2022</v>
          </cell>
          <cell r="D482" t="str">
            <v>reg</v>
          </cell>
          <cell r="E482" t="str">
            <v>hsls1_s0_A0</v>
          </cell>
          <cell r="F482">
            <v>2.2778671234846115E-2</v>
          </cell>
          <cell r="G482">
            <v>3</v>
          </cell>
        </row>
        <row r="483">
          <cell r="A483" t="str">
            <v>BGD</v>
          </cell>
          <cell r="B483" t="str">
            <v>Short</v>
          </cell>
          <cell r="C483" t="str">
            <v>2016 - 2022</v>
          </cell>
          <cell r="D483" t="str">
            <v>reg</v>
          </cell>
          <cell r="E483" t="str">
            <v>hsls1_s0_a1</v>
          </cell>
          <cell r="F483">
            <v>1.0047785043716431</v>
          </cell>
          <cell r="G483">
            <v>3</v>
          </cell>
        </row>
        <row r="484">
          <cell r="A484" t="str">
            <v>BGD</v>
          </cell>
          <cell r="B484" t="str">
            <v>Short</v>
          </cell>
          <cell r="C484" t="str">
            <v>2016 - 2022</v>
          </cell>
          <cell r="D484" t="str">
            <v>reg</v>
          </cell>
          <cell r="E484" t="str">
            <v>hsls1_s0_a2</v>
          </cell>
          <cell r="F484">
            <v>8.455098420381546E-2</v>
          </cell>
          <cell r="G484">
            <v>3</v>
          </cell>
        </row>
        <row r="485">
          <cell r="A485" t="str">
            <v>BGD</v>
          </cell>
          <cell r="B485" t="str">
            <v>Short</v>
          </cell>
          <cell r="C485" t="str">
            <v>2016 - 2022</v>
          </cell>
          <cell r="D485" t="str">
            <v>reg</v>
          </cell>
          <cell r="E485" t="str">
            <v>hsls1_s0_a3</v>
          </cell>
          <cell r="F485">
            <v>-0.14140516519546509</v>
          </cell>
          <cell r="G485">
            <v>3</v>
          </cell>
        </row>
        <row r="486">
          <cell r="A486" t="str">
            <v>BGD</v>
          </cell>
          <cell r="B486" t="str">
            <v>Short</v>
          </cell>
          <cell r="C486" t="str">
            <v>2016 - 2022</v>
          </cell>
          <cell r="D486" t="str">
            <v>reg</v>
          </cell>
          <cell r="E486" t="str">
            <v>hsls1_s1_A0</v>
          </cell>
          <cell r="F486">
            <v>0.75242435932159424</v>
          </cell>
          <cell r="G486">
            <v>3</v>
          </cell>
        </row>
        <row r="487">
          <cell r="A487" t="str">
            <v>BGD</v>
          </cell>
          <cell r="B487" t="str">
            <v>Short</v>
          </cell>
          <cell r="C487" t="str">
            <v>2016 - 2022</v>
          </cell>
          <cell r="D487" t="str">
            <v>reg</v>
          </cell>
          <cell r="E487" t="str">
            <v>hsls1_s1_a1</v>
          </cell>
          <cell r="F487">
            <v>0.50885671377182007</v>
          </cell>
          <cell r="G487">
            <v>3</v>
          </cell>
        </row>
        <row r="488">
          <cell r="A488" t="str">
            <v>BGD</v>
          </cell>
          <cell r="B488" t="str">
            <v>Short</v>
          </cell>
          <cell r="C488" t="str">
            <v>2016 - 2022</v>
          </cell>
          <cell r="D488" t="str">
            <v>reg</v>
          </cell>
          <cell r="E488" t="str">
            <v>hsls1_s1_a2</v>
          </cell>
          <cell r="F488">
            <v>1.3953858613967896</v>
          </cell>
          <cell r="G488">
            <v>3</v>
          </cell>
        </row>
        <row r="489">
          <cell r="A489" t="str">
            <v>BGD</v>
          </cell>
          <cell r="B489" t="str">
            <v>Short</v>
          </cell>
          <cell r="C489" t="str">
            <v>2016 - 2022</v>
          </cell>
          <cell r="D489" t="str">
            <v>reg</v>
          </cell>
          <cell r="E489" t="str">
            <v>hsls1_s1_a3</v>
          </cell>
          <cell r="F489">
            <v>1.1686117649078369</v>
          </cell>
          <cell r="G489">
            <v>3</v>
          </cell>
        </row>
        <row r="490">
          <cell r="A490" t="str">
            <v>BGD</v>
          </cell>
          <cell r="B490" t="str">
            <v>Short</v>
          </cell>
          <cell r="C490" t="str">
            <v>2016 - 2022</v>
          </cell>
          <cell r="D490" t="str">
            <v>reg</v>
          </cell>
          <cell r="E490" t="str">
            <v>hsprod_s0_a1</v>
          </cell>
          <cell r="F490">
            <v>4.7784475609660149E-3</v>
          </cell>
          <cell r="G490">
            <v>3</v>
          </cell>
        </row>
        <row r="491">
          <cell r="A491" t="str">
            <v>BGD</v>
          </cell>
          <cell r="B491" t="str">
            <v>Short</v>
          </cell>
          <cell r="C491" t="str">
            <v>2016 - 2022</v>
          </cell>
          <cell r="D491" t="str">
            <v>reg</v>
          </cell>
          <cell r="E491" t="str">
            <v>hsprod_s0_a2</v>
          </cell>
          <cell r="F491">
            <v>-0.91544902324676514</v>
          </cell>
          <cell r="G491">
            <v>3</v>
          </cell>
        </row>
        <row r="492">
          <cell r="A492" t="str">
            <v>BGD</v>
          </cell>
          <cell r="B492" t="str">
            <v>Short</v>
          </cell>
          <cell r="C492" t="str">
            <v>2016 - 2022</v>
          </cell>
          <cell r="D492" t="str">
            <v>reg</v>
          </cell>
          <cell r="E492" t="str">
            <v>hsprod_s0_a3</v>
          </cell>
          <cell r="F492">
            <v>-1.1414052248001099</v>
          </cell>
          <cell r="G492">
            <v>3</v>
          </cell>
        </row>
        <row r="493">
          <cell r="A493" t="str">
            <v>BGD</v>
          </cell>
          <cell r="B493" t="str">
            <v>Short</v>
          </cell>
          <cell r="C493" t="str">
            <v>2016 - 2022</v>
          </cell>
          <cell r="D493" t="str">
            <v>reg</v>
          </cell>
          <cell r="E493" t="str">
            <v>hsprod_s1_a1</v>
          </cell>
          <cell r="F493">
            <v>-0.49114328622817993</v>
          </cell>
          <cell r="G493">
            <v>3</v>
          </cell>
        </row>
        <row r="494">
          <cell r="A494" t="str">
            <v>BGD</v>
          </cell>
          <cell r="B494" t="str">
            <v>Short</v>
          </cell>
          <cell r="C494" t="str">
            <v>2016 - 2022</v>
          </cell>
          <cell r="D494" t="str">
            <v>reg</v>
          </cell>
          <cell r="E494" t="str">
            <v>hsprod_s1_a2</v>
          </cell>
          <cell r="F494">
            <v>0.39538592100143433</v>
          </cell>
          <cell r="G494">
            <v>3</v>
          </cell>
        </row>
        <row r="495">
          <cell r="A495" t="str">
            <v>BGD</v>
          </cell>
          <cell r="B495" t="str">
            <v>Short</v>
          </cell>
          <cell r="C495" t="str">
            <v>2016 - 2022</v>
          </cell>
          <cell r="D495" t="str">
            <v>reg</v>
          </cell>
          <cell r="E495" t="str">
            <v>hsprod_s1_a3</v>
          </cell>
          <cell r="F495">
            <v>0.16861175000667572</v>
          </cell>
          <cell r="G495">
            <v>3</v>
          </cell>
        </row>
        <row r="496">
          <cell r="A496" t="str">
            <v>BGD</v>
          </cell>
          <cell r="B496" t="str">
            <v>Long</v>
          </cell>
          <cell r="C496" t="str">
            <v>2005 - 2022</v>
          </cell>
          <cell r="D496" t="str">
            <v>avg</v>
          </cell>
          <cell r="E496" t="str">
            <v>lfls12_S0_A0</v>
          </cell>
          <cell r="F496">
            <v>0.34328985214233398</v>
          </cell>
          <cell r="G496">
            <v>6</v>
          </cell>
        </row>
        <row r="497">
          <cell r="A497" t="str">
            <v>BGD</v>
          </cell>
          <cell r="B497" t="str">
            <v>Long</v>
          </cell>
          <cell r="C497" t="str">
            <v>2005 - 2022</v>
          </cell>
          <cell r="D497" t="str">
            <v>avg</v>
          </cell>
          <cell r="E497" t="str">
            <v>lfls1_S0_A0</v>
          </cell>
          <cell r="F497">
            <v>0.33396664261817932</v>
          </cell>
          <cell r="G497">
            <v>6</v>
          </cell>
        </row>
        <row r="498">
          <cell r="A498" t="str">
            <v>BGD</v>
          </cell>
          <cell r="B498" t="str">
            <v>Long</v>
          </cell>
          <cell r="C498" t="str">
            <v>2005 - 2022</v>
          </cell>
          <cell r="D498" t="str">
            <v>avg</v>
          </cell>
          <cell r="E498" t="str">
            <v>lfls1_S0_a1</v>
          </cell>
          <cell r="F498">
            <v>0.30467352271080017</v>
          </cell>
          <cell r="G498">
            <v>6</v>
          </cell>
        </row>
        <row r="499">
          <cell r="A499" t="str">
            <v>BGD</v>
          </cell>
          <cell r="B499" t="str">
            <v>Long</v>
          </cell>
          <cell r="C499" t="str">
            <v>2005 - 2022</v>
          </cell>
          <cell r="D499" t="str">
            <v>avg</v>
          </cell>
          <cell r="E499" t="str">
            <v>lfls1_S0_a2</v>
          </cell>
          <cell r="F499">
            <v>0.90648150444030762</v>
          </cell>
          <cell r="G499">
            <v>6</v>
          </cell>
        </row>
        <row r="500">
          <cell r="A500" t="str">
            <v>BGD</v>
          </cell>
          <cell r="B500" t="str">
            <v>Long</v>
          </cell>
          <cell r="C500" t="str">
            <v>2005 - 2022</v>
          </cell>
          <cell r="D500" t="str">
            <v>avg</v>
          </cell>
          <cell r="E500" t="str">
            <v>lfls1_S0_a3</v>
          </cell>
          <cell r="F500">
            <v>0.27544772624969482</v>
          </cell>
          <cell r="G500">
            <v>6</v>
          </cell>
        </row>
        <row r="501">
          <cell r="A501" t="str">
            <v>BGD</v>
          </cell>
          <cell r="B501" t="str">
            <v>Long</v>
          </cell>
          <cell r="C501" t="str">
            <v>2005 - 2022</v>
          </cell>
          <cell r="D501" t="str">
            <v>avg</v>
          </cell>
          <cell r="E501" t="str">
            <v>lfls1_S0_a4</v>
          </cell>
          <cell r="F501">
            <v>0.21466565132141113</v>
          </cell>
          <cell r="G501">
            <v>6</v>
          </cell>
        </row>
        <row r="502">
          <cell r="A502" t="str">
            <v>BGD</v>
          </cell>
          <cell r="B502" t="str">
            <v>Long</v>
          </cell>
          <cell r="C502" t="str">
            <v>2005 - 2022</v>
          </cell>
          <cell r="D502" t="str">
            <v>avg</v>
          </cell>
          <cell r="E502" t="str">
            <v>lfls1_S0_a5</v>
          </cell>
          <cell r="F502">
            <v>0.35478994250297546</v>
          </cell>
          <cell r="G502">
            <v>6</v>
          </cell>
        </row>
        <row r="503">
          <cell r="A503" t="str">
            <v>BGD</v>
          </cell>
          <cell r="B503" t="str">
            <v>Long</v>
          </cell>
          <cell r="C503" t="str">
            <v>2005 - 2022</v>
          </cell>
          <cell r="D503" t="str">
            <v>avg</v>
          </cell>
          <cell r="E503" t="str">
            <v>lfls1_S0_a6</v>
          </cell>
          <cell r="F503">
            <v>0.53362047672271729</v>
          </cell>
          <cell r="G503">
            <v>6</v>
          </cell>
        </row>
        <row r="504">
          <cell r="A504" t="str">
            <v>BGD</v>
          </cell>
          <cell r="B504" t="str">
            <v>Long</v>
          </cell>
          <cell r="C504" t="str">
            <v>2005 - 2022</v>
          </cell>
          <cell r="D504" t="str">
            <v>avg</v>
          </cell>
          <cell r="E504" t="str">
            <v>lfls1_s0_A0</v>
          </cell>
          <cell r="F504">
            <v>0.42584556341171265</v>
          </cell>
          <cell r="G504">
            <v>6</v>
          </cell>
        </row>
        <row r="505">
          <cell r="A505" t="str">
            <v>BGD</v>
          </cell>
          <cell r="B505" t="str">
            <v>Long</v>
          </cell>
          <cell r="C505" t="str">
            <v>2005 - 2022</v>
          </cell>
          <cell r="D505" t="str">
            <v>avg</v>
          </cell>
          <cell r="E505" t="str">
            <v>lfls1_s0_a1</v>
          </cell>
          <cell r="F505">
            <v>2.3513119220733643</v>
          </cell>
          <cell r="G505">
            <v>6</v>
          </cell>
        </row>
        <row r="506">
          <cell r="A506" t="str">
            <v>BGD</v>
          </cell>
          <cell r="B506" t="str">
            <v>Long</v>
          </cell>
          <cell r="C506" t="str">
            <v>2005 - 2022</v>
          </cell>
          <cell r="D506" t="str">
            <v>avg</v>
          </cell>
          <cell r="E506" t="str">
            <v>lfls1_s0_a2</v>
          </cell>
          <cell r="F506">
            <v>0.94259905815124512</v>
          </cell>
          <cell r="G506">
            <v>6</v>
          </cell>
        </row>
        <row r="507">
          <cell r="A507" t="str">
            <v>BGD</v>
          </cell>
          <cell r="B507" t="str">
            <v>Long</v>
          </cell>
          <cell r="C507" t="str">
            <v>2005 - 2022</v>
          </cell>
          <cell r="D507" t="str">
            <v>avg</v>
          </cell>
          <cell r="E507" t="str">
            <v>lfls1_s0_a3</v>
          </cell>
          <cell r="F507">
            <v>0.22817029058933258</v>
          </cell>
          <cell r="G507">
            <v>6</v>
          </cell>
        </row>
        <row r="508">
          <cell r="A508" t="str">
            <v>BGD</v>
          </cell>
          <cell r="B508" t="str">
            <v>Long</v>
          </cell>
          <cell r="C508" t="str">
            <v>2005 - 2022</v>
          </cell>
          <cell r="D508" t="str">
            <v>avg</v>
          </cell>
          <cell r="E508" t="str">
            <v>lfls1_s0_a4</v>
          </cell>
          <cell r="F508">
            <v>0.18383301794528961</v>
          </cell>
          <cell r="G508">
            <v>6</v>
          </cell>
        </row>
        <row r="509">
          <cell r="A509" t="str">
            <v>BGD</v>
          </cell>
          <cell r="B509" t="str">
            <v>Long</v>
          </cell>
          <cell r="C509" t="str">
            <v>2005 - 2022</v>
          </cell>
          <cell r="D509" t="str">
            <v>avg</v>
          </cell>
          <cell r="E509" t="str">
            <v>lfls1_s0_a5</v>
          </cell>
          <cell r="F509">
            <v>0.43845474720001221</v>
          </cell>
          <cell r="G509">
            <v>6</v>
          </cell>
        </row>
        <row r="510">
          <cell r="A510" t="str">
            <v>BGD</v>
          </cell>
          <cell r="B510" t="str">
            <v>Long</v>
          </cell>
          <cell r="C510" t="str">
            <v>2005 - 2022</v>
          </cell>
          <cell r="D510" t="str">
            <v>avg</v>
          </cell>
          <cell r="E510" t="str">
            <v>lfls1_s0_a6</v>
          </cell>
          <cell r="F510">
            <v>0.35996052622795105</v>
          </cell>
          <cell r="G510">
            <v>6</v>
          </cell>
        </row>
        <row r="511">
          <cell r="A511" t="str">
            <v>BGD</v>
          </cell>
          <cell r="B511" t="str">
            <v>Long</v>
          </cell>
          <cell r="C511" t="str">
            <v>2005 - 2022</v>
          </cell>
          <cell r="D511" t="str">
            <v>avg</v>
          </cell>
          <cell r="E511" t="str">
            <v>lfls1_s1_A0</v>
          </cell>
          <cell r="F511">
            <v>1.1051839590072632</v>
          </cell>
          <cell r="G511">
            <v>6</v>
          </cell>
        </row>
        <row r="512">
          <cell r="A512" t="str">
            <v>BGD</v>
          </cell>
          <cell r="B512" t="str">
            <v>Long</v>
          </cell>
          <cell r="C512" t="str">
            <v>2005 - 2022</v>
          </cell>
          <cell r="D512" t="str">
            <v>avg</v>
          </cell>
          <cell r="E512" t="str">
            <v>lfls1_s1_a1</v>
          </cell>
          <cell r="F512">
            <v>2.8441412448883057</v>
          </cell>
          <cell r="G512">
            <v>6</v>
          </cell>
        </row>
        <row r="513">
          <cell r="A513" t="str">
            <v>BGD</v>
          </cell>
          <cell r="B513" t="str">
            <v>Long</v>
          </cell>
          <cell r="C513" t="str">
            <v>2005 - 2022</v>
          </cell>
          <cell r="D513" t="str">
            <v>avg</v>
          </cell>
          <cell r="E513" t="str">
            <v>lfls1_s1_a2</v>
          </cell>
          <cell r="F513">
            <v>0.73086363077163696</v>
          </cell>
          <cell r="G513">
            <v>6</v>
          </cell>
        </row>
        <row r="514">
          <cell r="A514" t="str">
            <v>BGD</v>
          </cell>
          <cell r="B514" t="str">
            <v>Long</v>
          </cell>
          <cell r="C514" t="str">
            <v>2005 - 2022</v>
          </cell>
          <cell r="D514" t="str">
            <v>avg</v>
          </cell>
          <cell r="E514" t="str">
            <v>lfls1_s1_a3</v>
          </cell>
          <cell r="F514">
            <v>1.2905048131942749</v>
          </cell>
          <cell r="G514">
            <v>6</v>
          </cell>
        </row>
        <row r="515">
          <cell r="A515" t="str">
            <v>BGD</v>
          </cell>
          <cell r="B515" t="str">
            <v>Long</v>
          </cell>
          <cell r="C515" t="str">
            <v>2005 - 2022</v>
          </cell>
          <cell r="D515" t="str">
            <v>avg</v>
          </cell>
          <cell r="E515" t="str">
            <v>lfls1_s1_a4</v>
          </cell>
          <cell r="F515">
            <v>1.6173309087753296</v>
          </cell>
          <cell r="G515">
            <v>6</v>
          </cell>
        </row>
        <row r="516">
          <cell r="A516" t="str">
            <v>BGD</v>
          </cell>
          <cell r="B516" t="str">
            <v>Long</v>
          </cell>
          <cell r="C516" t="str">
            <v>2005 - 2022</v>
          </cell>
          <cell r="D516" t="str">
            <v>avg</v>
          </cell>
          <cell r="E516" t="str">
            <v>lfls1_s1_a5</v>
          </cell>
          <cell r="F516">
            <v>0.33024144172668457</v>
          </cell>
          <cell r="G516">
            <v>6</v>
          </cell>
        </row>
        <row r="517">
          <cell r="A517" t="str">
            <v>BGD</v>
          </cell>
          <cell r="B517" t="str">
            <v>Long</v>
          </cell>
          <cell r="C517" t="str">
            <v>2005 - 2022</v>
          </cell>
          <cell r="D517" t="str">
            <v>avg</v>
          </cell>
          <cell r="E517" t="str">
            <v>lfls1_s1_a6</v>
          </cell>
          <cell r="F517">
            <v>1.4048335552215576</v>
          </cell>
          <cell r="G517">
            <v>6</v>
          </cell>
        </row>
        <row r="518">
          <cell r="A518" t="str">
            <v>BGD</v>
          </cell>
          <cell r="B518" t="str">
            <v>Long</v>
          </cell>
          <cell r="C518" t="str">
            <v>2005 - 2022</v>
          </cell>
          <cell r="D518" t="str">
            <v>avg</v>
          </cell>
          <cell r="E518" t="str">
            <v>lfprod_s0_a1</v>
          </cell>
          <cell r="F518">
            <v>1.0009294748306274</v>
          </cell>
          <cell r="G518">
            <v>6</v>
          </cell>
        </row>
        <row r="519">
          <cell r="A519" t="str">
            <v>BGD</v>
          </cell>
          <cell r="B519" t="str">
            <v>Long</v>
          </cell>
          <cell r="C519" t="str">
            <v>2005 - 2022</v>
          </cell>
          <cell r="D519" t="str">
            <v>avg</v>
          </cell>
          <cell r="E519" t="str">
            <v>lfprod_s0_a2</v>
          </cell>
          <cell r="F519">
            <v>1.3129298167768866E-4</v>
          </cell>
          <cell r="G519">
            <v>6</v>
          </cell>
        </row>
        <row r="520">
          <cell r="A520" t="str">
            <v>BGD</v>
          </cell>
          <cell r="B520" t="str">
            <v>Long</v>
          </cell>
          <cell r="C520" t="str">
            <v>2005 - 2022</v>
          </cell>
          <cell r="D520" t="str">
            <v>avg</v>
          </cell>
          <cell r="E520" t="str">
            <v>lfprod_s0_a3</v>
          </cell>
          <cell r="F520">
            <v>-0.59776830673217773</v>
          </cell>
          <cell r="G520">
            <v>6</v>
          </cell>
        </row>
        <row r="521">
          <cell r="A521" t="str">
            <v>BGD</v>
          </cell>
          <cell r="B521" t="str">
            <v>Long</v>
          </cell>
          <cell r="C521" t="str">
            <v>2005 - 2022</v>
          </cell>
          <cell r="D521" t="str">
            <v>avg</v>
          </cell>
          <cell r="E521" t="str">
            <v>lfprod_s0_a4</v>
          </cell>
          <cell r="F521">
            <v>-0.74564176797866821</v>
          </cell>
          <cell r="G521">
            <v>6</v>
          </cell>
        </row>
        <row r="522">
          <cell r="A522" t="str">
            <v>BGD</v>
          </cell>
          <cell r="B522" t="str">
            <v>Long</v>
          </cell>
          <cell r="C522" t="str">
            <v>2005 - 2022</v>
          </cell>
          <cell r="D522" t="str">
            <v>avg</v>
          </cell>
          <cell r="E522" t="str">
            <v>lfprod_s0_a5</v>
          </cell>
          <cell r="F522">
            <v>-0.52462530136108398</v>
          </cell>
          <cell r="G522">
            <v>6</v>
          </cell>
        </row>
        <row r="523">
          <cell r="A523" t="str">
            <v>BGD</v>
          </cell>
          <cell r="B523" t="str">
            <v>Long</v>
          </cell>
          <cell r="C523" t="str">
            <v>2005 - 2022</v>
          </cell>
          <cell r="D523" t="str">
            <v>avg</v>
          </cell>
          <cell r="E523" t="str">
            <v>lfprod_s0_a6</v>
          </cell>
          <cell r="F523">
            <v>-0.51605093479156494</v>
          </cell>
          <cell r="G523">
            <v>6</v>
          </cell>
        </row>
        <row r="524">
          <cell r="A524" t="str">
            <v>BGD</v>
          </cell>
          <cell r="B524" t="str">
            <v>Long</v>
          </cell>
          <cell r="C524" t="str">
            <v>2005 - 2022</v>
          </cell>
          <cell r="D524" t="str">
            <v>avg</v>
          </cell>
          <cell r="E524" t="str">
            <v>lfprod_s1_a1</v>
          </cell>
          <cell r="F524">
            <v>1.7518855333328247</v>
          </cell>
          <cell r="G524">
            <v>6</v>
          </cell>
        </row>
        <row r="525">
          <cell r="A525" t="str">
            <v>BGD</v>
          </cell>
          <cell r="B525" t="str">
            <v>Long</v>
          </cell>
          <cell r="C525" t="str">
            <v>2005 - 2022</v>
          </cell>
          <cell r="D525" t="str">
            <v>avg</v>
          </cell>
          <cell r="E525" t="str">
            <v>lfprod_s1_a2</v>
          </cell>
          <cell r="F525">
            <v>-0.20052364468574524</v>
          </cell>
          <cell r="G525">
            <v>6</v>
          </cell>
        </row>
        <row r="526">
          <cell r="A526" t="str">
            <v>BGD</v>
          </cell>
          <cell r="B526" t="str">
            <v>Long</v>
          </cell>
          <cell r="C526" t="str">
            <v>2005 - 2022</v>
          </cell>
          <cell r="D526" t="str">
            <v>avg</v>
          </cell>
          <cell r="E526" t="str">
            <v>lfprod_s1_a3</v>
          </cell>
          <cell r="F526">
            <v>0.32712081074714661</v>
          </cell>
          <cell r="G526">
            <v>6</v>
          </cell>
        </row>
        <row r="527">
          <cell r="A527" t="str">
            <v>BGD</v>
          </cell>
          <cell r="B527" t="str">
            <v>Long</v>
          </cell>
          <cell r="C527" t="str">
            <v>2005 - 2022</v>
          </cell>
          <cell r="D527" t="str">
            <v>avg</v>
          </cell>
          <cell r="E527" t="str">
            <v>lfprod_s1_a4</v>
          </cell>
          <cell r="F527">
            <v>0.49214959144592285</v>
          </cell>
          <cell r="G527">
            <v>6</v>
          </cell>
        </row>
        <row r="528">
          <cell r="A528" t="str">
            <v>BGD</v>
          </cell>
          <cell r="B528" t="str">
            <v>Long</v>
          </cell>
          <cell r="C528" t="str">
            <v>2005 - 2022</v>
          </cell>
          <cell r="D528" t="str">
            <v>avg</v>
          </cell>
          <cell r="E528" t="str">
            <v>lfprod_s1_a5</v>
          </cell>
          <cell r="F528">
            <v>-0.53558039665222168</v>
          </cell>
          <cell r="G528">
            <v>6</v>
          </cell>
        </row>
        <row r="529">
          <cell r="A529" t="str">
            <v>BGD</v>
          </cell>
          <cell r="B529" t="str">
            <v>Long</v>
          </cell>
          <cell r="C529" t="str">
            <v>2005 - 2022</v>
          </cell>
          <cell r="D529" t="str">
            <v>avg</v>
          </cell>
          <cell r="E529" t="str">
            <v>lfprod_s1_a6</v>
          </cell>
          <cell r="F529">
            <v>0.31879907846450806</v>
          </cell>
          <cell r="G529">
            <v>6</v>
          </cell>
        </row>
        <row r="530">
          <cell r="A530" t="str">
            <v>BGD</v>
          </cell>
          <cell r="B530" t="str">
            <v>Long</v>
          </cell>
          <cell r="C530" t="str">
            <v>2005 - 2022</v>
          </cell>
          <cell r="D530" t="str">
            <v>avg_1_99</v>
          </cell>
          <cell r="E530" t="str">
            <v>lfls12_S0_A0</v>
          </cell>
          <cell r="F530">
            <v>0.37168604135513306</v>
          </cell>
          <cell r="G530">
            <v>6</v>
          </cell>
        </row>
        <row r="531">
          <cell r="A531" t="str">
            <v>BGD</v>
          </cell>
          <cell r="B531" t="str">
            <v>Long</v>
          </cell>
          <cell r="C531" t="str">
            <v>2005 - 2022</v>
          </cell>
          <cell r="D531" t="str">
            <v>avg_1_99</v>
          </cell>
          <cell r="E531" t="str">
            <v>lfls1_S0_A0</v>
          </cell>
          <cell r="F531">
            <v>0.34859895706176758</v>
          </cell>
          <cell r="G531">
            <v>6</v>
          </cell>
        </row>
        <row r="532">
          <cell r="A532" t="str">
            <v>BGD</v>
          </cell>
          <cell r="B532" t="str">
            <v>Long</v>
          </cell>
          <cell r="C532" t="str">
            <v>2005 - 2022</v>
          </cell>
          <cell r="D532" t="str">
            <v>avg_1_99</v>
          </cell>
          <cell r="E532" t="str">
            <v>lfls1_S0_a1</v>
          </cell>
          <cell r="F532">
            <v>0.36857318878173828</v>
          </cell>
          <cell r="G532">
            <v>6</v>
          </cell>
        </row>
        <row r="533">
          <cell r="A533" t="str">
            <v>BGD</v>
          </cell>
          <cell r="B533" t="str">
            <v>Long</v>
          </cell>
          <cell r="C533" t="str">
            <v>2005 - 2022</v>
          </cell>
          <cell r="D533" t="str">
            <v>avg_1_99</v>
          </cell>
          <cell r="E533" t="str">
            <v>lfls1_S0_a2</v>
          </cell>
          <cell r="F533">
            <v>0.68271607160568237</v>
          </cell>
          <cell r="G533">
            <v>6</v>
          </cell>
        </row>
        <row r="534">
          <cell r="A534" t="str">
            <v>BGD</v>
          </cell>
          <cell r="B534" t="str">
            <v>Long</v>
          </cell>
          <cell r="C534" t="str">
            <v>2005 - 2022</v>
          </cell>
          <cell r="D534" t="str">
            <v>avg_1_99</v>
          </cell>
          <cell r="E534" t="str">
            <v>lfls1_S0_a3</v>
          </cell>
          <cell r="F534">
            <v>0.20924188196659088</v>
          </cell>
          <cell r="G534">
            <v>6</v>
          </cell>
        </row>
        <row r="535">
          <cell r="A535" t="str">
            <v>BGD</v>
          </cell>
          <cell r="B535" t="str">
            <v>Long</v>
          </cell>
          <cell r="C535" t="str">
            <v>2005 - 2022</v>
          </cell>
          <cell r="D535" t="str">
            <v>avg_1_99</v>
          </cell>
          <cell r="E535" t="str">
            <v>lfls1_S0_a4</v>
          </cell>
          <cell r="F535">
            <v>6.3041701912879944E-2</v>
          </cell>
          <cell r="G535">
            <v>6</v>
          </cell>
        </row>
        <row r="536">
          <cell r="A536" t="str">
            <v>BGD</v>
          </cell>
          <cell r="B536" t="str">
            <v>Long</v>
          </cell>
          <cell r="C536" t="str">
            <v>2005 - 2022</v>
          </cell>
          <cell r="D536" t="str">
            <v>avg_1_99</v>
          </cell>
          <cell r="E536" t="str">
            <v>lfls1_S0_a5</v>
          </cell>
          <cell r="F536">
            <v>0.51822394132614136</v>
          </cell>
          <cell r="G536">
            <v>6</v>
          </cell>
        </row>
        <row r="537">
          <cell r="A537" t="str">
            <v>BGD</v>
          </cell>
          <cell r="B537" t="str">
            <v>Long</v>
          </cell>
          <cell r="C537" t="str">
            <v>2005 - 2022</v>
          </cell>
          <cell r="D537" t="str">
            <v>avg_1_99</v>
          </cell>
          <cell r="E537" t="str">
            <v>lfls1_S0_a6</v>
          </cell>
          <cell r="F537">
            <v>0.49506542086601257</v>
          </cell>
          <cell r="G537">
            <v>6</v>
          </cell>
        </row>
        <row r="538">
          <cell r="A538" t="str">
            <v>BGD</v>
          </cell>
          <cell r="B538" t="str">
            <v>Long</v>
          </cell>
          <cell r="C538" t="str">
            <v>2005 - 2022</v>
          </cell>
          <cell r="D538" t="str">
            <v>avg_1_99</v>
          </cell>
          <cell r="E538" t="str">
            <v>lfls1_s0_A0</v>
          </cell>
          <cell r="F538">
            <v>0.64339053630828857</v>
          </cell>
          <cell r="G538">
            <v>6</v>
          </cell>
        </row>
        <row r="539">
          <cell r="A539" t="str">
            <v>BGD</v>
          </cell>
          <cell r="B539" t="str">
            <v>Long</v>
          </cell>
          <cell r="C539" t="str">
            <v>2005 - 2022</v>
          </cell>
          <cell r="D539" t="str">
            <v>avg_1_99</v>
          </cell>
          <cell r="E539" t="str">
            <v>lfls1_s0_a1</v>
          </cell>
          <cell r="F539">
            <v>3.2931687831878662</v>
          </cell>
          <cell r="G539">
            <v>6</v>
          </cell>
        </row>
        <row r="540">
          <cell r="A540" t="str">
            <v>BGD</v>
          </cell>
          <cell r="B540" t="str">
            <v>Long</v>
          </cell>
          <cell r="C540" t="str">
            <v>2005 - 2022</v>
          </cell>
          <cell r="D540" t="str">
            <v>avg_1_99</v>
          </cell>
          <cell r="E540" t="str">
            <v>lfls1_s0_a2</v>
          </cell>
          <cell r="F540">
            <v>0.69580280780792236</v>
          </cell>
          <cell r="G540">
            <v>6</v>
          </cell>
        </row>
        <row r="541">
          <cell r="A541" t="str">
            <v>BGD</v>
          </cell>
          <cell r="B541" t="str">
            <v>Long</v>
          </cell>
          <cell r="C541" t="str">
            <v>2005 - 2022</v>
          </cell>
          <cell r="D541" t="str">
            <v>avg_1_99</v>
          </cell>
          <cell r="E541" t="str">
            <v>lfls1_s0_a3</v>
          </cell>
          <cell r="F541">
            <v>0.22335360944271088</v>
          </cell>
          <cell r="G541">
            <v>6</v>
          </cell>
        </row>
        <row r="542">
          <cell r="A542" t="str">
            <v>BGD</v>
          </cell>
          <cell r="B542" t="str">
            <v>Long</v>
          </cell>
          <cell r="C542" t="str">
            <v>2005 - 2022</v>
          </cell>
          <cell r="D542" t="str">
            <v>avg_1_99</v>
          </cell>
          <cell r="E542" t="str">
            <v>lfls1_s0_a4</v>
          </cell>
          <cell r="F542">
            <v>4.4012106955051422E-2</v>
          </cell>
          <cell r="G542">
            <v>6</v>
          </cell>
        </row>
        <row r="543">
          <cell r="A543" t="str">
            <v>BGD</v>
          </cell>
          <cell r="B543" t="str">
            <v>Long</v>
          </cell>
          <cell r="C543" t="str">
            <v>2005 - 2022</v>
          </cell>
          <cell r="D543" t="str">
            <v>avg_1_99</v>
          </cell>
          <cell r="E543" t="str">
            <v>lfls1_s0_a5</v>
          </cell>
          <cell r="F543">
            <v>0.48828864097595215</v>
          </cell>
          <cell r="G543">
            <v>6</v>
          </cell>
        </row>
        <row r="544">
          <cell r="A544" t="str">
            <v>BGD</v>
          </cell>
          <cell r="B544" t="str">
            <v>Long</v>
          </cell>
          <cell r="C544" t="str">
            <v>2005 - 2022</v>
          </cell>
          <cell r="D544" t="str">
            <v>avg_1_99</v>
          </cell>
          <cell r="E544" t="str">
            <v>lfls1_s0_a6</v>
          </cell>
          <cell r="F544">
            <v>0.37305942177772522</v>
          </cell>
          <cell r="G544">
            <v>6</v>
          </cell>
        </row>
        <row r="545">
          <cell r="A545" t="str">
            <v>BGD</v>
          </cell>
          <cell r="B545" t="str">
            <v>Long</v>
          </cell>
          <cell r="C545" t="str">
            <v>2005 - 2022</v>
          </cell>
          <cell r="D545" t="str">
            <v>avg_1_99</v>
          </cell>
          <cell r="E545" t="str">
            <v>lfls1_s1_A0</v>
          </cell>
          <cell r="F545">
            <v>-0.17981986701488495</v>
          </cell>
          <cell r="G545">
            <v>6</v>
          </cell>
        </row>
        <row r="546">
          <cell r="A546" t="str">
            <v>BGD</v>
          </cell>
          <cell r="B546" t="str">
            <v>Long</v>
          </cell>
          <cell r="C546" t="str">
            <v>2005 - 2022</v>
          </cell>
          <cell r="D546" t="str">
            <v>avg_1_99</v>
          </cell>
          <cell r="E546" t="str">
            <v>lfls1_s1_a1</v>
          </cell>
          <cell r="F546">
            <v>-0.84124022722244263</v>
          </cell>
          <cell r="G546">
            <v>6</v>
          </cell>
        </row>
        <row r="547">
          <cell r="A547" t="str">
            <v>BGD</v>
          </cell>
          <cell r="B547" t="str">
            <v>Long</v>
          </cell>
          <cell r="C547" t="str">
            <v>2005 - 2022</v>
          </cell>
          <cell r="D547" t="str">
            <v>avg_1_99</v>
          </cell>
          <cell r="E547" t="str">
            <v>lfls1_s1_a2</v>
          </cell>
          <cell r="F547">
            <v>0.43118780851364136</v>
          </cell>
          <cell r="G547">
            <v>6</v>
          </cell>
        </row>
        <row r="548">
          <cell r="A548" t="str">
            <v>BGD</v>
          </cell>
          <cell r="B548" t="str">
            <v>Long</v>
          </cell>
          <cell r="C548" t="str">
            <v>2005 - 2022</v>
          </cell>
          <cell r="D548" t="str">
            <v>avg_1_99</v>
          </cell>
          <cell r="E548" t="str">
            <v>lfls1_s1_a3</v>
          </cell>
          <cell r="F548">
            <v>0.97328394651412964</v>
          </cell>
          <cell r="G548">
            <v>6</v>
          </cell>
        </row>
        <row r="549">
          <cell r="A549" t="str">
            <v>BGD</v>
          </cell>
          <cell r="B549" t="str">
            <v>Long</v>
          </cell>
          <cell r="C549" t="str">
            <v>2005 - 2022</v>
          </cell>
          <cell r="D549" t="str">
            <v>avg_1_99</v>
          </cell>
          <cell r="E549" t="str">
            <v>lfls1_s1_a4</v>
          </cell>
          <cell r="F549">
            <v>1.4714318513870239</v>
          </cell>
          <cell r="G549">
            <v>6</v>
          </cell>
        </row>
        <row r="550">
          <cell r="A550" t="str">
            <v>BGD</v>
          </cell>
          <cell r="B550" t="str">
            <v>Long</v>
          </cell>
          <cell r="C550" t="str">
            <v>2005 - 2022</v>
          </cell>
          <cell r="D550" t="str">
            <v>avg_1_99</v>
          </cell>
          <cell r="E550" t="str">
            <v>lfls1_s1_a5</v>
          </cell>
          <cell r="F550">
            <v>0.32459321618080139</v>
          </cell>
          <cell r="G550">
            <v>6</v>
          </cell>
        </row>
        <row r="551">
          <cell r="A551" t="str">
            <v>BGD</v>
          </cell>
          <cell r="B551" t="str">
            <v>Long</v>
          </cell>
          <cell r="C551" t="str">
            <v>2005 - 2022</v>
          </cell>
          <cell r="D551" t="str">
            <v>avg_1_99</v>
          </cell>
          <cell r="E551" t="str">
            <v>lfls1_s1_a6</v>
          </cell>
          <cell r="F551">
            <v>1.3245351314544678</v>
          </cell>
          <cell r="G551">
            <v>6</v>
          </cell>
        </row>
        <row r="552">
          <cell r="A552" t="str">
            <v>BGD</v>
          </cell>
          <cell r="B552" t="str">
            <v>Long</v>
          </cell>
          <cell r="C552" t="str">
            <v>2005 - 2022</v>
          </cell>
          <cell r="D552" t="str">
            <v>avg_1_99</v>
          </cell>
          <cell r="E552" t="str">
            <v>lfprod_s0_a1</v>
          </cell>
          <cell r="F552">
            <v>1.9258879423141479</v>
          </cell>
          <cell r="G552">
            <v>6</v>
          </cell>
        </row>
        <row r="553">
          <cell r="A553" t="str">
            <v>BGD</v>
          </cell>
          <cell r="B553" t="str">
            <v>Long</v>
          </cell>
          <cell r="C553" t="str">
            <v>2005 - 2022</v>
          </cell>
          <cell r="D553" t="str">
            <v>avg_1_99</v>
          </cell>
          <cell r="E553" t="str">
            <v>lfprod_s0_a2</v>
          </cell>
          <cell r="F553">
            <v>-0.21003749966621399</v>
          </cell>
          <cell r="G553">
            <v>6</v>
          </cell>
        </row>
        <row r="554">
          <cell r="A554" t="str">
            <v>BGD</v>
          </cell>
          <cell r="B554" t="str">
            <v>Long</v>
          </cell>
          <cell r="C554" t="str">
            <v>2005 - 2022</v>
          </cell>
          <cell r="D554" t="str">
            <v>avg_1_99</v>
          </cell>
          <cell r="E554" t="str">
            <v>lfprod_s0_a3</v>
          </cell>
          <cell r="F554">
            <v>-0.56009644269943237</v>
          </cell>
          <cell r="G554">
            <v>6</v>
          </cell>
        </row>
        <row r="555">
          <cell r="A555" t="str">
            <v>BGD</v>
          </cell>
          <cell r="B555" t="str">
            <v>Long</v>
          </cell>
          <cell r="C555" t="str">
            <v>2005 - 2022</v>
          </cell>
          <cell r="D555" t="str">
            <v>avg_1_99</v>
          </cell>
          <cell r="E555" t="str">
            <v>lfprod_s0_a4</v>
          </cell>
          <cell r="F555">
            <v>-0.70279836654663086</v>
          </cell>
          <cell r="G555">
            <v>6</v>
          </cell>
        </row>
        <row r="556">
          <cell r="A556" t="str">
            <v>BGD</v>
          </cell>
          <cell r="B556" t="str">
            <v>Long</v>
          </cell>
          <cell r="C556" t="str">
            <v>2005 - 2022</v>
          </cell>
          <cell r="D556" t="str">
            <v>avg_1_99</v>
          </cell>
          <cell r="E556" t="str">
            <v>lfprod_s0_a5</v>
          </cell>
          <cell r="F556">
            <v>-0.44263628125190735</v>
          </cell>
          <cell r="G556">
            <v>6</v>
          </cell>
        </row>
        <row r="557">
          <cell r="A557" t="str">
            <v>BGD</v>
          </cell>
          <cell r="B557" t="str">
            <v>Long</v>
          </cell>
          <cell r="C557" t="str">
            <v>2005 - 2022</v>
          </cell>
          <cell r="D557" t="str">
            <v>avg_1_99</v>
          </cell>
          <cell r="E557" t="str">
            <v>lfprod_s0_a6</v>
          </cell>
          <cell r="F557">
            <v>-0.47984510660171509</v>
          </cell>
          <cell r="G557">
            <v>6</v>
          </cell>
        </row>
        <row r="558">
          <cell r="A558" t="str">
            <v>BGD</v>
          </cell>
          <cell r="B558" t="str">
            <v>Long</v>
          </cell>
          <cell r="C558" t="str">
            <v>2005 - 2022</v>
          </cell>
          <cell r="D558" t="str">
            <v>avg_1_99</v>
          </cell>
          <cell r="E558" t="str">
            <v>lfprod_s1_a1</v>
          </cell>
          <cell r="F558">
            <v>-1.6635783910751343</v>
          </cell>
          <cell r="G558">
            <v>6</v>
          </cell>
        </row>
        <row r="559">
          <cell r="A559" t="str">
            <v>BGD</v>
          </cell>
          <cell r="B559" t="str">
            <v>Long</v>
          </cell>
          <cell r="C559" t="str">
            <v>2005 - 2022</v>
          </cell>
          <cell r="D559" t="str">
            <v>avg_1_99</v>
          </cell>
          <cell r="E559" t="str">
            <v>lfprod_s1_a2</v>
          </cell>
          <cell r="F559">
            <v>-0.409566730260849</v>
          </cell>
          <cell r="G559">
            <v>6</v>
          </cell>
        </row>
        <row r="560">
          <cell r="A560" t="str">
            <v>BGD</v>
          </cell>
          <cell r="B560" t="str">
            <v>Long</v>
          </cell>
          <cell r="C560" t="str">
            <v>2005 - 2022</v>
          </cell>
          <cell r="D560" t="str">
            <v>avg_1_99</v>
          </cell>
          <cell r="E560" t="str">
            <v>lfprod_s1_a3</v>
          </cell>
          <cell r="F560">
            <v>2.2126905620098114E-2</v>
          </cell>
          <cell r="G560">
            <v>6</v>
          </cell>
        </row>
        <row r="561">
          <cell r="A561" t="str">
            <v>BGD</v>
          </cell>
          <cell r="B561" t="str">
            <v>Long</v>
          </cell>
          <cell r="C561" t="str">
            <v>2005 - 2022</v>
          </cell>
          <cell r="D561" t="str">
            <v>avg_1_99</v>
          </cell>
          <cell r="E561" t="str">
            <v>lfprod_s1_a4</v>
          </cell>
          <cell r="F561">
            <v>0.3328089714050293</v>
          </cell>
          <cell r="G561">
            <v>6</v>
          </cell>
        </row>
        <row r="562">
          <cell r="A562" t="str">
            <v>BGD</v>
          </cell>
          <cell r="B562" t="str">
            <v>Long</v>
          </cell>
          <cell r="C562" t="str">
            <v>2005 - 2022</v>
          </cell>
          <cell r="D562" t="str">
            <v>avg_1_99</v>
          </cell>
          <cell r="E562" t="str">
            <v>lfprod_s1_a5</v>
          </cell>
          <cell r="F562">
            <v>-0.58566129207611084</v>
          </cell>
          <cell r="G562">
            <v>6</v>
          </cell>
        </row>
        <row r="563">
          <cell r="A563" t="str">
            <v>BGD</v>
          </cell>
          <cell r="B563" t="str">
            <v>Long</v>
          </cell>
          <cell r="C563" t="str">
            <v>2005 - 2022</v>
          </cell>
          <cell r="D563" t="str">
            <v>avg_1_99</v>
          </cell>
          <cell r="E563" t="str">
            <v>lfprod_s1_a6</v>
          </cell>
          <cell r="F563">
            <v>0.23722624778747559</v>
          </cell>
          <cell r="G563">
            <v>6</v>
          </cell>
        </row>
        <row r="564">
          <cell r="A564" t="str">
            <v>BGD</v>
          </cell>
          <cell r="B564" t="str">
            <v>Long</v>
          </cell>
          <cell r="C564" t="str">
            <v>2005 - 2022</v>
          </cell>
          <cell r="D564" t="str">
            <v>avg_1_99_imp</v>
          </cell>
          <cell r="E564" t="str">
            <v>lfls12_S0_A0</v>
          </cell>
          <cell r="F564">
            <v>0.3712775707244873</v>
          </cell>
          <cell r="G564">
            <v>6</v>
          </cell>
        </row>
        <row r="565">
          <cell r="A565" t="str">
            <v>BGD</v>
          </cell>
          <cell r="B565" t="str">
            <v>Long</v>
          </cell>
          <cell r="C565" t="str">
            <v>2005 - 2022</v>
          </cell>
          <cell r="D565" t="str">
            <v>avg_1_99_imp</v>
          </cell>
          <cell r="E565" t="str">
            <v>lfls1_S0_A0</v>
          </cell>
          <cell r="F565">
            <v>0.34997311234474182</v>
          </cell>
          <cell r="G565">
            <v>6</v>
          </cell>
        </row>
        <row r="566">
          <cell r="A566" t="str">
            <v>BGD</v>
          </cell>
          <cell r="B566" t="str">
            <v>Long</v>
          </cell>
          <cell r="C566" t="str">
            <v>2005 - 2022</v>
          </cell>
          <cell r="D566" t="str">
            <v>avg_1_99_imp</v>
          </cell>
          <cell r="E566" t="str">
            <v>lfls1_S0_a1</v>
          </cell>
          <cell r="F566">
            <v>0.39568176865577698</v>
          </cell>
          <cell r="G566">
            <v>6</v>
          </cell>
        </row>
        <row r="567">
          <cell r="A567" t="str">
            <v>BGD</v>
          </cell>
          <cell r="B567" t="str">
            <v>Long</v>
          </cell>
          <cell r="C567" t="str">
            <v>2005 - 2022</v>
          </cell>
          <cell r="D567" t="str">
            <v>avg_1_99_imp</v>
          </cell>
          <cell r="E567" t="str">
            <v>lfls1_S0_a2</v>
          </cell>
          <cell r="F567">
            <v>0.42208322882652283</v>
          </cell>
          <cell r="G567">
            <v>6</v>
          </cell>
        </row>
        <row r="568">
          <cell r="A568" t="str">
            <v>BGD</v>
          </cell>
          <cell r="B568" t="str">
            <v>Long</v>
          </cell>
          <cell r="C568" t="str">
            <v>2005 - 2022</v>
          </cell>
          <cell r="D568" t="str">
            <v>avg_1_99_imp</v>
          </cell>
          <cell r="E568" t="str">
            <v>lfls1_S0_a3</v>
          </cell>
          <cell r="F568">
            <v>0.19570241868495941</v>
          </cell>
          <cell r="G568">
            <v>6</v>
          </cell>
        </row>
        <row r="569">
          <cell r="A569" t="str">
            <v>BGD</v>
          </cell>
          <cell r="B569" t="str">
            <v>Long</v>
          </cell>
          <cell r="C569" t="str">
            <v>2005 - 2022</v>
          </cell>
          <cell r="D569" t="str">
            <v>avg_1_99_imp</v>
          </cell>
          <cell r="E569" t="str">
            <v>lfls1_S0_a4</v>
          </cell>
          <cell r="F569">
            <v>4.0685061365365982E-2</v>
          </cell>
          <cell r="G569">
            <v>6</v>
          </cell>
        </row>
        <row r="570">
          <cell r="A570" t="str">
            <v>BGD</v>
          </cell>
          <cell r="B570" t="str">
            <v>Long</v>
          </cell>
          <cell r="C570" t="str">
            <v>2005 - 2022</v>
          </cell>
          <cell r="D570" t="str">
            <v>avg_1_99_imp</v>
          </cell>
          <cell r="E570" t="str">
            <v>lfls1_S0_a5</v>
          </cell>
          <cell r="F570">
            <v>0.59384632110595703</v>
          </cell>
          <cell r="G570">
            <v>6</v>
          </cell>
        </row>
        <row r="571">
          <cell r="A571" t="str">
            <v>BGD</v>
          </cell>
          <cell r="B571" t="str">
            <v>Long</v>
          </cell>
          <cell r="C571" t="str">
            <v>2005 - 2022</v>
          </cell>
          <cell r="D571" t="str">
            <v>avg_1_99_imp</v>
          </cell>
          <cell r="E571" t="str">
            <v>lfls1_S0_a6</v>
          </cell>
          <cell r="F571">
            <v>0.52773892879486084</v>
          </cell>
          <cell r="G571">
            <v>6</v>
          </cell>
        </row>
        <row r="572">
          <cell r="A572" t="str">
            <v>BGD</v>
          </cell>
          <cell r="B572" t="str">
            <v>Long</v>
          </cell>
          <cell r="C572" t="str">
            <v>2005 - 2022</v>
          </cell>
          <cell r="D572" t="str">
            <v>avg_1_99_imp</v>
          </cell>
          <cell r="E572" t="str">
            <v>lfls1_s0_A0</v>
          </cell>
          <cell r="F572">
            <v>0.62842065095901489</v>
          </cell>
          <cell r="G572">
            <v>6</v>
          </cell>
        </row>
        <row r="573">
          <cell r="A573" t="str">
            <v>BGD</v>
          </cell>
          <cell r="B573" t="str">
            <v>Long</v>
          </cell>
          <cell r="C573" t="str">
            <v>2005 - 2022</v>
          </cell>
          <cell r="D573" t="str">
            <v>avg_1_99_imp</v>
          </cell>
          <cell r="E573" t="str">
            <v>lfls1_s0_a1</v>
          </cell>
          <cell r="F573">
            <v>3.0072832107543945</v>
          </cell>
          <cell r="G573">
            <v>6</v>
          </cell>
        </row>
        <row r="574">
          <cell r="A574" t="str">
            <v>BGD</v>
          </cell>
          <cell r="B574" t="str">
            <v>Long</v>
          </cell>
          <cell r="C574" t="str">
            <v>2005 - 2022</v>
          </cell>
          <cell r="D574" t="str">
            <v>avg_1_99_imp</v>
          </cell>
          <cell r="E574" t="str">
            <v>lfls1_s0_a2</v>
          </cell>
          <cell r="F574">
            <v>0.42270615696907043</v>
          </cell>
          <cell r="G574">
            <v>6</v>
          </cell>
        </row>
        <row r="575">
          <cell r="A575" t="str">
            <v>BGD</v>
          </cell>
          <cell r="B575" t="str">
            <v>Long</v>
          </cell>
          <cell r="C575" t="str">
            <v>2005 - 2022</v>
          </cell>
          <cell r="D575" t="str">
            <v>avg_1_99_imp</v>
          </cell>
          <cell r="E575" t="str">
            <v>lfls1_s0_a3</v>
          </cell>
          <cell r="F575">
            <v>0.17515182495117188</v>
          </cell>
          <cell r="G575">
            <v>6</v>
          </cell>
        </row>
        <row r="576">
          <cell r="A576" t="str">
            <v>BGD</v>
          </cell>
          <cell r="B576" t="str">
            <v>Long</v>
          </cell>
          <cell r="C576" t="str">
            <v>2005 - 2022</v>
          </cell>
          <cell r="D576" t="str">
            <v>avg_1_99_imp</v>
          </cell>
          <cell r="E576" t="str">
            <v>lfls1_s0_a4</v>
          </cell>
          <cell r="F576">
            <v>2.4536393582820892E-2</v>
          </cell>
          <cell r="G576">
            <v>6</v>
          </cell>
        </row>
        <row r="577">
          <cell r="A577" t="str">
            <v>BGD</v>
          </cell>
          <cell r="B577" t="str">
            <v>Long</v>
          </cell>
          <cell r="C577" t="str">
            <v>2005 - 2022</v>
          </cell>
          <cell r="D577" t="str">
            <v>avg_1_99_imp</v>
          </cell>
          <cell r="E577" t="str">
            <v>lfls1_s0_a5</v>
          </cell>
          <cell r="F577">
            <v>0.49062842130661011</v>
          </cell>
          <cell r="G577">
            <v>6</v>
          </cell>
        </row>
        <row r="578">
          <cell r="A578" t="str">
            <v>BGD</v>
          </cell>
          <cell r="B578" t="str">
            <v>Long</v>
          </cell>
          <cell r="C578" t="str">
            <v>2005 - 2022</v>
          </cell>
          <cell r="D578" t="str">
            <v>avg_1_99_imp</v>
          </cell>
          <cell r="E578" t="str">
            <v>lfls1_s0_a6</v>
          </cell>
          <cell r="F578">
            <v>0.30231174826622009</v>
          </cell>
          <cell r="G578">
            <v>6</v>
          </cell>
        </row>
        <row r="579">
          <cell r="A579" t="str">
            <v>BGD</v>
          </cell>
          <cell r="B579" t="str">
            <v>Long</v>
          </cell>
          <cell r="C579" t="str">
            <v>2005 - 2022</v>
          </cell>
          <cell r="D579" t="str">
            <v>avg_1_99_imp</v>
          </cell>
          <cell r="E579" t="str">
            <v>lfls1_s1_A0</v>
          </cell>
          <cell r="F579">
            <v>-0.22317075729370117</v>
          </cell>
          <cell r="G579">
            <v>6</v>
          </cell>
        </row>
        <row r="580">
          <cell r="A580" t="str">
            <v>BGD</v>
          </cell>
          <cell r="B580" t="str">
            <v>Long</v>
          </cell>
          <cell r="C580" t="str">
            <v>2005 - 2022</v>
          </cell>
          <cell r="D580" t="str">
            <v>avg_1_99_imp</v>
          </cell>
          <cell r="E580" t="str">
            <v>lfls1_s1_a1</v>
          </cell>
          <cell r="F580">
            <v>-0.9830518364906311</v>
          </cell>
          <cell r="G580">
            <v>6</v>
          </cell>
        </row>
        <row r="581">
          <cell r="A581" t="str">
            <v>BGD</v>
          </cell>
          <cell r="B581" t="str">
            <v>Long</v>
          </cell>
          <cell r="C581" t="str">
            <v>2005 - 2022</v>
          </cell>
          <cell r="D581" t="str">
            <v>avg_1_99_imp</v>
          </cell>
          <cell r="E581" t="str">
            <v>lfls1_s1_a2</v>
          </cell>
          <cell r="F581">
            <v>0.418416827917099</v>
          </cell>
          <cell r="G581">
            <v>6</v>
          </cell>
        </row>
        <row r="582">
          <cell r="A582" t="str">
            <v>BGD</v>
          </cell>
          <cell r="B582" t="str">
            <v>Long</v>
          </cell>
          <cell r="C582" t="str">
            <v>2005 - 2022</v>
          </cell>
          <cell r="D582" t="str">
            <v>avg_1_99_imp</v>
          </cell>
          <cell r="E582" t="str">
            <v>lfls1_s1_a3</v>
          </cell>
          <cell r="F582">
            <v>0.83846867084503174</v>
          </cell>
          <cell r="G582">
            <v>6</v>
          </cell>
        </row>
        <row r="583">
          <cell r="A583" t="str">
            <v>BGD</v>
          </cell>
          <cell r="B583" t="str">
            <v>Long</v>
          </cell>
          <cell r="C583" t="str">
            <v>2005 - 2022</v>
          </cell>
          <cell r="D583" t="str">
            <v>avg_1_99_imp</v>
          </cell>
          <cell r="E583" t="str">
            <v>lfls1_s1_a4</v>
          </cell>
          <cell r="F583">
            <v>1.3915665149688721</v>
          </cell>
          <cell r="G583">
            <v>6</v>
          </cell>
        </row>
        <row r="584">
          <cell r="A584" t="str">
            <v>BGD</v>
          </cell>
          <cell r="B584" t="str">
            <v>Long</v>
          </cell>
          <cell r="C584" t="str">
            <v>2005 - 2022</v>
          </cell>
          <cell r="D584" t="str">
            <v>avg_1_99_imp</v>
          </cell>
          <cell r="E584" t="str">
            <v>lfls1_s1_a5</v>
          </cell>
          <cell r="F584">
            <v>0.28872352838516235</v>
          </cell>
          <cell r="G584">
            <v>6</v>
          </cell>
        </row>
        <row r="585">
          <cell r="A585" t="str">
            <v>BGD</v>
          </cell>
          <cell r="B585" t="str">
            <v>Long</v>
          </cell>
          <cell r="C585" t="str">
            <v>2005 - 2022</v>
          </cell>
          <cell r="D585" t="str">
            <v>avg_1_99_imp</v>
          </cell>
          <cell r="E585" t="str">
            <v>lfls1_s1_a6</v>
          </cell>
          <cell r="F585">
            <v>1.287592887878418</v>
          </cell>
          <cell r="G585">
            <v>6</v>
          </cell>
        </row>
        <row r="586">
          <cell r="A586" t="str">
            <v>BGD</v>
          </cell>
          <cell r="B586" t="str">
            <v>Long</v>
          </cell>
          <cell r="C586" t="str">
            <v>2005 - 2022</v>
          </cell>
          <cell r="D586" t="str">
            <v>avg_1_99_imp</v>
          </cell>
          <cell r="E586" t="str">
            <v>lfprod_s0_a1</v>
          </cell>
          <cell r="F586">
            <v>1.7610269784927368</v>
          </cell>
          <cell r="G586">
            <v>6</v>
          </cell>
        </row>
        <row r="587">
          <cell r="A587" t="str">
            <v>BGD</v>
          </cell>
          <cell r="B587" t="str">
            <v>Long</v>
          </cell>
          <cell r="C587" t="str">
            <v>2005 - 2022</v>
          </cell>
          <cell r="D587" t="str">
            <v>avg_1_99_imp</v>
          </cell>
          <cell r="E587" t="str">
            <v>lfprod_s0_a2</v>
          </cell>
          <cell r="F587">
            <v>-0.35352212190628052</v>
          </cell>
          <cell r="G587">
            <v>6</v>
          </cell>
        </row>
        <row r="588">
          <cell r="A588" t="str">
            <v>BGD</v>
          </cell>
          <cell r="B588" t="str">
            <v>Long</v>
          </cell>
          <cell r="C588" t="str">
            <v>2005 - 2022</v>
          </cell>
          <cell r="D588" t="str">
            <v>avg_1_99_imp</v>
          </cell>
          <cell r="E588" t="str">
            <v>lfprod_s0_a3</v>
          </cell>
          <cell r="F588">
            <v>-0.62844640016555786</v>
          </cell>
          <cell r="G588">
            <v>6</v>
          </cell>
        </row>
        <row r="589">
          <cell r="A589" t="str">
            <v>BGD</v>
          </cell>
          <cell r="B589" t="str">
            <v>Long</v>
          </cell>
          <cell r="C589" t="str">
            <v>2005 - 2022</v>
          </cell>
          <cell r="D589" t="str">
            <v>avg_1_99_imp</v>
          </cell>
          <cell r="E589" t="str">
            <v>lfprod_s0_a4</v>
          </cell>
          <cell r="F589">
            <v>-0.68481701612472534</v>
          </cell>
          <cell r="G589">
            <v>6</v>
          </cell>
        </row>
        <row r="590">
          <cell r="A590" t="str">
            <v>BGD</v>
          </cell>
          <cell r="B590" t="str">
            <v>Long</v>
          </cell>
          <cell r="C590" t="str">
            <v>2005 - 2022</v>
          </cell>
          <cell r="D590" t="str">
            <v>avg_1_99_imp</v>
          </cell>
          <cell r="E590" t="str">
            <v>lfprod_s0_a5</v>
          </cell>
          <cell r="F590">
            <v>-0.39006868004798889</v>
          </cell>
          <cell r="G590">
            <v>6</v>
          </cell>
        </row>
        <row r="591">
          <cell r="A591" t="str">
            <v>BGD</v>
          </cell>
          <cell r="B591" t="str">
            <v>Long</v>
          </cell>
          <cell r="C591" t="str">
            <v>2005 - 2022</v>
          </cell>
          <cell r="D591" t="str">
            <v>avg_1_99_imp</v>
          </cell>
          <cell r="E591" t="str">
            <v>lfprod_s0_a6</v>
          </cell>
          <cell r="F591">
            <v>-0.51004868745803833</v>
          </cell>
          <cell r="G591">
            <v>6</v>
          </cell>
        </row>
        <row r="592">
          <cell r="A592" t="str">
            <v>BGD</v>
          </cell>
          <cell r="B592" t="str">
            <v>Long</v>
          </cell>
          <cell r="C592" t="str">
            <v>2005 - 2022</v>
          </cell>
          <cell r="D592" t="str">
            <v>avg_1_99_imp</v>
          </cell>
          <cell r="E592" t="str">
            <v>lfprod_s1_a1</v>
          </cell>
          <cell r="F592">
            <v>-1.8169291019439697</v>
          </cell>
          <cell r="G592">
            <v>6</v>
          </cell>
        </row>
        <row r="593">
          <cell r="A593" t="str">
            <v>BGD</v>
          </cell>
          <cell r="B593" t="str">
            <v>Long</v>
          </cell>
          <cell r="C593" t="str">
            <v>2005 - 2022</v>
          </cell>
          <cell r="D593" t="str">
            <v>avg_1_99_imp</v>
          </cell>
          <cell r="E593" t="str">
            <v>lfprod_s1_a2</v>
          </cell>
          <cell r="F593">
            <v>-0.37846711277961731</v>
          </cell>
          <cell r="G593">
            <v>6</v>
          </cell>
        </row>
        <row r="594">
          <cell r="A594" t="str">
            <v>BGD</v>
          </cell>
          <cell r="B594" t="str">
            <v>Long</v>
          </cell>
          <cell r="C594" t="str">
            <v>2005 - 2022</v>
          </cell>
          <cell r="D594" t="str">
            <v>avg_1_99_imp</v>
          </cell>
          <cell r="E594" t="str">
            <v>lfprod_s1_a3</v>
          </cell>
          <cell r="F594">
            <v>-0.12150750309228897</v>
          </cell>
          <cell r="G594">
            <v>6</v>
          </cell>
        </row>
        <row r="595">
          <cell r="A595" t="str">
            <v>BGD</v>
          </cell>
          <cell r="B595" t="str">
            <v>Long</v>
          </cell>
          <cell r="C595" t="str">
            <v>2005 - 2022</v>
          </cell>
          <cell r="D595" t="str">
            <v>avg_1_99_imp</v>
          </cell>
          <cell r="E595" t="str">
            <v>lfprod_s1_a4</v>
          </cell>
          <cell r="F595">
            <v>0.27085983753204346</v>
          </cell>
          <cell r="G595">
            <v>6</v>
          </cell>
        </row>
        <row r="596">
          <cell r="A596" t="str">
            <v>BGD</v>
          </cell>
          <cell r="B596" t="str">
            <v>Long</v>
          </cell>
          <cell r="C596" t="str">
            <v>2005 - 2022</v>
          </cell>
          <cell r="D596" t="str">
            <v>avg_1_99_imp</v>
          </cell>
          <cell r="E596" t="str">
            <v>lfprod_s1_a5</v>
          </cell>
          <cell r="F596">
            <v>-0.63837218284606934</v>
          </cell>
          <cell r="G596">
            <v>6</v>
          </cell>
        </row>
        <row r="597">
          <cell r="A597" t="str">
            <v>BGD</v>
          </cell>
          <cell r="B597" t="str">
            <v>Long</v>
          </cell>
          <cell r="C597" t="str">
            <v>2005 - 2022</v>
          </cell>
          <cell r="D597" t="str">
            <v>avg_1_99_imp</v>
          </cell>
          <cell r="E597" t="str">
            <v>lfprod_s1_a6</v>
          </cell>
          <cell r="F597">
            <v>0.23126831650733948</v>
          </cell>
          <cell r="G597">
            <v>6</v>
          </cell>
        </row>
        <row r="598">
          <cell r="A598" t="str">
            <v>BGD</v>
          </cell>
          <cell r="B598" t="str">
            <v>Long</v>
          </cell>
          <cell r="C598" t="str">
            <v>2005 - 2022</v>
          </cell>
          <cell r="D598" t="str">
            <v>med_reg</v>
          </cell>
          <cell r="E598" t="str">
            <v>lfls12_S0_A0</v>
          </cell>
          <cell r="F598">
            <v>0.359465092420578</v>
          </cell>
          <cell r="G598">
            <v>6</v>
          </cell>
        </row>
        <row r="599">
          <cell r="A599" t="str">
            <v>BGD</v>
          </cell>
          <cell r="B599" t="str">
            <v>Long</v>
          </cell>
          <cell r="C599" t="str">
            <v>2005 - 2022</v>
          </cell>
          <cell r="D599" t="str">
            <v>med_reg</v>
          </cell>
          <cell r="E599" t="str">
            <v>lfls1_S0_A0</v>
          </cell>
          <cell r="F599">
            <v>0.37110373377799988</v>
          </cell>
          <cell r="G599">
            <v>6</v>
          </cell>
        </row>
        <row r="600">
          <cell r="A600" t="str">
            <v>BGD</v>
          </cell>
          <cell r="B600" t="str">
            <v>Long</v>
          </cell>
          <cell r="C600" t="str">
            <v>2005 - 2022</v>
          </cell>
          <cell r="D600" t="str">
            <v>med_reg</v>
          </cell>
          <cell r="E600" t="str">
            <v>lfls1_S0_a1</v>
          </cell>
          <cell r="F600">
            <v>0.39543730020523071</v>
          </cell>
          <cell r="G600">
            <v>6</v>
          </cell>
        </row>
        <row r="601">
          <cell r="A601" t="str">
            <v>BGD</v>
          </cell>
          <cell r="B601" t="str">
            <v>Long</v>
          </cell>
          <cell r="C601" t="str">
            <v>2005 - 2022</v>
          </cell>
          <cell r="D601" t="str">
            <v>med_reg</v>
          </cell>
          <cell r="E601" t="str">
            <v>lfls1_S0_a2</v>
          </cell>
          <cell r="F601">
            <v>0.34433221817016602</v>
          </cell>
          <cell r="G601">
            <v>6</v>
          </cell>
        </row>
        <row r="602">
          <cell r="A602" t="str">
            <v>BGD</v>
          </cell>
          <cell r="B602" t="str">
            <v>Long</v>
          </cell>
          <cell r="C602" t="str">
            <v>2005 - 2022</v>
          </cell>
          <cell r="D602" t="str">
            <v>med_reg</v>
          </cell>
          <cell r="E602" t="str">
            <v>lfls1_S0_a3</v>
          </cell>
          <cell r="F602">
            <v>0.46603122353553772</v>
          </cell>
          <cell r="G602">
            <v>6</v>
          </cell>
        </row>
        <row r="603">
          <cell r="A603" t="str">
            <v>BGD</v>
          </cell>
          <cell r="B603" t="str">
            <v>Long</v>
          </cell>
          <cell r="C603" t="str">
            <v>2005 - 2022</v>
          </cell>
          <cell r="D603" t="str">
            <v>med_reg</v>
          </cell>
          <cell r="E603" t="str">
            <v>lfls1_S0_a4</v>
          </cell>
          <cell r="F603">
            <v>0.24608680605888367</v>
          </cell>
          <cell r="G603">
            <v>6</v>
          </cell>
        </row>
        <row r="604">
          <cell r="A604" t="str">
            <v>BGD</v>
          </cell>
          <cell r="B604" t="str">
            <v>Long</v>
          </cell>
          <cell r="C604" t="str">
            <v>2005 - 2022</v>
          </cell>
          <cell r="D604" t="str">
            <v>med_reg</v>
          </cell>
          <cell r="E604" t="str">
            <v>lfls1_S0_a5</v>
          </cell>
          <cell r="F604">
            <v>0.60536772012710571</v>
          </cell>
          <cell r="G604">
            <v>6</v>
          </cell>
        </row>
        <row r="605">
          <cell r="A605" t="str">
            <v>BGD</v>
          </cell>
          <cell r="B605" t="str">
            <v>Long</v>
          </cell>
          <cell r="C605" t="str">
            <v>2005 - 2022</v>
          </cell>
          <cell r="D605" t="str">
            <v>med_reg</v>
          </cell>
          <cell r="E605" t="str">
            <v>lfls1_S0_a6</v>
          </cell>
          <cell r="F605">
            <v>0.57744789123535156</v>
          </cell>
          <cell r="G605">
            <v>6</v>
          </cell>
        </row>
        <row r="606">
          <cell r="A606" t="str">
            <v>BGD</v>
          </cell>
          <cell r="B606" t="str">
            <v>Long</v>
          </cell>
          <cell r="C606" t="str">
            <v>2005 - 2022</v>
          </cell>
          <cell r="D606" t="str">
            <v>med_reg</v>
          </cell>
          <cell r="E606" t="str">
            <v>lfls1_s0_A0</v>
          </cell>
          <cell r="F606">
            <v>0.33947247266769409</v>
          </cell>
          <cell r="G606">
            <v>6</v>
          </cell>
        </row>
        <row r="607">
          <cell r="A607" t="str">
            <v>BGD</v>
          </cell>
          <cell r="B607" t="str">
            <v>Long</v>
          </cell>
          <cell r="C607" t="str">
            <v>2005 - 2022</v>
          </cell>
          <cell r="D607" t="str">
            <v>med_reg</v>
          </cell>
          <cell r="E607" t="str">
            <v>lfls1_s0_a1</v>
          </cell>
          <cell r="F607">
            <v>-0.36433190107345581</v>
          </cell>
          <cell r="G607">
            <v>6</v>
          </cell>
        </row>
        <row r="608">
          <cell r="A608" t="str">
            <v>BGD</v>
          </cell>
          <cell r="B608" t="str">
            <v>Long</v>
          </cell>
          <cell r="C608" t="str">
            <v>2005 - 2022</v>
          </cell>
          <cell r="D608" t="str">
            <v>med_reg</v>
          </cell>
          <cell r="E608" t="str">
            <v>lfls1_s0_a2</v>
          </cell>
          <cell r="F608">
            <v>0.32926544547080994</v>
          </cell>
          <cell r="G608">
            <v>6</v>
          </cell>
        </row>
        <row r="609">
          <cell r="A609" t="str">
            <v>BGD</v>
          </cell>
          <cell r="B609" t="str">
            <v>Long</v>
          </cell>
          <cell r="C609" t="str">
            <v>2005 - 2022</v>
          </cell>
          <cell r="D609" t="str">
            <v>med_reg</v>
          </cell>
          <cell r="E609" t="str">
            <v>lfls1_s0_a3</v>
          </cell>
          <cell r="F609">
            <v>0.3467467725276947</v>
          </cell>
          <cell r="G609">
            <v>6</v>
          </cell>
        </row>
        <row r="610">
          <cell r="A610" t="str">
            <v>BGD</v>
          </cell>
          <cell r="B610" t="str">
            <v>Long</v>
          </cell>
          <cell r="C610" t="str">
            <v>2005 - 2022</v>
          </cell>
          <cell r="D610" t="str">
            <v>med_reg</v>
          </cell>
          <cell r="E610" t="str">
            <v>lfls1_s0_a4</v>
          </cell>
          <cell r="F610">
            <v>0.21263328194618225</v>
          </cell>
          <cell r="G610">
            <v>6</v>
          </cell>
        </row>
        <row r="611">
          <cell r="A611" t="str">
            <v>BGD</v>
          </cell>
          <cell r="B611" t="str">
            <v>Long</v>
          </cell>
          <cell r="C611" t="str">
            <v>2005 - 2022</v>
          </cell>
          <cell r="D611" t="str">
            <v>med_reg</v>
          </cell>
          <cell r="E611" t="str">
            <v>lfls1_s0_a5</v>
          </cell>
          <cell r="F611">
            <v>0.54358220100402832</v>
          </cell>
          <cell r="G611">
            <v>6</v>
          </cell>
        </row>
        <row r="612">
          <cell r="A612" t="str">
            <v>BGD</v>
          </cell>
          <cell r="B612" t="str">
            <v>Long</v>
          </cell>
          <cell r="C612" t="str">
            <v>2005 - 2022</v>
          </cell>
          <cell r="D612" t="str">
            <v>med_reg</v>
          </cell>
          <cell r="E612" t="str">
            <v>lfls1_s0_a6</v>
          </cell>
          <cell r="F612">
            <v>0.3339264988899231</v>
          </cell>
          <cell r="G612">
            <v>6</v>
          </cell>
        </row>
        <row r="613">
          <cell r="A613" t="str">
            <v>BGD</v>
          </cell>
          <cell r="B613" t="str">
            <v>Long</v>
          </cell>
          <cell r="C613" t="str">
            <v>2005 - 2022</v>
          </cell>
          <cell r="D613" t="str">
            <v>med_reg</v>
          </cell>
          <cell r="E613" t="str">
            <v>lfls1_s1_A0</v>
          </cell>
          <cell r="F613">
            <v>0.44557538628578186</v>
          </cell>
          <cell r="G613">
            <v>6</v>
          </cell>
        </row>
        <row r="614">
          <cell r="A614" t="str">
            <v>BGD</v>
          </cell>
          <cell r="B614" t="str">
            <v>Long</v>
          </cell>
          <cell r="C614" t="str">
            <v>2005 - 2022</v>
          </cell>
          <cell r="D614" t="str">
            <v>med_reg</v>
          </cell>
          <cell r="E614" t="str">
            <v>lfls1_s1_a1</v>
          </cell>
          <cell r="F614">
            <v>0.48070895671844482</v>
          </cell>
          <cell r="G614">
            <v>6</v>
          </cell>
        </row>
        <row r="615">
          <cell r="A615" t="str">
            <v>BGD</v>
          </cell>
          <cell r="B615" t="str">
            <v>Long</v>
          </cell>
          <cell r="C615" t="str">
            <v>2005 - 2022</v>
          </cell>
          <cell r="D615" t="str">
            <v>med_reg</v>
          </cell>
          <cell r="E615" t="str">
            <v>lfls1_s1_a2</v>
          </cell>
          <cell r="F615">
            <v>0.81915068626403809</v>
          </cell>
          <cell r="G615">
            <v>6</v>
          </cell>
        </row>
        <row r="616">
          <cell r="A616" t="str">
            <v>BGD</v>
          </cell>
          <cell r="B616" t="str">
            <v>Long</v>
          </cell>
          <cell r="C616" t="str">
            <v>2005 - 2022</v>
          </cell>
          <cell r="D616" t="str">
            <v>med_reg</v>
          </cell>
          <cell r="E616" t="str">
            <v>lfls1_s1_a3</v>
          </cell>
          <cell r="F616">
            <v>0.51386463642120361</v>
          </cell>
          <cell r="G616">
            <v>6</v>
          </cell>
        </row>
        <row r="617">
          <cell r="A617" t="str">
            <v>BGD</v>
          </cell>
          <cell r="B617" t="str">
            <v>Long</v>
          </cell>
          <cell r="C617" t="str">
            <v>2005 - 2022</v>
          </cell>
          <cell r="D617" t="str">
            <v>med_reg</v>
          </cell>
          <cell r="E617" t="str">
            <v>lfls1_s1_a4</v>
          </cell>
          <cell r="F617">
            <v>1.6567397117614746</v>
          </cell>
          <cell r="G617">
            <v>6</v>
          </cell>
        </row>
        <row r="618">
          <cell r="A618" t="str">
            <v>BGD</v>
          </cell>
          <cell r="B618" t="str">
            <v>Long</v>
          </cell>
          <cell r="C618" t="str">
            <v>2005 - 2022</v>
          </cell>
          <cell r="D618" t="str">
            <v>med_reg</v>
          </cell>
          <cell r="E618" t="str">
            <v>lfls1_s1_a5</v>
          </cell>
          <cell r="F618">
            <v>0.43778222799301147</v>
          </cell>
          <cell r="G618">
            <v>6</v>
          </cell>
        </row>
        <row r="619">
          <cell r="A619" t="str">
            <v>BGD</v>
          </cell>
          <cell r="B619" t="str">
            <v>Long</v>
          </cell>
          <cell r="C619" t="str">
            <v>2005 - 2022</v>
          </cell>
          <cell r="D619" t="str">
            <v>med_reg</v>
          </cell>
          <cell r="E619" t="str">
            <v>lfls1_s1_a6</v>
          </cell>
          <cell r="F619">
            <v>1.3580807447433472</v>
          </cell>
          <cell r="G619">
            <v>6</v>
          </cell>
        </row>
        <row r="620">
          <cell r="A620" t="str">
            <v>BGD</v>
          </cell>
          <cell r="B620" t="str">
            <v>Long</v>
          </cell>
          <cell r="C620" t="str">
            <v>2005 - 2022</v>
          </cell>
          <cell r="D620" t="str">
            <v>med_reg</v>
          </cell>
          <cell r="E620" t="str">
            <v>lfprod_s0_a1</v>
          </cell>
          <cell r="F620">
            <v>-1.364331841468811</v>
          </cell>
          <cell r="G620">
            <v>6</v>
          </cell>
        </row>
        <row r="621">
          <cell r="A621" t="str">
            <v>BGD</v>
          </cell>
          <cell r="B621" t="str">
            <v>Long</v>
          </cell>
          <cell r="C621" t="str">
            <v>2005 - 2022</v>
          </cell>
          <cell r="D621" t="str">
            <v>med_reg</v>
          </cell>
          <cell r="E621" t="str">
            <v>lfprod_s0_a2</v>
          </cell>
          <cell r="F621">
            <v>-0.67073458433151245</v>
          </cell>
          <cell r="G621">
            <v>6</v>
          </cell>
        </row>
        <row r="622">
          <cell r="A622" t="str">
            <v>BGD</v>
          </cell>
          <cell r="B622" t="str">
            <v>Long</v>
          </cell>
          <cell r="C622" t="str">
            <v>2005 - 2022</v>
          </cell>
          <cell r="D622" t="str">
            <v>med_reg</v>
          </cell>
          <cell r="E622" t="str">
            <v>lfprod_s0_a3</v>
          </cell>
          <cell r="F622">
            <v>-0.65325319766998291</v>
          </cell>
          <cell r="G622">
            <v>6</v>
          </cell>
        </row>
        <row r="623">
          <cell r="A623" t="str">
            <v>BGD</v>
          </cell>
          <cell r="B623" t="str">
            <v>Long</v>
          </cell>
          <cell r="C623" t="str">
            <v>2005 - 2022</v>
          </cell>
          <cell r="D623" t="str">
            <v>med_reg</v>
          </cell>
          <cell r="E623" t="str">
            <v>lfprod_s0_a4</v>
          </cell>
          <cell r="F623">
            <v>-0.78736674785614014</v>
          </cell>
          <cell r="G623">
            <v>6</v>
          </cell>
        </row>
        <row r="624">
          <cell r="A624" t="str">
            <v>BGD</v>
          </cell>
          <cell r="B624" t="str">
            <v>Long</v>
          </cell>
          <cell r="C624" t="str">
            <v>2005 - 2022</v>
          </cell>
          <cell r="D624" t="str">
            <v>med_reg</v>
          </cell>
          <cell r="E624" t="str">
            <v>lfprod_s0_a5</v>
          </cell>
          <cell r="F624">
            <v>-0.45641779899597168</v>
          </cell>
          <cell r="G624">
            <v>6</v>
          </cell>
        </row>
        <row r="625">
          <cell r="A625" t="str">
            <v>BGD</v>
          </cell>
          <cell r="B625" t="str">
            <v>Long</v>
          </cell>
          <cell r="C625" t="str">
            <v>2005 - 2022</v>
          </cell>
          <cell r="D625" t="str">
            <v>med_reg</v>
          </cell>
          <cell r="E625" t="str">
            <v>lfprod_s0_a6</v>
          </cell>
          <cell r="F625">
            <v>-0.6660735011100769</v>
          </cell>
          <cell r="G625">
            <v>6</v>
          </cell>
        </row>
        <row r="626">
          <cell r="A626" t="str">
            <v>BGD</v>
          </cell>
          <cell r="B626" t="str">
            <v>Long</v>
          </cell>
          <cell r="C626" t="str">
            <v>2005 - 2022</v>
          </cell>
          <cell r="D626" t="str">
            <v>med_reg</v>
          </cell>
          <cell r="E626" t="str">
            <v>lfprod_s1_a1</v>
          </cell>
          <cell r="F626">
            <v>-0.51929104328155518</v>
          </cell>
          <cell r="G626">
            <v>6</v>
          </cell>
        </row>
        <row r="627">
          <cell r="A627" t="str">
            <v>BGD</v>
          </cell>
          <cell r="B627" t="str">
            <v>Long</v>
          </cell>
          <cell r="C627" t="str">
            <v>2005 - 2022</v>
          </cell>
          <cell r="D627" t="str">
            <v>med_reg</v>
          </cell>
          <cell r="E627" t="str">
            <v>lfprod_s1_a2</v>
          </cell>
          <cell r="F627">
            <v>-0.18084932863712311</v>
          </cell>
          <cell r="G627">
            <v>6</v>
          </cell>
        </row>
        <row r="628">
          <cell r="A628" t="str">
            <v>BGD</v>
          </cell>
          <cell r="B628" t="str">
            <v>Long</v>
          </cell>
          <cell r="C628" t="str">
            <v>2005 - 2022</v>
          </cell>
          <cell r="D628" t="str">
            <v>med_reg</v>
          </cell>
          <cell r="E628" t="str">
            <v>lfprod_s1_a3</v>
          </cell>
          <cell r="F628">
            <v>-0.48613536357879639</v>
          </cell>
          <cell r="G628">
            <v>6</v>
          </cell>
        </row>
        <row r="629">
          <cell r="A629" t="str">
            <v>BGD</v>
          </cell>
          <cell r="B629" t="str">
            <v>Long</v>
          </cell>
          <cell r="C629" t="str">
            <v>2005 - 2022</v>
          </cell>
          <cell r="D629" t="str">
            <v>med_reg</v>
          </cell>
          <cell r="E629" t="str">
            <v>lfprod_s1_a4</v>
          </cell>
          <cell r="F629">
            <v>0.65673965215682983</v>
          </cell>
          <cell r="G629">
            <v>6</v>
          </cell>
        </row>
        <row r="630">
          <cell r="A630" t="str">
            <v>BGD</v>
          </cell>
          <cell r="B630" t="str">
            <v>Long</v>
          </cell>
          <cell r="C630" t="str">
            <v>2005 - 2022</v>
          </cell>
          <cell r="D630" t="str">
            <v>med_reg</v>
          </cell>
          <cell r="E630" t="str">
            <v>lfprod_s1_a5</v>
          </cell>
          <cell r="F630">
            <v>-0.56221777200698853</v>
          </cell>
          <cell r="G630">
            <v>6</v>
          </cell>
        </row>
        <row r="631">
          <cell r="A631" t="str">
            <v>BGD</v>
          </cell>
          <cell r="B631" t="str">
            <v>Long</v>
          </cell>
          <cell r="C631" t="str">
            <v>2005 - 2022</v>
          </cell>
          <cell r="D631" t="str">
            <v>med_reg</v>
          </cell>
          <cell r="E631" t="str">
            <v>lfprod_s1_a6</v>
          </cell>
          <cell r="F631">
            <v>0.35808080434799194</v>
          </cell>
          <cell r="G631">
            <v>6</v>
          </cell>
        </row>
        <row r="632">
          <cell r="A632" t="str">
            <v>BGD</v>
          </cell>
          <cell r="B632" t="str">
            <v>Long</v>
          </cell>
          <cell r="C632" t="str">
            <v>2005 - 2022</v>
          </cell>
          <cell r="D632" t="str">
            <v>med_reg_gdp</v>
          </cell>
          <cell r="E632" t="str">
            <v>lfls12_S0_A0</v>
          </cell>
          <cell r="F632">
            <v>0.359465092420578</v>
          </cell>
          <cell r="G632">
            <v>6</v>
          </cell>
        </row>
        <row r="633">
          <cell r="A633" t="str">
            <v>BGD</v>
          </cell>
          <cell r="B633" t="str">
            <v>Long</v>
          </cell>
          <cell r="C633" t="str">
            <v>2005 - 2022</v>
          </cell>
          <cell r="D633" t="str">
            <v>med_reg_gdp</v>
          </cell>
          <cell r="E633" t="str">
            <v>lfls1_S0_A0</v>
          </cell>
          <cell r="F633">
            <v>0.37110373377799988</v>
          </cell>
          <cell r="G633">
            <v>6</v>
          </cell>
        </row>
        <row r="634">
          <cell r="A634" t="str">
            <v>BGD</v>
          </cell>
          <cell r="B634" t="str">
            <v>Long</v>
          </cell>
          <cell r="C634" t="str">
            <v>2005 - 2022</v>
          </cell>
          <cell r="D634" t="str">
            <v>med_reg_gdp</v>
          </cell>
          <cell r="E634" t="str">
            <v>lfls1_S0_a1</v>
          </cell>
          <cell r="F634">
            <v>0.30331897735595703</v>
          </cell>
          <cell r="G634">
            <v>6</v>
          </cell>
        </row>
        <row r="635">
          <cell r="A635" t="str">
            <v>BGD</v>
          </cell>
          <cell r="B635" t="str">
            <v>Long</v>
          </cell>
          <cell r="C635" t="str">
            <v>2005 - 2022</v>
          </cell>
          <cell r="D635" t="str">
            <v>med_reg_gdp</v>
          </cell>
          <cell r="E635" t="str">
            <v>lfls1_S0_a2</v>
          </cell>
          <cell r="F635">
            <v>-2.2167589664459229</v>
          </cell>
          <cell r="G635">
            <v>6</v>
          </cell>
        </row>
        <row r="636">
          <cell r="A636" t="str">
            <v>BGD</v>
          </cell>
          <cell r="B636" t="str">
            <v>Long</v>
          </cell>
          <cell r="C636" t="str">
            <v>2005 - 2022</v>
          </cell>
          <cell r="D636" t="str">
            <v>med_reg_gdp</v>
          </cell>
          <cell r="E636" t="str">
            <v>lfls1_S0_a3</v>
          </cell>
          <cell r="F636">
            <v>5.4396262168884277</v>
          </cell>
          <cell r="G636">
            <v>6</v>
          </cell>
        </row>
        <row r="637">
          <cell r="A637" t="str">
            <v>BGD</v>
          </cell>
          <cell r="B637" t="str">
            <v>Long</v>
          </cell>
          <cell r="C637" t="str">
            <v>2005 - 2022</v>
          </cell>
          <cell r="D637" t="str">
            <v>med_reg_gdp</v>
          </cell>
          <cell r="E637" t="str">
            <v>lfls1_S0_a4</v>
          </cell>
          <cell r="F637">
            <v>-0.74328529834747314</v>
          </cell>
          <cell r="G637">
            <v>6</v>
          </cell>
        </row>
        <row r="638">
          <cell r="A638" t="str">
            <v>BGD</v>
          </cell>
          <cell r="B638" t="str">
            <v>Long</v>
          </cell>
          <cell r="C638" t="str">
            <v>2005 - 2022</v>
          </cell>
          <cell r="D638" t="str">
            <v>med_reg_gdp</v>
          </cell>
          <cell r="E638" t="str">
            <v>lfls1_S0_a5</v>
          </cell>
          <cell r="F638">
            <v>-6.5349586308002472E-2</v>
          </cell>
          <cell r="G638">
            <v>6</v>
          </cell>
        </row>
        <row r="639">
          <cell r="A639" t="str">
            <v>BGD</v>
          </cell>
          <cell r="B639" t="str">
            <v>Long</v>
          </cell>
          <cell r="C639" t="str">
            <v>2005 - 2022</v>
          </cell>
          <cell r="D639" t="str">
            <v>med_reg_gdp</v>
          </cell>
          <cell r="E639" t="str">
            <v>lfls1_S0_a6</v>
          </cell>
          <cell r="F639">
            <v>2.0691263675689697</v>
          </cell>
          <cell r="G639">
            <v>6</v>
          </cell>
        </row>
        <row r="640">
          <cell r="A640" t="str">
            <v>BGD</v>
          </cell>
          <cell r="B640" t="str">
            <v>Long</v>
          </cell>
          <cell r="C640" t="str">
            <v>2005 - 2022</v>
          </cell>
          <cell r="D640" t="str">
            <v>med_reg_gdp</v>
          </cell>
          <cell r="E640" t="str">
            <v>lfls1_s0_A0</v>
          </cell>
          <cell r="F640">
            <v>0.33947247266769409</v>
          </cell>
          <cell r="G640">
            <v>6</v>
          </cell>
        </row>
        <row r="641">
          <cell r="A641" t="str">
            <v>BGD</v>
          </cell>
          <cell r="B641" t="str">
            <v>Long</v>
          </cell>
          <cell r="C641" t="str">
            <v>2005 - 2022</v>
          </cell>
          <cell r="D641" t="str">
            <v>med_reg_gdp</v>
          </cell>
          <cell r="E641" t="str">
            <v>lfls1_s0_a1</v>
          </cell>
          <cell r="F641">
            <v>-5.8045792579650879</v>
          </cell>
          <cell r="G641">
            <v>6</v>
          </cell>
        </row>
        <row r="642">
          <cell r="A642" t="str">
            <v>BGD</v>
          </cell>
          <cell r="B642" t="str">
            <v>Long</v>
          </cell>
          <cell r="C642" t="str">
            <v>2005 - 2022</v>
          </cell>
          <cell r="D642" t="str">
            <v>med_reg_gdp</v>
          </cell>
          <cell r="E642" t="str">
            <v>lfls1_s0_a2</v>
          </cell>
          <cell r="F642">
            <v>-2.263603687286377</v>
          </cell>
          <cell r="G642">
            <v>6</v>
          </cell>
        </row>
        <row r="643">
          <cell r="A643" t="str">
            <v>BGD</v>
          </cell>
          <cell r="B643" t="str">
            <v>Long</v>
          </cell>
          <cell r="C643" t="str">
            <v>2005 - 2022</v>
          </cell>
          <cell r="D643" t="str">
            <v>med_reg_gdp</v>
          </cell>
          <cell r="E643" t="str">
            <v>lfls1_s0_a3</v>
          </cell>
          <cell r="F643">
            <v>4.4844756126403809</v>
          </cell>
          <cell r="G643">
            <v>6</v>
          </cell>
        </row>
        <row r="644">
          <cell r="A644" t="str">
            <v>BGD</v>
          </cell>
          <cell r="B644" t="str">
            <v>Long</v>
          </cell>
          <cell r="C644" t="str">
            <v>2005 - 2022</v>
          </cell>
          <cell r="D644" t="str">
            <v>med_reg_gdp</v>
          </cell>
          <cell r="E644" t="str">
            <v>lfls1_s0_a4</v>
          </cell>
          <cell r="F644">
            <v>-0.75398063659667969</v>
          </cell>
          <cell r="G644">
            <v>6</v>
          </cell>
        </row>
        <row r="645">
          <cell r="A645" t="str">
            <v>BGD</v>
          </cell>
          <cell r="B645" t="str">
            <v>Long</v>
          </cell>
          <cell r="C645" t="str">
            <v>2005 - 2022</v>
          </cell>
          <cell r="D645" t="str">
            <v>med_reg_gdp</v>
          </cell>
          <cell r="E645" t="str">
            <v>lfls1_s0_a5</v>
          </cell>
          <cell r="F645">
            <v>-1.7159037590026855</v>
          </cell>
          <cell r="G645">
            <v>6</v>
          </cell>
        </row>
        <row r="646">
          <cell r="A646" t="str">
            <v>BGD</v>
          </cell>
          <cell r="B646" t="str">
            <v>Long</v>
          </cell>
          <cell r="C646" t="str">
            <v>2005 - 2022</v>
          </cell>
          <cell r="D646" t="str">
            <v>med_reg_gdp</v>
          </cell>
          <cell r="E646" t="str">
            <v>lfls1_s0_a6</v>
          </cell>
          <cell r="F646">
            <v>1.0529283285140991</v>
          </cell>
          <cell r="G646">
            <v>6</v>
          </cell>
        </row>
        <row r="647">
          <cell r="A647" t="str">
            <v>BGD</v>
          </cell>
          <cell r="B647" t="str">
            <v>Long</v>
          </cell>
          <cell r="C647" t="str">
            <v>2005 - 2022</v>
          </cell>
          <cell r="D647" t="str">
            <v>med_reg_gdp</v>
          </cell>
          <cell r="E647" t="str">
            <v>lfls1_s1_A0</v>
          </cell>
          <cell r="F647">
            <v>0.44557538628578186</v>
          </cell>
          <cell r="G647">
            <v>6</v>
          </cell>
        </row>
        <row r="648">
          <cell r="A648" t="str">
            <v>BGD</v>
          </cell>
          <cell r="B648" t="str">
            <v>Long</v>
          </cell>
          <cell r="C648" t="str">
            <v>2005 - 2022</v>
          </cell>
          <cell r="D648" t="str">
            <v>med_reg_gdp</v>
          </cell>
          <cell r="E648" t="str">
            <v>lfls1_s1_a1</v>
          </cell>
          <cell r="F648">
            <v>2.8679497241973877</v>
          </cell>
          <cell r="G648">
            <v>6</v>
          </cell>
        </row>
        <row r="649">
          <cell r="A649" t="str">
            <v>BGD</v>
          </cell>
          <cell r="B649" t="str">
            <v>Long</v>
          </cell>
          <cell r="C649" t="str">
            <v>2005 - 2022</v>
          </cell>
          <cell r="D649" t="str">
            <v>med_reg_gdp</v>
          </cell>
          <cell r="E649" t="str">
            <v>lfls1_s1_a2</v>
          </cell>
          <cell r="F649">
            <v>-1.3141896724700928</v>
          </cell>
          <cell r="G649">
            <v>6</v>
          </cell>
        </row>
        <row r="650">
          <cell r="A650" t="str">
            <v>BGD</v>
          </cell>
          <cell r="B650" t="str">
            <v>Long</v>
          </cell>
          <cell r="C650" t="str">
            <v>2005 - 2022</v>
          </cell>
          <cell r="D650" t="str">
            <v>med_reg_gdp</v>
          </cell>
          <cell r="E650" t="str">
            <v>lfls1_s1_a3</v>
          </cell>
          <cell r="F650">
            <v>19.342926025390625</v>
          </cell>
          <cell r="G650">
            <v>6</v>
          </cell>
        </row>
        <row r="651">
          <cell r="A651" t="str">
            <v>BGD</v>
          </cell>
          <cell r="B651" t="str">
            <v>Long</v>
          </cell>
          <cell r="C651" t="str">
            <v>2005 - 2022</v>
          </cell>
          <cell r="D651" t="str">
            <v>med_reg_gdp</v>
          </cell>
          <cell r="E651" t="str">
            <v>lfls1_s1_a4</v>
          </cell>
          <cell r="F651">
            <v>1.8967077732086182</v>
          </cell>
          <cell r="G651">
            <v>6</v>
          </cell>
        </row>
        <row r="652">
          <cell r="A652" t="str">
            <v>BGD</v>
          </cell>
          <cell r="B652" t="str">
            <v>Long</v>
          </cell>
          <cell r="C652" t="str">
            <v>2005 - 2022</v>
          </cell>
          <cell r="D652" t="str">
            <v>med_reg_gdp</v>
          </cell>
          <cell r="E652" t="str">
            <v>lfls1_s1_a5</v>
          </cell>
          <cell r="F652">
            <v>2.1428153514862061</v>
          </cell>
          <cell r="G652">
            <v>6</v>
          </cell>
        </row>
        <row r="653">
          <cell r="A653" t="str">
            <v>BGD</v>
          </cell>
          <cell r="B653" t="str">
            <v>Long</v>
          </cell>
          <cell r="C653" t="str">
            <v>2005 - 2022</v>
          </cell>
          <cell r="D653" t="str">
            <v>med_reg_gdp</v>
          </cell>
          <cell r="E653" t="str">
            <v>lfls1_s1_a6</v>
          </cell>
          <cell r="F653">
            <v>1.0495284795761108</v>
          </cell>
          <cell r="G653">
            <v>6</v>
          </cell>
        </row>
        <row r="654">
          <cell r="A654" t="str">
            <v>BGD</v>
          </cell>
          <cell r="B654" t="str">
            <v>Long</v>
          </cell>
          <cell r="C654" t="str">
            <v>2005 - 2022</v>
          </cell>
          <cell r="D654" t="str">
            <v>med_reg_gdp</v>
          </cell>
          <cell r="E654" t="str">
            <v>lfprod_s0_a1</v>
          </cell>
          <cell r="F654">
            <v>-6.8045792579650879</v>
          </cell>
          <cell r="G654">
            <v>6</v>
          </cell>
        </row>
        <row r="655">
          <cell r="A655" t="str">
            <v>BGD</v>
          </cell>
          <cell r="B655" t="str">
            <v>Long</v>
          </cell>
          <cell r="C655" t="str">
            <v>2005 - 2022</v>
          </cell>
          <cell r="D655" t="str">
            <v>med_reg_gdp</v>
          </cell>
          <cell r="E655" t="str">
            <v>lfprod_s0_a2</v>
          </cell>
          <cell r="F655">
            <v>-3.263603687286377</v>
          </cell>
          <cell r="G655">
            <v>6</v>
          </cell>
        </row>
        <row r="656">
          <cell r="A656" t="str">
            <v>BGD</v>
          </cell>
          <cell r="B656" t="str">
            <v>Long</v>
          </cell>
          <cell r="C656" t="str">
            <v>2005 - 2022</v>
          </cell>
          <cell r="D656" t="str">
            <v>med_reg_gdp</v>
          </cell>
          <cell r="E656" t="str">
            <v>lfprod_s0_a3</v>
          </cell>
          <cell r="F656">
            <v>3.4844756126403809</v>
          </cell>
          <cell r="G656">
            <v>6</v>
          </cell>
        </row>
        <row r="657">
          <cell r="A657" t="str">
            <v>BGD</v>
          </cell>
          <cell r="B657" t="str">
            <v>Long</v>
          </cell>
          <cell r="C657" t="str">
            <v>2005 - 2022</v>
          </cell>
          <cell r="D657" t="str">
            <v>med_reg_gdp</v>
          </cell>
          <cell r="E657" t="str">
            <v>lfprod_s0_a4</v>
          </cell>
          <cell r="F657">
            <v>-1.7539806365966797</v>
          </cell>
          <cell r="G657">
            <v>6</v>
          </cell>
        </row>
        <row r="658">
          <cell r="A658" t="str">
            <v>BGD</v>
          </cell>
          <cell r="B658" t="str">
            <v>Long</v>
          </cell>
          <cell r="C658" t="str">
            <v>2005 - 2022</v>
          </cell>
          <cell r="D658" t="str">
            <v>med_reg_gdp</v>
          </cell>
          <cell r="E658" t="str">
            <v>lfprod_s0_a5</v>
          </cell>
          <cell r="F658">
            <v>-2.7159037590026855</v>
          </cell>
          <cell r="G658">
            <v>6</v>
          </cell>
        </row>
        <row r="659">
          <cell r="A659" t="str">
            <v>BGD</v>
          </cell>
          <cell r="B659" t="str">
            <v>Long</v>
          </cell>
          <cell r="C659" t="str">
            <v>2005 - 2022</v>
          </cell>
          <cell r="D659" t="str">
            <v>med_reg_gdp</v>
          </cell>
          <cell r="E659" t="str">
            <v>lfprod_s0_a6</v>
          </cell>
          <cell r="F659">
            <v>5.2928358316421509E-2</v>
          </cell>
          <cell r="G659">
            <v>6</v>
          </cell>
        </row>
        <row r="660">
          <cell r="A660" t="str">
            <v>BGD</v>
          </cell>
          <cell r="B660" t="str">
            <v>Long</v>
          </cell>
          <cell r="C660" t="str">
            <v>2005 - 2022</v>
          </cell>
          <cell r="D660" t="str">
            <v>med_reg_gdp</v>
          </cell>
          <cell r="E660" t="str">
            <v>lfprod_s1_a1</v>
          </cell>
          <cell r="F660">
            <v>1.8679498434066772</v>
          </cell>
          <cell r="G660">
            <v>6</v>
          </cell>
        </row>
        <row r="661">
          <cell r="A661" t="str">
            <v>BGD</v>
          </cell>
          <cell r="B661" t="str">
            <v>Long</v>
          </cell>
          <cell r="C661" t="str">
            <v>2005 - 2022</v>
          </cell>
          <cell r="D661" t="str">
            <v>med_reg_gdp</v>
          </cell>
          <cell r="E661" t="str">
            <v>lfprod_s1_a2</v>
          </cell>
          <cell r="F661">
            <v>-2.3141896724700928</v>
          </cell>
          <cell r="G661">
            <v>6</v>
          </cell>
        </row>
        <row r="662">
          <cell r="A662" t="str">
            <v>BGD</v>
          </cell>
          <cell r="B662" t="str">
            <v>Long</v>
          </cell>
          <cell r="C662" t="str">
            <v>2005 - 2022</v>
          </cell>
          <cell r="D662" t="str">
            <v>med_reg_gdp</v>
          </cell>
          <cell r="E662" t="str">
            <v>lfprod_s1_a3</v>
          </cell>
          <cell r="F662">
            <v>18.342926025390625</v>
          </cell>
          <cell r="G662">
            <v>6</v>
          </cell>
        </row>
        <row r="663">
          <cell r="A663" t="str">
            <v>BGD</v>
          </cell>
          <cell r="B663" t="str">
            <v>Long</v>
          </cell>
          <cell r="C663" t="str">
            <v>2005 - 2022</v>
          </cell>
          <cell r="D663" t="str">
            <v>med_reg_gdp</v>
          </cell>
          <cell r="E663" t="str">
            <v>lfprod_s1_a4</v>
          </cell>
          <cell r="F663">
            <v>0.89670777320861816</v>
          </cell>
          <cell r="G663">
            <v>6</v>
          </cell>
        </row>
        <row r="664">
          <cell r="A664" t="str">
            <v>BGD</v>
          </cell>
          <cell r="B664" t="str">
            <v>Long</v>
          </cell>
          <cell r="C664" t="str">
            <v>2005 - 2022</v>
          </cell>
          <cell r="D664" t="str">
            <v>med_reg_gdp</v>
          </cell>
          <cell r="E664" t="str">
            <v>lfprod_s1_a5</v>
          </cell>
          <cell r="F664">
            <v>1.1428153514862061</v>
          </cell>
          <cell r="G664">
            <v>6</v>
          </cell>
        </row>
        <row r="665">
          <cell r="A665" t="str">
            <v>BGD</v>
          </cell>
          <cell r="B665" t="str">
            <v>Long</v>
          </cell>
          <cell r="C665" t="str">
            <v>2005 - 2022</v>
          </cell>
          <cell r="D665" t="str">
            <v>med_reg_gdp</v>
          </cell>
          <cell r="E665" t="str">
            <v>lfprod_s1_a6</v>
          </cell>
          <cell r="F665">
            <v>4.9528468400239944E-2</v>
          </cell>
          <cell r="G665">
            <v>6</v>
          </cell>
        </row>
        <row r="666">
          <cell r="A666" t="str">
            <v>BGD</v>
          </cell>
          <cell r="B666" t="str">
            <v>Long</v>
          </cell>
          <cell r="C666" t="str">
            <v>2005 - 2022</v>
          </cell>
          <cell r="D666" t="str">
            <v>med_reg_iter</v>
          </cell>
          <cell r="E666" t="str">
            <v>lfls12_S0_A0</v>
          </cell>
          <cell r="F666">
            <v>0.359465092420578</v>
          </cell>
          <cell r="G666">
            <v>6</v>
          </cell>
        </row>
        <row r="667">
          <cell r="A667" t="str">
            <v>BGD</v>
          </cell>
          <cell r="B667" t="str">
            <v>Long</v>
          </cell>
          <cell r="C667" t="str">
            <v>2005 - 2022</v>
          </cell>
          <cell r="D667" t="str">
            <v>med_reg_iter</v>
          </cell>
          <cell r="E667" t="str">
            <v>lfls1_S0_A0</v>
          </cell>
          <cell r="F667">
            <v>0.37110373377799988</v>
          </cell>
          <cell r="G667">
            <v>6</v>
          </cell>
        </row>
        <row r="668">
          <cell r="A668" t="str">
            <v>BGD</v>
          </cell>
          <cell r="B668" t="str">
            <v>Long</v>
          </cell>
          <cell r="C668" t="str">
            <v>2005 - 2022</v>
          </cell>
          <cell r="D668" t="str">
            <v>med_reg_iter</v>
          </cell>
          <cell r="E668" t="str">
            <v>lfls1_S0_a1</v>
          </cell>
          <cell r="F668">
            <v>0.30331897735595703</v>
          </cell>
          <cell r="G668">
            <v>6</v>
          </cell>
        </row>
        <row r="669">
          <cell r="A669" t="str">
            <v>BGD</v>
          </cell>
          <cell r="B669" t="str">
            <v>Long</v>
          </cell>
          <cell r="C669" t="str">
            <v>2005 - 2022</v>
          </cell>
          <cell r="D669" t="str">
            <v>med_reg_iter</v>
          </cell>
          <cell r="E669" t="str">
            <v>lfls1_S0_a2</v>
          </cell>
          <cell r="F669">
            <v>-2.2167589664459229</v>
          </cell>
          <cell r="G669">
            <v>6</v>
          </cell>
        </row>
        <row r="670">
          <cell r="A670" t="str">
            <v>BGD</v>
          </cell>
          <cell r="B670" t="str">
            <v>Long</v>
          </cell>
          <cell r="C670" t="str">
            <v>2005 - 2022</v>
          </cell>
          <cell r="D670" t="str">
            <v>med_reg_iter</v>
          </cell>
          <cell r="E670" t="str">
            <v>lfls1_S0_a3</v>
          </cell>
          <cell r="F670">
            <v>5.4396262168884277</v>
          </cell>
          <cell r="G670">
            <v>6</v>
          </cell>
        </row>
        <row r="671">
          <cell r="A671" t="str">
            <v>BGD</v>
          </cell>
          <cell r="B671" t="str">
            <v>Long</v>
          </cell>
          <cell r="C671" t="str">
            <v>2005 - 2022</v>
          </cell>
          <cell r="D671" t="str">
            <v>med_reg_iter</v>
          </cell>
          <cell r="E671" t="str">
            <v>lfls1_S0_a4</v>
          </cell>
          <cell r="F671">
            <v>-0.74328529834747314</v>
          </cell>
          <cell r="G671">
            <v>6</v>
          </cell>
        </row>
        <row r="672">
          <cell r="A672" t="str">
            <v>BGD</v>
          </cell>
          <cell r="B672" t="str">
            <v>Long</v>
          </cell>
          <cell r="C672" t="str">
            <v>2005 - 2022</v>
          </cell>
          <cell r="D672" t="str">
            <v>med_reg_iter</v>
          </cell>
          <cell r="E672" t="str">
            <v>lfls1_S0_a5</v>
          </cell>
          <cell r="F672">
            <v>-6.5349586308002472E-2</v>
          </cell>
          <cell r="G672">
            <v>6</v>
          </cell>
        </row>
        <row r="673">
          <cell r="A673" t="str">
            <v>BGD</v>
          </cell>
          <cell r="B673" t="str">
            <v>Long</v>
          </cell>
          <cell r="C673" t="str">
            <v>2005 - 2022</v>
          </cell>
          <cell r="D673" t="str">
            <v>med_reg_iter</v>
          </cell>
          <cell r="E673" t="str">
            <v>lfls1_S0_a6</v>
          </cell>
          <cell r="F673">
            <v>2.0691263675689697</v>
          </cell>
          <cell r="G673">
            <v>6</v>
          </cell>
        </row>
        <row r="674">
          <cell r="A674" t="str">
            <v>BGD</v>
          </cell>
          <cell r="B674" t="str">
            <v>Long</v>
          </cell>
          <cell r="C674" t="str">
            <v>2005 - 2022</v>
          </cell>
          <cell r="D674" t="str">
            <v>med_reg_iter</v>
          </cell>
          <cell r="E674" t="str">
            <v>lfls1_s0_A0</v>
          </cell>
          <cell r="F674">
            <v>0.33947247266769409</v>
          </cell>
          <cell r="G674">
            <v>6</v>
          </cell>
        </row>
        <row r="675">
          <cell r="A675" t="str">
            <v>BGD</v>
          </cell>
          <cell r="B675" t="str">
            <v>Long</v>
          </cell>
          <cell r="C675" t="str">
            <v>2005 - 2022</v>
          </cell>
          <cell r="D675" t="str">
            <v>med_reg_iter</v>
          </cell>
          <cell r="E675" t="str">
            <v>lfls1_s0_a1</v>
          </cell>
          <cell r="F675">
            <v>-5.8045792579650879</v>
          </cell>
          <cell r="G675">
            <v>6</v>
          </cell>
        </row>
        <row r="676">
          <cell r="A676" t="str">
            <v>BGD</v>
          </cell>
          <cell r="B676" t="str">
            <v>Long</v>
          </cell>
          <cell r="C676" t="str">
            <v>2005 - 2022</v>
          </cell>
          <cell r="D676" t="str">
            <v>med_reg_iter</v>
          </cell>
          <cell r="E676" t="str">
            <v>lfls1_s0_a2</v>
          </cell>
          <cell r="F676">
            <v>-2.263603687286377</v>
          </cell>
          <cell r="G676">
            <v>6</v>
          </cell>
        </row>
        <row r="677">
          <cell r="A677" t="str">
            <v>BGD</v>
          </cell>
          <cell r="B677" t="str">
            <v>Long</v>
          </cell>
          <cell r="C677" t="str">
            <v>2005 - 2022</v>
          </cell>
          <cell r="D677" t="str">
            <v>med_reg_iter</v>
          </cell>
          <cell r="E677" t="str">
            <v>lfls1_s0_a3</v>
          </cell>
          <cell r="F677">
            <v>4.4844756126403809</v>
          </cell>
          <cell r="G677">
            <v>6</v>
          </cell>
        </row>
        <row r="678">
          <cell r="A678" t="str">
            <v>BGD</v>
          </cell>
          <cell r="B678" t="str">
            <v>Long</v>
          </cell>
          <cell r="C678" t="str">
            <v>2005 - 2022</v>
          </cell>
          <cell r="D678" t="str">
            <v>med_reg_iter</v>
          </cell>
          <cell r="E678" t="str">
            <v>lfls1_s0_a4</v>
          </cell>
          <cell r="F678">
            <v>-0.75398063659667969</v>
          </cell>
          <cell r="G678">
            <v>6</v>
          </cell>
        </row>
        <row r="679">
          <cell r="A679" t="str">
            <v>BGD</v>
          </cell>
          <cell r="B679" t="str">
            <v>Long</v>
          </cell>
          <cell r="C679" t="str">
            <v>2005 - 2022</v>
          </cell>
          <cell r="D679" t="str">
            <v>med_reg_iter</v>
          </cell>
          <cell r="E679" t="str">
            <v>lfls1_s0_a5</v>
          </cell>
          <cell r="F679">
            <v>-1.7159037590026855</v>
          </cell>
          <cell r="G679">
            <v>6</v>
          </cell>
        </row>
        <row r="680">
          <cell r="A680" t="str">
            <v>BGD</v>
          </cell>
          <cell r="B680" t="str">
            <v>Long</v>
          </cell>
          <cell r="C680" t="str">
            <v>2005 - 2022</v>
          </cell>
          <cell r="D680" t="str">
            <v>med_reg_iter</v>
          </cell>
          <cell r="E680" t="str">
            <v>lfls1_s0_a6</v>
          </cell>
          <cell r="F680">
            <v>1.0529283285140991</v>
          </cell>
          <cell r="G680">
            <v>6</v>
          </cell>
        </row>
        <row r="681">
          <cell r="A681" t="str">
            <v>BGD</v>
          </cell>
          <cell r="B681" t="str">
            <v>Long</v>
          </cell>
          <cell r="C681" t="str">
            <v>2005 - 2022</v>
          </cell>
          <cell r="D681" t="str">
            <v>med_reg_iter</v>
          </cell>
          <cell r="E681" t="str">
            <v>lfls1_s1_A0</v>
          </cell>
          <cell r="F681">
            <v>0.44557538628578186</v>
          </cell>
          <cell r="G681">
            <v>6</v>
          </cell>
        </row>
        <row r="682">
          <cell r="A682" t="str">
            <v>BGD</v>
          </cell>
          <cell r="B682" t="str">
            <v>Long</v>
          </cell>
          <cell r="C682" t="str">
            <v>2005 - 2022</v>
          </cell>
          <cell r="D682" t="str">
            <v>med_reg_iter</v>
          </cell>
          <cell r="E682" t="str">
            <v>lfls1_s1_a1</v>
          </cell>
          <cell r="F682">
            <v>2.8679497241973877</v>
          </cell>
          <cell r="G682">
            <v>6</v>
          </cell>
        </row>
        <row r="683">
          <cell r="A683" t="str">
            <v>BGD</v>
          </cell>
          <cell r="B683" t="str">
            <v>Long</v>
          </cell>
          <cell r="C683" t="str">
            <v>2005 - 2022</v>
          </cell>
          <cell r="D683" t="str">
            <v>med_reg_iter</v>
          </cell>
          <cell r="E683" t="str">
            <v>lfls1_s1_a2</v>
          </cell>
          <cell r="F683">
            <v>-1.3141896724700928</v>
          </cell>
          <cell r="G683">
            <v>6</v>
          </cell>
        </row>
        <row r="684">
          <cell r="A684" t="str">
            <v>BGD</v>
          </cell>
          <cell r="B684" t="str">
            <v>Long</v>
          </cell>
          <cell r="C684" t="str">
            <v>2005 - 2022</v>
          </cell>
          <cell r="D684" t="str">
            <v>med_reg_iter</v>
          </cell>
          <cell r="E684" t="str">
            <v>lfls1_s1_a3</v>
          </cell>
          <cell r="F684">
            <v>19.342926025390625</v>
          </cell>
          <cell r="G684">
            <v>6</v>
          </cell>
        </row>
        <row r="685">
          <cell r="A685" t="str">
            <v>BGD</v>
          </cell>
          <cell r="B685" t="str">
            <v>Long</v>
          </cell>
          <cell r="C685" t="str">
            <v>2005 - 2022</v>
          </cell>
          <cell r="D685" t="str">
            <v>med_reg_iter</v>
          </cell>
          <cell r="E685" t="str">
            <v>lfls1_s1_a4</v>
          </cell>
          <cell r="F685">
            <v>1.8967077732086182</v>
          </cell>
          <cell r="G685">
            <v>6</v>
          </cell>
        </row>
        <row r="686">
          <cell r="A686" t="str">
            <v>BGD</v>
          </cell>
          <cell r="B686" t="str">
            <v>Long</v>
          </cell>
          <cell r="C686" t="str">
            <v>2005 - 2022</v>
          </cell>
          <cell r="D686" t="str">
            <v>med_reg_iter</v>
          </cell>
          <cell r="E686" t="str">
            <v>lfls1_s1_a5</v>
          </cell>
          <cell r="F686">
            <v>2.1428153514862061</v>
          </cell>
          <cell r="G686">
            <v>6</v>
          </cell>
        </row>
        <row r="687">
          <cell r="A687" t="str">
            <v>BGD</v>
          </cell>
          <cell r="B687" t="str">
            <v>Long</v>
          </cell>
          <cell r="C687" t="str">
            <v>2005 - 2022</v>
          </cell>
          <cell r="D687" t="str">
            <v>med_reg_iter</v>
          </cell>
          <cell r="E687" t="str">
            <v>lfls1_s1_a6</v>
          </cell>
          <cell r="F687">
            <v>1.0495284795761108</v>
          </cell>
          <cell r="G687">
            <v>6</v>
          </cell>
        </row>
        <row r="688">
          <cell r="A688" t="str">
            <v>BGD</v>
          </cell>
          <cell r="B688" t="str">
            <v>Long</v>
          </cell>
          <cell r="C688" t="str">
            <v>2005 - 2022</v>
          </cell>
          <cell r="D688" t="str">
            <v>med_reg_iter</v>
          </cell>
          <cell r="E688" t="str">
            <v>lfprod_s0_a1</v>
          </cell>
          <cell r="F688">
            <v>-6.8045792579650879</v>
          </cell>
          <cell r="G688">
            <v>6</v>
          </cell>
        </row>
        <row r="689">
          <cell r="A689" t="str">
            <v>BGD</v>
          </cell>
          <cell r="B689" t="str">
            <v>Long</v>
          </cell>
          <cell r="C689" t="str">
            <v>2005 - 2022</v>
          </cell>
          <cell r="D689" t="str">
            <v>med_reg_iter</v>
          </cell>
          <cell r="E689" t="str">
            <v>lfprod_s0_a2</v>
          </cell>
          <cell r="F689">
            <v>-3.263603687286377</v>
          </cell>
          <cell r="G689">
            <v>6</v>
          </cell>
        </row>
        <row r="690">
          <cell r="A690" t="str">
            <v>BGD</v>
          </cell>
          <cell r="B690" t="str">
            <v>Long</v>
          </cell>
          <cell r="C690" t="str">
            <v>2005 - 2022</v>
          </cell>
          <cell r="D690" t="str">
            <v>med_reg_iter</v>
          </cell>
          <cell r="E690" t="str">
            <v>lfprod_s0_a3</v>
          </cell>
          <cell r="F690">
            <v>3.4844756126403809</v>
          </cell>
          <cell r="G690">
            <v>6</v>
          </cell>
        </row>
        <row r="691">
          <cell r="A691" t="str">
            <v>BGD</v>
          </cell>
          <cell r="B691" t="str">
            <v>Long</v>
          </cell>
          <cell r="C691" t="str">
            <v>2005 - 2022</v>
          </cell>
          <cell r="D691" t="str">
            <v>med_reg_iter</v>
          </cell>
          <cell r="E691" t="str">
            <v>lfprod_s0_a4</v>
          </cell>
          <cell r="F691">
            <v>-1.7539806365966797</v>
          </cell>
          <cell r="G691">
            <v>6</v>
          </cell>
        </row>
        <row r="692">
          <cell r="A692" t="str">
            <v>BGD</v>
          </cell>
          <cell r="B692" t="str">
            <v>Long</v>
          </cell>
          <cell r="C692" t="str">
            <v>2005 - 2022</v>
          </cell>
          <cell r="D692" t="str">
            <v>med_reg_iter</v>
          </cell>
          <cell r="E692" t="str">
            <v>lfprod_s0_a5</v>
          </cell>
          <cell r="F692">
            <v>-2.7159037590026855</v>
          </cell>
          <cell r="G692">
            <v>6</v>
          </cell>
        </row>
        <row r="693">
          <cell r="A693" t="str">
            <v>BGD</v>
          </cell>
          <cell r="B693" t="str">
            <v>Long</v>
          </cell>
          <cell r="C693" t="str">
            <v>2005 - 2022</v>
          </cell>
          <cell r="D693" t="str">
            <v>med_reg_iter</v>
          </cell>
          <cell r="E693" t="str">
            <v>lfprod_s0_a6</v>
          </cell>
          <cell r="F693">
            <v>5.2928358316421509E-2</v>
          </cell>
          <cell r="G693">
            <v>6</v>
          </cell>
        </row>
        <row r="694">
          <cell r="A694" t="str">
            <v>BGD</v>
          </cell>
          <cell r="B694" t="str">
            <v>Long</v>
          </cell>
          <cell r="C694" t="str">
            <v>2005 - 2022</v>
          </cell>
          <cell r="D694" t="str">
            <v>med_reg_iter</v>
          </cell>
          <cell r="E694" t="str">
            <v>lfprod_s1_a1</v>
          </cell>
          <cell r="F694">
            <v>1.8679498434066772</v>
          </cell>
          <cell r="G694">
            <v>6</v>
          </cell>
        </row>
        <row r="695">
          <cell r="A695" t="str">
            <v>BGD</v>
          </cell>
          <cell r="B695" t="str">
            <v>Long</v>
          </cell>
          <cell r="C695" t="str">
            <v>2005 - 2022</v>
          </cell>
          <cell r="D695" t="str">
            <v>med_reg_iter</v>
          </cell>
          <cell r="E695" t="str">
            <v>lfprod_s1_a2</v>
          </cell>
          <cell r="F695">
            <v>-2.3141896724700928</v>
          </cell>
          <cell r="G695">
            <v>6</v>
          </cell>
        </row>
        <row r="696">
          <cell r="A696" t="str">
            <v>BGD</v>
          </cell>
          <cell r="B696" t="str">
            <v>Long</v>
          </cell>
          <cell r="C696" t="str">
            <v>2005 - 2022</v>
          </cell>
          <cell r="D696" t="str">
            <v>med_reg_iter</v>
          </cell>
          <cell r="E696" t="str">
            <v>lfprod_s1_a3</v>
          </cell>
          <cell r="F696">
            <v>18.342926025390625</v>
          </cell>
          <cell r="G696">
            <v>6</v>
          </cell>
        </row>
        <row r="697">
          <cell r="A697" t="str">
            <v>BGD</v>
          </cell>
          <cell r="B697" t="str">
            <v>Long</v>
          </cell>
          <cell r="C697" t="str">
            <v>2005 - 2022</v>
          </cell>
          <cell r="D697" t="str">
            <v>med_reg_iter</v>
          </cell>
          <cell r="E697" t="str">
            <v>lfprod_s1_a4</v>
          </cell>
          <cell r="F697">
            <v>0.89670777320861816</v>
          </cell>
          <cell r="G697">
            <v>6</v>
          </cell>
        </row>
        <row r="698">
          <cell r="A698" t="str">
            <v>BGD</v>
          </cell>
          <cell r="B698" t="str">
            <v>Long</v>
          </cell>
          <cell r="C698" t="str">
            <v>2005 - 2022</v>
          </cell>
          <cell r="D698" t="str">
            <v>med_reg_iter</v>
          </cell>
          <cell r="E698" t="str">
            <v>lfprod_s1_a5</v>
          </cell>
          <cell r="F698">
            <v>1.1428153514862061</v>
          </cell>
          <cell r="G698">
            <v>6</v>
          </cell>
        </row>
        <row r="699">
          <cell r="A699" t="str">
            <v>BGD</v>
          </cell>
          <cell r="B699" t="str">
            <v>Long</v>
          </cell>
          <cell r="C699" t="str">
            <v>2005 - 2022</v>
          </cell>
          <cell r="D699" t="str">
            <v>med_reg_iter</v>
          </cell>
          <cell r="E699" t="str">
            <v>lfprod_s1_a6</v>
          </cell>
          <cell r="F699">
            <v>4.9528468400239944E-2</v>
          </cell>
          <cell r="G699">
            <v>6</v>
          </cell>
        </row>
        <row r="700">
          <cell r="A700" t="str">
            <v>BGD</v>
          </cell>
          <cell r="B700" t="str">
            <v>Long</v>
          </cell>
          <cell r="C700" t="str">
            <v>2005 - 2022</v>
          </cell>
          <cell r="D700" t="str">
            <v>reg</v>
          </cell>
          <cell r="E700" t="str">
            <v>lfls12_S0_A0</v>
          </cell>
          <cell r="F700">
            <v>0.36932170391082764</v>
          </cell>
          <cell r="G700">
            <v>6</v>
          </cell>
        </row>
        <row r="701">
          <cell r="A701" t="str">
            <v>BGD</v>
          </cell>
          <cell r="B701" t="str">
            <v>Long</v>
          </cell>
          <cell r="C701" t="str">
            <v>2005 - 2022</v>
          </cell>
          <cell r="D701" t="str">
            <v>reg</v>
          </cell>
          <cell r="E701" t="str">
            <v>lfls1_S0_A0</v>
          </cell>
          <cell r="F701">
            <v>0.37071043252944946</v>
          </cell>
          <cell r="G701">
            <v>6</v>
          </cell>
        </row>
        <row r="702">
          <cell r="A702" t="str">
            <v>BGD</v>
          </cell>
          <cell r="B702" t="str">
            <v>Long</v>
          </cell>
          <cell r="C702" t="str">
            <v>2005 - 2022</v>
          </cell>
          <cell r="D702" t="str">
            <v>reg</v>
          </cell>
          <cell r="E702" t="str">
            <v>lfls1_S0_a1</v>
          </cell>
          <cell r="F702">
            <v>0.36577045917510986</v>
          </cell>
          <cell r="G702">
            <v>6</v>
          </cell>
        </row>
        <row r="703">
          <cell r="A703" t="str">
            <v>BGD</v>
          </cell>
          <cell r="B703" t="str">
            <v>Long</v>
          </cell>
          <cell r="C703" t="str">
            <v>2005 - 2022</v>
          </cell>
          <cell r="D703" t="str">
            <v>reg</v>
          </cell>
          <cell r="E703" t="str">
            <v>lfls1_S0_a2</v>
          </cell>
          <cell r="F703">
            <v>0.60670214891433716</v>
          </cell>
          <cell r="G703">
            <v>6</v>
          </cell>
        </row>
        <row r="704">
          <cell r="A704" t="str">
            <v>BGD</v>
          </cell>
          <cell r="B704" t="str">
            <v>Long</v>
          </cell>
          <cell r="C704" t="str">
            <v>2005 - 2022</v>
          </cell>
          <cell r="D704" t="str">
            <v>reg</v>
          </cell>
          <cell r="E704" t="str">
            <v>lfls1_S0_a3</v>
          </cell>
          <cell r="F704">
            <v>0.30071491003036499</v>
          </cell>
          <cell r="G704">
            <v>6</v>
          </cell>
        </row>
        <row r="705">
          <cell r="A705" t="str">
            <v>BGD</v>
          </cell>
          <cell r="B705" t="str">
            <v>Long</v>
          </cell>
          <cell r="C705" t="str">
            <v>2005 - 2022</v>
          </cell>
          <cell r="D705" t="str">
            <v>reg</v>
          </cell>
          <cell r="E705" t="str">
            <v>lfls1_S0_a4</v>
          </cell>
          <cell r="F705">
            <v>0.39424479007720947</v>
          </cell>
          <cell r="G705">
            <v>6</v>
          </cell>
        </row>
        <row r="706">
          <cell r="A706" t="str">
            <v>BGD</v>
          </cell>
          <cell r="B706" t="str">
            <v>Long</v>
          </cell>
          <cell r="C706" t="str">
            <v>2005 - 2022</v>
          </cell>
          <cell r="D706" t="str">
            <v>reg</v>
          </cell>
          <cell r="E706" t="str">
            <v>lfls1_S0_a5</v>
          </cell>
          <cell r="F706">
            <v>0.55223160982131958</v>
          </cell>
          <cell r="G706">
            <v>6</v>
          </cell>
        </row>
        <row r="707">
          <cell r="A707" t="str">
            <v>BGD</v>
          </cell>
          <cell r="B707" t="str">
            <v>Long</v>
          </cell>
          <cell r="C707" t="str">
            <v>2005 - 2022</v>
          </cell>
          <cell r="D707" t="str">
            <v>reg</v>
          </cell>
          <cell r="E707" t="str">
            <v>lfls1_S0_a6</v>
          </cell>
          <cell r="F707">
            <v>0.54514080286026001</v>
          </cell>
          <cell r="G707">
            <v>6</v>
          </cell>
        </row>
        <row r="708">
          <cell r="A708" t="str">
            <v>BGD</v>
          </cell>
          <cell r="B708" t="str">
            <v>Long</v>
          </cell>
          <cell r="C708" t="str">
            <v>2005 - 2022</v>
          </cell>
          <cell r="D708" t="str">
            <v>reg</v>
          </cell>
          <cell r="E708" t="str">
            <v>lfls1_s0_A0</v>
          </cell>
          <cell r="F708">
            <v>0.36951625347137451</v>
          </cell>
          <cell r="G708">
            <v>6</v>
          </cell>
        </row>
        <row r="709">
          <cell r="A709" t="str">
            <v>BGD</v>
          </cell>
          <cell r="B709" t="str">
            <v>Long</v>
          </cell>
          <cell r="C709" t="str">
            <v>2005 - 2022</v>
          </cell>
          <cell r="D709" t="str">
            <v>reg</v>
          </cell>
          <cell r="E709" t="str">
            <v>lfls1_s0_a1</v>
          </cell>
          <cell r="F709">
            <v>0.47505542635917664</v>
          </cell>
          <cell r="G709">
            <v>6</v>
          </cell>
        </row>
        <row r="710">
          <cell r="A710" t="str">
            <v>BGD</v>
          </cell>
          <cell r="B710" t="str">
            <v>Long</v>
          </cell>
          <cell r="C710" t="str">
            <v>2005 - 2022</v>
          </cell>
          <cell r="D710" t="str">
            <v>reg</v>
          </cell>
          <cell r="E710" t="str">
            <v>lfls1_s0_a2</v>
          </cell>
          <cell r="F710">
            <v>0.60331284999847412</v>
          </cell>
          <cell r="G710">
            <v>6</v>
          </cell>
        </row>
        <row r="711">
          <cell r="A711" t="str">
            <v>BGD</v>
          </cell>
          <cell r="B711" t="str">
            <v>Long</v>
          </cell>
          <cell r="C711" t="str">
            <v>2005 - 2022</v>
          </cell>
          <cell r="D711" t="str">
            <v>reg</v>
          </cell>
          <cell r="E711" t="str">
            <v>lfls1_s0_a3</v>
          </cell>
          <cell r="F711">
            <v>0.26240178942680359</v>
          </cell>
          <cell r="G711">
            <v>6</v>
          </cell>
        </row>
        <row r="712">
          <cell r="A712" t="str">
            <v>BGD</v>
          </cell>
          <cell r="B712" t="str">
            <v>Long</v>
          </cell>
          <cell r="C712" t="str">
            <v>2005 - 2022</v>
          </cell>
          <cell r="D712" t="str">
            <v>reg</v>
          </cell>
          <cell r="E712" t="str">
            <v>lfls1_s0_a4</v>
          </cell>
          <cell r="F712">
            <v>0.36846661567687988</v>
          </cell>
          <cell r="G712">
            <v>6</v>
          </cell>
        </row>
        <row r="713">
          <cell r="A713" t="str">
            <v>BGD</v>
          </cell>
          <cell r="B713" t="str">
            <v>Long</v>
          </cell>
          <cell r="C713" t="str">
            <v>2005 - 2022</v>
          </cell>
          <cell r="D713" t="str">
            <v>reg</v>
          </cell>
          <cell r="E713" t="str">
            <v>lfls1_s0_a5</v>
          </cell>
          <cell r="F713">
            <v>0.6198803186416626</v>
          </cell>
          <cell r="G713">
            <v>6</v>
          </cell>
        </row>
        <row r="714">
          <cell r="A714" t="str">
            <v>BGD</v>
          </cell>
          <cell r="B714" t="str">
            <v>Long</v>
          </cell>
          <cell r="C714" t="str">
            <v>2005 - 2022</v>
          </cell>
          <cell r="D714" t="str">
            <v>reg</v>
          </cell>
          <cell r="E714" t="str">
            <v>lfls1_s0_a6</v>
          </cell>
          <cell r="F714">
            <v>0.32554256916046143</v>
          </cell>
          <cell r="G714">
            <v>6</v>
          </cell>
        </row>
        <row r="715">
          <cell r="A715" t="str">
            <v>BGD</v>
          </cell>
          <cell r="B715" t="str">
            <v>Long</v>
          </cell>
          <cell r="C715" t="str">
            <v>2005 - 2022</v>
          </cell>
          <cell r="D715" t="str">
            <v>reg</v>
          </cell>
          <cell r="E715" t="str">
            <v>lfls1_s1_A0</v>
          </cell>
          <cell r="F715">
            <v>0.43483832478523254</v>
          </cell>
          <cell r="G715">
            <v>6</v>
          </cell>
        </row>
        <row r="716">
          <cell r="A716" t="str">
            <v>BGD</v>
          </cell>
          <cell r="B716" t="str">
            <v>Long</v>
          </cell>
          <cell r="C716" t="str">
            <v>2005 - 2022</v>
          </cell>
          <cell r="D716" t="str">
            <v>reg</v>
          </cell>
          <cell r="E716" t="str">
            <v>lfls1_s1_a1</v>
          </cell>
          <cell r="F716">
            <v>0.28195315599441528</v>
          </cell>
          <cell r="G716">
            <v>6</v>
          </cell>
        </row>
        <row r="717">
          <cell r="A717" t="str">
            <v>BGD</v>
          </cell>
          <cell r="B717" t="str">
            <v>Long</v>
          </cell>
          <cell r="C717" t="str">
            <v>2005 - 2022</v>
          </cell>
          <cell r="D717" t="str">
            <v>reg</v>
          </cell>
          <cell r="E717" t="str">
            <v>lfls1_s1_a2</v>
          </cell>
          <cell r="F717">
            <v>0.68743592500686646</v>
          </cell>
          <cell r="G717">
            <v>6</v>
          </cell>
        </row>
        <row r="718">
          <cell r="A718" t="str">
            <v>BGD</v>
          </cell>
          <cell r="B718" t="str">
            <v>Long</v>
          </cell>
          <cell r="C718" t="str">
            <v>2005 - 2022</v>
          </cell>
          <cell r="D718" t="str">
            <v>reg</v>
          </cell>
          <cell r="E718" t="str">
            <v>lfls1_s1_a3</v>
          </cell>
          <cell r="F718">
            <v>0.77297395467758179</v>
          </cell>
          <cell r="G718">
            <v>6</v>
          </cell>
        </row>
        <row r="719">
          <cell r="A719" t="str">
            <v>BGD</v>
          </cell>
          <cell r="B719" t="str">
            <v>Long</v>
          </cell>
          <cell r="C719" t="str">
            <v>2005 - 2022</v>
          </cell>
          <cell r="D719" t="str">
            <v>reg</v>
          </cell>
          <cell r="E719" t="str">
            <v>lfls1_s1_a4</v>
          </cell>
          <cell r="F719">
            <v>1.728533148765564</v>
          </cell>
          <cell r="G719">
            <v>6</v>
          </cell>
        </row>
        <row r="720">
          <cell r="A720" t="str">
            <v>BGD</v>
          </cell>
          <cell r="B720" t="str">
            <v>Long</v>
          </cell>
          <cell r="C720" t="str">
            <v>2005 - 2022</v>
          </cell>
          <cell r="D720" t="str">
            <v>reg</v>
          </cell>
          <cell r="E720" t="str">
            <v>lfls1_s1_a5</v>
          </cell>
          <cell r="F720">
            <v>0.42971432209014893</v>
          </cell>
          <cell r="G720">
            <v>6</v>
          </cell>
        </row>
        <row r="721">
          <cell r="A721" t="str">
            <v>BGD</v>
          </cell>
          <cell r="B721" t="str">
            <v>Long</v>
          </cell>
          <cell r="C721" t="str">
            <v>2005 - 2022</v>
          </cell>
          <cell r="D721" t="str">
            <v>reg</v>
          </cell>
          <cell r="E721" t="str">
            <v>lfls1_s1_a6</v>
          </cell>
          <cell r="F721">
            <v>1.3735581636428833</v>
          </cell>
          <cell r="G721">
            <v>6</v>
          </cell>
        </row>
        <row r="722">
          <cell r="A722" t="str">
            <v>BGD</v>
          </cell>
          <cell r="B722" t="str">
            <v>Long</v>
          </cell>
          <cell r="C722" t="str">
            <v>2005 - 2022</v>
          </cell>
          <cell r="D722" t="str">
            <v>reg</v>
          </cell>
          <cell r="E722" t="str">
            <v>lfprod_s0_a1</v>
          </cell>
          <cell r="F722">
            <v>-0.52494460344314575</v>
          </cell>
          <cell r="G722">
            <v>6</v>
          </cell>
        </row>
        <row r="723">
          <cell r="A723" t="str">
            <v>BGD</v>
          </cell>
          <cell r="B723" t="str">
            <v>Long</v>
          </cell>
          <cell r="C723" t="str">
            <v>2005 - 2022</v>
          </cell>
          <cell r="D723" t="str">
            <v>reg</v>
          </cell>
          <cell r="E723" t="str">
            <v>lfprod_s0_a2</v>
          </cell>
          <cell r="F723">
            <v>-0.39668717980384827</v>
          </cell>
          <cell r="G723">
            <v>6</v>
          </cell>
        </row>
        <row r="724">
          <cell r="A724" t="str">
            <v>BGD</v>
          </cell>
          <cell r="B724" t="str">
            <v>Long</v>
          </cell>
          <cell r="C724" t="str">
            <v>2005 - 2022</v>
          </cell>
          <cell r="D724" t="str">
            <v>reg</v>
          </cell>
          <cell r="E724" t="str">
            <v>lfprod_s0_a3</v>
          </cell>
          <cell r="F724">
            <v>-0.73759818077087402</v>
          </cell>
          <cell r="G724">
            <v>6</v>
          </cell>
        </row>
        <row r="725">
          <cell r="A725" t="str">
            <v>BGD</v>
          </cell>
          <cell r="B725" t="str">
            <v>Long</v>
          </cell>
          <cell r="C725" t="str">
            <v>2005 - 2022</v>
          </cell>
          <cell r="D725" t="str">
            <v>reg</v>
          </cell>
          <cell r="E725" t="str">
            <v>lfprod_s0_a4</v>
          </cell>
          <cell r="F725">
            <v>-0.63153338432312012</v>
          </cell>
          <cell r="G725">
            <v>6</v>
          </cell>
        </row>
        <row r="726">
          <cell r="A726" t="str">
            <v>BGD</v>
          </cell>
          <cell r="B726" t="str">
            <v>Long</v>
          </cell>
          <cell r="C726" t="str">
            <v>2005 - 2022</v>
          </cell>
          <cell r="D726" t="str">
            <v>reg</v>
          </cell>
          <cell r="E726" t="str">
            <v>lfprod_s0_a5</v>
          </cell>
          <cell r="F726">
            <v>-0.3801196813583374</v>
          </cell>
          <cell r="G726">
            <v>6</v>
          </cell>
        </row>
        <row r="727">
          <cell r="A727" t="str">
            <v>BGD</v>
          </cell>
          <cell r="B727" t="str">
            <v>Long</v>
          </cell>
          <cell r="C727" t="str">
            <v>2005 - 2022</v>
          </cell>
          <cell r="D727" t="str">
            <v>reg</v>
          </cell>
          <cell r="E727" t="str">
            <v>lfprod_s0_a6</v>
          </cell>
          <cell r="F727">
            <v>-0.67445743083953857</v>
          </cell>
          <cell r="G727">
            <v>6</v>
          </cell>
        </row>
        <row r="728">
          <cell r="A728" t="str">
            <v>BGD</v>
          </cell>
          <cell r="B728" t="str">
            <v>Long</v>
          </cell>
          <cell r="C728" t="str">
            <v>2005 - 2022</v>
          </cell>
          <cell r="D728" t="str">
            <v>reg</v>
          </cell>
          <cell r="E728" t="str">
            <v>lfprod_s1_a1</v>
          </cell>
          <cell r="F728">
            <v>-0.71804684400558472</v>
          </cell>
          <cell r="G728">
            <v>6</v>
          </cell>
        </row>
        <row r="729">
          <cell r="A729" t="str">
            <v>BGD</v>
          </cell>
          <cell r="B729" t="str">
            <v>Long</v>
          </cell>
          <cell r="C729" t="str">
            <v>2005 - 2022</v>
          </cell>
          <cell r="D729" t="str">
            <v>reg</v>
          </cell>
          <cell r="E729" t="str">
            <v>lfprod_s1_a2</v>
          </cell>
          <cell r="F729">
            <v>-0.31256404519081116</v>
          </cell>
          <cell r="G729">
            <v>6</v>
          </cell>
        </row>
        <row r="730">
          <cell r="A730" t="str">
            <v>BGD</v>
          </cell>
          <cell r="B730" t="str">
            <v>Long</v>
          </cell>
          <cell r="C730" t="str">
            <v>2005 - 2022</v>
          </cell>
          <cell r="D730" t="str">
            <v>reg</v>
          </cell>
          <cell r="E730" t="str">
            <v>lfprod_s1_a3</v>
          </cell>
          <cell r="F730">
            <v>-0.22702606022357941</v>
          </cell>
          <cell r="G730">
            <v>6</v>
          </cell>
        </row>
        <row r="731">
          <cell r="A731" t="str">
            <v>BGD</v>
          </cell>
          <cell r="B731" t="str">
            <v>Long</v>
          </cell>
          <cell r="C731" t="str">
            <v>2005 - 2022</v>
          </cell>
          <cell r="D731" t="str">
            <v>reg</v>
          </cell>
          <cell r="E731" t="str">
            <v>lfprod_s1_a4</v>
          </cell>
          <cell r="F731">
            <v>0.72853314876556396</v>
          </cell>
          <cell r="G731">
            <v>6</v>
          </cell>
        </row>
        <row r="732">
          <cell r="A732" t="str">
            <v>BGD</v>
          </cell>
          <cell r="B732" t="str">
            <v>Long</v>
          </cell>
          <cell r="C732" t="str">
            <v>2005 - 2022</v>
          </cell>
          <cell r="D732" t="str">
            <v>reg</v>
          </cell>
          <cell r="E732" t="str">
            <v>lfprod_s1_a5</v>
          </cell>
          <cell r="F732">
            <v>-0.57028567790985107</v>
          </cell>
          <cell r="G732">
            <v>6</v>
          </cell>
        </row>
        <row r="733">
          <cell r="A733" t="str">
            <v>BGD</v>
          </cell>
          <cell r="B733" t="str">
            <v>Long</v>
          </cell>
          <cell r="C733" t="str">
            <v>2005 - 2022</v>
          </cell>
          <cell r="D733" t="str">
            <v>reg</v>
          </cell>
          <cell r="E733" t="str">
            <v>lfprod_s1_a6</v>
          </cell>
          <cell r="F733">
            <v>0.37355819344520569</v>
          </cell>
          <cell r="G733">
            <v>6</v>
          </cell>
        </row>
        <row r="734">
          <cell r="A734" t="str">
            <v>BGD</v>
          </cell>
          <cell r="B734" t="str">
            <v>Long</v>
          </cell>
          <cell r="C734" t="str">
            <v>2005 - 2022</v>
          </cell>
          <cell r="D734" t="str">
            <v>reg_gdp</v>
          </cell>
          <cell r="E734" t="str">
            <v>lfls12_S0_A0</v>
          </cell>
          <cell r="F734">
            <v>0.36932170391082764</v>
          </cell>
          <cell r="G734">
            <v>6</v>
          </cell>
        </row>
        <row r="735">
          <cell r="A735" t="str">
            <v>BGD</v>
          </cell>
          <cell r="B735" t="str">
            <v>Long</v>
          </cell>
          <cell r="C735" t="str">
            <v>2005 - 2022</v>
          </cell>
          <cell r="D735" t="str">
            <v>reg_gdp</v>
          </cell>
          <cell r="E735" t="str">
            <v>lfls1_S0_A0</v>
          </cell>
          <cell r="F735">
            <v>0.37071043252944946</v>
          </cell>
          <cell r="G735">
            <v>6</v>
          </cell>
        </row>
        <row r="736">
          <cell r="A736" t="str">
            <v>BGD</v>
          </cell>
          <cell r="B736" t="str">
            <v>Long</v>
          </cell>
          <cell r="C736" t="str">
            <v>2005 - 2022</v>
          </cell>
          <cell r="D736" t="str">
            <v>reg_gdp</v>
          </cell>
          <cell r="E736" t="str">
            <v>lfls1_S0_a1</v>
          </cell>
          <cell r="F736">
            <v>0.30950301885604858</v>
          </cell>
          <cell r="G736">
            <v>6</v>
          </cell>
        </row>
        <row r="737">
          <cell r="A737" t="str">
            <v>BGD</v>
          </cell>
          <cell r="B737" t="str">
            <v>Long</v>
          </cell>
          <cell r="C737" t="str">
            <v>2005 - 2022</v>
          </cell>
          <cell r="D737" t="str">
            <v>reg_gdp</v>
          </cell>
          <cell r="E737" t="str">
            <v>lfls1_S0_a2</v>
          </cell>
          <cell r="F737">
            <v>-0.60339999198913574</v>
          </cell>
          <cell r="G737">
            <v>6</v>
          </cell>
        </row>
        <row r="738">
          <cell r="A738" t="str">
            <v>BGD</v>
          </cell>
          <cell r="B738" t="str">
            <v>Long</v>
          </cell>
          <cell r="C738" t="str">
            <v>2005 - 2022</v>
          </cell>
          <cell r="D738" t="str">
            <v>reg_gdp</v>
          </cell>
          <cell r="E738" t="str">
            <v>lfls1_S0_a3</v>
          </cell>
          <cell r="F738">
            <v>6.2240233421325684</v>
          </cell>
          <cell r="G738">
            <v>6</v>
          </cell>
        </row>
        <row r="739">
          <cell r="A739" t="str">
            <v>BGD</v>
          </cell>
          <cell r="B739" t="str">
            <v>Long</v>
          </cell>
          <cell r="C739" t="str">
            <v>2005 - 2022</v>
          </cell>
          <cell r="D739" t="str">
            <v>reg_gdp</v>
          </cell>
          <cell r="E739" t="str">
            <v>lfls1_S0_a4</v>
          </cell>
          <cell r="F739">
            <v>-0.67375117540359497</v>
          </cell>
          <cell r="G739">
            <v>6</v>
          </cell>
        </row>
        <row r="740">
          <cell r="A740" t="str">
            <v>BGD</v>
          </cell>
          <cell r="B740" t="str">
            <v>Long</v>
          </cell>
          <cell r="C740" t="str">
            <v>2005 - 2022</v>
          </cell>
          <cell r="D740" t="str">
            <v>reg_gdp</v>
          </cell>
          <cell r="E740" t="str">
            <v>lfls1_S0_a5</v>
          </cell>
          <cell r="F740">
            <v>0.48534178733825684</v>
          </cell>
          <cell r="G740">
            <v>6</v>
          </cell>
        </row>
        <row r="741">
          <cell r="A741" t="str">
            <v>BGD</v>
          </cell>
          <cell r="B741" t="str">
            <v>Long</v>
          </cell>
          <cell r="C741" t="str">
            <v>2005 - 2022</v>
          </cell>
          <cell r="D741" t="str">
            <v>reg_gdp</v>
          </cell>
          <cell r="E741" t="str">
            <v>lfls1_S0_a6</v>
          </cell>
          <cell r="F741">
            <v>1.4374668598175049</v>
          </cell>
          <cell r="G741">
            <v>6</v>
          </cell>
        </row>
        <row r="742">
          <cell r="A742" t="str">
            <v>BGD</v>
          </cell>
          <cell r="B742" t="str">
            <v>Long</v>
          </cell>
          <cell r="C742" t="str">
            <v>2005 - 2022</v>
          </cell>
          <cell r="D742" t="str">
            <v>reg_gdp</v>
          </cell>
          <cell r="E742" t="str">
            <v>lfls1_s0_A0</v>
          </cell>
          <cell r="F742">
            <v>0.36951625347137451</v>
          </cell>
          <cell r="G742">
            <v>6</v>
          </cell>
        </row>
        <row r="743">
          <cell r="A743" t="str">
            <v>BGD</v>
          </cell>
          <cell r="B743" t="str">
            <v>Long</v>
          </cell>
          <cell r="C743" t="str">
            <v>2005 - 2022</v>
          </cell>
          <cell r="D743" t="str">
            <v>reg_gdp</v>
          </cell>
          <cell r="E743" t="str">
            <v>lfls1_s0_a1</v>
          </cell>
          <cell r="F743">
            <v>-0.53788930177688599</v>
          </cell>
          <cell r="G743">
            <v>6</v>
          </cell>
        </row>
        <row r="744">
          <cell r="A744" t="str">
            <v>BGD</v>
          </cell>
          <cell r="B744" t="str">
            <v>Long</v>
          </cell>
          <cell r="C744" t="str">
            <v>2005 - 2022</v>
          </cell>
          <cell r="D744" t="str">
            <v>reg_gdp</v>
          </cell>
          <cell r="E744" t="str">
            <v>lfls1_s0_a2</v>
          </cell>
          <cell r="F744">
            <v>-0.53714120388031006</v>
          </cell>
          <cell r="G744">
            <v>6</v>
          </cell>
        </row>
        <row r="745">
          <cell r="A745" t="str">
            <v>BGD</v>
          </cell>
          <cell r="B745" t="str">
            <v>Long</v>
          </cell>
          <cell r="C745" t="str">
            <v>2005 - 2022</v>
          </cell>
          <cell r="D745" t="str">
            <v>reg_gdp</v>
          </cell>
          <cell r="E745" t="str">
            <v>lfls1_s0_a3</v>
          </cell>
          <cell r="F745">
            <v>5.2406229972839355</v>
          </cell>
          <cell r="G745">
            <v>6</v>
          </cell>
        </row>
        <row r="746">
          <cell r="A746" t="str">
            <v>BGD</v>
          </cell>
          <cell r="B746" t="str">
            <v>Long</v>
          </cell>
          <cell r="C746" t="str">
            <v>2005 - 2022</v>
          </cell>
          <cell r="D746" t="str">
            <v>reg_gdp</v>
          </cell>
          <cell r="E746" t="str">
            <v>lfls1_s0_a4</v>
          </cell>
          <cell r="F746">
            <v>-0.71966069936752319</v>
          </cell>
          <cell r="G746">
            <v>6</v>
          </cell>
        </row>
        <row r="747">
          <cell r="A747" t="str">
            <v>BGD</v>
          </cell>
          <cell r="B747" t="str">
            <v>Long</v>
          </cell>
          <cell r="C747" t="str">
            <v>2005 - 2022</v>
          </cell>
          <cell r="D747" t="str">
            <v>reg_gdp</v>
          </cell>
          <cell r="E747" t="str">
            <v>lfls1_s0_a5</v>
          </cell>
          <cell r="F747">
            <v>-0.68886828422546387</v>
          </cell>
          <cell r="G747">
            <v>6</v>
          </cell>
        </row>
        <row r="748">
          <cell r="A748" t="str">
            <v>BGD</v>
          </cell>
          <cell r="B748" t="str">
            <v>Long</v>
          </cell>
          <cell r="C748" t="str">
            <v>2005 - 2022</v>
          </cell>
          <cell r="D748" t="str">
            <v>reg_gdp</v>
          </cell>
          <cell r="E748" t="str">
            <v>lfls1_s0_a6</v>
          </cell>
          <cell r="F748">
            <v>1.4583019018173218</v>
          </cell>
          <cell r="G748">
            <v>6</v>
          </cell>
        </row>
        <row r="749">
          <cell r="A749" t="str">
            <v>BGD</v>
          </cell>
          <cell r="B749" t="str">
            <v>Long</v>
          </cell>
          <cell r="C749" t="str">
            <v>2005 - 2022</v>
          </cell>
          <cell r="D749" t="str">
            <v>reg_gdp</v>
          </cell>
          <cell r="E749" t="str">
            <v>lfls1_s1_A0</v>
          </cell>
          <cell r="F749">
            <v>0.43483832478523254</v>
          </cell>
          <cell r="G749">
            <v>6</v>
          </cell>
        </row>
        <row r="750">
          <cell r="A750" t="str">
            <v>BGD</v>
          </cell>
          <cell r="B750" t="str">
            <v>Long</v>
          </cell>
          <cell r="C750" t="str">
            <v>2005 - 2022</v>
          </cell>
          <cell r="D750" t="str">
            <v>reg_gdp</v>
          </cell>
          <cell r="E750" t="str">
            <v>lfls1_s1_a1</v>
          </cell>
          <cell r="F750">
            <v>-0.51990371942520142</v>
          </cell>
          <cell r="G750">
            <v>6</v>
          </cell>
        </row>
        <row r="751">
          <cell r="A751" t="str">
            <v>BGD</v>
          </cell>
          <cell r="B751" t="str">
            <v>Long</v>
          </cell>
          <cell r="C751" t="str">
            <v>2005 - 2022</v>
          </cell>
          <cell r="D751" t="str">
            <v>reg_gdp</v>
          </cell>
          <cell r="E751" t="str">
            <v>lfls1_s1_a2</v>
          </cell>
          <cell r="F751">
            <v>-1.4586539268493652</v>
          </cell>
          <cell r="G751">
            <v>6</v>
          </cell>
        </row>
        <row r="752">
          <cell r="A752" t="str">
            <v>BGD</v>
          </cell>
          <cell r="B752" t="str">
            <v>Long</v>
          </cell>
          <cell r="C752" t="str">
            <v>2005 - 2022</v>
          </cell>
          <cell r="D752" t="str">
            <v>reg_gdp</v>
          </cell>
          <cell r="E752" t="str">
            <v>lfls1_s1_a3</v>
          </cell>
          <cell r="F752">
            <v>21.259532928466797</v>
          </cell>
          <cell r="G752">
            <v>6</v>
          </cell>
        </row>
        <row r="753">
          <cell r="A753" t="str">
            <v>BGD</v>
          </cell>
          <cell r="B753" t="str">
            <v>Long</v>
          </cell>
          <cell r="C753" t="str">
            <v>2005 - 2022</v>
          </cell>
          <cell r="D753" t="str">
            <v>reg_gdp</v>
          </cell>
          <cell r="E753" t="str">
            <v>lfls1_s1_a4</v>
          </cell>
          <cell r="F753">
            <v>1.5574235916137695</v>
          </cell>
          <cell r="G753">
            <v>6</v>
          </cell>
        </row>
        <row r="754">
          <cell r="A754" t="str">
            <v>BGD</v>
          </cell>
          <cell r="B754" t="str">
            <v>Long</v>
          </cell>
          <cell r="C754" t="str">
            <v>2005 - 2022</v>
          </cell>
          <cell r="D754" t="str">
            <v>reg_gdp</v>
          </cell>
          <cell r="E754" t="str">
            <v>lfls1_s1_a5</v>
          </cell>
          <cell r="F754">
            <v>2.0277731418609619</v>
          </cell>
          <cell r="G754">
            <v>6</v>
          </cell>
        </row>
        <row r="755">
          <cell r="A755" t="str">
            <v>BGD</v>
          </cell>
          <cell r="B755" t="str">
            <v>Long</v>
          </cell>
          <cell r="C755" t="str">
            <v>2005 - 2022</v>
          </cell>
          <cell r="D755" t="str">
            <v>reg_gdp</v>
          </cell>
          <cell r="E755" t="str">
            <v>lfls1_s1_a6</v>
          </cell>
          <cell r="F755">
            <v>0.19507989287376404</v>
          </cell>
          <cell r="G755">
            <v>6</v>
          </cell>
        </row>
        <row r="756">
          <cell r="A756" t="str">
            <v>BGD</v>
          </cell>
          <cell r="B756" t="str">
            <v>Long</v>
          </cell>
          <cell r="C756" t="str">
            <v>2005 - 2022</v>
          </cell>
          <cell r="D756" t="str">
            <v>reg_gdp</v>
          </cell>
          <cell r="E756" t="str">
            <v>lfprod_s0_a1</v>
          </cell>
          <cell r="F756">
            <v>-1.5378892421722412</v>
          </cell>
          <cell r="G756">
            <v>6</v>
          </cell>
        </row>
        <row r="757">
          <cell r="A757" t="str">
            <v>BGD</v>
          </cell>
          <cell r="B757" t="str">
            <v>Long</v>
          </cell>
          <cell r="C757" t="str">
            <v>2005 - 2022</v>
          </cell>
          <cell r="D757" t="str">
            <v>reg_gdp</v>
          </cell>
          <cell r="E757" t="str">
            <v>lfprod_s0_a2</v>
          </cell>
          <cell r="F757">
            <v>-1.5371412038803101</v>
          </cell>
          <cell r="G757">
            <v>6</v>
          </cell>
        </row>
        <row r="758">
          <cell r="A758" t="str">
            <v>BGD</v>
          </cell>
          <cell r="B758" t="str">
            <v>Long</v>
          </cell>
          <cell r="C758" t="str">
            <v>2005 - 2022</v>
          </cell>
          <cell r="D758" t="str">
            <v>reg_gdp</v>
          </cell>
          <cell r="E758" t="str">
            <v>lfprod_s0_a3</v>
          </cell>
          <cell r="F758">
            <v>4.2406229972839355</v>
          </cell>
          <cell r="G758">
            <v>6</v>
          </cell>
        </row>
        <row r="759">
          <cell r="A759" t="str">
            <v>BGD</v>
          </cell>
          <cell r="B759" t="str">
            <v>Long</v>
          </cell>
          <cell r="C759" t="str">
            <v>2005 - 2022</v>
          </cell>
          <cell r="D759" t="str">
            <v>reg_gdp</v>
          </cell>
          <cell r="E759" t="str">
            <v>lfprod_s0_a4</v>
          </cell>
          <cell r="F759">
            <v>-1.719660758972168</v>
          </cell>
          <cell r="G759">
            <v>6</v>
          </cell>
        </row>
        <row r="760">
          <cell r="A760" t="str">
            <v>BGD</v>
          </cell>
          <cell r="B760" t="str">
            <v>Long</v>
          </cell>
          <cell r="C760" t="str">
            <v>2005 - 2022</v>
          </cell>
          <cell r="D760" t="str">
            <v>reg_gdp</v>
          </cell>
          <cell r="E760" t="str">
            <v>lfprod_s0_a5</v>
          </cell>
          <cell r="F760">
            <v>-1.6888682842254639</v>
          </cell>
          <cell r="G760">
            <v>6</v>
          </cell>
        </row>
        <row r="761">
          <cell r="A761" t="str">
            <v>BGD</v>
          </cell>
          <cell r="B761" t="str">
            <v>Long</v>
          </cell>
          <cell r="C761" t="str">
            <v>2005 - 2022</v>
          </cell>
          <cell r="D761" t="str">
            <v>reg_gdp</v>
          </cell>
          <cell r="E761" t="str">
            <v>lfprod_s0_a6</v>
          </cell>
          <cell r="F761">
            <v>0.45830196142196655</v>
          </cell>
          <cell r="G761">
            <v>6</v>
          </cell>
        </row>
        <row r="762">
          <cell r="A762" t="str">
            <v>BGD</v>
          </cell>
          <cell r="B762" t="str">
            <v>Long</v>
          </cell>
          <cell r="C762" t="str">
            <v>2005 - 2022</v>
          </cell>
          <cell r="D762" t="str">
            <v>reg_gdp</v>
          </cell>
          <cell r="E762" t="str">
            <v>lfprod_s1_a1</v>
          </cell>
          <cell r="F762">
            <v>-1.5199037790298462</v>
          </cell>
          <cell r="G762">
            <v>6</v>
          </cell>
        </row>
        <row r="763">
          <cell r="A763" t="str">
            <v>BGD</v>
          </cell>
          <cell r="B763" t="str">
            <v>Long</v>
          </cell>
          <cell r="C763" t="str">
            <v>2005 - 2022</v>
          </cell>
          <cell r="D763" t="str">
            <v>reg_gdp</v>
          </cell>
          <cell r="E763" t="str">
            <v>lfprod_s1_a2</v>
          </cell>
          <cell r="F763">
            <v>-2.4586539268493652</v>
          </cell>
          <cell r="G763">
            <v>6</v>
          </cell>
        </row>
        <row r="764">
          <cell r="A764" t="str">
            <v>BGD</v>
          </cell>
          <cell r="B764" t="str">
            <v>Long</v>
          </cell>
          <cell r="C764" t="str">
            <v>2005 - 2022</v>
          </cell>
          <cell r="D764" t="str">
            <v>reg_gdp</v>
          </cell>
          <cell r="E764" t="str">
            <v>lfprod_s1_a3</v>
          </cell>
          <cell r="F764">
            <v>20.259532928466797</v>
          </cell>
          <cell r="G764">
            <v>6</v>
          </cell>
        </row>
        <row r="765">
          <cell r="A765" t="str">
            <v>BGD</v>
          </cell>
          <cell r="B765" t="str">
            <v>Long</v>
          </cell>
          <cell r="C765" t="str">
            <v>2005 - 2022</v>
          </cell>
          <cell r="D765" t="str">
            <v>reg_gdp</v>
          </cell>
          <cell r="E765" t="str">
            <v>lfprod_s1_a4</v>
          </cell>
          <cell r="F765">
            <v>0.55742359161376953</v>
          </cell>
          <cell r="G765">
            <v>6</v>
          </cell>
        </row>
        <row r="766">
          <cell r="A766" t="str">
            <v>BGD</v>
          </cell>
          <cell r="B766" t="str">
            <v>Long</v>
          </cell>
          <cell r="C766" t="str">
            <v>2005 - 2022</v>
          </cell>
          <cell r="D766" t="str">
            <v>reg_gdp</v>
          </cell>
          <cell r="E766" t="str">
            <v>lfprod_s1_a5</v>
          </cell>
          <cell r="F766">
            <v>1.0277731418609619</v>
          </cell>
          <cell r="G766">
            <v>6</v>
          </cell>
        </row>
        <row r="767">
          <cell r="A767" t="str">
            <v>BGD</v>
          </cell>
          <cell r="B767" t="str">
            <v>Long</v>
          </cell>
          <cell r="C767" t="str">
            <v>2005 - 2022</v>
          </cell>
          <cell r="D767" t="str">
            <v>reg_gdp</v>
          </cell>
          <cell r="E767" t="str">
            <v>lfprod_s1_a6</v>
          </cell>
          <cell r="F767">
            <v>-0.80492007732391357</v>
          </cell>
          <cell r="G767">
            <v>6</v>
          </cell>
        </row>
        <row r="768">
          <cell r="A768" t="str">
            <v>BGD</v>
          </cell>
          <cell r="B768" t="str">
            <v>Long</v>
          </cell>
          <cell r="C768" t="str">
            <v>2005 - 2022</v>
          </cell>
          <cell r="D768" t="str">
            <v>reg_iter</v>
          </cell>
          <cell r="E768" t="str">
            <v>lfls12_S0_A0</v>
          </cell>
          <cell r="F768">
            <v>0.36932170391082764</v>
          </cell>
          <cell r="G768">
            <v>6</v>
          </cell>
        </row>
        <row r="769">
          <cell r="A769" t="str">
            <v>BGD</v>
          </cell>
          <cell r="B769" t="str">
            <v>Long</v>
          </cell>
          <cell r="C769" t="str">
            <v>2005 - 2022</v>
          </cell>
          <cell r="D769" t="str">
            <v>reg_iter</v>
          </cell>
          <cell r="E769" t="str">
            <v>lfls1_S0_A0</v>
          </cell>
          <cell r="F769">
            <v>0.37071043252944946</v>
          </cell>
          <cell r="G769">
            <v>6</v>
          </cell>
        </row>
        <row r="770">
          <cell r="A770" t="str">
            <v>BGD</v>
          </cell>
          <cell r="B770" t="str">
            <v>Long</v>
          </cell>
          <cell r="C770" t="str">
            <v>2005 - 2022</v>
          </cell>
          <cell r="D770" t="str">
            <v>reg_iter</v>
          </cell>
          <cell r="E770" t="str">
            <v>lfls1_S0_a1</v>
          </cell>
          <cell r="F770">
            <v>0.30950301885604858</v>
          </cell>
          <cell r="G770">
            <v>6</v>
          </cell>
        </row>
        <row r="771">
          <cell r="A771" t="str">
            <v>BGD</v>
          </cell>
          <cell r="B771" t="str">
            <v>Long</v>
          </cell>
          <cell r="C771" t="str">
            <v>2005 - 2022</v>
          </cell>
          <cell r="D771" t="str">
            <v>reg_iter</v>
          </cell>
          <cell r="E771" t="str">
            <v>lfls1_S0_a2</v>
          </cell>
          <cell r="F771">
            <v>-0.60339999198913574</v>
          </cell>
          <cell r="G771">
            <v>6</v>
          </cell>
        </row>
        <row r="772">
          <cell r="A772" t="str">
            <v>BGD</v>
          </cell>
          <cell r="B772" t="str">
            <v>Long</v>
          </cell>
          <cell r="C772" t="str">
            <v>2005 - 2022</v>
          </cell>
          <cell r="D772" t="str">
            <v>reg_iter</v>
          </cell>
          <cell r="E772" t="str">
            <v>lfls1_S0_a3</v>
          </cell>
          <cell r="F772">
            <v>6.2240233421325684</v>
          </cell>
          <cell r="G772">
            <v>6</v>
          </cell>
        </row>
        <row r="773">
          <cell r="A773" t="str">
            <v>BGD</v>
          </cell>
          <cell r="B773" t="str">
            <v>Long</v>
          </cell>
          <cell r="C773" t="str">
            <v>2005 - 2022</v>
          </cell>
          <cell r="D773" t="str">
            <v>reg_iter</v>
          </cell>
          <cell r="E773" t="str">
            <v>lfls1_S0_a4</v>
          </cell>
          <cell r="F773">
            <v>-0.67375117540359497</v>
          </cell>
          <cell r="G773">
            <v>6</v>
          </cell>
        </row>
        <row r="774">
          <cell r="A774" t="str">
            <v>BGD</v>
          </cell>
          <cell r="B774" t="str">
            <v>Long</v>
          </cell>
          <cell r="C774" t="str">
            <v>2005 - 2022</v>
          </cell>
          <cell r="D774" t="str">
            <v>reg_iter</v>
          </cell>
          <cell r="E774" t="str">
            <v>lfls1_S0_a5</v>
          </cell>
          <cell r="F774">
            <v>0.48534178733825684</v>
          </cell>
          <cell r="G774">
            <v>6</v>
          </cell>
        </row>
        <row r="775">
          <cell r="A775" t="str">
            <v>BGD</v>
          </cell>
          <cell r="B775" t="str">
            <v>Long</v>
          </cell>
          <cell r="C775" t="str">
            <v>2005 - 2022</v>
          </cell>
          <cell r="D775" t="str">
            <v>reg_iter</v>
          </cell>
          <cell r="E775" t="str">
            <v>lfls1_S0_a6</v>
          </cell>
          <cell r="F775">
            <v>1.4374668598175049</v>
          </cell>
          <cell r="G775">
            <v>6</v>
          </cell>
        </row>
        <row r="776">
          <cell r="A776" t="str">
            <v>BGD</v>
          </cell>
          <cell r="B776" t="str">
            <v>Long</v>
          </cell>
          <cell r="C776" t="str">
            <v>2005 - 2022</v>
          </cell>
          <cell r="D776" t="str">
            <v>reg_iter</v>
          </cell>
          <cell r="E776" t="str">
            <v>lfls1_s0_A0</v>
          </cell>
          <cell r="F776">
            <v>0.36951625347137451</v>
          </cell>
          <cell r="G776">
            <v>6</v>
          </cell>
        </row>
        <row r="777">
          <cell r="A777" t="str">
            <v>BGD</v>
          </cell>
          <cell r="B777" t="str">
            <v>Long</v>
          </cell>
          <cell r="C777" t="str">
            <v>2005 - 2022</v>
          </cell>
          <cell r="D777" t="str">
            <v>reg_iter</v>
          </cell>
          <cell r="E777" t="str">
            <v>lfls1_s0_a1</v>
          </cell>
          <cell r="F777">
            <v>-0.53788930177688599</v>
          </cell>
          <cell r="G777">
            <v>6</v>
          </cell>
        </row>
        <row r="778">
          <cell r="A778" t="str">
            <v>BGD</v>
          </cell>
          <cell r="B778" t="str">
            <v>Long</v>
          </cell>
          <cell r="C778" t="str">
            <v>2005 - 2022</v>
          </cell>
          <cell r="D778" t="str">
            <v>reg_iter</v>
          </cell>
          <cell r="E778" t="str">
            <v>lfls1_s0_a2</v>
          </cell>
          <cell r="F778">
            <v>-0.53714120388031006</v>
          </cell>
          <cell r="G778">
            <v>6</v>
          </cell>
        </row>
        <row r="779">
          <cell r="A779" t="str">
            <v>BGD</v>
          </cell>
          <cell r="B779" t="str">
            <v>Long</v>
          </cell>
          <cell r="C779" t="str">
            <v>2005 - 2022</v>
          </cell>
          <cell r="D779" t="str">
            <v>reg_iter</v>
          </cell>
          <cell r="E779" t="str">
            <v>lfls1_s0_a3</v>
          </cell>
          <cell r="F779">
            <v>5.2406229972839355</v>
          </cell>
          <cell r="G779">
            <v>6</v>
          </cell>
        </row>
        <row r="780">
          <cell r="A780" t="str">
            <v>BGD</v>
          </cell>
          <cell r="B780" t="str">
            <v>Long</v>
          </cell>
          <cell r="C780" t="str">
            <v>2005 - 2022</v>
          </cell>
          <cell r="D780" t="str">
            <v>reg_iter</v>
          </cell>
          <cell r="E780" t="str">
            <v>lfls1_s0_a4</v>
          </cell>
          <cell r="F780">
            <v>-0.71966069936752319</v>
          </cell>
          <cell r="G780">
            <v>6</v>
          </cell>
        </row>
        <row r="781">
          <cell r="A781" t="str">
            <v>BGD</v>
          </cell>
          <cell r="B781" t="str">
            <v>Long</v>
          </cell>
          <cell r="C781" t="str">
            <v>2005 - 2022</v>
          </cell>
          <cell r="D781" t="str">
            <v>reg_iter</v>
          </cell>
          <cell r="E781" t="str">
            <v>lfls1_s0_a5</v>
          </cell>
          <cell r="F781">
            <v>-0.68886828422546387</v>
          </cell>
          <cell r="G781">
            <v>6</v>
          </cell>
        </row>
        <row r="782">
          <cell r="A782" t="str">
            <v>BGD</v>
          </cell>
          <cell r="B782" t="str">
            <v>Long</v>
          </cell>
          <cell r="C782" t="str">
            <v>2005 - 2022</v>
          </cell>
          <cell r="D782" t="str">
            <v>reg_iter</v>
          </cell>
          <cell r="E782" t="str">
            <v>lfls1_s0_a6</v>
          </cell>
          <cell r="F782">
            <v>1.4583019018173218</v>
          </cell>
          <cell r="G782">
            <v>6</v>
          </cell>
        </row>
        <row r="783">
          <cell r="A783" t="str">
            <v>BGD</v>
          </cell>
          <cell r="B783" t="str">
            <v>Long</v>
          </cell>
          <cell r="C783" t="str">
            <v>2005 - 2022</v>
          </cell>
          <cell r="D783" t="str">
            <v>reg_iter</v>
          </cell>
          <cell r="E783" t="str">
            <v>lfls1_s1_A0</v>
          </cell>
          <cell r="F783">
            <v>0.43483832478523254</v>
          </cell>
          <cell r="G783">
            <v>6</v>
          </cell>
        </row>
        <row r="784">
          <cell r="A784" t="str">
            <v>BGD</v>
          </cell>
          <cell r="B784" t="str">
            <v>Long</v>
          </cell>
          <cell r="C784" t="str">
            <v>2005 - 2022</v>
          </cell>
          <cell r="D784" t="str">
            <v>reg_iter</v>
          </cell>
          <cell r="E784" t="str">
            <v>lfls1_s1_a1</v>
          </cell>
          <cell r="F784">
            <v>-0.51990371942520142</v>
          </cell>
          <cell r="G784">
            <v>6</v>
          </cell>
        </row>
        <row r="785">
          <cell r="A785" t="str">
            <v>BGD</v>
          </cell>
          <cell r="B785" t="str">
            <v>Long</v>
          </cell>
          <cell r="C785" t="str">
            <v>2005 - 2022</v>
          </cell>
          <cell r="D785" t="str">
            <v>reg_iter</v>
          </cell>
          <cell r="E785" t="str">
            <v>lfls1_s1_a2</v>
          </cell>
          <cell r="F785">
            <v>-1.4586539268493652</v>
          </cell>
          <cell r="G785">
            <v>6</v>
          </cell>
        </row>
        <row r="786">
          <cell r="A786" t="str">
            <v>BGD</v>
          </cell>
          <cell r="B786" t="str">
            <v>Long</v>
          </cell>
          <cell r="C786" t="str">
            <v>2005 - 2022</v>
          </cell>
          <cell r="D786" t="str">
            <v>reg_iter</v>
          </cell>
          <cell r="E786" t="str">
            <v>lfls1_s1_a3</v>
          </cell>
          <cell r="F786">
            <v>21.259532928466797</v>
          </cell>
          <cell r="G786">
            <v>6</v>
          </cell>
        </row>
        <row r="787">
          <cell r="A787" t="str">
            <v>BGD</v>
          </cell>
          <cell r="B787" t="str">
            <v>Long</v>
          </cell>
          <cell r="C787" t="str">
            <v>2005 - 2022</v>
          </cell>
          <cell r="D787" t="str">
            <v>reg_iter</v>
          </cell>
          <cell r="E787" t="str">
            <v>lfls1_s1_a4</v>
          </cell>
          <cell r="F787">
            <v>1.5574235916137695</v>
          </cell>
          <cell r="G787">
            <v>6</v>
          </cell>
        </row>
        <row r="788">
          <cell r="A788" t="str">
            <v>BGD</v>
          </cell>
          <cell r="B788" t="str">
            <v>Long</v>
          </cell>
          <cell r="C788" t="str">
            <v>2005 - 2022</v>
          </cell>
          <cell r="D788" t="str">
            <v>reg_iter</v>
          </cell>
          <cell r="E788" t="str">
            <v>lfls1_s1_a5</v>
          </cell>
          <cell r="F788">
            <v>2.0277731418609619</v>
          </cell>
          <cell r="G788">
            <v>6</v>
          </cell>
        </row>
        <row r="789">
          <cell r="A789" t="str">
            <v>BGD</v>
          </cell>
          <cell r="B789" t="str">
            <v>Long</v>
          </cell>
          <cell r="C789" t="str">
            <v>2005 - 2022</v>
          </cell>
          <cell r="D789" t="str">
            <v>reg_iter</v>
          </cell>
          <cell r="E789" t="str">
            <v>lfls1_s1_a6</v>
          </cell>
          <cell r="F789">
            <v>0.19507989287376404</v>
          </cell>
          <cell r="G789">
            <v>6</v>
          </cell>
        </row>
        <row r="790">
          <cell r="A790" t="str">
            <v>BGD</v>
          </cell>
          <cell r="B790" t="str">
            <v>Long</v>
          </cell>
          <cell r="C790" t="str">
            <v>2005 - 2022</v>
          </cell>
          <cell r="D790" t="str">
            <v>reg_iter</v>
          </cell>
          <cell r="E790" t="str">
            <v>lfprod_s0_a1</v>
          </cell>
          <cell r="F790">
            <v>-1.5378892421722412</v>
          </cell>
          <cell r="G790">
            <v>6</v>
          </cell>
        </row>
        <row r="791">
          <cell r="A791" t="str">
            <v>BGD</v>
          </cell>
          <cell r="B791" t="str">
            <v>Long</v>
          </cell>
          <cell r="C791" t="str">
            <v>2005 - 2022</v>
          </cell>
          <cell r="D791" t="str">
            <v>reg_iter</v>
          </cell>
          <cell r="E791" t="str">
            <v>lfprod_s0_a2</v>
          </cell>
          <cell r="F791">
            <v>-1.5371412038803101</v>
          </cell>
          <cell r="G791">
            <v>6</v>
          </cell>
        </row>
        <row r="792">
          <cell r="A792" t="str">
            <v>BGD</v>
          </cell>
          <cell r="B792" t="str">
            <v>Long</v>
          </cell>
          <cell r="C792" t="str">
            <v>2005 - 2022</v>
          </cell>
          <cell r="D792" t="str">
            <v>reg_iter</v>
          </cell>
          <cell r="E792" t="str">
            <v>lfprod_s0_a3</v>
          </cell>
          <cell r="F792">
            <v>4.2406229972839355</v>
          </cell>
          <cell r="G792">
            <v>6</v>
          </cell>
        </row>
        <row r="793">
          <cell r="A793" t="str">
            <v>BGD</v>
          </cell>
          <cell r="B793" t="str">
            <v>Long</v>
          </cell>
          <cell r="C793" t="str">
            <v>2005 - 2022</v>
          </cell>
          <cell r="D793" t="str">
            <v>reg_iter</v>
          </cell>
          <cell r="E793" t="str">
            <v>lfprod_s0_a4</v>
          </cell>
          <cell r="F793">
            <v>-1.719660758972168</v>
          </cell>
          <cell r="G793">
            <v>6</v>
          </cell>
        </row>
        <row r="794">
          <cell r="A794" t="str">
            <v>BGD</v>
          </cell>
          <cell r="B794" t="str">
            <v>Long</v>
          </cell>
          <cell r="C794" t="str">
            <v>2005 - 2022</v>
          </cell>
          <cell r="D794" t="str">
            <v>reg_iter</v>
          </cell>
          <cell r="E794" t="str">
            <v>lfprod_s0_a5</v>
          </cell>
          <cell r="F794">
            <v>-1.6888682842254639</v>
          </cell>
          <cell r="G794">
            <v>6</v>
          </cell>
        </row>
        <row r="795">
          <cell r="A795" t="str">
            <v>BGD</v>
          </cell>
          <cell r="B795" t="str">
            <v>Long</v>
          </cell>
          <cell r="C795" t="str">
            <v>2005 - 2022</v>
          </cell>
          <cell r="D795" t="str">
            <v>reg_iter</v>
          </cell>
          <cell r="E795" t="str">
            <v>lfprod_s0_a6</v>
          </cell>
          <cell r="F795">
            <v>0.45830196142196655</v>
          </cell>
          <cell r="G795">
            <v>6</v>
          </cell>
        </row>
        <row r="796">
          <cell r="A796" t="str">
            <v>BGD</v>
          </cell>
          <cell r="B796" t="str">
            <v>Long</v>
          </cell>
          <cell r="C796" t="str">
            <v>2005 - 2022</v>
          </cell>
          <cell r="D796" t="str">
            <v>reg_iter</v>
          </cell>
          <cell r="E796" t="str">
            <v>lfprod_s1_a1</v>
          </cell>
          <cell r="F796">
            <v>-1.5199037790298462</v>
          </cell>
          <cell r="G796">
            <v>6</v>
          </cell>
        </row>
        <row r="797">
          <cell r="A797" t="str">
            <v>BGD</v>
          </cell>
          <cell r="B797" t="str">
            <v>Long</v>
          </cell>
          <cell r="C797" t="str">
            <v>2005 - 2022</v>
          </cell>
          <cell r="D797" t="str">
            <v>reg_iter</v>
          </cell>
          <cell r="E797" t="str">
            <v>lfprod_s1_a2</v>
          </cell>
          <cell r="F797">
            <v>-2.4586539268493652</v>
          </cell>
          <cell r="G797">
            <v>6</v>
          </cell>
        </row>
        <row r="798">
          <cell r="A798" t="str">
            <v>BGD</v>
          </cell>
          <cell r="B798" t="str">
            <v>Long</v>
          </cell>
          <cell r="C798" t="str">
            <v>2005 - 2022</v>
          </cell>
          <cell r="D798" t="str">
            <v>reg_iter</v>
          </cell>
          <cell r="E798" t="str">
            <v>lfprod_s1_a3</v>
          </cell>
          <cell r="F798">
            <v>20.259532928466797</v>
          </cell>
          <cell r="G798">
            <v>6</v>
          </cell>
        </row>
        <row r="799">
          <cell r="A799" t="str">
            <v>BGD</v>
          </cell>
          <cell r="B799" t="str">
            <v>Long</v>
          </cell>
          <cell r="C799" t="str">
            <v>2005 - 2022</v>
          </cell>
          <cell r="D799" t="str">
            <v>reg_iter</v>
          </cell>
          <cell r="E799" t="str">
            <v>lfprod_s1_a4</v>
          </cell>
          <cell r="F799">
            <v>0.55742359161376953</v>
          </cell>
          <cell r="G799">
            <v>6</v>
          </cell>
        </row>
        <row r="800">
          <cell r="A800" t="str">
            <v>BGD</v>
          </cell>
          <cell r="B800" t="str">
            <v>Long</v>
          </cell>
          <cell r="C800" t="str">
            <v>2005 - 2022</v>
          </cell>
          <cell r="D800" t="str">
            <v>reg_iter</v>
          </cell>
          <cell r="E800" t="str">
            <v>lfprod_s1_a5</v>
          </cell>
          <cell r="F800">
            <v>1.0277731418609619</v>
          </cell>
          <cell r="G800">
            <v>6</v>
          </cell>
        </row>
        <row r="801">
          <cell r="A801" t="str">
            <v>BGD</v>
          </cell>
          <cell r="B801" t="str">
            <v>Long</v>
          </cell>
          <cell r="C801" t="str">
            <v>2005 - 2022</v>
          </cell>
          <cell r="D801" t="str">
            <v>reg_iter</v>
          </cell>
          <cell r="E801" t="str">
            <v>lfprod_s1_a6</v>
          </cell>
          <cell r="F801">
            <v>-0.80492007732391357</v>
          </cell>
          <cell r="G801">
            <v>6</v>
          </cell>
        </row>
        <row r="802">
          <cell r="A802" t="str">
            <v>BGD</v>
          </cell>
          <cell r="B802" t="str">
            <v>Middle</v>
          </cell>
          <cell r="C802" t="str">
            <v>2010 - 2022</v>
          </cell>
          <cell r="D802" t="str">
            <v>avg</v>
          </cell>
          <cell r="E802" t="str">
            <v>lfls12_S0_A0</v>
          </cell>
          <cell r="F802">
            <v>0.34328985214233398</v>
          </cell>
          <cell r="G802">
            <v>6</v>
          </cell>
        </row>
        <row r="803">
          <cell r="A803" t="str">
            <v>BGD</v>
          </cell>
          <cell r="B803" t="str">
            <v>Middle</v>
          </cell>
          <cell r="C803" t="str">
            <v>2010 - 2022</v>
          </cell>
          <cell r="D803" t="str">
            <v>avg</v>
          </cell>
          <cell r="E803" t="str">
            <v>lfls1_S0_A0</v>
          </cell>
          <cell r="F803">
            <v>0.33396664261817932</v>
          </cell>
          <cell r="G803">
            <v>6</v>
          </cell>
        </row>
        <row r="804">
          <cell r="A804" t="str">
            <v>BGD</v>
          </cell>
          <cell r="B804" t="str">
            <v>Middle</v>
          </cell>
          <cell r="C804" t="str">
            <v>2010 - 2022</v>
          </cell>
          <cell r="D804" t="str">
            <v>avg</v>
          </cell>
          <cell r="E804" t="str">
            <v>lfls1_S0_a1</v>
          </cell>
          <cell r="F804">
            <v>0.30467352271080017</v>
          </cell>
          <cell r="G804">
            <v>6</v>
          </cell>
        </row>
        <row r="805">
          <cell r="A805" t="str">
            <v>BGD</v>
          </cell>
          <cell r="B805" t="str">
            <v>Middle</v>
          </cell>
          <cell r="C805" t="str">
            <v>2010 - 2022</v>
          </cell>
          <cell r="D805" t="str">
            <v>avg</v>
          </cell>
          <cell r="E805" t="str">
            <v>lfls1_S0_a2</v>
          </cell>
          <cell r="F805">
            <v>0.90648150444030762</v>
          </cell>
          <cell r="G805">
            <v>6</v>
          </cell>
        </row>
        <row r="806">
          <cell r="A806" t="str">
            <v>BGD</v>
          </cell>
          <cell r="B806" t="str">
            <v>Middle</v>
          </cell>
          <cell r="C806" t="str">
            <v>2010 - 2022</v>
          </cell>
          <cell r="D806" t="str">
            <v>avg</v>
          </cell>
          <cell r="E806" t="str">
            <v>lfls1_S0_a3</v>
          </cell>
          <cell r="F806">
            <v>0.27544772624969482</v>
          </cell>
          <cell r="G806">
            <v>6</v>
          </cell>
        </row>
        <row r="807">
          <cell r="A807" t="str">
            <v>BGD</v>
          </cell>
          <cell r="B807" t="str">
            <v>Middle</v>
          </cell>
          <cell r="C807" t="str">
            <v>2010 - 2022</v>
          </cell>
          <cell r="D807" t="str">
            <v>avg</v>
          </cell>
          <cell r="E807" t="str">
            <v>lfls1_S0_a4</v>
          </cell>
          <cell r="F807">
            <v>0.21466565132141113</v>
          </cell>
          <cell r="G807">
            <v>6</v>
          </cell>
        </row>
        <row r="808">
          <cell r="A808" t="str">
            <v>BGD</v>
          </cell>
          <cell r="B808" t="str">
            <v>Middle</v>
          </cell>
          <cell r="C808" t="str">
            <v>2010 - 2022</v>
          </cell>
          <cell r="D808" t="str">
            <v>avg</v>
          </cell>
          <cell r="E808" t="str">
            <v>lfls1_S0_a5</v>
          </cell>
          <cell r="F808">
            <v>0.35478994250297546</v>
          </cell>
          <cell r="G808">
            <v>6</v>
          </cell>
        </row>
        <row r="809">
          <cell r="A809" t="str">
            <v>BGD</v>
          </cell>
          <cell r="B809" t="str">
            <v>Middle</v>
          </cell>
          <cell r="C809" t="str">
            <v>2010 - 2022</v>
          </cell>
          <cell r="D809" t="str">
            <v>avg</v>
          </cell>
          <cell r="E809" t="str">
            <v>lfls1_S0_a6</v>
          </cell>
          <cell r="F809">
            <v>0.53362047672271729</v>
          </cell>
          <cell r="G809">
            <v>6</v>
          </cell>
        </row>
        <row r="810">
          <cell r="A810" t="str">
            <v>BGD</v>
          </cell>
          <cell r="B810" t="str">
            <v>Middle</v>
          </cell>
          <cell r="C810" t="str">
            <v>2010 - 2022</v>
          </cell>
          <cell r="D810" t="str">
            <v>avg</v>
          </cell>
          <cell r="E810" t="str">
            <v>lfls1_s0_A0</v>
          </cell>
          <cell r="F810">
            <v>0.42584556341171265</v>
          </cell>
          <cell r="G810">
            <v>6</v>
          </cell>
        </row>
        <row r="811">
          <cell r="A811" t="str">
            <v>BGD</v>
          </cell>
          <cell r="B811" t="str">
            <v>Middle</v>
          </cell>
          <cell r="C811" t="str">
            <v>2010 - 2022</v>
          </cell>
          <cell r="D811" t="str">
            <v>avg</v>
          </cell>
          <cell r="E811" t="str">
            <v>lfls1_s0_a1</v>
          </cell>
          <cell r="F811">
            <v>2.3513119220733643</v>
          </cell>
          <cell r="G811">
            <v>6</v>
          </cell>
        </row>
        <row r="812">
          <cell r="A812" t="str">
            <v>BGD</v>
          </cell>
          <cell r="B812" t="str">
            <v>Middle</v>
          </cell>
          <cell r="C812" t="str">
            <v>2010 - 2022</v>
          </cell>
          <cell r="D812" t="str">
            <v>avg</v>
          </cell>
          <cell r="E812" t="str">
            <v>lfls1_s0_a2</v>
          </cell>
          <cell r="F812">
            <v>0.94259905815124512</v>
          </cell>
          <cell r="G812">
            <v>6</v>
          </cell>
        </row>
        <row r="813">
          <cell r="A813" t="str">
            <v>BGD</v>
          </cell>
          <cell r="B813" t="str">
            <v>Middle</v>
          </cell>
          <cell r="C813" t="str">
            <v>2010 - 2022</v>
          </cell>
          <cell r="D813" t="str">
            <v>avg</v>
          </cell>
          <cell r="E813" t="str">
            <v>lfls1_s0_a3</v>
          </cell>
          <cell r="F813">
            <v>0.22817029058933258</v>
          </cell>
          <cell r="G813">
            <v>6</v>
          </cell>
        </row>
        <row r="814">
          <cell r="A814" t="str">
            <v>BGD</v>
          </cell>
          <cell r="B814" t="str">
            <v>Middle</v>
          </cell>
          <cell r="C814" t="str">
            <v>2010 - 2022</v>
          </cell>
          <cell r="D814" t="str">
            <v>avg</v>
          </cell>
          <cell r="E814" t="str">
            <v>lfls1_s0_a4</v>
          </cell>
          <cell r="F814">
            <v>0.18383301794528961</v>
          </cell>
          <cell r="G814">
            <v>6</v>
          </cell>
        </row>
        <row r="815">
          <cell r="A815" t="str">
            <v>BGD</v>
          </cell>
          <cell r="B815" t="str">
            <v>Middle</v>
          </cell>
          <cell r="C815" t="str">
            <v>2010 - 2022</v>
          </cell>
          <cell r="D815" t="str">
            <v>avg</v>
          </cell>
          <cell r="E815" t="str">
            <v>lfls1_s0_a5</v>
          </cell>
          <cell r="F815">
            <v>0.43845474720001221</v>
          </cell>
          <cell r="G815">
            <v>6</v>
          </cell>
        </row>
        <row r="816">
          <cell r="A816" t="str">
            <v>BGD</v>
          </cell>
          <cell r="B816" t="str">
            <v>Middle</v>
          </cell>
          <cell r="C816" t="str">
            <v>2010 - 2022</v>
          </cell>
          <cell r="D816" t="str">
            <v>avg</v>
          </cell>
          <cell r="E816" t="str">
            <v>lfls1_s0_a6</v>
          </cell>
          <cell r="F816">
            <v>0.35996052622795105</v>
          </cell>
          <cell r="G816">
            <v>6</v>
          </cell>
        </row>
        <row r="817">
          <cell r="A817" t="str">
            <v>BGD</v>
          </cell>
          <cell r="B817" t="str">
            <v>Middle</v>
          </cell>
          <cell r="C817" t="str">
            <v>2010 - 2022</v>
          </cell>
          <cell r="D817" t="str">
            <v>avg</v>
          </cell>
          <cell r="E817" t="str">
            <v>lfls1_s1_A0</v>
          </cell>
          <cell r="F817">
            <v>1.1051839590072632</v>
          </cell>
          <cell r="G817">
            <v>6</v>
          </cell>
        </row>
        <row r="818">
          <cell r="A818" t="str">
            <v>BGD</v>
          </cell>
          <cell r="B818" t="str">
            <v>Middle</v>
          </cell>
          <cell r="C818" t="str">
            <v>2010 - 2022</v>
          </cell>
          <cell r="D818" t="str">
            <v>avg</v>
          </cell>
          <cell r="E818" t="str">
            <v>lfls1_s1_a1</v>
          </cell>
          <cell r="F818">
            <v>2.8441412448883057</v>
          </cell>
          <cell r="G818">
            <v>6</v>
          </cell>
        </row>
        <row r="819">
          <cell r="A819" t="str">
            <v>BGD</v>
          </cell>
          <cell r="B819" t="str">
            <v>Middle</v>
          </cell>
          <cell r="C819" t="str">
            <v>2010 - 2022</v>
          </cell>
          <cell r="D819" t="str">
            <v>avg</v>
          </cell>
          <cell r="E819" t="str">
            <v>lfls1_s1_a2</v>
          </cell>
          <cell r="F819">
            <v>0.73086363077163696</v>
          </cell>
          <cell r="G819">
            <v>6</v>
          </cell>
        </row>
        <row r="820">
          <cell r="A820" t="str">
            <v>BGD</v>
          </cell>
          <cell r="B820" t="str">
            <v>Middle</v>
          </cell>
          <cell r="C820" t="str">
            <v>2010 - 2022</v>
          </cell>
          <cell r="D820" t="str">
            <v>avg</v>
          </cell>
          <cell r="E820" t="str">
            <v>lfls1_s1_a3</v>
          </cell>
          <cell r="F820">
            <v>1.2905048131942749</v>
          </cell>
          <cell r="G820">
            <v>6</v>
          </cell>
        </row>
        <row r="821">
          <cell r="A821" t="str">
            <v>BGD</v>
          </cell>
          <cell r="B821" t="str">
            <v>Middle</v>
          </cell>
          <cell r="C821" t="str">
            <v>2010 - 2022</v>
          </cell>
          <cell r="D821" t="str">
            <v>avg</v>
          </cell>
          <cell r="E821" t="str">
            <v>lfls1_s1_a4</v>
          </cell>
          <cell r="F821">
            <v>1.6173309087753296</v>
          </cell>
          <cell r="G821">
            <v>6</v>
          </cell>
        </row>
        <row r="822">
          <cell r="A822" t="str">
            <v>BGD</v>
          </cell>
          <cell r="B822" t="str">
            <v>Middle</v>
          </cell>
          <cell r="C822" t="str">
            <v>2010 - 2022</v>
          </cell>
          <cell r="D822" t="str">
            <v>avg</v>
          </cell>
          <cell r="E822" t="str">
            <v>lfls1_s1_a5</v>
          </cell>
          <cell r="F822">
            <v>0.33024144172668457</v>
          </cell>
          <cell r="G822">
            <v>6</v>
          </cell>
        </row>
        <row r="823">
          <cell r="A823" t="str">
            <v>BGD</v>
          </cell>
          <cell r="B823" t="str">
            <v>Middle</v>
          </cell>
          <cell r="C823" t="str">
            <v>2010 - 2022</v>
          </cell>
          <cell r="D823" t="str">
            <v>avg</v>
          </cell>
          <cell r="E823" t="str">
            <v>lfls1_s1_a6</v>
          </cell>
          <cell r="F823">
            <v>1.4048335552215576</v>
          </cell>
          <cell r="G823">
            <v>6</v>
          </cell>
        </row>
        <row r="824">
          <cell r="A824" t="str">
            <v>BGD</v>
          </cell>
          <cell r="B824" t="str">
            <v>Middle</v>
          </cell>
          <cell r="C824" t="str">
            <v>2010 - 2022</v>
          </cell>
          <cell r="D824" t="str">
            <v>avg</v>
          </cell>
          <cell r="E824" t="str">
            <v>lfprod_s0_a1</v>
          </cell>
          <cell r="F824">
            <v>1.0009294748306274</v>
          </cell>
          <cell r="G824">
            <v>6</v>
          </cell>
        </row>
        <row r="825">
          <cell r="A825" t="str">
            <v>BGD</v>
          </cell>
          <cell r="B825" t="str">
            <v>Middle</v>
          </cell>
          <cell r="C825" t="str">
            <v>2010 - 2022</v>
          </cell>
          <cell r="D825" t="str">
            <v>avg</v>
          </cell>
          <cell r="E825" t="str">
            <v>lfprod_s0_a2</v>
          </cell>
          <cell r="F825">
            <v>1.3129298167768866E-4</v>
          </cell>
          <cell r="G825">
            <v>6</v>
          </cell>
        </row>
        <row r="826">
          <cell r="A826" t="str">
            <v>BGD</v>
          </cell>
          <cell r="B826" t="str">
            <v>Middle</v>
          </cell>
          <cell r="C826" t="str">
            <v>2010 - 2022</v>
          </cell>
          <cell r="D826" t="str">
            <v>avg</v>
          </cell>
          <cell r="E826" t="str">
            <v>lfprod_s0_a3</v>
          </cell>
          <cell r="F826">
            <v>-0.59776830673217773</v>
          </cell>
          <cell r="G826">
            <v>6</v>
          </cell>
        </row>
        <row r="827">
          <cell r="A827" t="str">
            <v>BGD</v>
          </cell>
          <cell r="B827" t="str">
            <v>Middle</v>
          </cell>
          <cell r="C827" t="str">
            <v>2010 - 2022</v>
          </cell>
          <cell r="D827" t="str">
            <v>avg</v>
          </cell>
          <cell r="E827" t="str">
            <v>lfprod_s0_a4</v>
          </cell>
          <cell r="F827">
            <v>-0.74564176797866821</v>
          </cell>
          <cell r="G827">
            <v>6</v>
          </cell>
        </row>
        <row r="828">
          <cell r="A828" t="str">
            <v>BGD</v>
          </cell>
          <cell r="B828" t="str">
            <v>Middle</v>
          </cell>
          <cell r="C828" t="str">
            <v>2010 - 2022</v>
          </cell>
          <cell r="D828" t="str">
            <v>avg</v>
          </cell>
          <cell r="E828" t="str">
            <v>lfprod_s0_a5</v>
          </cell>
          <cell r="F828">
            <v>-0.52462530136108398</v>
          </cell>
          <cell r="G828">
            <v>6</v>
          </cell>
        </row>
        <row r="829">
          <cell r="A829" t="str">
            <v>BGD</v>
          </cell>
          <cell r="B829" t="str">
            <v>Middle</v>
          </cell>
          <cell r="C829" t="str">
            <v>2010 - 2022</v>
          </cell>
          <cell r="D829" t="str">
            <v>avg</v>
          </cell>
          <cell r="E829" t="str">
            <v>lfprod_s0_a6</v>
          </cell>
          <cell r="F829">
            <v>-0.51605093479156494</v>
          </cell>
          <cell r="G829">
            <v>6</v>
          </cell>
        </row>
        <row r="830">
          <cell r="A830" t="str">
            <v>BGD</v>
          </cell>
          <cell r="B830" t="str">
            <v>Middle</v>
          </cell>
          <cell r="C830" t="str">
            <v>2010 - 2022</v>
          </cell>
          <cell r="D830" t="str">
            <v>avg</v>
          </cell>
          <cell r="E830" t="str">
            <v>lfprod_s1_a1</v>
          </cell>
          <cell r="F830">
            <v>1.7518855333328247</v>
          </cell>
          <cell r="G830">
            <v>6</v>
          </cell>
        </row>
        <row r="831">
          <cell r="A831" t="str">
            <v>BGD</v>
          </cell>
          <cell r="B831" t="str">
            <v>Middle</v>
          </cell>
          <cell r="C831" t="str">
            <v>2010 - 2022</v>
          </cell>
          <cell r="D831" t="str">
            <v>avg</v>
          </cell>
          <cell r="E831" t="str">
            <v>lfprod_s1_a2</v>
          </cell>
          <cell r="F831">
            <v>-0.20052364468574524</v>
          </cell>
          <cell r="G831">
            <v>6</v>
          </cell>
        </row>
        <row r="832">
          <cell r="A832" t="str">
            <v>BGD</v>
          </cell>
          <cell r="B832" t="str">
            <v>Middle</v>
          </cell>
          <cell r="C832" t="str">
            <v>2010 - 2022</v>
          </cell>
          <cell r="D832" t="str">
            <v>avg</v>
          </cell>
          <cell r="E832" t="str">
            <v>lfprod_s1_a3</v>
          </cell>
          <cell r="F832">
            <v>0.32712081074714661</v>
          </cell>
          <cell r="G832">
            <v>6</v>
          </cell>
        </row>
        <row r="833">
          <cell r="A833" t="str">
            <v>BGD</v>
          </cell>
          <cell r="B833" t="str">
            <v>Middle</v>
          </cell>
          <cell r="C833" t="str">
            <v>2010 - 2022</v>
          </cell>
          <cell r="D833" t="str">
            <v>avg</v>
          </cell>
          <cell r="E833" t="str">
            <v>lfprod_s1_a4</v>
          </cell>
          <cell r="F833">
            <v>0.49214959144592285</v>
          </cell>
          <cell r="G833">
            <v>6</v>
          </cell>
        </row>
        <row r="834">
          <cell r="A834" t="str">
            <v>BGD</v>
          </cell>
          <cell r="B834" t="str">
            <v>Middle</v>
          </cell>
          <cell r="C834" t="str">
            <v>2010 - 2022</v>
          </cell>
          <cell r="D834" t="str">
            <v>avg</v>
          </cell>
          <cell r="E834" t="str">
            <v>lfprod_s1_a5</v>
          </cell>
          <cell r="F834">
            <v>-0.53558039665222168</v>
          </cell>
          <cell r="G834">
            <v>6</v>
          </cell>
        </row>
        <row r="835">
          <cell r="A835" t="str">
            <v>BGD</v>
          </cell>
          <cell r="B835" t="str">
            <v>Middle</v>
          </cell>
          <cell r="C835" t="str">
            <v>2010 - 2022</v>
          </cell>
          <cell r="D835" t="str">
            <v>avg</v>
          </cell>
          <cell r="E835" t="str">
            <v>lfprod_s1_a6</v>
          </cell>
          <cell r="F835">
            <v>0.31879907846450806</v>
          </cell>
          <cell r="G835">
            <v>6</v>
          </cell>
        </row>
        <row r="836">
          <cell r="A836" t="str">
            <v>BGD</v>
          </cell>
          <cell r="B836" t="str">
            <v>Middle</v>
          </cell>
          <cell r="C836" t="str">
            <v>2010 - 2022</v>
          </cell>
          <cell r="D836" t="str">
            <v>avg_1_99</v>
          </cell>
          <cell r="E836" t="str">
            <v>lfls12_S0_A0</v>
          </cell>
          <cell r="F836">
            <v>0.37168604135513306</v>
          </cell>
          <cell r="G836">
            <v>6</v>
          </cell>
        </row>
        <row r="837">
          <cell r="A837" t="str">
            <v>BGD</v>
          </cell>
          <cell r="B837" t="str">
            <v>Middle</v>
          </cell>
          <cell r="C837" t="str">
            <v>2010 - 2022</v>
          </cell>
          <cell r="D837" t="str">
            <v>avg_1_99</v>
          </cell>
          <cell r="E837" t="str">
            <v>lfls1_S0_A0</v>
          </cell>
          <cell r="F837">
            <v>0.34859895706176758</v>
          </cell>
          <cell r="G837">
            <v>6</v>
          </cell>
        </row>
        <row r="838">
          <cell r="A838" t="str">
            <v>BGD</v>
          </cell>
          <cell r="B838" t="str">
            <v>Middle</v>
          </cell>
          <cell r="C838" t="str">
            <v>2010 - 2022</v>
          </cell>
          <cell r="D838" t="str">
            <v>avg_1_99</v>
          </cell>
          <cell r="E838" t="str">
            <v>lfls1_S0_a1</v>
          </cell>
          <cell r="F838">
            <v>0.36857318878173828</v>
          </cell>
          <cell r="G838">
            <v>6</v>
          </cell>
        </row>
        <row r="839">
          <cell r="A839" t="str">
            <v>BGD</v>
          </cell>
          <cell r="B839" t="str">
            <v>Middle</v>
          </cell>
          <cell r="C839" t="str">
            <v>2010 - 2022</v>
          </cell>
          <cell r="D839" t="str">
            <v>avg_1_99</v>
          </cell>
          <cell r="E839" t="str">
            <v>lfls1_S0_a2</v>
          </cell>
          <cell r="F839">
            <v>0.68271607160568237</v>
          </cell>
          <cell r="G839">
            <v>6</v>
          </cell>
        </row>
        <row r="840">
          <cell r="A840" t="str">
            <v>BGD</v>
          </cell>
          <cell r="B840" t="str">
            <v>Middle</v>
          </cell>
          <cell r="C840" t="str">
            <v>2010 - 2022</v>
          </cell>
          <cell r="D840" t="str">
            <v>avg_1_99</v>
          </cell>
          <cell r="E840" t="str">
            <v>lfls1_S0_a3</v>
          </cell>
          <cell r="F840">
            <v>0.20924188196659088</v>
          </cell>
          <cell r="G840">
            <v>6</v>
          </cell>
        </row>
        <row r="841">
          <cell r="A841" t="str">
            <v>BGD</v>
          </cell>
          <cell r="B841" t="str">
            <v>Middle</v>
          </cell>
          <cell r="C841" t="str">
            <v>2010 - 2022</v>
          </cell>
          <cell r="D841" t="str">
            <v>avg_1_99</v>
          </cell>
          <cell r="E841" t="str">
            <v>lfls1_S0_a4</v>
          </cell>
          <cell r="F841">
            <v>6.3041701912879944E-2</v>
          </cell>
          <cell r="G841">
            <v>6</v>
          </cell>
        </row>
        <row r="842">
          <cell r="A842" t="str">
            <v>BGD</v>
          </cell>
          <cell r="B842" t="str">
            <v>Middle</v>
          </cell>
          <cell r="C842" t="str">
            <v>2010 - 2022</v>
          </cell>
          <cell r="D842" t="str">
            <v>avg_1_99</v>
          </cell>
          <cell r="E842" t="str">
            <v>lfls1_S0_a5</v>
          </cell>
          <cell r="F842">
            <v>0.51822394132614136</v>
          </cell>
          <cell r="G842">
            <v>6</v>
          </cell>
        </row>
        <row r="843">
          <cell r="A843" t="str">
            <v>BGD</v>
          </cell>
          <cell r="B843" t="str">
            <v>Middle</v>
          </cell>
          <cell r="C843" t="str">
            <v>2010 - 2022</v>
          </cell>
          <cell r="D843" t="str">
            <v>avg_1_99</v>
          </cell>
          <cell r="E843" t="str">
            <v>lfls1_S0_a6</v>
          </cell>
          <cell r="F843">
            <v>0.49506542086601257</v>
          </cell>
          <cell r="G843">
            <v>6</v>
          </cell>
        </row>
        <row r="844">
          <cell r="A844" t="str">
            <v>BGD</v>
          </cell>
          <cell r="B844" t="str">
            <v>Middle</v>
          </cell>
          <cell r="C844" t="str">
            <v>2010 - 2022</v>
          </cell>
          <cell r="D844" t="str">
            <v>avg_1_99</v>
          </cell>
          <cell r="E844" t="str">
            <v>lfls1_s0_A0</v>
          </cell>
          <cell r="F844">
            <v>0.64339053630828857</v>
          </cell>
          <cell r="G844">
            <v>6</v>
          </cell>
        </row>
        <row r="845">
          <cell r="A845" t="str">
            <v>BGD</v>
          </cell>
          <cell r="B845" t="str">
            <v>Middle</v>
          </cell>
          <cell r="C845" t="str">
            <v>2010 - 2022</v>
          </cell>
          <cell r="D845" t="str">
            <v>avg_1_99</v>
          </cell>
          <cell r="E845" t="str">
            <v>lfls1_s0_a1</v>
          </cell>
          <cell r="F845">
            <v>3.2931687831878662</v>
          </cell>
          <cell r="G845">
            <v>6</v>
          </cell>
        </row>
        <row r="846">
          <cell r="A846" t="str">
            <v>BGD</v>
          </cell>
          <cell r="B846" t="str">
            <v>Middle</v>
          </cell>
          <cell r="C846" t="str">
            <v>2010 - 2022</v>
          </cell>
          <cell r="D846" t="str">
            <v>avg_1_99</v>
          </cell>
          <cell r="E846" t="str">
            <v>lfls1_s0_a2</v>
          </cell>
          <cell r="F846">
            <v>0.69580280780792236</v>
          </cell>
          <cell r="G846">
            <v>6</v>
          </cell>
        </row>
        <row r="847">
          <cell r="A847" t="str">
            <v>BGD</v>
          </cell>
          <cell r="B847" t="str">
            <v>Middle</v>
          </cell>
          <cell r="C847" t="str">
            <v>2010 - 2022</v>
          </cell>
          <cell r="D847" t="str">
            <v>avg_1_99</v>
          </cell>
          <cell r="E847" t="str">
            <v>lfls1_s0_a3</v>
          </cell>
          <cell r="F847">
            <v>0.22335360944271088</v>
          </cell>
          <cell r="G847">
            <v>6</v>
          </cell>
        </row>
        <row r="848">
          <cell r="A848" t="str">
            <v>BGD</v>
          </cell>
          <cell r="B848" t="str">
            <v>Middle</v>
          </cell>
          <cell r="C848" t="str">
            <v>2010 - 2022</v>
          </cell>
          <cell r="D848" t="str">
            <v>avg_1_99</v>
          </cell>
          <cell r="E848" t="str">
            <v>lfls1_s0_a4</v>
          </cell>
          <cell r="F848">
            <v>4.4012106955051422E-2</v>
          </cell>
          <cell r="G848">
            <v>6</v>
          </cell>
        </row>
        <row r="849">
          <cell r="A849" t="str">
            <v>BGD</v>
          </cell>
          <cell r="B849" t="str">
            <v>Middle</v>
          </cell>
          <cell r="C849" t="str">
            <v>2010 - 2022</v>
          </cell>
          <cell r="D849" t="str">
            <v>avg_1_99</v>
          </cell>
          <cell r="E849" t="str">
            <v>lfls1_s0_a5</v>
          </cell>
          <cell r="F849">
            <v>0.48828864097595215</v>
          </cell>
          <cell r="G849">
            <v>6</v>
          </cell>
        </row>
        <row r="850">
          <cell r="A850" t="str">
            <v>BGD</v>
          </cell>
          <cell r="B850" t="str">
            <v>Middle</v>
          </cell>
          <cell r="C850" t="str">
            <v>2010 - 2022</v>
          </cell>
          <cell r="D850" t="str">
            <v>avg_1_99</v>
          </cell>
          <cell r="E850" t="str">
            <v>lfls1_s0_a6</v>
          </cell>
          <cell r="F850">
            <v>0.37305942177772522</v>
          </cell>
          <cell r="G850">
            <v>6</v>
          </cell>
        </row>
        <row r="851">
          <cell r="A851" t="str">
            <v>BGD</v>
          </cell>
          <cell r="B851" t="str">
            <v>Middle</v>
          </cell>
          <cell r="C851" t="str">
            <v>2010 - 2022</v>
          </cell>
          <cell r="D851" t="str">
            <v>avg_1_99</v>
          </cell>
          <cell r="E851" t="str">
            <v>lfls1_s1_A0</v>
          </cell>
          <cell r="F851">
            <v>-0.17981986701488495</v>
          </cell>
          <cell r="G851">
            <v>6</v>
          </cell>
        </row>
        <row r="852">
          <cell r="A852" t="str">
            <v>BGD</v>
          </cell>
          <cell r="B852" t="str">
            <v>Middle</v>
          </cell>
          <cell r="C852" t="str">
            <v>2010 - 2022</v>
          </cell>
          <cell r="D852" t="str">
            <v>avg_1_99</v>
          </cell>
          <cell r="E852" t="str">
            <v>lfls1_s1_a1</v>
          </cell>
          <cell r="F852">
            <v>-0.84124022722244263</v>
          </cell>
          <cell r="G852">
            <v>6</v>
          </cell>
        </row>
        <row r="853">
          <cell r="A853" t="str">
            <v>BGD</v>
          </cell>
          <cell r="B853" t="str">
            <v>Middle</v>
          </cell>
          <cell r="C853" t="str">
            <v>2010 - 2022</v>
          </cell>
          <cell r="D853" t="str">
            <v>avg_1_99</v>
          </cell>
          <cell r="E853" t="str">
            <v>lfls1_s1_a2</v>
          </cell>
          <cell r="F853">
            <v>0.43118780851364136</v>
          </cell>
          <cell r="G853">
            <v>6</v>
          </cell>
        </row>
        <row r="854">
          <cell r="A854" t="str">
            <v>BGD</v>
          </cell>
          <cell r="B854" t="str">
            <v>Middle</v>
          </cell>
          <cell r="C854" t="str">
            <v>2010 - 2022</v>
          </cell>
          <cell r="D854" t="str">
            <v>avg_1_99</v>
          </cell>
          <cell r="E854" t="str">
            <v>lfls1_s1_a3</v>
          </cell>
          <cell r="F854">
            <v>0.97328394651412964</v>
          </cell>
          <cell r="G854">
            <v>6</v>
          </cell>
        </row>
        <row r="855">
          <cell r="A855" t="str">
            <v>BGD</v>
          </cell>
          <cell r="B855" t="str">
            <v>Middle</v>
          </cell>
          <cell r="C855" t="str">
            <v>2010 - 2022</v>
          </cell>
          <cell r="D855" t="str">
            <v>avg_1_99</v>
          </cell>
          <cell r="E855" t="str">
            <v>lfls1_s1_a4</v>
          </cell>
          <cell r="F855">
            <v>1.4714318513870239</v>
          </cell>
          <cell r="G855">
            <v>6</v>
          </cell>
        </row>
        <row r="856">
          <cell r="A856" t="str">
            <v>BGD</v>
          </cell>
          <cell r="B856" t="str">
            <v>Middle</v>
          </cell>
          <cell r="C856" t="str">
            <v>2010 - 2022</v>
          </cell>
          <cell r="D856" t="str">
            <v>avg_1_99</v>
          </cell>
          <cell r="E856" t="str">
            <v>lfls1_s1_a5</v>
          </cell>
          <cell r="F856">
            <v>0.32459321618080139</v>
          </cell>
          <cell r="G856">
            <v>6</v>
          </cell>
        </row>
        <row r="857">
          <cell r="A857" t="str">
            <v>BGD</v>
          </cell>
          <cell r="B857" t="str">
            <v>Middle</v>
          </cell>
          <cell r="C857" t="str">
            <v>2010 - 2022</v>
          </cell>
          <cell r="D857" t="str">
            <v>avg_1_99</v>
          </cell>
          <cell r="E857" t="str">
            <v>lfls1_s1_a6</v>
          </cell>
          <cell r="F857">
            <v>1.3245351314544678</v>
          </cell>
          <cell r="G857">
            <v>6</v>
          </cell>
        </row>
        <row r="858">
          <cell r="A858" t="str">
            <v>BGD</v>
          </cell>
          <cell r="B858" t="str">
            <v>Middle</v>
          </cell>
          <cell r="C858" t="str">
            <v>2010 - 2022</v>
          </cell>
          <cell r="D858" t="str">
            <v>avg_1_99</v>
          </cell>
          <cell r="E858" t="str">
            <v>lfprod_s0_a1</v>
          </cell>
          <cell r="F858">
            <v>1.9258879423141479</v>
          </cell>
          <cell r="G858">
            <v>6</v>
          </cell>
        </row>
        <row r="859">
          <cell r="A859" t="str">
            <v>BGD</v>
          </cell>
          <cell r="B859" t="str">
            <v>Middle</v>
          </cell>
          <cell r="C859" t="str">
            <v>2010 - 2022</v>
          </cell>
          <cell r="D859" t="str">
            <v>avg_1_99</v>
          </cell>
          <cell r="E859" t="str">
            <v>lfprod_s0_a2</v>
          </cell>
          <cell r="F859">
            <v>-0.21003749966621399</v>
          </cell>
          <cell r="G859">
            <v>6</v>
          </cell>
        </row>
        <row r="860">
          <cell r="A860" t="str">
            <v>BGD</v>
          </cell>
          <cell r="B860" t="str">
            <v>Middle</v>
          </cell>
          <cell r="C860" t="str">
            <v>2010 - 2022</v>
          </cell>
          <cell r="D860" t="str">
            <v>avg_1_99</v>
          </cell>
          <cell r="E860" t="str">
            <v>lfprod_s0_a3</v>
          </cell>
          <cell r="F860">
            <v>-0.56009644269943237</v>
          </cell>
          <cell r="G860">
            <v>6</v>
          </cell>
        </row>
        <row r="861">
          <cell r="A861" t="str">
            <v>BGD</v>
          </cell>
          <cell r="B861" t="str">
            <v>Middle</v>
          </cell>
          <cell r="C861" t="str">
            <v>2010 - 2022</v>
          </cell>
          <cell r="D861" t="str">
            <v>avg_1_99</v>
          </cell>
          <cell r="E861" t="str">
            <v>lfprod_s0_a4</v>
          </cell>
          <cell r="F861">
            <v>-0.70279836654663086</v>
          </cell>
          <cell r="G861">
            <v>6</v>
          </cell>
        </row>
        <row r="862">
          <cell r="A862" t="str">
            <v>BGD</v>
          </cell>
          <cell r="B862" t="str">
            <v>Middle</v>
          </cell>
          <cell r="C862" t="str">
            <v>2010 - 2022</v>
          </cell>
          <cell r="D862" t="str">
            <v>avg_1_99</v>
          </cell>
          <cell r="E862" t="str">
            <v>lfprod_s0_a5</v>
          </cell>
          <cell r="F862">
            <v>-0.44263628125190735</v>
          </cell>
          <cell r="G862">
            <v>6</v>
          </cell>
        </row>
        <row r="863">
          <cell r="A863" t="str">
            <v>BGD</v>
          </cell>
          <cell r="B863" t="str">
            <v>Middle</v>
          </cell>
          <cell r="C863" t="str">
            <v>2010 - 2022</v>
          </cell>
          <cell r="D863" t="str">
            <v>avg_1_99</v>
          </cell>
          <cell r="E863" t="str">
            <v>lfprod_s0_a6</v>
          </cell>
          <cell r="F863">
            <v>-0.47984510660171509</v>
          </cell>
          <cell r="G863">
            <v>6</v>
          </cell>
        </row>
        <row r="864">
          <cell r="A864" t="str">
            <v>BGD</v>
          </cell>
          <cell r="B864" t="str">
            <v>Middle</v>
          </cell>
          <cell r="C864" t="str">
            <v>2010 - 2022</v>
          </cell>
          <cell r="D864" t="str">
            <v>avg_1_99</v>
          </cell>
          <cell r="E864" t="str">
            <v>lfprod_s1_a1</v>
          </cell>
          <cell r="F864">
            <v>-1.6635783910751343</v>
          </cell>
          <cell r="G864">
            <v>6</v>
          </cell>
        </row>
        <row r="865">
          <cell r="A865" t="str">
            <v>BGD</v>
          </cell>
          <cell r="B865" t="str">
            <v>Middle</v>
          </cell>
          <cell r="C865" t="str">
            <v>2010 - 2022</v>
          </cell>
          <cell r="D865" t="str">
            <v>avg_1_99</v>
          </cell>
          <cell r="E865" t="str">
            <v>lfprod_s1_a2</v>
          </cell>
          <cell r="F865">
            <v>-0.409566730260849</v>
          </cell>
          <cell r="G865">
            <v>6</v>
          </cell>
        </row>
        <row r="866">
          <cell r="A866" t="str">
            <v>BGD</v>
          </cell>
          <cell r="B866" t="str">
            <v>Middle</v>
          </cell>
          <cell r="C866" t="str">
            <v>2010 - 2022</v>
          </cell>
          <cell r="D866" t="str">
            <v>avg_1_99</v>
          </cell>
          <cell r="E866" t="str">
            <v>lfprod_s1_a3</v>
          </cell>
          <cell r="F866">
            <v>2.2126905620098114E-2</v>
          </cell>
          <cell r="G866">
            <v>6</v>
          </cell>
        </row>
        <row r="867">
          <cell r="A867" t="str">
            <v>BGD</v>
          </cell>
          <cell r="B867" t="str">
            <v>Middle</v>
          </cell>
          <cell r="C867" t="str">
            <v>2010 - 2022</v>
          </cell>
          <cell r="D867" t="str">
            <v>avg_1_99</v>
          </cell>
          <cell r="E867" t="str">
            <v>lfprod_s1_a4</v>
          </cell>
          <cell r="F867">
            <v>0.3328089714050293</v>
          </cell>
          <cell r="G867">
            <v>6</v>
          </cell>
        </row>
        <row r="868">
          <cell r="A868" t="str">
            <v>BGD</v>
          </cell>
          <cell r="B868" t="str">
            <v>Middle</v>
          </cell>
          <cell r="C868" t="str">
            <v>2010 - 2022</v>
          </cell>
          <cell r="D868" t="str">
            <v>avg_1_99</v>
          </cell>
          <cell r="E868" t="str">
            <v>lfprod_s1_a5</v>
          </cell>
          <cell r="F868">
            <v>-0.58566129207611084</v>
          </cell>
          <cell r="G868">
            <v>6</v>
          </cell>
        </row>
        <row r="869">
          <cell r="A869" t="str">
            <v>BGD</v>
          </cell>
          <cell r="B869" t="str">
            <v>Middle</v>
          </cell>
          <cell r="C869" t="str">
            <v>2010 - 2022</v>
          </cell>
          <cell r="D869" t="str">
            <v>avg_1_99</v>
          </cell>
          <cell r="E869" t="str">
            <v>lfprod_s1_a6</v>
          </cell>
          <cell r="F869">
            <v>0.23722624778747559</v>
          </cell>
          <cell r="G869">
            <v>6</v>
          </cell>
        </row>
        <row r="870">
          <cell r="A870" t="str">
            <v>BGD</v>
          </cell>
          <cell r="B870" t="str">
            <v>Middle</v>
          </cell>
          <cell r="C870" t="str">
            <v>2010 - 2022</v>
          </cell>
          <cell r="D870" t="str">
            <v>avg_1_99_imp</v>
          </cell>
          <cell r="E870" t="str">
            <v>lfls12_S0_A0</v>
          </cell>
          <cell r="F870">
            <v>0.37135925889015198</v>
          </cell>
          <cell r="G870">
            <v>6</v>
          </cell>
        </row>
        <row r="871">
          <cell r="A871" t="str">
            <v>BGD</v>
          </cell>
          <cell r="B871" t="str">
            <v>Middle</v>
          </cell>
          <cell r="C871" t="str">
            <v>2010 - 2022</v>
          </cell>
          <cell r="D871" t="str">
            <v>avg_1_99_imp</v>
          </cell>
          <cell r="E871" t="str">
            <v>lfls1_S0_A0</v>
          </cell>
          <cell r="F871">
            <v>0.3496982753276825</v>
          </cell>
          <cell r="G871">
            <v>6</v>
          </cell>
        </row>
        <row r="872">
          <cell r="A872" t="str">
            <v>BGD</v>
          </cell>
          <cell r="B872" t="str">
            <v>Middle</v>
          </cell>
          <cell r="C872" t="str">
            <v>2010 - 2022</v>
          </cell>
          <cell r="D872" t="str">
            <v>avg_1_99_imp</v>
          </cell>
          <cell r="E872" t="str">
            <v>lfls1_S0_a1</v>
          </cell>
          <cell r="F872">
            <v>0.39026004076004028</v>
          </cell>
          <cell r="G872">
            <v>6</v>
          </cell>
        </row>
        <row r="873">
          <cell r="A873" t="str">
            <v>BGD</v>
          </cell>
          <cell r="B873" t="str">
            <v>Middle</v>
          </cell>
          <cell r="C873" t="str">
            <v>2010 - 2022</v>
          </cell>
          <cell r="D873" t="str">
            <v>avg_1_99_imp</v>
          </cell>
          <cell r="E873" t="str">
            <v>lfls1_S0_a2</v>
          </cell>
          <cell r="F873">
            <v>0.47420981526374817</v>
          </cell>
          <cell r="G873">
            <v>6</v>
          </cell>
        </row>
        <row r="874">
          <cell r="A874" t="str">
            <v>BGD</v>
          </cell>
          <cell r="B874" t="str">
            <v>Middle</v>
          </cell>
          <cell r="C874" t="str">
            <v>2010 - 2022</v>
          </cell>
          <cell r="D874" t="str">
            <v>avg_1_99_imp</v>
          </cell>
          <cell r="E874" t="str">
            <v>lfls1_S0_a3</v>
          </cell>
          <cell r="F874">
            <v>0.19841030240058899</v>
          </cell>
          <cell r="G874">
            <v>6</v>
          </cell>
        </row>
        <row r="875">
          <cell r="A875" t="str">
            <v>BGD</v>
          </cell>
          <cell r="B875" t="str">
            <v>Middle</v>
          </cell>
          <cell r="C875" t="str">
            <v>2010 - 2022</v>
          </cell>
          <cell r="D875" t="str">
            <v>avg_1_99_imp</v>
          </cell>
          <cell r="E875" t="str">
            <v>lfls1_S0_a4</v>
          </cell>
          <cell r="F875">
            <v>4.5156389474868774E-2</v>
          </cell>
          <cell r="G875">
            <v>6</v>
          </cell>
        </row>
        <row r="876">
          <cell r="A876" t="str">
            <v>BGD</v>
          </cell>
          <cell r="B876" t="str">
            <v>Middle</v>
          </cell>
          <cell r="C876" t="str">
            <v>2010 - 2022</v>
          </cell>
          <cell r="D876" t="str">
            <v>avg_1_99_imp</v>
          </cell>
          <cell r="E876" t="str">
            <v>lfls1_S0_a5</v>
          </cell>
          <cell r="F876">
            <v>0.57872182130813599</v>
          </cell>
          <cell r="G876">
            <v>6</v>
          </cell>
        </row>
        <row r="877">
          <cell r="A877" t="str">
            <v>BGD</v>
          </cell>
          <cell r="B877" t="str">
            <v>Middle</v>
          </cell>
          <cell r="C877" t="str">
            <v>2010 - 2022</v>
          </cell>
          <cell r="D877" t="str">
            <v>avg_1_99_imp</v>
          </cell>
          <cell r="E877" t="str">
            <v>lfls1_S0_a6</v>
          </cell>
          <cell r="F877">
            <v>0.52120423316955566</v>
          </cell>
          <cell r="G877">
            <v>6</v>
          </cell>
        </row>
        <row r="878">
          <cell r="A878" t="str">
            <v>BGD</v>
          </cell>
          <cell r="B878" t="str">
            <v>Middle</v>
          </cell>
          <cell r="C878" t="str">
            <v>2010 - 2022</v>
          </cell>
          <cell r="D878" t="str">
            <v>avg_1_99_imp</v>
          </cell>
          <cell r="E878" t="str">
            <v>lfls1_s0_A0</v>
          </cell>
          <cell r="F878">
            <v>0.63141465187072754</v>
          </cell>
          <cell r="G878">
            <v>6</v>
          </cell>
        </row>
        <row r="879">
          <cell r="A879" t="str">
            <v>BGD</v>
          </cell>
          <cell r="B879" t="str">
            <v>Middle</v>
          </cell>
          <cell r="C879" t="str">
            <v>2010 - 2022</v>
          </cell>
          <cell r="D879" t="str">
            <v>avg_1_99_imp</v>
          </cell>
          <cell r="E879" t="str">
            <v>lfls1_s0_a1</v>
          </cell>
          <cell r="F879">
            <v>3.064460277557373</v>
          </cell>
          <cell r="G879">
            <v>6</v>
          </cell>
        </row>
        <row r="880">
          <cell r="A880" t="str">
            <v>BGD</v>
          </cell>
          <cell r="B880" t="str">
            <v>Middle</v>
          </cell>
          <cell r="C880" t="str">
            <v>2010 - 2022</v>
          </cell>
          <cell r="D880" t="str">
            <v>avg_1_99_imp</v>
          </cell>
          <cell r="E880" t="str">
            <v>lfls1_s0_a2</v>
          </cell>
          <cell r="F880">
            <v>0.47732549905776978</v>
          </cell>
          <cell r="G880">
            <v>6</v>
          </cell>
        </row>
        <row r="881">
          <cell r="A881" t="str">
            <v>BGD</v>
          </cell>
          <cell r="B881" t="str">
            <v>Middle</v>
          </cell>
          <cell r="C881" t="str">
            <v>2010 - 2022</v>
          </cell>
          <cell r="D881" t="str">
            <v>avg_1_99_imp</v>
          </cell>
          <cell r="E881" t="str">
            <v>lfls1_s0_a3</v>
          </cell>
          <cell r="F881">
            <v>0.1847921758890152</v>
          </cell>
          <cell r="G881">
            <v>6</v>
          </cell>
        </row>
        <row r="882">
          <cell r="A882" t="str">
            <v>BGD</v>
          </cell>
          <cell r="B882" t="str">
            <v>Middle</v>
          </cell>
          <cell r="C882" t="str">
            <v>2010 - 2022</v>
          </cell>
          <cell r="D882" t="str">
            <v>avg_1_99_imp</v>
          </cell>
          <cell r="E882" t="str">
            <v>lfls1_s0_a4</v>
          </cell>
          <cell r="F882">
            <v>2.8431534767150879E-2</v>
          </cell>
          <cell r="G882">
            <v>6</v>
          </cell>
        </row>
        <row r="883">
          <cell r="A883" t="str">
            <v>BGD</v>
          </cell>
          <cell r="B883" t="str">
            <v>Middle</v>
          </cell>
          <cell r="C883" t="str">
            <v>2010 - 2022</v>
          </cell>
          <cell r="D883" t="str">
            <v>avg_1_99_imp</v>
          </cell>
          <cell r="E883" t="str">
            <v>lfls1_s0_a5</v>
          </cell>
          <cell r="F883">
            <v>0.49016046524047852</v>
          </cell>
          <cell r="G883">
            <v>6</v>
          </cell>
        </row>
        <row r="884">
          <cell r="A884" t="str">
            <v>BGD</v>
          </cell>
          <cell r="B884" t="str">
            <v>Middle</v>
          </cell>
          <cell r="C884" t="str">
            <v>2010 - 2022</v>
          </cell>
          <cell r="D884" t="str">
            <v>avg_1_99_imp</v>
          </cell>
          <cell r="E884" t="str">
            <v>lfls1_s0_a6</v>
          </cell>
          <cell r="F884">
            <v>0.31646129488945007</v>
          </cell>
          <cell r="G884">
            <v>6</v>
          </cell>
        </row>
        <row r="885">
          <cell r="A885" t="str">
            <v>BGD</v>
          </cell>
          <cell r="B885" t="str">
            <v>Middle</v>
          </cell>
          <cell r="C885" t="str">
            <v>2010 - 2022</v>
          </cell>
          <cell r="D885" t="str">
            <v>avg_1_99_imp</v>
          </cell>
          <cell r="E885" t="str">
            <v>lfls1_s1_A0</v>
          </cell>
          <cell r="F885">
            <v>-0.21450057625770569</v>
          </cell>
          <cell r="G885">
            <v>6</v>
          </cell>
        </row>
        <row r="886">
          <cell r="A886" t="str">
            <v>BGD</v>
          </cell>
          <cell r="B886" t="str">
            <v>Middle</v>
          </cell>
          <cell r="C886" t="str">
            <v>2010 - 2022</v>
          </cell>
          <cell r="D886" t="str">
            <v>avg_1_99_imp</v>
          </cell>
          <cell r="E886" t="str">
            <v>lfls1_s1_a1</v>
          </cell>
          <cell r="F886">
            <v>-0.95468950271606445</v>
          </cell>
          <cell r="G886">
            <v>6</v>
          </cell>
        </row>
        <row r="887">
          <cell r="A887" t="str">
            <v>BGD</v>
          </cell>
          <cell r="B887" t="str">
            <v>Middle</v>
          </cell>
          <cell r="C887" t="str">
            <v>2010 - 2022</v>
          </cell>
          <cell r="D887" t="str">
            <v>avg_1_99_imp</v>
          </cell>
          <cell r="E887" t="str">
            <v>lfls1_s1_a2</v>
          </cell>
          <cell r="F887">
            <v>0.42097100615501404</v>
          </cell>
          <cell r="G887">
            <v>6</v>
          </cell>
        </row>
        <row r="888">
          <cell r="A888" t="str">
            <v>BGD</v>
          </cell>
          <cell r="B888" t="str">
            <v>Middle</v>
          </cell>
          <cell r="C888" t="str">
            <v>2010 - 2022</v>
          </cell>
          <cell r="D888" t="str">
            <v>avg_1_99_imp</v>
          </cell>
          <cell r="E888" t="str">
            <v>lfls1_s1_a3</v>
          </cell>
          <cell r="F888">
            <v>0.86543172597885132</v>
          </cell>
          <cell r="G888">
            <v>6</v>
          </cell>
        </row>
        <row r="889">
          <cell r="A889" t="str">
            <v>BGD</v>
          </cell>
          <cell r="B889" t="str">
            <v>Middle</v>
          </cell>
          <cell r="C889" t="str">
            <v>2010 - 2022</v>
          </cell>
          <cell r="D889" t="str">
            <v>avg_1_99_imp</v>
          </cell>
          <cell r="E889" t="str">
            <v>lfls1_s1_a4</v>
          </cell>
          <cell r="F889">
            <v>1.4075396060943604</v>
          </cell>
          <cell r="G889">
            <v>6</v>
          </cell>
        </row>
        <row r="890">
          <cell r="A890" t="str">
            <v>BGD</v>
          </cell>
          <cell r="B890" t="str">
            <v>Middle</v>
          </cell>
          <cell r="C890" t="str">
            <v>2010 - 2022</v>
          </cell>
          <cell r="D890" t="str">
            <v>avg_1_99_imp</v>
          </cell>
          <cell r="E890" t="str">
            <v>lfls1_s1_a5</v>
          </cell>
          <cell r="F890">
            <v>0.29589748382568359</v>
          </cell>
          <cell r="G890">
            <v>6</v>
          </cell>
        </row>
        <row r="891">
          <cell r="A891" t="str">
            <v>BGD</v>
          </cell>
          <cell r="B891" t="str">
            <v>Middle</v>
          </cell>
          <cell r="C891" t="str">
            <v>2010 - 2022</v>
          </cell>
          <cell r="D891" t="str">
            <v>avg_1_99_imp</v>
          </cell>
          <cell r="E891" t="str">
            <v>lfls1_s1_a6</v>
          </cell>
          <cell r="F891">
            <v>1.2949813604354858</v>
          </cell>
          <cell r="G891">
            <v>6</v>
          </cell>
        </row>
        <row r="892">
          <cell r="A892" t="str">
            <v>BGD</v>
          </cell>
          <cell r="B892" t="str">
            <v>Middle</v>
          </cell>
          <cell r="C892" t="str">
            <v>2010 - 2022</v>
          </cell>
          <cell r="D892" t="str">
            <v>avg_1_99_imp</v>
          </cell>
          <cell r="E892" t="str">
            <v>lfprod_s0_a1</v>
          </cell>
          <cell r="F892">
            <v>1.793999195098877</v>
          </cell>
          <cell r="G892">
            <v>6</v>
          </cell>
        </row>
        <row r="893">
          <cell r="A893" t="str">
            <v>BGD</v>
          </cell>
          <cell r="B893" t="str">
            <v>Middle</v>
          </cell>
          <cell r="C893" t="str">
            <v>2010 - 2022</v>
          </cell>
          <cell r="D893" t="str">
            <v>avg_1_99_imp</v>
          </cell>
          <cell r="E893" t="str">
            <v>lfprod_s0_a2</v>
          </cell>
          <cell r="F893">
            <v>-0.32482519745826721</v>
          </cell>
          <cell r="G893">
            <v>6</v>
          </cell>
        </row>
        <row r="894">
          <cell r="A894" t="str">
            <v>BGD</v>
          </cell>
          <cell r="B894" t="str">
            <v>Middle</v>
          </cell>
          <cell r="C894" t="str">
            <v>2010 - 2022</v>
          </cell>
          <cell r="D894" t="str">
            <v>avg_1_99_imp</v>
          </cell>
          <cell r="E894" t="str">
            <v>lfprod_s0_a3</v>
          </cell>
          <cell r="F894">
            <v>-0.6147763729095459</v>
          </cell>
          <cell r="G894">
            <v>6</v>
          </cell>
        </row>
        <row r="895">
          <cell r="A895" t="str">
            <v>BGD</v>
          </cell>
          <cell r="B895" t="str">
            <v>Middle</v>
          </cell>
          <cell r="C895" t="str">
            <v>2010 - 2022</v>
          </cell>
          <cell r="D895" t="str">
            <v>avg_1_99_imp</v>
          </cell>
          <cell r="E895" t="str">
            <v>lfprod_s0_a4</v>
          </cell>
          <cell r="F895">
            <v>-0.68841326236724854</v>
          </cell>
          <cell r="G895">
            <v>6</v>
          </cell>
        </row>
        <row r="896">
          <cell r="A896" t="str">
            <v>BGD</v>
          </cell>
          <cell r="B896" t="str">
            <v>Middle</v>
          </cell>
          <cell r="C896" t="str">
            <v>2010 - 2022</v>
          </cell>
          <cell r="D896" t="str">
            <v>avg_1_99_imp</v>
          </cell>
          <cell r="E896" t="str">
            <v>lfprod_s0_a5</v>
          </cell>
          <cell r="F896">
            <v>-0.40058219432830811</v>
          </cell>
          <cell r="G896">
            <v>6</v>
          </cell>
        </row>
        <row r="897">
          <cell r="A897" t="str">
            <v>BGD</v>
          </cell>
          <cell r="B897" t="str">
            <v>Middle</v>
          </cell>
          <cell r="C897" t="str">
            <v>2010 - 2022</v>
          </cell>
          <cell r="D897" t="str">
            <v>avg_1_99_imp</v>
          </cell>
          <cell r="E897" t="str">
            <v>lfprod_s0_a6</v>
          </cell>
          <cell r="F897">
            <v>-0.50400793552398682</v>
          </cell>
          <cell r="G897">
            <v>6</v>
          </cell>
        </row>
        <row r="898">
          <cell r="A898" t="str">
            <v>BGD</v>
          </cell>
          <cell r="B898" t="str">
            <v>Middle</v>
          </cell>
          <cell r="C898" t="str">
            <v>2010 - 2022</v>
          </cell>
          <cell r="D898" t="str">
            <v>avg_1_99_imp</v>
          </cell>
          <cell r="E898" t="str">
            <v>lfprod_s1_a1</v>
          </cell>
          <cell r="F898">
            <v>-1.7862590551376343</v>
          </cell>
          <cell r="G898">
            <v>6</v>
          </cell>
        </row>
        <row r="899">
          <cell r="A899" t="str">
            <v>BGD</v>
          </cell>
          <cell r="B899" t="str">
            <v>Middle</v>
          </cell>
          <cell r="C899" t="str">
            <v>2010 - 2022</v>
          </cell>
          <cell r="D899" t="str">
            <v>avg_1_99_imp</v>
          </cell>
          <cell r="E899" t="str">
            <v>lfprod_s1_a2</v>
          </cell>
          <cell r="F899">
            <v>-0.38468703627586365</v>
          </cell>
          <cell r="G899">
            <v>6</v>
          </cell>
        </row>
        <row r="900">
          <cell r="A900" t="str">
            <v>BGD</v>
          </cell>
          <cell r="B900" t="str">
            <v>Middle</v>
          </cell>
          <cell r="C900" t="str">
            <v>2010 - 2022</v>
          </cell>
          <cell r="D900" t="str">
            <v>avg_1_99_imp</v>
          </cell>
          <cell r="E900" t="str">
            <v>lfprod_s1_a3</v>
          </cell>
          <cell r="F900">
            <v>-9.2780619859695435E-2</v>
          </cell>
          <cell r="G900">
            <v>6</v>
          </cell>
        </row>
        <row r="901">
          <cell r="A901" t="str">
            <v>BGD</v>
          </cell>
          <cell r="B901" t="str">
            <v>Middle</v>
          </cell>
          <cell r="C901" t="str">
            <v>2010 - 2022</v>
          </cell>
          <cell r="D901" t="str">
            <v>avg_1_99_imp</v>
          </cell>
          <cell r="E901" t="str">
            <v>lfprod_s1_a4</v>
          </cell>
          <cell r="F901">
            <v>0.28324967622756958</v>
          </cell>
          <cell r="G901">
            <v>6</v>
          </cell>
        </row>
        <row r="902">
          <cell r="A902" t="str">
            <v>BGD</v>
          </cell>
          <cell r="B902" t="str">
            <v>Middle</v>
          </cell>
          <cell r="C902" t="str">
            <v>2010 - 2022</v>
          </cell>
          <cell r="D902" t="str">
            <v>avg_1_99_imp</v>
          </cell>
          <cell r="E902" t="str">
            <v>lfprod_s1_a5</v>
          </cell>
          <cell r="F902">
            <v>-0.62783002853393555</v>
          </cell>
          <cell r="G902">
            <v>6</v>
          </cell>
        </row>
        <row r="903">
          <cell r="A903" t="str">
            <v>BGD</v>
          </cell>
          <cell r="B903" t="str">
            <v>Middle</v>
          </cell>
          <cell r="C903" t="str">
            <v>2010 - 2022</v>
          </cell>
          <cell r="D903" t="str">
            <v>avg_1_99_imp</v>
          </cell>
          <cell r="E903" t="str">
            <v>lfprod_s1_a6</v>
          </cell>
          <cell r="F903">
            <v>0.2324599027633667</v>
          </cell>
          <cell r="G903">
            <v>6</v>
          </cell>
        </row>
        <row r="904">
          <cell r="A904" t="str">
            <v>BGD</v>
          </cell>
          <cell r="B904" t="str">
            <v>Middle</v>
          </cell>
          <cell r="C904" t="str">
            <v>2010 - 2022</v>
          </cell>
          <cell r="D904" t="str">
            <v>med_reg</v>
          </cell>
          <cell r="E904" t="str">
            <v>lfls12_S0_A0</v>
          </cell>
          <cell r="F904">
            <v>0.359465092420578</v>
          </cell>
          <cell r="G904">
            <v>6</v>
          </cell>
        </row>
        <row r="905">
          <cell r="A905" t="str">
            <v>BGD</v>
          </cell>
          <cell r="B905" t="str">
            <v>Middle</v>
          </cell>
          <cell r="C905" t="str">
            <v>2010 - 2022</v>
          </cell>
          <cell r="D905" t="str">
            <v>med_reg</v>
          </cell>
          <cell r="E905" t="str">
            <v>lfls1_S0_A0</v>
          </cell>
          <cell r="F905">
            <v>0.35036280751228333</v>
          </cell>
          <cell r="G905">
            <v>6</v>
          </cell>
        </row>
        <row r="906">
          <cell r="A906" t="str">
            <v>BGD</v>
          </cell>
          <cell r="B906" t="str">
            <v>Middle</v>
          </cell>
          <cell r="C906" t="str">
            <v>2010 - 2022</v>
          </cell>
          <cell r="D906" t="str">
            <v>med_reg</v>
          </cell>
          <cell r="E906" t="str">
            <v>lfls1_S0_a1</v>
          </cell>
          <cell r="F906">
            <v>0.48938548564910889</v>
          </cell>
          <cell r="G906">
            <v>6</v>
          </cell>
        </row>
        <row r="907">
          <cell r="A907" t="str">
            <v>BGD</v>
          </cell>
          <cell r="B907" t="str">
            <v>Middle</v>
          </cell>
          <cell r="C907" t="str">
            <v>2010 - 2022</v>
          </cell>
          <cell r="D907" t="str">
            <v>med_reg</v>
          </cell>
          <cell r="E907" t="str">
            <v>lfls1_S0_a2</v>
          </cell>
          <cell r="F907">
            <v>0.34433221817016602</v>
          </cell>
          <cell r="G907">
            <v>6</v>
          </cell>
        </row>
        <row r="908">
          <cell r="A908" t="str">
            <v>BGD</v>
          </cell>
          <cell r="B908" t="str">
            <v>Middle</v>
          </cell>
          <cell r="C908" t="str">
            <v>2010 - 2022</v>
          </cell>
          <cell r="D908" t="str">
            <v>med_reg</v>
          </cell>
          <cell r="E908" t="str">
            <v>lfls1_S0_a3</v>
          </cell>
          <cell r="F908">
            <v>-0.13618260622024536</v>
          </cell>
          <cell r="G908">
            <v>6</v>
          </cell>
        </row>
        <row r="909">
          <cell r="A909" t="str">
            <v>BGD</v>
          </cell>
          <cell r="B909" t="str">
            <v>Middle</v>
          </cell>
          <cell r="C909" t="str">
            <v>2010 - 2022</v>
          </cell>
          <cell r="D909" t="str">
            <v>med_reg</v>
          </cell>
          <cell r="E909" t="str">
            <v>lfls1_S0_a4</v>
          </cell>
          <cell r="F909">
            <v>0.77789819240570068</v>
          </cell>
          <cell r="G909">
            <v>6</v>
          </cell>
        </row>
        <row r="910">
          <cell r="A910" t="str">
            <v>BGD</v>
          </cell>
          <cell r="B910" t="str">
            <v>Middle</v>
          </cell>
          <cell r="C910" t="str">
            <v>2010 - 2022</v>
          </cell>
          <cell r="D910" t="str">
            <v>med_reg</v>
          </cell>
          <cell r="E910" t="str">
            <v>lfls1_S0_a5</v>
          </cell>
          <cell r="F910">
            <v>0.55512243509292603</v>
          </cell>
          <cell r="G910">
            <v>6</v>
          </cell>
        </row>
        <row r="911">
          <cell r="A911" t="str">
            <v>BGD</v>
          </cell>
          <cell r="B911" t="str">
            <v>Middle</v>
          </cell>
          <cell r="C911" t="str">
            <v>2010 - 2022</v>
          </cell>
          <cell r="D911" t="str">
            <v>med_reg</v>
          </cell>
          <cell r="E911" t="str">
            <v>lfls1_S0_a6</v>
          </cell>
          <cell r="F911">
            <v>0.62428683042526245</v>
          </cell>
          <cell r="G911">
            <v>6</v>
          </cell>
        </row>
        <row r="912">
          <cell r="A912" t="str">
            <v>BGD</v>
          </cell>
          <cell r="B912" t="str">
            <v>Middle</v>
          </cell>
          <cell r="C912" t="str">
            <v>2010 - 2022</v>
          </cell>
          <cell r="D912" t="str">
            <v>med_reg</v>
          </cell>
          <cell r="E912" t="str">
            <v>lfls1_s0_A0</v>
          </cell>
          <cell r="F912">
            <v>0.71782344579696655</v>
          </cell>
          <cell r="G912">
            <v>6</v>
          </cell>
        </row>
        <row r="913">
          <cell r="A913" t="str">
            <v>BGD</v>
          </cell>
          <cell r="B913" t="str">
            <v>Middle</v>
          </cell>
          <cell r="C913" t="str">
            <v>2010 - 2022</v>
          </cell>
          <cell r="D913" t="str">
            <v>med_reg</v>
          </cell>
          <cell r="E913" t="str">
            <v>lfls1_s0_a1</v>
          </cell>
          <cell r="F913">
            <v>5.5386190414428711</v>
          </cell>
          <cell r="G913">
            <v>6</v>
          </cell>
        </row>
        <row r="914">
          <cell r="A914" t="str">
            <v>BGD</v>
          </cell>
          <cell r="B914" t="str">
            <v>Middle</v>
          </cell>
          <cell r="C914" t="str">
            <v>2010 - 2022</v>
          </cell>
          <cell r="D914" t="str">
            <v>med_reg</v>
          </cell>
          <cell r="E914" t="str">
            <v>lfls1_s0_a2</v>
          </cell>
          <cell r="F914">
            <v>0.32926544547080994</v>
          </cell>
          <cell r="G914">
            <v>6</v>
          </cell>
        </row>
        <row r="915">
          <cell r="A915" t="str">
            <v>BGD</v>
          </cell>
          <cell r="B915" t="str">
            <v>Middle</v>
          </cell>
          <cell r="C915" t="str">
            <v>2010 - 2022</v>
          </cell>
          <cell r="D915" t="str">
            <v>med_reg</v>
          </cell>
          <cell r="E915" t="str">
            <v>lfls1_s0_a3</v>
          </cell>
          <cell r="F915">
            <v>-0.15143889188766479</v>
          </cell>
          <cell r="G915">
            <v>6</v>
          </cell>
        </row>
        <row r="916">
          <cell r="A916" t="str">
            <v>BGD</v>
          </cell>
          <cell r="B916" t="str">
            <v>Middle</v>
          </cell>
          <cell r="C916" t="str">
            <v>2010 - 2022</v>
          </cell>
          <cell r="D916" t="str">
            <v>med_reg</v>
          </cell>
          <cell r="E916" t="str">
            <v>lfls1_s0_a4</v>
          </cell>
          <cell r="F916">
            <v>0.75622469186782837</v>
          </cell>
          <cell r="G916">
            <v>6</v>
          </cell>
        </row>
        <row r="917">
          <cell r="A917" t="str">
            <v>BGD</v>
          </cell>
          <cell r="B917" t="str">
            <v>Middle</v>
          </cell>
          <cell r="C917" t="str">
            <v>2010 - 2022</v>
          </cell>
          <cell r="D917" t="str">
            <v>med_reg</v>
          </cell>
          <cell r="E917" t="str">
            <v>lfls1_s0_a5</v>
          </cell>
          <cell r="F917">
            <v>0.84139615297317505</v>
          </cell>
          <cell r="G917">
            <v>6</v>
          </cell>
        </row>
        <row r="918">
          <cell r="A918" t="str">
            <v>BGD</v>
          </cell>
          <cell r="B918" t="str">
            <v>Middle</v>
          </cell>
          <cell r="C918" t="str">
            <v>2010 - 2022</v>
          </cell>
          <cell r="D918" t="str">
            <v>med_reg</v>
          </cell>
          <cell r="E918" t="str">
            <v>lfls1_s0_a6</v>
          </cell>
          <cell r="F918">
            <v>0.3339264988899231</v>
          </cell>
          <cell r="G918">
            <v>6</v>
          </cell>
        </row>
        <row r="919">
          <cell r="A919" t="str">
            <v>BGD</v>
          </cell>
          <cell r="B919" t="str">
            <v>Middle</v>
          </cell>
          <cell r="C919" t="str">
            <v>2010 - 2022</v>
          </cell>
          <cell r="D919" t="str">
            <v>med_reg</v>
          </cell>
          <cell r="E919" t="str">
            <v>lfls1_s1_A0</v>
          </cell>
          <cell r="F919">
            <v>-0.28888872265815735</v>
          </cell>
          <cell r="G919">
            <v>6</v>
          </cell>
        </row>
        <row r="920">
          <cell r="A920" t="str">
            <v>BGD</v>
          </cell>
          <cell r="B920" t="str">
            <v>Middle</v>
          </cell>
          <cell r="C920" t="str">
            <v>2010 - 2022</v>
          </cell>
          <cell r="D920" t="str">
            <v>med_reg</v>
          </cell>
          <cell r="E920" t="str">
            <v>lfls1_s1_a1</v>
          </cell>
          <cell r="F920">
            <v>-1.9553773403167725</v>
          </cell>
          <cell r="G920">
            <v>6</v>
          </cell>
        </row>
        <row r="921">
          <cell r="A921" t="str">
            <v>BGD</v>
          </cell>
          <cell r="B921" t="str">
            <v>Middle</v>
          </cell>
          <cell r="C921" t="str">
            <v>2010 - 2022</v>
          </cell>
          <cell r="D921" t="str">
            <v>med_reg</v>
          </cell>
          <cell r="E921" t="str">
            <v>lfls1_s1_a2</v>
          </cell>
          <cell r="F921">
            <v>0.47183665633201599</v>
          </cell>
          <cell r="G921">
            <v>6</v>
          </cell>
        </row>
        <row r="922">
          <cell r="A922" t="str">
            <v>BGD</v>
          </cell>
          <cell r="B922" t="str">
            <v>Middle</v>
          </cell>
          <cell r="C922" t="str">
            <v>2010 - 2022</v>
          </cell>
          <cell r="D922" t="str">
            <v>med_reg</v>
          </cell>
          <cell r="E922" t="str">
            <v>lfls1_s1_a3</v>
          </cell>
          <cell r="F922">
            <v>0.74323028326034546</v>
          </cell>
          <cell r="G922">
            <v>6</v>
          </cell>
        </row>
        <row r="923">
          <cell r="A923" t="str">
            <v>BGD</v>
          </cell>
          <cell r="B923" t="str">
            <v>Middle</v>
          </cell>
          <cell r="C923" t="str">
            <v>2010 - 2022</v>
          </cell>
          <cell r="D923" t="str">
            <v>med_reg</v>
          </cell>
          <cell r="E923" t="str">
            <v>lfls1_s1_a4</v>
          </cell>
          <cell r="F923">
            <v>2.3755829334259033</v>
          </cell>
          <cell r="G923">
            <v>6</v>
          </cell>
        </row>
        <row r="924">
          <cell r="A924" t="str">
            <v>BGD</v>
          </cell>
          <cell r="B924" t="str">
            <v>Middle</v>
          </cell>
          <cell r="C924" t="str">
            <v>2010 - 2022</v>
          </cell>
          <cell r="D924" t="str">
            <v>med_reg</v>
          </cell>
          <cell r="E924" t="str">
            <v>lfls1_s1_a5</v>
          </cell>
          <cell r="F924">
            <v>0.21296742558479309</v>
          </cell>
          <cell r="G924">
            <v>6</v>
          </cell>
        </row>
        <row r="925">
          <cell r="A925" t="str">
            <v>BGD</v>
          </cell>
          <cell r="B925" t="str">
            <v>Middle</v>
          </cell>
          <cell r="C925" t="str">
            <v>2010 - 2022</v>
          </cell>
          <cell r="D925" t="str">
            <v>med_reg</v>
          </cell>
          <cell r="E925" t="str">
            <v>lfls1_s1_a6</v>
          </cell>
          <cell r="F925">
            <v>1.569001317024231</v>
          </cell>
          <cell r="G925">
            <v>6</v>
          </cell>
        </row>
        <row r="926">
          <cell r="A926" t="str">
            <v>BGD</v>
          </cell>
          <cell r="B926" t="str">
            <v>Middle</v>
          </cell>
          <cell r="C926" t="str">
            <v>2010 - 2022</v>
          </cell>
          <cell r="D926" t="str">
            <v>med_reg</v>
          </cell>
          <cell r="E926" t="str">
            <v>lfprod_s0_a1</v>
          </cell>
          <cell r="F926">
            <v>4.5386190414428711</v>
          </cell>
          <cell r="G926">
            <v>6</v>
          </cell>
        </row>
        <row r="927">
          <cell r="A927" t="str">
            <v>BGD</v>
          </cell>
          <cell r="B927" t="str">
            <v>Middle</v>
          </cell>
          <cell r="C927" t="str">
            <v>2010 - 2022</v>
          </cell>
          <cell r="D927" t="str">
            <v>med_reg</v>
          </cell>
          <cell r="E927" t="str">
            <v>lfprod_s0_a2</v>
          </cell>
          <cell r="F927">
            <v>-0.67073458433151245</v>
          </cell>
          <cell r="G927">
            <v>6</v>
          </cell>
        </row>
        <row r="928">
          <cell r="A928" t="str">
            <v>BGD</v>
          </cell>
          <cell r="B928" t="str">
            <v>Middle</v>
          </cell>
          <cell r="C928" t="str">
            <v>2010 - 2022</v>
          </cell>
          <cell r="D928" t="str">
            <v>med_reg</v>
          </cell>
          <cell r="E928" t="str">
            <v>lfprod_s0_a3</v>
          </cell>
          <cell r="F928">
            <v>-1.1514389514923096</v>
          </cell>
          <cell r="G928">
            <v>6</v>
          </cell>
        </row>
        <row r="929">
          <cell r="A929" t="str">
            <v>BGD</v>
          </cell>
          <cell r="B929" t="str">
            <v>Middle</v>
          </cell>
          <cell r="C929" t="str">
            <v>2010 - 2022</v>
          </cell>
          <cell r="D929" t="str">
            <v>med_reg</v>
          </cell>
          <cell r="E929" t="str">
            <v>lfprod_s0_a4</v>
          </cell>
          <cell r="F929">
            <v>-0.24377529323101044</v>
          </cell>
          <cell r="G929">
            <v>6</v>
          </cell>
        </row>
        <row r="930">
          <cell r="A930" t="str">
            <v>BGD</v>
          </cell>
          <cell r="B930" t="str">
            <v>Middle</v>
          </cell>
          <cell r="C930" t="str">
            <v>2010 - 2022</v>
          </cell>
          <cell r="D930" t="str">
            <v>med_reg</v>
          </cell>
          <cell r="E930" t="str">
            <v>lfprod_s0_a5</v>
          </cell>
          <cell r="F930">
            <v>-0.15860386192798615</v>
          </cell>
          <cell r="G930">
            <v>6</v>
          </cell>
        </row>
        <row r="931">
          <cell r="A931" t="str">
            <v>BGD</v>
          </cell>
          <cell r="B931" t="str">
            <v>Middle</v>
          </cell>
          <cell r="C931" t="str">
            <v>2010 - 2022</v>
          </cell>
          <cell r="D931" t="str">
            <v>med_reg</v>
          </cell>
          <cell r="E931" t="str">
            <v>lfprod_s0_a6</v>
          </cell>
          <cell r="F931">
            <v>-0.6660735011100769</v>
          </cell>
          <cell r="G931">
            <v>6</v>
          </cell>
        </row>
        <row r="932">
          <cell r="A932" t="str">
            <v>BGD</v>
          </cell>
          <cell r="B932" t="str">
            <v>Middle</v>
          </cell>
          <cell r="C932" t="str">
            <v>2010 - 2022</v>
          </cell>
          <cell r="D932" t="str">
            <v>med_reg</v>
          </cell>
          <cell r="E932" t="str">
            <v>lfprod_s1_a1</v>
          </cell>
          <cell r="F932">
            <v>-2.9553773403167725</v>
          </cell>
          <cell r="G932">
            <v>6</v>
          </cell>
        </row>
        <row r="933">
          <cell r="A933" t="str">
            <v>BGD</v>
          </cell>
          <cell r="B933" t="str">
            <v>Middle</v>
          </cell>
          <cell r="C933" t="str">
            <v>2010 - 2022</v>
          </cell>
          <cell r="D933" t="str">
            <v>med_reg</v>
          </cell>
          <cell r="E933" t="str">
            <v>lfprod_s1_a2</v>
          </cell>
          <cell r="F933">
            <v>-0.52816331386566162</v>
          </cell>
          <cell r="G933">
            <v>6</v>
          </cell>
        </row>
        <row r="934">
          <cell r="A934" t="str">
            <v>BGD</v>
          </cell>
          <cell r="B934" t="str">
            <v>Middle</v>
          </cell>
          <cell r="C934" t="str">
            <v>2010 - 2022</v>
          </cell>
          <cell r="D934" t="str">
            <v>med_reg</v>
          </cell>
          <cell r="E934" t="str">
            <v>lfprod_s1_a3</v>
          </cell>
          <cell r="F934">
            <v>-0.25676971673965454</v>
          </cell>
          <cell r="G934">
            <v>6</v>
          </cell>
        </row>
        <row r="935">
          <cell r="A935" t="str">
            <v>BGD</v>
          </cell>
          <cell r="B935" t="str">
            <v>Middle</v>
          </cell>
          <cell r="C935" t="str">
            <v>2010 - 2022</v>
          </cell>
          <cell r="D935" t="str">
            <v>med_reg</v>
          </cell>
          <cell r="E935" t="str">
            <v>lfprod_s1_a4</v>
          </cell>
          <cell r="F935">
            <v>1.3755830526351929</v>
          </cell>
          <cell r="G935">
            <v>6</v>
          </cell>
        </row>
        <row r="936">
          <cell r="A936" t="str">
            <v>BGD</v>
          </cell>
          <cell r="B936" t="str">
            <v>Middle</v>
          </cell>
          <cell r="C936" t="str">
            <v>2010 - 2022</v>
          </cell>
          <cell r="D936" t="str">
            <v>med_reg</v>
          </cell>
          <cell r="E936" t="str">
            <v>lfprod_s1_a5</v>
          </cell>
          <cell r="F936">
            <v>-0.7870326042175293</v>
          </cell>
          <cell r="G936">
            <v>6</v>
          </cell>
        </row>
        <row r="937">
          <cell r="A937" t="str">
            <v>BGD</v>
          </cell>
          <cell r="B937" t="str">
            <v>Middle</v>
          </cell>
          <cell r="C937" t="str">
            <v>2010 - 2022</v>
          </cell>
          <cell r="D937" t="str">
            <v>med_reg</v>
          </cell>
          <cell r="E937" t="str">
            <v>lfprod_s1_a6</v>
          </cell>
          <cell r="F937">
            <v>0.56900137662887573</v>
          </cell>
          <cell r="G937">
            <v>6</v>
          </cell>
        </row>
        <row r="938">
          <cell r="A938" t="str">
            <v>BGD</v>
          </cell>
          <cell r="B938" t="str">
            <v>Middle</v>
          </cell>
          <cell r="C938" t="str">
            <v>2010 - 2022</v>
          </cell>
          <cell r="D938" t="str">
            <v>med_reg_gdp</v>
          </cell>
          <cell r="E938" t="str">
            <v>lfls12_S0_A0</v>
          </cell>
          <cell r="F938">
            <v>0.359465092420578</v>
          </cell>
          <cell r="G938">
            <v>6</v>
          </cell>
        </row>
        <row r="939">
          <cell r="A939" t="str">
            <v>BGD</v>
          </cell>
          <cell r="B939" t="str">
            <v>Middle</v>
          </cell>
          <cell r="C939" t="str">
            <v>2010 - 2022</v>
          </cell>
          <cell r="D939" t="str">
            <v>med_reg_gdp</v>
          </cell>
          <cell r="E939" t="str">
            <v>lfls1_S0_A0</v>
          </cell>
          <cell r="F939">
            <v>0.35036280751228333</v>
          </cell>
          <cell r="G939">
            <v>6</v>
          </cell>
        </row>
        <row r="940">
          <cell r="A940" t="str">
            <v>BGD</v>
          </cell>
          <cell r="B940" t="str">
            <v>Middle</v>
          </cell>
          <cell r="C940" t="str">
            <v>2010 - 2022</v>
          </cell>
          <cell r="D940" t="str">
            <v>med_reg_gdp</v>
          </cell>
          <cell r="E940" t="str">
            <v>lfls1_S0_a1</v>
          </cell>
          <cell r="F940">
            <v>-0.31588190793991089</v>
          </cell>
          <cell r="G940">
            <v>6</v>
          </cell>
        </row>
        <row r="941">
          <cell r="A941" t="str">
            <v>BGD</v>
          </cell>
          <cell r="B941" t="str">
            <v>Middle</v>
          </cell>
          <cell r="C941" t="str">
            <v>2010 - 2022</v>
          </cell>
          <cell r="D941" t="str">
            <v>med_reg_gdp</v>
          </cell>
          <cell r="E941" t="str">
            <v>lfls1_S0_a2</v>
          </cell>
          <cell r="F941">
            <v>2.9217557907104492</v>
          </cell>
          <cell r="G941">
            <v>6</v>
          </cell>
        </row>
        <row r="942">
          <cell r="A942" t="str">
            <v>BGD</v>
          </cell>
          <cell r="B942" t="str">
            <v>Middle</v>
          </cell>
          <cell r="C942" t="str">
            <v>2010 - 2022</v>
          </cell>
          <cell r="D942" t="str">
            <v>med_reg_gdp</v>
          </cell>
          <cell r="E942" t="str">
            <v>lfls1_S0_a3</v>
          </cell>
          <cell r="F942">
            <v>8.7050590515136719</v>
          </cell>
          <cell r="G942">
            <v>6</v>
          </cell>
        </row>
        <row r="943">
          <cell r="A943" t="str">
            <v>BGD</v>
          </cell>
          <cell r="B943" t="str">
            <v>Middle</v>
          </cell>
          <cell r="C943" t="str">
            <v>2010 - 2022</v>
          </cell>
          <cell r="D943" t="str">
            <v>med_reg_gdp</v>
          </cell>
          <cell r="E943" t="str">
            <v>lfls1_S0_a4</v>
          </cell>
          <cell r="F943">
            <v>-1.246379017829895</v>
          </cell>
          <cell r="G943">
            <v>6</v>
          </cell>
        </row>
        <row r="944">
          <cell r="A944" t="str">
            <v>BGD</v>
          </cell>
          <cell r="B944" t="str">
            <v>Middle</v>
          </cell>
          <cell r="C944" t="str">
            <v>2010 - 2022</v>
          </cell>
          <cell r="D944" t="str">
            <v>med_reg_gdp</v>
          </cell>
          <cell r="E944" t="str">
            <v>lfls1_S0_a5</v>
          </cell>
          <cell r="F944">
            <v>-0.45282086730003357</v>
          </cell>
          <cell r="G944">
            <v>6</v>
          </cell>
        </row>
        <row r="945">
          <cell r="A945" t="str">
            <v>BGD</v>
          </cell>
          <cell r="B945" t="str">
            <v>Middle</v>
          </cell>
          <cell r="C945" t="str">
            <v>2010 - 2022</v>
          </cell>
          <cell r="D945" t="str">
            <v>med_reg_gdp</v>
          </cell>
          <cell r="E945" t="str">
            <v>lfls1_S0_a6</v>
          </cell>
          <cell r="F945">
            <v>0.50772672891616821</v>
          </cell>
          <cell r="G945">
            <v>6</v>
          </cell>
        </row>
        <row r="946">
          <cell r="A946" t="str">
            <v>BGD</v>
          </cell>
          <cell r="B946" t="str">
            <v>Middle</v>
          </cell>
          <cell r="C946" t="str">
            <v>2010 - 2022</v>
          </cell>
          <cell r="D946" t="str">
            <v>med_reg_gdp</v>
          </cell>
          <cell r="E946" t="str">
            <v>lfls1_s0_A0</v>
          </cell>
          <cell r="F946">
            <v>0.71782344579696655</v>
          </cell>
          <cell r="G946">
            <v>6</v>
          </cell>
        </row>
        <row r="947">
          <cell r="A947" t="str">
            <v>BGD</v>
          </cell>
          <cell r="B947" t="str">
            <v>Middle</v>
          </cell>
          <cell r="C947" t="str">
            <v>2010 - 2022</v>
          </cell>
          <cell r="D947" t="str">
            <v>med_reg_gdp</v>
          </cell>
          <cell r="E947" t="str">
            <v>lfls1_s0_a1</v>
          </cell>
          <cell r="F947">
            <v>-1.8095742464065552</v>
          </cell>
          <cell r="G947">
            <v>6</v>
          </cell>
        </row>
        <row r="948">
          <cell r="A948" t="str">
            <v>BGD</v>
          </cell>
          <cell r="B948" t="str">
            <v>Middle</v>
          </cell>
          <cell r="C948" t="str">
            <v>2010 - 2022</v>
          </cell>
          <cell r="D948" t="str">
            <v>med_reg_gdp</v>
          </cell>
          <cell r="E948" t="str">
            <v>lfls1_s0_a2</v>
          </cell>
          <cell r="F948">
            <v>2.8894069194793701</v>
          </cell>
          <cell r="G948">
            <v>6</v>
          </cell>
        </row>
        <row r="949">
          <cell r="A949" t="str">
            <v>BGD</v>
          </cell>
          <cell r="B949" t="str">
            <v>Middle</v>
          </cell>
          <cell r="C949" t="str">
            <v>2010 - 2022</v>
          </cell>
          <cell r="D949" t="str">
            <v>med_reg_gdp</v>
          </cell>
          <cell r="E949" t="str">
            <v>lfls1_s0_a3</v>
          </cell>
          <cell r="F949">
            <v>7.1163125038146973</v>
          </cell>
          <cell r="G949">
            <v>6</v>
          </cell>
        </row>
        <row r="950">
          <cell r="A950" t="str">
            <v>BGD</v>
          </cell>
          <cell r="B950" t="str">
            <v>Middle</v>
          </cell>
          <cell r="C950" t="str">
            <v>2010 - 2022</v>
          </cell>
          <cell r="D950" t="str">
            <v>med_reg_gdp</v>
          </cell>
          <cell r="E950" t="str">
            <v>lfls1_s0_a4</v>
          </cell>
          <cell r="F950">
            <v>-1.3475795984268188</v>
          </cell>
          <cell r="G950">
            <v>6</v>
          </cell>
        </row>
        <row r="951">
          <cell r="A951" t="str">
            <v>BGD</v>
          </cell>
          <cell r="B951" t="str">
            <v>Middle</v>
          </cell>
          <cell r="C951" t="str">
            <v>2010 - 2022</v>
          </cell>
          <cell r="D951" t="str">
            <v>med_reg_gdp</v>
          </cell>
          <cell r="E951" t="str">
            <v>lfls1_s0_a5</v>
          </cell>
          <cell r="F951">
            <v>-1.9179397821426392</v>
          </cell>
          <cell r="G951">
            <v>6</v>
          </cell>
        </row>
        <row r="952">
          <cell r="A952" t="str">
            <v>BGD</v>
          </cell>
          <cell r="B952" t="str">
            <v>Middle</v>
          </cell>
          <cell r="C952" t="str">
            <v>2010 - 2022</v>
          </cell>
          <cell r="D952" t="str">
            <v>med_reg_gdp</v>
          </cell>
          <cell r="E952" t="str">
            <v>lfls1_s0_a6</v>
          </cell>
          <cell r="F952">
            <v>1.6855130195617676</v>
          </cell>
          <cell r="G952">
            <v>6</v>
          </cell>
        </row>
        <row r="953">
          <cell r="A953" t="str">
            <v>BGD</v>
          </cell>
          <cell r="B953" t="str">
            <v>Middle</v>
          </cell>
          <cell r="C953" t="str">
            <v>2010 - 2022</v>
          </cell>
          <cell r="D953" t="str">
            <v>med_reg_gdp</v>
          </cell>
          <cell r="E953" t="str">
            <v>lfls1_s1_A0</v>
          </cell>
          <cell r="F953">
            <v>-0.28888872265815735</v>
          </cell>
          <cell r="G953">
            <v>6</v>
          </cell>
        </row>
        <row r="954">
          <cell r="A954" t="str">
            <v>BGD</v>
          </cell>
          <cell r="B954" t="str">
            <v>Middle</v>
          </cell>
          <cell r="C954" t="str">
            <v>2010 - 2022</v>
          </cell>
          <cell r="D954" t="str">
            <v>med_reg_gdp</v>
          </cell>
          <cell r="E954" t="str">
            <v>lfls1_s1_a1</v>
          </cell>
          <cell r="F954">
            <v>0.30435913801193237</v>
          </cell>
          <cell r="G954">
            <v>6</v>
          </cell>
        </row>
        <row r="955">
          <cell r="A955" t="str">
            <v>BGD</v>
          </cell>
          <cell r="B955" t="str">
            <v>Middle</v>
          </cell>
          <cell r="C955" t="str">
            <v>2010 - 2022</v>
          </cell>
          <cell r="D955" t="str">
            <v>med_reg_gdp</v>
          </cell>
          <cell r="E955" t="str">
            <v>lfls1_s1_a2</v>
          </cell>
          <cell r="F955">
            <v>-0.14548188447952271</v>
          </cell>
          <cell r="G955">
            <v>6</v>
          </cell>
        </row>
        <row r="956">
          <cell r="A956" t="str">
            <v>BGD</v>
          </cell>
          <cell r="B956" t="str">
            <v>Middle</v>
          </cell>
          <cell r="C956" t="str">
            <v>2010 - 2022</v>
          </cell>
          <cell r="D956" t="str">
            <v>med_reg_gdp</v>
          </cell>
          <cell r="E956" t="str">
            <v>lfls1_s1_a3</v>
          </cell>
          <cell r="F956">
            <v>19.342926025390625</v>
          </cell>
          <cell r="G956">
            <v>6</v>
          </cell>
        </row>
        <row r="957">
          <cell r="A957" t="str">
            <v>BGD</v>
          </cell>
          <cell r="B957" t="str">
            <v>Middle</v>
          </cell>
          <cell r="C957" t="str">
            <v>2010 - 2022</v>
          </cell>
          <cell r="D957" t="str">
            <v>med_reg_gdp</v>
          </cell>
          <cell r="E957" t="str">
            <v>lfls1_s1_a4</v>
          </cell>
          <cell r="F957">
            <v>3.1236741542816162</v>
          </cell>
          <cell r="G957">
            <v>6</v>
          </cell>
        </row>
        <row r="958">
          <cell r="A958" t="str">
            <v>BGD</v>
          </cell>
          <cell r="B958" t="str">
            <v>Middle</v>
          </cell>
          <cell r="C958" t="str">
            <v>2010 - 2022</v>
          </cell>
          <cell r="D958" t="str">
            <v>med_reg_gdp</v>
          </cell>
          <cell r="E958" t="str">
            <v>lfls1_s1_a5</v>
          </cell>
          <cell r="F958">
            <v>1.3584527969360352</v>
          </cell>
          <cell r="G958">
            <v>6</v>
          </cell>
        </row>
        <row r="959">
          <cell r="A959" t="str">
            <v>BGD</v>
          </cell>
          <cell r="B959" t="str">
            <v>Middle</v>
          </cell>
          <cell r="C959" t="str">
            <v>2010 - 2022</v>
          </cell>
          <cell r="D959" t="str">
            <v>med_reg_gdp</v>
          </cell>
          <cell r="E959" t="str">
            <v>lfls1_s1_a6</v>
          </cell>
          <cell r="F959">
            <v>-1.8815557956695557</v>
          </cell>
          <cell r="G959">
            <v>6</v>
          </cell>
        </row>
        <row r="960">
          <cell r="A960" t="str">
            <v>BGD</v>
          </cell>
          <cell r="B960" t="str">
            <v>Middle</v>
          </cell>
          <cell r="C960" t="str">
            <v>2010 - 2022</v>
          </cell>
          <cell r="D960" t="str">
            <v>med_reg_gdp</v>
          </cell>
          <cell r="E960" t="str">
            <v>lfprod_s0_a1</v>
          </cell>
          <cell r="F960">
            <v>-2.8095743656158447</v>
          </cell>
          <cell r="G960">
            <v>6</v>
          </cell>
        </row>
        <row r="961">
          <cell r="A961" t="str">
            <v>BGD</v>
          </cell>
          <cell r="B961" t="str">
            <v>Middle</v>
          </cell>
          <cell r="C961" t="str">
            <v>2010 - 2022</v>
          </cell>
          <cell r="D961" t="str">
            <v>med_reg_gdp</v>
          </cell>
          <cell r="E961" t="str">
            <v>lfprod_s0_a2</v>
          </cell>
          <cell r="F961">
            <v>1.8894070386886597</v>
          </cell>
          <cell r="G961">
            <v>6</v>
          </cell>
        </row>
        <row r="962">
          <cell r="A962" t="str">
            <v>BGD</v>
          </cell>
          <cell r="B962" t="str">
            <v>Middle</v>
          </cell>
          <cell r="C962" t="str">
            <v>2010 - 2022</v>
          </cell>
          <cell r="D962" t="str">
            <v>med_reg_gdp</v>
          </cell>
          <cell r="E962" t="str">
            <v>lfprod_s0_a3</v>
          </cell>
          <cell r="F962">
            <v>6.1163125038146973</v>
          </cell>
          <cell r="G962">
            <v>6</v>
          </cell>
        </row>
        <row r="963">
          <cell r="A963" t="str">
            <v>BGD</v>
          </cell>
          <cell r="B963" t="str">
            <v>Middle</v>
          </cell>
          <cell r="C963" t="str">
            <v>2010 - 2022</v>
          </cell>
          <cell r="D963" t="str">
            <v>med_reg_gdp</v>
          </cell>
          <cell r="E963" t="str">
            <v>lfprod_s0_a4</v>
          </cell>
          <cell r="F963">
            <v>-2.3475797176361084</v>
          </cell>
          <cell r="G963">
            <v>6</v>
          </cell>
        </row>
        <row r="964">
          <cell r="A964" t="str">
            <v>BGD</v>
          </cell>
          <cell r="B964" t="str">
            <v>Middle</v>
          </cell>
          <cell r="C964" t="str">
            <v>2010 - 2022</v>
          </cell>
          <cell r="D964" t="str">
            <v>med_reg_gdp</v>
          </cell>
          <cell r="E964" t="str">
            <v>lfprod_s0_a5</v>
          </cell>
          <cell r="F964">
            <v>-2.9179399013519287</v>
          </cell>
          <cell r="G964">
            <v>6</v>
          </cell>
        </row>
        <row r="965">
          <cell r="A965" t="str">
            <v>BGD</v>
          </cell>
          <cell r="B965" t="str">
            <v>Middle</v>
          </cell>
          <cell r="C965" t="str">
            <v>2010 - 2022</v>
          </cell>
          <cell r="D965" t="str">
            <v>med_reg_gdp</v>
          </cell>
          <cell r="E965" t="str">
            <v>lfprod_s0_a6</v>
          </cell>
          <cell r="F965">
            <v>0.68551301956176758</v>
          </cell>
          <cell r="G965">
            <v>6</v>
          </cell>
        </row>
        <row r="966">
          <cell r="A966" t="str">
            <v>BGD</v>
          </cell>
          <cell r="B966" t="str">
            <v>Middle</v>
          </cell>
          <cell r="C966" t="str">
            <v>2010 - 2022</v>
          </cell>
          <cell r="D966" t="str">
            <v>med_reg_gdp</v>
          </cell>
          <cell r="E966" t="str">
            <v>lfprod_s1_a1</v>
          </cell>
          <cell r="F966">
            <v>-0.69564086198806763</v>
          </cell>
          <cell r="G966">
            <v>6</v>
          </cell>
        </row>
        <row r="967">
          <cell r="A967" t="str">
            <v>BGD</v>
          </cell>
          <cell r="B967" t="str">
            <v>Middle</v>
          </cell>
          <cell r="C967" t="str">
            <v>2010 - 2022</v>
          </cell>
          <cell r="D967" t="str">
            <v>med_reg_gdp</v>
          </cell>
          <cell r="E967" t="str">
            <v>lfprod_s1_a2</v>
          </cell>
          <cell r="F967">
            <v>-1.1454819440841675</v>
          </cell>
          <cell r="G967">
            <v>6</v>
          </cell>
        </row>
        <row r="968">
          <cell r="A968" t="str">
            <v>BGD</v>
          </cell>
          <cell r="B968" t="str">
            <v>Middle</v>
          </cell>
          <cell r="C968" t="str">
            <v>2010 - 2022</v>
          </cell>
          <cell r="D968" t="str">
            <v>med_reg_gdp</v>
          </cell>
          <cell r="E968" t="str">
            <v>lfprod_s1_a3</v>
          </cell>
          <cell r="F968">
            <v>18.342926025390625</v>
          </cell>
          <cell r="G968">
            <v>6</v>
          </cell>
        </row>
        <row r="969">
          <cell r="A969" t="str">
            <v>BGD</v>
          </cell>
          <cell r="B969" t="str">
            <v>Middle</v>
          </cell>
          <cell r="C969" t="str">
            <v>2010 - 2022</v>
          </cell>
          <cell r="D969" t="str">
            <v>med_reg_gdp</v>
          </cell>
          <cell r="E969" t="str">
            <v>lfprod_s1_a4</v>
          </cell>
          <cell r="F969">
            <v>2.1236741542816162</v>
          </cell>
          <cell r="G969">
            <v>6</v>
          </cell>
        </row>
        <row r="970">
          <cell r="A970" t="str">
            <v>BGD</v>
          </cell>
          <cell r="B970" t="str">
            <v>Middle</v>
          </cell>
          <cell r="C970" t="str">
            <v>2010 - 2022</v>
          </cell>
          <cell r="D970" t="str">
            <v>med_reg_gdp</v>
          </cell>
          <cell r="E970" t="str">
            <v>lfprod_s1_a5</v>
          </cell>
          <cell r="F970">
            <v>0.35845279693603516</v>
          </cell>
          <cell r="G970">
            <v>6</v>
          </cell>
        </row>
        <row r="971">
          <cell r="A971" t="str">
            <v>BGD</v>
          </cell>
          <cell r="B971" t="str">
            <v>Middle</v>
          </cell>
          <cell r="C971" t="str">
            <v>2010 - 2022</v>
          </cell>
          <cell r="D971" t="str">
            <v>med_reg_gdp</v>
          </cell>
          <cell r="E971" t="str">
            <v>lfprod_s1_a6</v>
          </cell>
          <cell r="F971">
            <v>-2.8815557956695557</v>
          </cell>
          <cell r="G971">
            <v>6</v>
          </cell>
        </row>
        <row r="972">
          <cell r="A972" t="str">
            <v>BGD</v>
          </cell>
          <cell r="B972" t="str">
            <v>Middle</v>
          </cell>
          <cell r="C972" t="str">
            <v>2010 - 2022</v>
          </cell>
          <cell r="D972" t="str">
            <v>med_reg_iter</v>
          </cell>
          <cell r="E972" t="str">
            <v>lfls12_S0_A0</v>
          </cell>
          <cell r="F972">
            <v>0.359465092420578</v>
          </cell>
          <cell r="G972">
            <v>6</v>
          </cell>
        </row>
        <row r="973">
          <cell r="A973" t="str">
            <v>BGD</v>
          </cell>
          <cell r="B973" t="str">
            <v>Middle</v>
          </cell>
          <cell r="C973" t="str">
            <v>2010 - 2022</v>
          </cell>
          <cell r="D973" t="str">
            <v>med_reg_iter</v>
          </cell>
          <cell r="E973" t="str">
            <v>lfls1_S0_A0</v>
          </cell>
          <cell r="F973">
            <v>0.35036280751228333</v>
          </cell>
          <cell r="G973">
            <v>6</v>
          </cell>
        </row>
        <row r="974">
          <cell r="A974" t="str">
            <v>BGD</v>
          </cell>
          <cell r="B974" t="str">
            <v>Middle</v>
          </cell>
          <cell r="C974" t="str">
            <v>2010 - 2022</v>
          </cell>
          <cell r="D974" t="str">
            <v>med_reg_iter</v>
          </cell>
          <cell r="E974" t="str">
            <v>lfls1_S0_a1</v>
          </cell>
          <cell r="F974">
            <v>-0.31588190793991089</v>
          </cell>
          <cell r="G974">
            <v>6</v>
          </cell>
        </row>
        <row r="975">
          <cell r="A975" t="str">
            <v>BGD</v>
          </cell>
          <cell r="B975" t="str">
            <v>Middle</v>
          </cell>
          <cell r="C975" t="str">
            <v>2010 - 2022</v>
          </cell>
          <cell r="D975" t="str">
            <v>med_reg_iter</v>
          </cell>
          <cell r="E975" t="str">
            <v>lfls1_S0_a2</v>
          </cell>
          <cell r="F975">
            <v>2.9217557907104492</v>
          </cell>
          <cell r="G975">
            <v>6</v>
          </cell>
        </row>
        <row r="976">
          <cell r="A976" t="str">
            <v>BGD</v>
          </cell>
          <cell r="B976" t="str">
            <v>Middle</v>
          </cell>
          <cell r="C976" t="str">
            <v>2010 - 2022</v>
          </cell>
          <cell r="D976" t="str">
            <v>med_reg_iter</v>
          </cell>
          <cell r="E976" t="str">
            <v>lfls1_S0_a3</v>
          </cell>
          <cell r="F976">
            <v>8.7050590515136719</v>
          </cell>
          <cell r="G976">
            <v>6</v>
          </cell>
        </row>
        <row r="977">
          <cell r="A977" t="str">
            <v>BGD</v>
          </cell>
          <cell r="B977" t="str">
            <v>Middle</v>
          </cell>
          <cell r="C977" t="str">
            <v>2010 - 2022</v>
          </cell>
          <cell r="D977" t="str">
            <v>med_reg_iter</v>
          </cell>
          <cell r="E977" t="str">
            <v>lfls1_S0_a4</v>
          </cell>
          <cell r="F977">
            <v>-1.246379017829895</v>
          </cell>
          <cell r="G977">
            <v>6</v>
          </cell>
        </row>
        <row r="978">
          <cell r="A978" t="str">
            <v>BGD</v>
          </cell>
          <cell r="B978" t="str">
            <v>Middle</v>
          </cell>
          <cell r="C978" t="str">
            <v>2010 - 2022</v>
          </cell>
          <cell r="D978" t="str">
            <v>med_reg_iter</v>
          </cell>
          <cell r="E978" t="str">
            <v>lfls1_S0_a5</v>
          </cell>
          <cell r="F978">
            <v>-0.45282086730003357</v>
          </cell>
          <cell r="G978">
            <v>6</v>
          </cell>
        </row>
        <row r="979">
          <cell r="A979" t="str">
            <v>BGD</v>
          </cell>
          <cell r="B979" t="str">
            <v>Middle</v>
          </cell>
          <cell r="C979" t="str">
            <v>2010 - 2022</v>
          </cell>
          <cell r="D979" t="str">
            <v>med_reg_iter</v>
          </cell>
          <cell r="E979" t="str">
            <v>lfls1_S0_a6</v>
          </cell>
          <cell r="F979">
            <v>0.50772672891616821</v>
          </cell>
          <cell r="G979">
            <v>6</v>
          </cell>
        </row>
        <row r="980">
          <cell r="A980" t="str">
            <v>BGD</v>
          </cell>
          <cell r="B980" t="str">
            <v>Middle</v>
          </cell>
          <cell r="C980" t="str">
            <v>2010 - 2022</v>
          </cell>
          <cell r="D980" t="str">
            <v>med_reg_iter</v>
          </cell>
          <cell r="E980" t="str">
            <v>lfls1_s0_A0</v>
          </cell>
          <cell r="F980">
            <v>0.71782344579696655</v>
          </cell>
          <cell r="G980">
            <v>6</v>
          </cell>
        </row>
        <row r="981">
          <cell r="A981" t="str">
            <v>BGD</v>
          </cell>
          <cell r="B981" t="str">
            <v>Middle</v>
          </cell>
          <cell r="C981" t="str">
            <v>2010 - 2022</v>
          </cell>
          <cell r="D981" t="str">
            <v>med_reg_iter</v>
          </cell>
          <cell r="E981" t="str">
            <v>lfls1_s0_a1</v>
          </cell>
          <cell r="F981">
            <v>-1.8095742464065552</v>
          </cell>
          <cell r="G981">
            <v>6</v>
          </cell>
        </row>
        <row r="982">
          <cell r="A982" t="str">
            <v>BGD</v>
          </cell>
          <cell r="B982" t="str">
            <v>Middle</v>
          </cell>
          <cell r="C982" t="str">
            <v>2010 - 2022</v>
          </cell>
          <cell r="D982" t="str">
            <v>med_reg_iter</v>
          </cell>
          <cell r="E982" t="str">
            <v>lfls1_s0_a2</v>
          </cell>
          <cell r="F982">
            <v>2.8894069194793701</v>
          </cell>
          <cell r="G982">
            <v>6</v>
          </cell>
        </row>
        <row r="983">
          <cell r="A983" t="str">
            <v>BGD</v>
          </cell>
          <cell r="B983" t="str">
            <v>Middle</v>
          </cell>
          <cell r="C983" t="str">
            <v>2010 - 2022</v>
          </cell>
          <cell r="D983" t="str">
            <v>med_reg_iter</v>
          </cell>
          <cell r="E983" t="str">
            <v>lfls1_s0_a3</v>
          </cell>
          <cell r="F983">
            <v>7.1163125038146973</v>
          </cell>
          <cell r="G983">
            <v>6</v>
          </cell>
        </row>
        <row r="984">
          <cell r="A984" t="str">
            <v>BGD</v>
          </cell>
          <cell r="B984" t="str">
            <v>Middle</v>
          </cell>
          <cell r="C984" t="str">
            <v>2010 - 2022</v>
          </cell>
          <cell r="D984" t="str">
            <v>med_reg_iter</v>
          </cell>
          <cell r="E984" t="str">
            <v>lfls1_s0_a4</v>
          </cell>
          <cell r="F984">
            <v>-1.3475795984268188</v>
          </cell>
          <cell r="G984">
            <v>6</v>
          </cell>
        </row>
        <row r="985">
          <cell r="A985" t="str">
            <v>BGD</v>
          </cell>
          <cell r="B985" t="str">
            <v>Middle</v>
          </cell>
          <cell r="C985" t="str">
            <v>2010 - 2022</v>
          </cell>
          <cell r="D985" t="str">
            <v>med_reg_iter</v>
          </cell>
          <cell r="E985" t="str">
            <v>lfls1_s0_a5</v>
          </cell>
          <cell r="F985">
            <v>-1.9179397821426392</v>
          </cell>
          <cell r="G985">
            <v>6</v>
          </cell>
        </row>
        <row r="986">
          <cell r="A986" t="str">
            <v>BGD</v>
          </cell>
          <cell r="B986" t="str">
            <v>Middle</v>
          </cell>
          <cell r="C986" t="str">
            <v>2010 - 2022</v>
          </cell>
          <cell r="D986" t="str">
            <v>med_reg_iter</v>
          </cell>
          <cell r="E986" t="str">
            <v>lfls1_s0_a6</v>
          </cell>
          <cell r="F986">
            <v>1.6855130195617676</v>
          </cell>
          <cell r="G986">
            <v>6</v>
          </cell>
        </row>
        <row r="987">
          <cell r="A987" t="str">
            <v>BGD</v>
          </cell>
          <cell r="B987" t="str">
            <v>Middle</v>
          </cell>
          <cell r="C987" t="str">
            <v>2010 - 2022</v>
          </cell>
          <cell r="D987" t="str">
            <v>med_reg_iter</v>
          </cell>
          <cell r="E987" t="str">
            <v>lfls1_s1_A0</v>
          </cell>
          <cell r="F987">
            <v>-0.28888872265815735</v>
          </cell>
          <cell r="G987">
            <v>6</v>
          </cell>
        </row>
        <row r="988">
          <cell r="A988" t="str">
            <v>BGD</v>
          </cell>
          <cell r="B988" t="str">
            <v>Middle</v>
          </cell>
          <cell r="C988" t="str">
            <v>2010 - 2022</v>
          </cell>
          <cell r="D988" t="str">
            <v>med_reg_iter</v>
          </cell>
          <cell r="E988" t="str">
            <v>lfls1_s1_a1</v>
          </cell>
          <cell r="F988">
            <v>0.30435913801193237</v>
          </cell>
          <cell r="G988">
            <v>6</v>
          </cell>
        </row>
        <row r="989">
          <cell r="A989" t="str">
            <v>BGD</v>
          </cell>
          <cell r="B989" t="str">
            <v>Middle</v>
          </cell>
          <cell r="C989" t="str">
            <v>2010 - 2022</v>
          </cell>
          <cell r="D989" t="str">
            <v>med_reg_iter</v>
          </cell>
          <cell r="E989" t="str">
            <v>lfls1_s1_a2</v>
          </cell>
          <cell r="F989">
            <v>-0.14548188447952271</v>
          </cell>
          <cell r="G989">
            <v>6</v>
          </cell>
        </row>
        <row r="990">
          <cell r="A990" t="str">
            <v>BGD</v>
          </cell>
          <cell r="B990" t="str">
            <v>Middle</v>
          </cell>
          <cell r="C990" t="str">
            <v>2010 - 2022</v>
          </cell>
          <cell r="D990" t="str">
            <v>med_reg_iter</v>
          </cell>
          <cell r="E990" t="str">
            <v>lfls1_s1_a3</v>
          </cell>
          <cell r="F990">
            <v>19.342926025390625</v>
          </cell>
          <cell r="G990">
            <v>6</v>
          </cell>
        </row>
        <row r="991">
          <cell r="A991" t="str">
            <v>BGD</v>
          </cell>
          <cell r="B991" t="str">
            <v>Middle</v>
          </cell>
          <cell r="C991" t="str">
            <v>2010 - 2022</v>
          </cell>
          <cell r="D991" t="str">
            <v>med_reg_iter</v>
          </cell>
          <cell r="E991" t="str">
            <v>lfls1_s1_a4</v>
          </cell>
          <cell r="F991">
            <v>3.1236741542816162</v>
          </cell>
          <cell r="G991">
            <v>6</v>
          </cell>
        </row>
        <row r="992">
          <cell r="A992" t="str">
            <v>BGD</v>
          </cell>
          <cell r="B992" t="str">
            <v>Middle</v>
          </cell>
          <cell r="C992" t="str">
            <v>2010 - 2022</v>
          </cell>
          <cell r="D992" t="str">
            <v>med_reg_iter</v>
          </cell>
          <cell r="E992" t="str">
            <v>lfls1_s1_a5</v>
          </cell>
          <cell r="F992">
            <v>1.3584527969360352</v>
          </cell>
          <cell r="G992">
            <v>6</v>
          </cell>
        </row>
        <row r="993">
          <cell r="A993" t="str">
            <v>BGD</v>
          </cell>
          <cell r="B993" t="str">
            <v>Middle</v>
          </cell>
          <cell r="C993" t="str">
            <v>2010 - 2022</v>
          </cell>
          <cell r="D993" t="str">
            <v>med_reg_iter</v>
          </cell>
          <cell r="E993" t="str">
            <v>lfls1_s1_a6</v>
          </cell>
          <cell r="F993">
            <v>-1.8815557956695557</v>
          </cell>
          <cell r="G993">
            <v>6</v>
          </cell>
        </row>
        <row r="994">
          <cell r="A994" t="str">
            <v>BGD</v>
          </cell>
          <cell r="B994" t="str">
            <v>Middle</v>
          </cell>
          <cell r="C994" t="str">
            <v>2010 - 2022</v>
          </cell>
          <cell r="D994" t="str">
            <v>med_reg_iter</v>
          </cell>
          <cell r="E994" t="str">
            <v>lfprod_s0_a1</v>
          </cell>
          <cell r="F994">
            <v>-2.8095743656158447</v>
          </cell>
          <cell r="G994">
            <v>6</v>
          </cell>
        </row>
        <row r="995">
          <cell r="A995" t="str">
            <v>BGD</v>
          </cell>
          <cell r="B995" t="str">
            <v>Middle</v>
          </cell>
          <cell r="C995" t="str">
            <v>2010 - 2022</v>
          </cell>
          <cell r="D995" t="str">
            <v>med_reg_iter</v>
          </cell>
          <cell r="E995" t="str">
            <v>lfprod_s0_a2</v>
          </cell>
          <cell r="F995">
            <v>1.8894070386886597</v>
          </cell>
          <cell r="G995">
            <v>6</v>
          </cell>
        </row>
        <row r="996">
          <cell r="A996" t="str">
            <v>BGD</v>
          </cell>
          <cell r="B996" t="str">
            <v>Middle</v>
          </cell>
          <cell r="C996" t="str">
            <v>2010 - 2022</v>
          </cell>
          <cell r="D996" t="str">
            <v>med_reg_iter</v>
          </cell>
          <cell r="E996" t="str">
            <v>lfprod_s0_a3</v>
          </cell>
          <cell r="F996">
            <v>6.1163125038146973</v>
          </cell>
          <cell r="G996">
            <v>6</v>
          </cell>
        </row>
        <row r="997">
          <cell r="A997" t="str">
            <v>BGD</v>
          </cell>
          <cell r="B997" t="str">
            <v>Middle</v>
          </cell>
          <cell r="C997" t="str">
            <v>2010 - 2022</v>
          </cell>
          <cell r="D997" t="str">
            <v>med_reg_iter</v>
          </cell>
          <cell r="E997" t="str">
            <v>lfprod_s0_a4</v>
          </cell>
          <cell r="F997">
            <v>-2.3475797176361084</v>
          </cell>
          <cell r="G997">
            <v>6</v>
          </cell>
        </row>
        <row r="998">
          <cell r="A998" t="str">
            <v>BGD</v>
          </cell>
          <cell r="B998" t="str">
            <v>Middle</v>
          </cell>
          <cell r="C998" t="str">
            <v>2010 - 2022</v>
          </cell>
          <cell r="D998" t="str">
            <v>med_reg_iter</v>
          </cell>
          <cell r="E998" t="str">
            <v>lfprod_s0_a5</v>
          </cell>
          <cell r="F998">
            <v>-2.9179399013519287</v>
          </cell>
          <cell r="G998">
            <v>6</v>
          </cell>
        </row>
        <row r="999">
          <cell r="A999" t="str">
            <v>BGD</v>
          </cell>
          <cell r="B999" t="str">
            <v>Middle</v>
          </cell>
          <cell r="C999" t="str">
            <v>2010 - 2022</v>
          </cell>
          <cell r="D999" t="str">
            <v>med_reg_iter</v>
          </cell>
          <cell r="E999" t="str">
            <v>lfprod_s0_a6</v>
          </cell>
          <cell r="F999">
            <v>0.68551301956176758</v>
          </cell>
          <cell r="G999">
            <v>6</v>
          </cell>
        </row>
        <row r="1000">
          <cell r="A1000" t="str">
            <v>BGD</v>
          </cell>
          <cell r="B1000" t="str">
            <v>Middle</v>
          </cell>
          <cell r="C1000" t="str">
            <v>2010 - 2022</v>
          </cell>
          <cell r="D1000" t="str">
            <v>med_reg_iter</v>
          </cell>
          <cell r="E1000" t="str">
            <v>lfprod_s1_a1</v>
          </cell>
          <cell r="F1000">
            <v>-0.69564086198806763</v>
          </cell>
          <cell r="G1000">
            <v>6</v>
          </cell>
        </row>
        <row r="1001">
          <cell r="A1001" t="str">
            <v>BGD</v>
          </cell>
          <cell r="B1001" t="str">
            <v>Middle</v>
          </cell>
          <cell r="C1001" t="str">
            <v>2010 - 2022</v>
          </cell>
          <cell r="D1001" t="str">
            <v>med_reg_iter</v>
          </cell>
          <cell r="E1001" t="str">
            <v>lfprod_s1_a2</v>
          </cell>
          <cell r="F1001">
            <v>-1.1454819440841675</v>
          </cell>
          <cell r="G1001">
            <v>6</v>
          </cell>
        </row>
        <row r="1002">
          <cell r="A1002" t="str">
            <v>BGD</v>
          </cell>
          <cell r="B1002" t="str">
            <v>Middle</v>
          </cell>
          <cell r="C1002" t="str">
            <v>2010 - 2022</v>
          </cell>
          <cell r="D1002" t="str">
            <v>med_reg_iter</v>
          </cell>
          <cell r="E1002" t="str">
            <v>lfprod_s1_a3</v>
          </cell>
          <cell r="F1002">
            <v>18.342926025390625</v>
          </cell>
          <cell r="G1002">
            <v>6</v>
          </cell>
        </row>
        <row r="1003">
          <cell r="A1003" t="str">
            <v>BGD</v>
          </cell>
          <cell r="B1003" t="str">
            <v>Middle</v>
          </cell>
          <cell r="C1003" t="str">
            <v>2010 - 2022</v>
          </cell>
          <cell r="D1003" t="str">
            <v>med_reg_iter</v>
          </cell>
          <cell r="E1003" t="str">
            <v>lfprod_s1_a4</v>
          </cell>
          <cell r="F1003">
            <v>2.1236741542816162</v>
          </cell>
          <cell r="G1003">
            <v>6</v>
          </cell>
        </row>
        <row r="1004">
          <cell r="A1004" t="str">
            <v>BGD</v>
          </cell>
          <cell r="B1004" t="str">
            <v>Middle</v>
          </cell>
          <cell r="C1004" t="str">
            <v>2010 - 2022</v>
          </cell>
          <cell r="D1004" t="str">
            <v>med_reg_iter</v>
          </cell>
          <cell r="E1004" t="str">
            <v>lfprod_s1_a5</v>
          </cell>
          <cell r="F1004">
            <v>0.35845279693603516</v>
          </cell>
          <cell r="G1004">
            <v>6</v>
          </cell>
        </row>
        <row r="1005">
          <cell r="A1005" t="str">
            <v>BGD</v>
          </cell>
          <cell r="B1005" t="str">
            <v>Middle</v>
          </cell>
          <cell r="C1005" t="str">
            <v>2010 - 2022</v>
          </cell>
          <cell r="D1005" t="str">
            <v>med_reg_iter</v>
          </cell>
          <cell r="E1005" t="str">
            <v>lfprod_s1_a6</v>
          </cell>
          <cell r="F1005">
            <v>-2.8815557956695557</v>
          </cell>
          <cell r="G1005">
            <v>6</v>
          </cell>
        </row>
        <row r="1006">
          <cell r="A1006" t="str">
            <v>BGD</v>
          </cell>
          <cell r="B1006" t="str">
            <v>Middle</v>
          </cell>
          <cell r="C1006" t="str">
            <v>2010 - 2022</v>
          </cell>
          <cell r="D1006" t="str">
            <v>reg</v>
          </cell>
          <cell r="E1006" t="str">
            <v>lfls12_S0_A0</v>
          </cell>
          <cell r="F1006">
            <v>0.35131591558456421</v>
          </cell>
          <cell r="G1006">
            <v>6</v>
          </cell>
        </row>
        <row r="1007">
          <cell r="A1007" t="str">
            <v>BGD</v>
          </cell>
          <cell r="B1007" t="str">
            <v>Middle</v>
          </cell>
          <cell r="C1007" t="str">
            <v>2010 - 2022</v>
          </cell>
          <cell r="D1007" t="str">
            <v>reg</v>
          </cell>
          <cell r="E1007" t="str">
            <v>lfls1_S0_A0</v>
          </cell>
          <cell r="F1007">
            <v>0.34650024771690369</v>
          </cell>
          <cell r="G1007">
            <v>6</v>
          </cell>
        </row>
        <row r="1008">
          <cell r="A1008" t="str">
            <v>BGD</v>
          </cell>
          <cell r="B1008" t="str">
            <v>Middle</v>
          </cell>
          <cell r="C1008" t="str">
            <v>2010 - 2022</v>
          </cell>
          <cell r="D1008" t="str">
            <v>reg</v>
          </cell>
          <cell r="E1008" t="str">
            <v>lfls1_S0_a1</v>
          </cell>
          <cell r="F1008">
            <v>0.40842989087104797</v>
          </cell>
          <cell r="G1008">
            <v>6</v>
          </cell>
        </row>
        <row r="1009">
          <cell r="A1009" t="str">
            <v>BGD</v>
          </cell>
          <cell r="B1009" t="str">
            <v>Middle</v>
          </cell>
          <cell r="C1009" t="str">
            <v>2010 - 2022</v>
          </cell>
          <cell r="D1009" t="str">
            <v>reg</v>
          </cell>
          <cell r="E1009" t="str">
            <v>lfls1_S0_a2</v>
          </cell>
          <cell r="F1009">
            <v>0.43336650729179382</v>
          </cell>
          <cell r="G1009">
            <v>6</v>
          </cell>
        </row>
        <row r="1010">
          <cell r="A1010" t="str">
            <v>BGD</v>
          </cell>
          <cell r="B1010" t="str">
            <v>Middle</v>
          </cell>
          <cell r="C1010" t="str">
            <v>2010 - 2022</v>
          </cell>
          <cell r="D1010" t="str">
            <v>reg</v>
          </cell>
          <cell r="E1010" t="str">
            <v>lfls1_S0_a3</v>
          </cell>
          <cell r="F1010">
            <v>7.2327390313148499E-2</v>
          </cell>
          <cell r="G1010">
            <v>6</v>
          </cell>
        </row>
        <row r="1011">
          <cell r="A1011" t="str">
            <v>BGD</v>
          </cell>
          <cell r="B1011" t="str">
            <v>Middle</v>
          </cell>
          <cell r="C1011" t="str">
            <v>2010 - 2022</v>
          </cell>
          <cell r="D1011" t="str">
            <v>reg</v>
          </cell>
          <cell r="E1011" t="str">
            <v>lfls1_S0_a4</v>
          </cell>
          <cell r="F1011">
            <v>0.70252597332000732</v>
          </cell>
          <cell r="G1011">
            <v>6</v>
          </cell>
        </row>
        <row r="1012">
          <cell r="A1012" t="str">
            <v>BGD</v>
          </cell>
          <cell r="B1012" t="str">
            <v>Middle</v>
          </cell>
          <cell r="C1012" t="str">
            <v>2010 - 2022</v>
          </cell>
          <cell r="D1012" t="str">
            <v>reg</v>
          </cell>
          <cell r="E1012" t="str">
            <v>lfls1_S0_a5</v>
          </cell>
          <cell r="F1012">
            <v>0.49687746167182922</v>
          </cell>
          <cell r="G1012">
            <v>6</v>
          </cell>
        </row>
        <row r="1013">
          <cell r="A1013" t="str">
            <v>BGD</v>
          </cell>
          <cell r="B1013" t="str">
            <v>Middle</v>
          </cell>
          <cell r="C1013" t="str">
            <v>2010 - 2022</v>
          </cell>
          <cell r="D1013" t="str">
            <v>reg</v>
          </cell>
          <cell r="E1013" t="str">
            <v>lfls1_S0_a6</v>
          </cell>
          <cell r="F1013">
            <v>0.62616395950317383</v>
          </cell>
          <cell r="G1013">
            <v>6</v>
          </cell>
        </row>
        <row r="1014">
          <cell r="A1014" t="str">
            <v>BGD</v>
          </cell>
          <cell r="B1014" t="str">
            <v>Middle</v>
          </cell>
          <cell r="C1014" t="str">
            <v>2010 - 2022</v>
          </cell>
          <cell r="D1014" t="str">
            <v>reg</v>
          </cell>
          <cell r="E1014" t="str">
            <v>lfls1_s0_A0</v>
          </cell>
          <cell r="F1014">
            <v>0.26677244901657104</v>
          </cell>
          <cell r="G1014">
            <v>6</v>
          </cell>
        </row>
        <row r="1015">
          <cell r="A1015" t="str">
            <v>BGD</v>
          </cell>
          <cell r="B1015" t="str">
            <v>Middle</v>
          </cell>
          <cell r="C1015" t="str">
            <v>2010 - 2022</v>
          </cell>
          <cell r="D1015" t="str">
            <v>reg</v>
          </cell>
          <cell r="E1015" t="str">
            <v>lfls1_s0_a1</v>
          </cell>
          <cell r="F1015">
            <v>0.38607856631278992</v>
          </cell>
          <cell r="G1015">
            <v>6</v>
          </cell>
        </row>
        <row r="1016">
          <cell r="A1016" t="str">
            <v>BGD</v>
          </cell>
          <cell r="B1016" t="str">
            <v>Middle</v>
          </cell>
          <cell r="C1016" t="str">
            <v>2010 - 2022</v>
          </cell>
          <cell r="D1016" t="str">
            <v>reg</v>
          </cell>
          <cell r="E1016" t="str">
            <v>lfls1_s0_a2</v>
          </cell>
          <cell r="F1016">
            <v>0.43018791079521179</v>
          </cell>
          <cell r="G1016">
            <v>6</v>
          </cell>
        </row>
        <row r="1017">
          <cell r="A1017" t="str">
            <v>BGD</v>
          </cell>
          <cell r="B1017" t="str">
            <v>Middle</v>
          </cell>
          <cell r="C1017" t="str">
            <v>2010 - 2022</v>
          </cell>
          <cell r="D1017" t="str">
            <v>reg</v>
          </cell>
          <cell r="E1017" t="str">
            <v>lfls1_s0_a3</v>
          </cell>
          <cell r="F1017">
            <v>1.6714155208319426E-4</v>
          </cell>
          <cell r="G1017">
            <v>6</v>
          </cell>
        </row>
        <row r="1018">
          <cell r="A1018" t="str">
            <v>BGD</v>
          </cell>
          <cell r="B1018" t="str">
            <v>Middle</v>
          </cell>
          <cell r="C1018" t="str">
            <v>2010 - 2022</v>
          </cell>
          <cell r="D1018" t="str">
            <v>reg</v>
          </cell>
          <cell r="E1018" t="str">
            <v>lfls1_s0_a4</v>
          </cell>
          <cell r="F1018">
            <v>0.67941153049468994</v>
          </cell>
          <cell r="G1018">
            <v>6</v>
          </cell>
        </row>
        <row r="1019">
          <cell r="A1019" t="str">
            <v>BGD</v>
          </cell>
          <cell r="B1019" t="str">
            <v>Middle</v>
          </cell>
          <cell r="C1019" t="str">
            <v>2010 - 2022</v>
          </cell>
          <cell r="D1019" t="str">
            <v>reg</v>
          </cell>
          <cell r="E1019" t="str">
            <v>lfls1_s0_a5</v>
          </cell>
          <cell r="F1019">
            <v>0.72901296615600586</v>
          </cell>
          <cell r="G1019">
            <v>6</v>
          </cell>
        </row>
        <row r="1020">
          <cell r="A1020" t="str">
            <v>BGD</v>
          </cell>
          <cell r="B1020" t="str">
            <v>Middle</v>
          </cell>
          <cell r="C1020" t="str">
            <v>2010 - 2022</v>
          </cell>
          <cell r="D1020" t="str">
            <v>reg</v>
          </cell>
          <cell r="E1020" t="str">
            <v>lfls1_s0_a6</v>
          </cell>
          <cell r="F1020">
            <v>0.37973201274871826</v>
          </cell>
          <cell r="G1020">
            <v>6</v>
          </cell>
        </row>
        <row r="1021">
          <cell r="A1021" t="str">
            <v>BGD</v>
          </cell>
          <cell r="B1021" t="str">
            <v>Middle</v>
          </cell>
          <cell r="C1021" t="str">
            <v>2010 - 2022</v>
          </cell>
          <cell r="D1021" t="str">
            <v>reg</v>
          </cell>
          <cell r="E1021" t="str">
            <v>lfls1_s1_A0</v>
          </cell>
          <cell r="F1021">
            <v>0.70505416393280029</v>
          </cell>
          <cell r="G1021">
            <v>6</v>
          </cell>
        </row>
        <row r="1022">
          <cell r="A1022" t="str">
            <v>BGD</v>
          </cell>
          <cell r="B1022" t="str">
            <v>Middle</v>
          </cell>
          <cell r="C1022" t="str">
            <v>2010 - 2022</v>
          </cell>
          <cell r="D1022" t="str">
            <v>reg</v>
          </cell>
          <cell r="E1022" t="str">
            <v>lfls1_s1_a1</v>
          </cell>
          <cell r="F1022">
            <v>1.3045108318328857</v>
          </cell>
          <cell r="G1022">
            <v>6</v>
          </cell>
        </row>
        <row r="1023">
          <cell r="A1023" t="str">
            <v>BGD</v>
          </cell>
          <cell r="B1023" t="str">
            <v>Middle</v>
          </cell>
          <cell r="C1023" t="str">
            <v>2010 - 2022</v>
          </cell>
          <cell r="D1023" t="str">
            <v>reg</v>
          </cell>
          <cell r="E1023" t="str">
            <v>lfls1_s1_a2</v>
          </cell>
          <cell r="F1023">
            <v>0.54793280363082886</v>
          </cell>
          <cell r="G1023">
            <v>6</v>
          </cell>
        </row>
        <row r="1024">
          <cell r="A1024" t="str">
            <v>BGD</v>
          </cell>
          <cell r="B1024" t="str">
            <v>Middle</v>
          </cell>
          <cell r="C1024" t="str">
            <v>2010 - 2022</v>
          </cell>
          <cell r="D1024" t="str">
            <v>reg</v>
          </cell>
          <cell r="E1024" t="str">
            <v>lfls1_s1_a3</v>
          </cell>
          <cell r="F1024">
            <v>1.0638836622238159</v>
          </cell>
          <cell r="G1024">
            <v>6</v>
          </cell>
        </row>
        <row r="1025">
          <cell r="A1025" t="str">
            <v>BGD</v>
          </cell>
          <cell r="B1025" t="str">
            <v>Middle</v>
          </cell>
          <cell r="C1025" t="str">
            <v>2010 - 2022</v>
          </cell>
          <cell r="D1025" t="str">
            <v>reg</v>
          </cell>
          <cell r="E1025" t="str">
            <v>lfls1_s1_a4</v>
          </cell>
          <cell r="F1025">
            <v>1.701790452003479</v>
          </cell>
          <cell r="G1025">
            <v>6</v>
          </cell>
        </row>
        <row r="1026">
          <cell r="A1026" t="str">
            <v>BGD</v>
          </cell>
          <cell r="B1026" t="str">
            <v>Middle</v>
          </cell>
          <cell r="C1026" t="str">
            <v>2010 - 2022</v>
          </cell>
          <cell r="D1026" t="str">
            <v>reg</v>
          </cell>
          <cell r="E1026" t="str">
            <v>lfls1_s1_a5</v>
          </cell>
          <cell r="F1026">
            <v>0.1527150422334671</v>
          </cell>
          <cell r="G1026">
            <v>6</v>
          </cell>
        </row>
        <row r="1027">
          <cell r="A1027" t="str">
            <v>BGD</v>
          </cell>
          <cell r="B1027" t="str">
            <v>Middle</v>
          </cell>
          <cell r="C1027" t="str">
            <v>2010 - 2022</v>
          </cell>
          <cell r="D1027" t="str">
            <v>reg</v>
          </cell>
          <cell r="E1027" t="str">
            <v>lfls1_s1_a6</v>
          </cell>
          <cell r="F1027">
            <v>1.4590518474578857</v>
          </cell>
          <cell r="G1027">
            <v>6</v>
          </cell>
        </row>
        <row r="1028">
          <cell r="A1028" t="str">
            <v>BGD</v>
          </cell>
          <cell r="B1028" t="str">
            <v>Middle</v>
          </cell>
          <cell r="C1028" t="str">
            <v>2010 - 2022</v>
          </cell>
          <cell r="D1028" t="str">
            <v>reg</v>
          </cell>
          <cell r="E1028" t="str">
            <v>lfprod_s0_a1</v>
          </cell>
          <cell r="F1028">
            <v>-0.6139214038848877</v>
          </cell>
          <cell r="G1028">
            <v>6</v>
          </cell>
        </row>
        <row r="1029">
          <cell r="A1029" t="str">
            <v>BGD</v>
          </cell>
          <cell r="B1029" t="str">
            <v>Middle</v>
          </cell>
          <cell r="C1029" t="str">
            <v>2010 - 2022</v>
          </cell>
          <cell r="D1029" t="str">
            <v>reg</v>
          </cell>
          <cell r="E1029" t="str">
            <v>lfprod_s0_a2</v>
          </cell>
          <cell r="F1029">
            <v>-0.5698121190071106</v>
          </cell>
          <cell r="G1029">
            <v>6</v>
          </cell>
        </row>
        <row r="1030">
          <cell r="A1030" t="str">
            <v>BGD</v>
          </cell>
          <cell r="B1030" t="str">
            <v>Middle</v>
          </cell>
          <cell r="C1030" t="str">
            <v>2010 - 2022</v>
          </cell>
          <cell r="D1030" t="str">
            <v>reg</v>
          </cell>
          <cell r="E1030" t="str">
            <v>lfprod_s0_a3</v>
          </cell>
          <cell r="F1030">
            <v>-0.9998328685760498</v>
          </cell>
          <cell r="G1030">
            <v>6</v>
          </cell>
        </row>
        <row r="1031">
          <cell r="A1031" t="str">
            <v>BGD</v>
          </cell>
          <cell r="B1031" t="str">
            <v>Middle</v>
          </cell>
          <cell r="C1031" t="str">
            <v>2010 - 2022</v>
          </cell>
          <cell r="D1031" t="str">
            <v>reg</v>
          </cell>
          <cell r="E1031" t="str">
            <v>lfprod_s0_a4</v>
          </cell>
          <cell r="F1031">
            <v>-0.32058849930763245</v>
          </cell>
          <cell r="G1031">
            <v>6</v>
          </cell>
        </row>
        <row r="1032">
          <cell r="A1032" t="str">
            <v>BGD</v>
          </cell>
          <cell r="B1032" t="str">
            <v>Middle</v>
          </cell>
          <cell r="C1032" t="str">
            <v>2010 - 2022</v>
          </cell>
          <cell r="D1032" t="str">
            <v>reg</v>
          </cell>
          <cell r="E1032" t="str">
            <v>lfprod_s0_a5</v>
          </cell>
          <cell r="F1032">
            <v>-0.27098700404167175</v>
          </cell>
          <cell r="G1032">
            <v>6</v>
          </cell>
        </row>
        <row r="1033">
          <cell r="A1033" t="str">
            <v>BGD</v>
          </cell>
          <cell r="B1033" t="str">
            <v>Middle</v>
          </cell>
          <cell r="C1033" t="str">
            <v>2010 - 2022</v>
          </cell>
          <cell r="D1033" t="str">
            <v>reg</v>
          </cell>
          <cell r="E1033" t="str">
            <v>lfprod_s0_a6</v>
          </cell>
          <cell r="F1033">
            <v>-0.62026798725128174</v>
          </cell>
          <cell r="G1033">
            <v>6</v>
          </cell>
        </row>
        <row r="1034">
          <cell r="A1034" t="str">
            <v>BGD</v>
          </cell>
          <cell r="B1034" t="str">
            <v>Middle</v>
          </cell>
          <cell r="C1034" t="str">
            <v>2010 - 2022</v>
          </cell>
          <cell r="D1034" t="str">
            <v>reg</v>
          </cell>
          <cell r="E1034" t="str">
            <v>lfprod_s1_a1</v>
          </cell>
          <cell r="F1034">
            <v>0.30451083183288574</v>
          </cell>
          <cell r="G1034">
            <v>6</v>
          </cell>
        </row>
        <row r="1035">
          <cell r="A1035" t="str">
            <v>BGD</v>
          </cell>
          <cell r="B1035" t="str">
            <v>Middle</v>
          </cell>
          <cell r="C1035" t="str">
            <v>2010 - 2022</v>
          </cell>
          <cell r="D1035" t="str">
            <v>reg</v>
          </cell>
          <cell r="E1035" t="str">
            <v>lfprod_s1_a2</v>
          </cell>
          <cell r="F1035">
            <v>-0.45206719636917114</v>
          </cell>
          <cell r="G1035">
            <v>6</v>
          </cell>
        </row>
        <row r="1036">
          <cell r="A1036" t="str">
            <v>BGD</v>
          </cell>
          <cell r="B1036" t="str">
            <v>Middle</v>
          </cell>
          <cell r="C1036" t="str">
            <v>2010 - 2022</v>
          </cell>
          <cell r="D1036" t="str">
            <v>reg</v>
          </cell>
          <cell r="E1036" t="str">
            <v>lfprod_s1_a3</v>
          </cell>
          <cell r="F1036">
            <v>6.3883639872074127E-2</v>
          </cell>
          <cell r="G1036">
            <v>6</v>
          </cell>
        </row>
        <row r="1037">
          <cell r="A1037" t="str">
            <v>BGD</v>
          </cell>
          <cell r="B1037" t="str">
            <v>Middle</v>
          </cell>
          <cell r="C1037" t="str">
            <v>2010 - 2022</v>
          </cell>
          <cell r="D1037" t="str">
            <v>reg</v>
          </cell>
          <cell r="E1037" t="str">
            <v>lfprod_s1_a4</v>
          </cell>
          <cell r="F1037">
            <v>0.701790452003479</v>
          </cell>
          <cell r="G1037">
            <v>6</v>
          </cell>
        </row>
        <row r="1038">
          <cell r="A1038" t="str">
            <v>BGD</v>
          </cell>
          <cell r="B1038" t="str">
            <v>Middle</v>
          </cell>
          <cell r="C1038" t="str">
            <v>2010 - 2022</v>
          </cell>
          <cell r="D1038" t="str">
            <v>reg</v>
          </cell>
          <cell r="E1038" t="str">
            <v>lfprod_s1_a5</v>
          </cell>
          <cell r="F1038">
            <v>-0.84728497266769409</v>
          </cell>
          <cell r="G1038">
            <v>6</v>
          </cell>
        </row>
        <row r="1039">
          <cell r="A1039" t="str">
            <v>BGD</v>
          </cell>
          <cell r="B1039" t="str">
            <v>Middle</v>
          </cell>
          <cell r="C1039" t="str">
            <v>2010 - 2022</v>
          </cell>
          <cell r="D1039" t="str">
            <v>reg</v>
          </cell>
          <cell r="E1039" t="str">
            <v>lfprod_s1_a6</v>
          </cell>
          <cell r="F1039">
            <v>0.45905184745788574</v>
          </cell>
          <cell r="G1039">
            <v>6</v>
          </cell>
        </row>
        <row r="1040">
          <cell r="A1040" t="str">
            <v>BGD</v>
          </cell>
          <cell r="B1040" t="str">
            <v>Middle</v>
          </cell>
          <cell r="C1040" t="str">
            <v>2010 - 2022</v>
          </cell>
          <cell r="D1040" t="str">
            <v>reg_gdp</v>
          </cell>
          <cell r="E1040" t="str">
            <v>lfls12_S0_A0</v>
          </cell>
          <cell r="F1040">
            <v>0.35131591558456421</v>
          </cell>
          <cell r="G1040">
            <v>6</v>
          </cell>
        </row>
        <row r="1041">
          <cell r="A1041" t="str">
            <v>BGD</v>
          </cell>
          <cell r="B1041" t="str">
            <v>Middle</v>
          </cell>
          <cell r="C1041" t="str">
            <v>2010 - 2022</v>
          </cell>
          <cell r="D1041" t="str">
            <v>reg_gdp</v>
          </cell>
          <cell r="E1041" t="str">
            <v>lfls1_S0_A0</v>
          </cell>
          <cell r="F1041">
            <v>0.34650024771690369</v>
          </cell>
          <cell r="G1041">
            <v>6</v>
          </cell>
        </row>
        <row r="1042">
          <cell r="A1042" t="str">
            <v>BGD</v>
          </cell>
          <cell r="B1042" t="str">
            <v>Middle</v>
          </cell>
          <cell r="C1042" t="str">
            <v>2010 - 2022</v>
          </cell>
          <cell r="D1042" t="str">
            <v>reg_gdp</v>
          </cell>
          <cell r="E1042" t="str">
            <v>lfls1_S0_a1</v>
          </cell>
          <cell r="F1042">
            <v>0.42949250340461731</v>
          </cell>
          <cell r="G1042">
            <v>6</v>
          </cell>
        </row>
        <row r="1043">
          <cell r="A1043" t="str">
            <v>BGD</v>
          </cell>
          <cell r="B1043" t="str">
            <v>Middle</v>
          </cell>
          <cell r="C1043" t="str">
            <v>2010 - 2022</v>
          </cell>
          <cell r="D1043" t="str">
            <v>reg_gdp</v>
          </cell>
          <cell r="E1043" t="str">
            <v>lfls1_S0_a2</v>
          </cell>
          <cell r="F1043">
            <v>1.0784544944763184</v>
          </cell>
          <cell r="G1043">
            <v>6</v>
          </cell>
        </row>
        <row r="1044">
          <cell r="A1044" t="str">
            <v>BGD</v>
          </cell>
          <cell r="B1044" t="str">
            <v>Middle</v>
          </cell>
          <cell r="C1044" t="str">
            <v>2010 - 2022</v>
          </cell>
          <cell r="D1044" t="str">
            <v>reg_gdp</v>
          </cell>
          <cell r="E1044" t="str">
            <v>lfls1_S0_a3</v>
          </cell>
          <cell r="F1044">
            <v>6.9974970817565918</v>
          </cell>
          <cell r="G1044">
            <v>6</v>
          </cell>
        </row>
        <row r="1045">
          <cell r="A1045" t="str">
            <v>BGD</v>
          </cell>
          <cell r="B1045" t="str">
            <v>Middle</v>
          </cell>
          <cell r="C1045" t="str">
            <v>2010 - 2022</v>
          </cell>
          <cell r="D1045" t="str">
            <v>reg_gdp</v>
          </cell>
          <cell r="E1045" t="str">
            <v>lfls1_S0_a4</v>
          </cell>
          <cell r="F1045">
            <v>-0.62019646167755127</v>
          </cell>
          <cell r="G1045">
            <v>6</v>
          </cell>
        </row>
        <row r="1046">
          <cell r="A1046" t="str">
            <v>BGD</v>
          </cell>
          <cell r="B1046" t="str">
            <v>Middle</v>
          </cell>
          <cell r="C1046" t="str">
            <v>2010 - 2022</v>
          </cell>
          <cell r="D1046" t="str">
            <v>reg_gdp</v>
          </cell>
          <cell r="E1046" t="str">
            <v>lfls1_S0_a5</v>
          </cell>
          <cell r="F1046">
            <v>0.12979482114315033</v>
          </cell>
          <cell r="G1046">
            <v>6</v>
          </cell>
        </row>
        <row r="1047">
          <cell r="A1047" t="str">
            <v>BGD</v>
          </cell>
          <cell r="B1047" t="str">
            <v>Middle</v>
          </cell>
          <cell r="C1047" t="str">
            <v>2010 - 2022</v>
          </cell>
          <cell r="D1047" t="str">
            <v>reg_gdp</v>
          </cell>
          <cell r="E1047" t="str">
            <v>lfls1_S0_a6</v>
          </cell>
          <cell r="F1047">
            <v>0.85781311988830566</v>
          </cell>
          <cell r="G1047">
            <v>6</v>
          </cell>
        </row>
        <row r="1048">
          <cell r="A1048" t="str">
            <v>BGD</v>
          </cell>
          <cell r="B1048" t="str">
            <v>Middle</v>
          </cell>
          <cell r="C1048" t="str">
            <v>2010 - 2022</v>
          </cell>
          <cell r="D1048" t="str">
            <v>reg_gdp</v>
          </cell>
          <cell r="E1048" t="str">
            <v>lfls1_s0_A0</v>
          </cell>
          <cell r="F1048">
            <v>0.26677244901657104</v>
          </cell>
          <cell r="G1048">
            <v>6</v>
          </cell>
        </row>
        <row r="1049">
          <cell r="A1049" t="str">
            <v>BGD</v>
          </cell>
          <cell r="B1049" t="str">
            <v>Middle</v>
          </cell>
          <cell r="C1049" t="str">
            <v>2010 - 2022</v>
          </cell>
          <cell r="D1049" t="str">
            <v>reg_gdp</v>
          </cell>
          <cell r="E1049" t="str">
            <v>lfls1_s0_a1</v>
          </cell>
          <cell r="F1049">
            <v>-2.5847146511077881</v>
          </cell>
          <cell r="G1049">
            <v>6</v>
          </cell>
        </row>
        <row r="1050">
          <cell r="A1050" t="str">
            <v>BGD</v>
          </cell>
          <cell r="B1050" t="str">
            <v>Middle</v>
          </cell>
          <cell r="C1050" t="str">
            <v>2010 - 2022</v>
          </cell>
          <cell r="D1050" t="str">
            <v>reg_gdp</v>
          </cell>
          <cell r="E1050" t="str">
            <v>lfls1_s0_a2</v>
          </cell>
          <cell r="F1050">
            <v>1.2360221147537231</v>
          </cell>
          <cell r="G1050">
            <v>6</v>
          </cell>
        </row>
        <row r="1051">
          <cell r="A1051" t="str">
            <v>BGD</v>
          </cell>
          <cell r="B1051" t="str">
            <v>Middle</v>
          </cell>
          <cell r="C1051" t="str">
            <v>2010 - 2022</v>
          </cell>
          <cell r="D1051" t="str">
            <v>reg_gdp</v>
          </cell>
          <cell r="E1051" t="str">
            <v>lfls1_s0_a3</v>
          </cell>
          <cell r="F1051">
            <v>6.1122570037841797</v>
          </cell>
          <cell r="G1051">
            <v>6</v>
          </cell>
        </row>
        <row r="1052">
          <cell r="A1052" t="str">
            <v>BGD</v>
          </cell>
          <cell r="B1052" t="str">
            <v>Middle</v>
          </cell>
          <cell r="C1052" t="str">
            <v>2010 - 2022</v>
          </cell>
          <cell r="D1052" t="str">
            <v>reg_gdp</v>
          </cell>
          <cell r="E1052" t="str">
            <v>lfls1_s0_a4</v>
          </cell>
          <cell r="F1052">
            <v>-0.6727675199508667</v>
          </cell>
          <cell r="G1052">
            <v>6</v>
          </cell>
        </row>
        <row r="1053">
          <cell r="A1053" t="str">
            <v>BGD</v>
          </cell>
          <cell r="B1053" t="str">
            <v>Middle</v>
          </cell>
          <cell r="C1053" t="str">
            <v>2010 - 2022</v>
          </cell>
          <cell r="D1053" t="str">
            <v>reg_gdp</v>
          </cell>
          <cell r="E1053" t="str">
            <v>lfls1_s0_a5</v>
          </cell>
          <cell r="F1053">
            <v>-0.86164003610610962</v>
          </cell>
          <cell r="G1053">
            <v>6</v>
          </cell>
        </row>
        <row r="1054">
          <cell r="A1054" t="str">
            <v>BGD</v>
          </cell>
          <cell r="B1054" t="str">
            <v>Middle</v>
          </cell>
          <cell r="C1054" t="str">
            <v>2010 - 2022</v>
          </cell>
          <cell r="D1054" t="str">
            <v>reg_gdp</v>
          </cell>
          <cell r="E1054" t="str">
            <v>lfls1_s0_a6</v>
          </cell>
          <cell r="F1054">
            <v>1.4710167646408081</v>
          </cell>
          <cell r="G1054">
            <v>6</v>
          </cell>
        </row>
        <row r="1055">
          <cell r="A1055" t="str">
            <v>BGD</v>
          </cell>
          <cell r="B1055" t="str">
            <v>Middle</v>
          </cell>
          <cell r="C1055" t="str">
            <v>2010 - 2022</v>
          </cell>
          <cell r="D1055" t="str">
            <v>reg_gdp</v>
          </cell>
          <cell r="E1055" t="str">
            <v>lfls1_s1_A0</v>
          </cell>
          <cell r="F1055">
            <v>0.70505416393280029</v>
          </cell>
          <cell r="G1055">
            <v>6</v>
          </cell>
        </row>
        <row r="1056">
          <cell r="A1056" t="str">
            <v>BGD</v>
          </cell>
          <cell r="B1056" t="str">
            <v>Middle</v>
          </cell>
          <cell r="C1056" t="str">
            <v>2010 - 2022</v>
          </cell>
          <cell r="D1056" t="str">
            <v>reg_gdp</v>
          </cell>
          <cell r="E1056" t="str">
            <v>lfls1_s1_a1</v>
          </cell>
          <cell r="F1056">
            <v>3.2255244255065918</v>
          </cell>
          <cell r="G1056">
            <v>6</v>
          </cell>
        </row>
        <row r="1057">
          <cell r="A1057" t="str">
            <v>BGD</v>
          </cell>
          <cell r="B1057" t="str">
            <v>Middle</v>
          </cell>
          <cell r="C1057" t="str">
            <v>2010 - 2022</v>
          </cell>
          <cell r="D1057" t="str">
            <v>reg_gdp</v>
          </cell>
          <cell r="E1057" t="str">
            <v>lfls1_s1_a2</v>
          </cell>
          <cell r="F1057">
            <v>-1.7101261615753174</v>
          </cell>
          <cell r="G1057">
            <v>6</v>
          </cell>
        </row>
        <row r="1058">
          <cell r="A1058" t="str">
            <v>BGD</v>
          </cell>
          <cell r="B1058" t="str">
            <v>Middle</v>
          </cell>
          <cell r="C1058" t="str">
            <v>2010 - 2022</v>
          </cell>
          <cell r="D1058" t="str">
            <v>reg_gdp</v>
          </cell>
          <cell r="E1058" t="str">
            <v>lfls1_s1_a3</v>
          </cell>
          <cell r="F1058">
            <v>20.527565002441406</v>
          </cell>
          <cell r="G1058">
            <v>6</v>
          </cell>
        </row>
        <row r="1059">
          <cell r="A1059" t="str">
            <v>BGD</v>
          </cell>
          <cell r="B1059" t="str">
            <v>Middle</v>
          </cell>
          <cell r="C1059" t="str">
            <v>2010 - 2022</v>
          </cell>
          <cell r="D1059" t="str">
            <v>reg_gdp</v>
          </cell>
          <cell r="E1059" t="str">
            <v>lfls1_s1_a4</v>
          </cell>
          <cell r="F1059">
            <v>1.3804391622543335</v>
          </cell>
          <cell r="G1059">
            <v>6</v>
          </cell>
        </row>
        <row r="1060">
          <cell r="A1060" t="str">
            <v>BGD</v>
          </cell>
          <cell r="B1060" t="str">
            <v>Middle</v>
          </cell>
          <cell r="C1060" t="str">
            <v>2010 - 2022</v>
          </cell>
          <cell r="D1060" t="str">
            <v>reg_gdp</v>
          </cell>
          <cell r="E1060" t="str">
            <v>lfls1_s1_a5</v>
          </cell>
          <cell r="F1060">
            <v>1.4208126068115234</v>
          </cell>
          <cell r="G1060">
            <v>6</v>
          </cell>
        </row>
        <row r="1061">
          <cell r="A1061" t="str">
            <v>BGD</v>
          </cell>
          <cell r="B1061" t="str">
            <v>Middle</v>
          </cell>
          <cell r="C1061" t="str">
            <v>2010 - 2022</v>
          </cell>
          <cell r="D1061" t="str">
            <v>reg_gdp</v>
          </cell>
          <cell r="E1061" t="str">
            <v>lfls1_s1_a6</v>
          </cell>
          <cell r="F1061">
            <v>-2.0003602504730225</v>
          </cell>
          <cell r="G1061">
            <v>6</v>
          </cell>
        </row>
        <row r="1062">
          <cell r="A1062" t="str">
            <v>BGD</v>
          </cell>
          <cell r="B1062" t="str">
            <v>Middle</v>
          </cell>
          <cell r="C1062" t="str">
            <v>2010 - 2022</v>
          </cell>
          <cell r="D1062" t="str">
            <v>reg_gdp</v>
          </cell>
          <cell r="E1062" t="str">
            <v>lfprod_s0_a1</v>
          </cell>
          <cell r="F1062">
            <v>-3.5847146511077881</v>
          </cell>
          <cell r="G1062">
            <v>6</v>
          </cell>
        </row>
        <row r="1063">
          <cell r="A1063" t="str">
            <v>BGD</v>
          </cell>
          <cell r="B1063" t="str">
            <v>Middle</v>
          </cell>
          <cell r="C1063" t="str">
            <v>2010 - 2022</v>
          </cell>
          <cell r="D1063" t="str">
            <v>reg_gdp</v>
          </cell>
          <cell r="E1063" t="str">
            <v>lfprod_s0_a2</v>
          </cell>
          <cell r="F1063">
            <v>0.23602207005023956</v>
          </cell>
          <cell r="G1063">
            <v>6</v>
          </cell>
        </row>
        <row r="1064">
          <cell r="A1064" t="str">
            <v>BGD</v>
          </cell>
          <cell r="B1064" t="str">
            <v>Middle</v>
          </cell>
          <cell r="C1064" t="str">
            <v>2010 - 2022</v>
          </cell>
          <cell r="D1064" t="str">
            <v>reg_gdp</v>
          </cell>
          <cell r="E1064" t="str">
            <v>lfprod_s0_a3</v>
          </cell>
          <cell r="F1064">
            <v>5.1122570037841797</v>
          </cell>
          <cell r="G1064">
            <v>6</v>
          </cell>
        </row>
        <row r="1065">
          <cell r="A1065" t="str">
            <v>BGD</v>
          </cell>
          <cell r="B1065" t="str">
            <v>Middle</v>
          </cell>
          <cell r="C1065" t="str">
            <v>2010 - 2022</v>
          </cell>
          <cell r="D1065" t="str">
            <v>reg_gdp</v>
          </cell>
          <cell r="E1065" t="str">
            <v>lfprod_s0_a4</v>
          </cell>
          <cell r="F1065">
            <v>-1.6727675199508667</v>
          </cell>
          <cell r="G1065">
            <v>6</v>
          </cell>
        </row>
        <row r="1066">
          <cell r="A1066" t="str">
            <v>BGD</v>
          </cell>
          <cell r="B1066" t="str">
            <v>Middle</v>
          </cell>
          <cell r="C1066" t="str">
            <v>2010 - 2022</v>
          </cell>
          <cell r="D1066" t="str">
            <v>reg_gdp</v>
          </cell>
          <cell r="E1066" t="str">
            <v>lfprod_s0_a5</v>
          </cell>
          <cell r="F1066">
            <v>-1.8616399765014648</v>
          </cell>
          <cell r="G1066">
            <v>6</v>
          </cell>
        </row>
        <row r="1067">
          <cell r="A1067" t="str">
            <v>BGD</v>
          </cell>
          <cell r="B1067" t="str">
            <v>Middle</v>
          </cell>
          <cell r="C1067" t="str">
            <v>2010 - 2022</v>
          </cell>
          <cell r="D1067" t="str">
            <v>reg_gdp</v>
          </cell>
          <cell r="E1067" t="str">
            <v>lfprod_s0_a6</v>
          </cell>
          <cell r="F1067">
            <v>0.47101670503616333</v>
          </cell>
          <cell r="G1067">
            <v>6</v>
          </cell>
        </row>
        <row r="1068">
          <cell r="A1068" t="str">
            <v>BGD</v>
          </cell>
          <cell r="B1068" t="str">
            <v>Middle</v>
          </cell>
          <cell r="C1068" t="str">
            <v>2010 - 2022</v>
          </cell>
          <cell r="D1068" t="str">
            <v>reg_gdp</v>
          </cell>
          <cell r="E1068" t="str">
            <v>lfprod_s1_a1</v>
          </cell>
          <cell r="F1068">
            <v>2.2255244255065918</v>
          </cell>
          <cell r="G1068">
            <v>6</v>
          </cell>
        </row>
        <row r="1069">
          <cell r="A1069" t="str">
            <v>BGD</v>
          </cell>
          <cell r="B1069" t="str">
            <v>Middle</v>
          </cell>
          <cell r="C1069" t="str">
            <v>2010 - 2022</v>
          </cell>
          <cell r="D1069" t="str">
            <v>reg_gdp</v>
          </cell>
          <cell r="E1069" t="str">
            <v>lfprod_s1_a2</v>
          </cell>
          <cell r="F1069">
            <v>-2.7101261615753174</v>
          </cell>
          <cell r="G1069">
            <v>6</v>
          </cell>
        </row>
        <row r="1070">
          <cell r="A1070" t="str">
            <v>BGD</v>
          </cell>
          <cell r="B1070" t="str">
            <v>Middle</v>
          </cell>
          <cell r="C1070" t="str">
            <v>2010 - 2022</v>
          </cell>
          <cell r="D1070" t="str">
            <v>reg_gdp</v>
          </cell>
          <cell r="E1070" t="str">
            <v>lfprod_s1_a3</v>
          </cell>
          <cell r="F1070">
            <v>19.527565002441406</v>
          </cell>
          <cell r="G1070">
            <v>6</v>
          </cell>
        </row>
        <row r="1071">
          <cell r="A1071" t="str">
            <v>BGD</v>
          </cell>
          <cell r="B1071" t="str">
            <v>Middle</v>
          </cell>
          <cell r="C1071" t="str">
            <v>2010 - 2022</v>
          </cell>
          <cell r="D1071" t="str">
            <v>reg_gdp</v>
          </cell>
          <cell r="E1071" t="str">
            <v>lfprod_s1_a4</v>
          </cell>
          <cell r="F1071">
            <v>0.38043910264968872</v>
          </cell>
          <cell r="G1071">
            <v>6</v>
          </cell>
        </row>
        <row r="1072">
          <cell r="A1072" t="str">
            <v>BGD</v>
          </cell>
          <cell r="B1072" t="str">
            <v>Middle</v>
          </cell>
          <cell r="C1072" t="str">
            <v>2010 - 2022</v>
          </cell>
          <cell r="D1072" t="str">
            <v>reg_gdp</v>
          </cell>
          <cell r="E1072" t="str">
            <v>lfprod_s1_a5</v>
          </cell>
          <cell r="F1072">
            <v>0.42081257700920105</v>
          </cell>
          <cell r="G1072">
            <v>6</v>
          </cell>
        </row>
        <row r="1073">
          <cell r="A1073" t="str">
            <v>BGD</v>
          </cell>
          <cell r="B1073" t="str">
            <v>Middle</v>
          </cell>
          <cell r="C1073" t="str">
            <v>2010 - 2022</v>
          </cell>
          <cell r="D1073" t="str">
            <v>reg_gdp</v>
          </cell>
          <cell r="E1073" t="str">
            <v>lfprod_s1_a6</v>
          </cell>
          <cell r="F1073">
            <v>-3.0003602504730225</v>
          </cell>
          <cell r="G1073">
            <v>6</v>
          </cell>
        </row>
        <row r="1074">
          <cell r="A1074" t="str">
            <v>BGD</v>
          </cell>
          <cell r="B1074" t="str">
            <v>Middle</v>
          </cell>
          <cell r="C1074" t="str">
            <v>2010 - 2022</v>
          </cell>
          <cell r="D1074" t="str">
            <v>reg_iter</v>
          </cell>
          <cell r="E1074" t="str">
            <v>lfls12_S0_A0</v>
          </cell>
          <cell r="F1074">
            <v>0.35131591558456421</v>
          </cell>
          <cell r="G1074">
            <v>6</v>
          </cell>
        </row>
        <row r="1075">
          <cell r="A1075" t="str">
            <v>BGD</v>
          </cell>
          <cell r="B1075" t="str">
            <v>Middle</v>
          </cell>
          <cell r="C1075" t="str">
            <v>2010 - 2022</v>
          </cell>
          <cell r="D1075" t="str">
            <v>reg_iter</v>
          </cell>
          <cell r="E1075" t="str">
            <v>lfls1_S0_A0</v>
          </cell>
          <cell r="F1075">
            <v>0.34650024771690369</v>
          </cell>
          <cell r="G1075">
            <v>6</v>
          </cell>
        </row>
        <row r="1076">
          <cell r="A1076" t="str">
            <v>BGD</v>
          </cell>
          <cell r="B1076" t="str">
            <v>Middle</v>
          </cell>
          <cell r="C1076" t="str">
            <v>2010 - 2022</v>
          </cell>
          <cell r="D1076" t="str">
            <v>reg_iter</v>
          </cell>
          <cell r="E1076" t="str">
            <v>lfls1_S0_a1</v>
          </cell>
          <cell r="F1076">
            <v>0.42949250340461731</v>
          </cell>
          <cell r="G1076">
            <v>6</v>
          </cell>
        </row>
        <row r="1077">
          <cell r="A1077" t="str">
            <v>BGD</v>
          </cell>
          <cell r="B1077" t="str">
            <v>Middle</v>
          </cell>
          <cell r="C1077" t="str">
            <v>2010 - 2022</v>
          </cell>
          <cell r="D1077" t="str">
            <v>reg_iter</v>
          </cell>
          <cell r="E1077" t="str">
            <v>lfls1_S0_a2</v>
          </cell>
          <cell r="F1077">
            <v>1.0784544944763184</v>
          </cell>
          <cell r="G1077">
            <v>6</v>
          </cell>
        </row>
        <row r="1078">
          <cell r="A1078" t="str">
            <v>BGD</v>
          </cell>
          <cell r="B1078" t="str">
            <v>Middle</v>
          </cell>
          <cell r="C1078" t="str">
            <v>2010 - 2022</v>
          </cell>
          <cell r="D1078" t="str">
            <v>reg_iter</v>
          </cell>
          <cell r="E1078" t="str">
            <v>lfls1_S0_a3</v>
          </cell>
          <cell r="F1078">
            <v>6.9974970817565918</v>
          </cell>
          <cell r="G1078">
            <v>6</v>
          </cell>
        </row>
        <row r="1079">
          <cell r="A1079" t="str">
            <v>BGD</v>
          </cell>
          <cell r="B1079" t="str">
            <v>Middle</v>
          </cell>
          <cell r="C1079" t="str">
            <v>2010 - 2022</v>
          </cell>
          <cell r="D1079" t="str">
            <v>reg_iter</v>
          </cell>
          <cell r="E1079" t="str">
            <v>lfls1_S0_a4</v>
          </cell>
          <cell r="F1079">
            <v>-0.62019646167755127</v>
          </cell>
          <cell r="G1079">
            <v>6</v>
          </cell>
        </row>
        <row r="1080">
          <cell r="A1080" t="str">
            <v>BGD</v>
          </cell>
          <cell r="B1080" t="str">
            <v>Middle</v>
          </cell>
          <cell r="C1080" t="str">
            <v>2010 - 2022</v>
          </cell>
          <cell r="D1080" t="str">
            <v>reg_iter</v>
          </cell>
          <cell r="E1080" t="str">
            <v>lfls1_S0_a5</v>
          </cell>
          <cell r="F1080">
            <v>0.12979482114315033</v>
          </cell>
          <cell r="G1080">
            <v>6</v>
          </cell>
        </row>
        <row r="1081">
          <cell r="A1081" t="str">
            <v>BGD</v>
          </cell>
          <cell r="B1081" t="str">
            <v>Middle</v>
          </cell>
          <cell r="C1081" t="str">
            <v>2010 - 2022</v>
          </cell>
          <cell r="D1081" t="str">
            <v>reg_iter</v>
          </cell>
          <cell r="E1081" t="str">
            <v>lfls1_S0_a6</v>
          </cell>
          <cell r="F1081">
            <v>0.85781311988830566</v>
          </cell>
          <cell r="G1081">
            <v>6</v>
          </cell>
        </row>
        <row r="1082">
          <cell r="A1082" t="str">
            <v>BGD</v>
          </cell>
          <cell r="B1082" t="str">
            <v>Middle</v>
          </cell>
          <cell r="C1082" t="str">
            <v>2010 - 2022</v>
          </cell>
          <cell r="D1082" t="str">
            <v>reg_iter</v>
          </cell>
          <cell r="E1082" t="str">
            <v>lfls1_s0_A0</v>
          </cell>
          <cell r="F1082">
            <v>0.26677244901657104</v>
          </cell>
          <cell r="G1082">
            <v>6</v>
          </cell>
        </row>
        <row r="1083">
          <cell r="A1083" t="str">
            <v>BGD</v>
          </cell>
          <cell r="B1083" t="str">
            <v>Middle</v>
          </cell>
          <cell r="C1083" t="str">
            <v>2010 - 2022</v>
          </cell>
          <cell r="D1083" t="str">
            <v>reg_iter</v>
          </cell>
          <cell r="E1083" t="str">
            <v>lfls1_s0_a1</v>
          </cell>
          <cell r="F1083">
            <v>-2.5847146511077881</v>
          </cell>
          <cell r="G1083">
            <v>6</v>
          </cell>
        </row>
        <row r="1084">
          <cell r="A1084" t="str">
            <v>BGD</v>
          </cell>
          <cell r="B1084" t="str">
            <v>Middle</v>
          </cell>
          <cell r="C1084" t="str">
            <v>2010 - 2022</v>
          </cell>
          <cell r="D1084" t="str">
            <v>reg_iter</v>
          </cell>
          <cell r="E1084" t="str">
            <v>lfls1_s0_a2</v>
          </cell>
          <cell r="F1084">
            <v>1.2360221147537231</v>
          </cell>
          <cell r="G1084">
            <v>6</v>
          </cell>
        </row>
        <row r="1085">
          <cell r="A1085" t="str">
            <v>BGD</v>
          </cell>
          <cell r="B1085" t="str">
            <v>Middle</v>
          </cell>
          <cell r="C1085" t="str">
            <v>2010 - 2022</v>
          </cell>
          <cell r="D1085" t="str">
            <v>reg_iter</v>
          </cell>
          <cell r="E1085" t="str">
            <v>lfls1_s0_a3</v>
          </cell>
          <cell r="F1085">
            <v>6.1122570037841797</v>
          </cell>
          <cell r="G1085">
            <v>6</v>
          </cell>
        </row>
        <row r="1086">
          <cell r="A1086" t="str">
            <v>BGD</v>
          </cell>
          <cell r="B1086" t="str">
            <v>Middle</v>
          </cell>
          <cell r="C1086" t="str">
            <v>2010 - 2022</v>
          </cell>
          <cell r="D1086" t="str">
            <v>reg_iter</v>
          </cell>
          <cell r="E1086" t="str">
            <v>lfls1_s0_a4</v>
          </cell>
          <cell r="F1086">
            <v>-0.6727675199508667</v>
          </cell>
          <cell r="G1086">
            <v>6</v>
          </cell>
        </row>
        <row r="1087">
          <cell r="A1087" t="str">
            <v>BGD</v>
          </cell>
          <cell r="B1087" t="str">
            <v>Middle</v>
          </cell>
          <cell r="C1087" t="str">
            <v>2010 - 2022</v>
          </cell>
          <cell r="D1087" t="str">
            <v>reg_iter</v>
          </cell>
          <cell r="E1087" t="str">
            <v>lfls1_s0_a5</v>
          </cell>
          <cell r="F1087">
            <v>-0.86164003610610962</v>
          </cell>
          <cell r="G1087">
            <v>6</v>
          </cell>
        </row>
        <row r="1088">
          <cell r="A1088" t="str">
            <v>BGD</v>
          </cell>
          <cell r="B1088" t="str">
            <v>Middle</v>
          </cell>
          <cell r="C1088" t="str">
            <v>2010 - 2022</v>
          </cell>
          <cell r="D1088" t="str">
            <v>reg_iter</v>
          </cell>
          <cell r="E1088" t="str">
            <v>lfls1_s0_a6</v>
          </cell>
          <cell r="F1088">
            <v>1.4710167646408081</v>
          </cell>
          <cell r="G1088">
            <v>6</v>
          </cell>
        </row>
        <row r="1089">
          <cell r="A1089" t="str">
            <v>BGD</v>
          </cell>
          <cell r="B1089" t="str">
            <v>Middle</v>
          </cell>
          <cell r="C1089" t="str">
            <v>2010 - 2022</v>
          </cell>
          <cell r="D1089" t="str">
            <v>reg_iter</v>
          </cell>
          <cell r="E1089" t="str">
            <v>lfls1_s1_A0</v>
          </cell>
          <cell r="F1089">
            <v>0.70505416393280029</v>
          </cell>
          <cell r="G1089">
            <v>6</v>
          </cell>
        </row>
        <row r="1090">
          <cell r="A1090" t="str">
            <v>BGD</v>
          </cell>
          <cell r="B1090" t="str">
            <v>Middle</v>
          </cell>
          <cell r="C1090" t="str">
            <v>2010 - 2022</v>
          </cell>
          <cell r="D1090" t="str">
            <v>reg_iter</v>
          </cell>
          <cell r="E1090" t="str">
            <v>lfls1_s1_a1</v>
          </cell>
          <cell r="F1090">
            <v>3.2255244255065918</v>
          </cell>
          <cell r="G1090">
            <v>6</v>
          </cell>
        </row>
        <row r="1091">
          <cell r="A1091" t="str">
            <v>BGD</v>
          </cell>
          <cell r="B1091" t="str">
            <v>Middle</v>
          </cell>
          <cell r="C1091" t="str">
            <v>2010 - 2022</v>
          </cell>
          <cell r="D1091" t="str">
            <v>reg_iter</v>
          </cell>
          <cell r="E1091" t="str">
            <v>lfls1_s1_a2</v>
          </cell>
          <cell r="F1091">
            <v>-1.7101261615753174</v>
          </cell>
          <cell r="G1091">
            <v>6</v>
          </cell>
        </row>
        <row r="1092">
          <cell r="A1092" t="str">
            <v>BGD</v>
          </cell>
          <cell r="B1092" t="str">
            <v>Middle</v>
          </cell>
          <cell r="C1092" t="str">
            <v>2010 - 2022</v>
          </cell>
          <cell r="D1092" t="str">
            <v>reg_iter</v>
          </cell>
          <cell r="E1092" t="str">
            <v>lfls1_s1_a3</v>
          </cell>
          <cell r="F1092">
            <v>20.527565002441406</v>
          </cell>
          <cell r="G1092">
            <v>6</v>
          </cell>
        </row>
        <row r="1093">
          <cell r="A1093" t="str">
            <v>BGD</v>
          </cell>
          <cell r="B1093" t="str">
            <v>Middle</v>
          </cell>
          <cell r="C1093" t="str">
            <v>2010 - 2022</v>
          </cell>
          <cell r="D1093" t="str">
            <v>reg_iter</v>
          </cell>
          <cell r="E1093" t="str">
            <v>lfls1_s1_a4</v>
          </cell>
          <cell r="F1093">
            <v>1.3804391622543335</v>
          </cell>
          <cell r="G1093">
            <v>6</v>
          </cell>
        </row>
        <row r="1094">
          <cell r="A1094" t="str">
            <v>BGD</v>
          </cell>
          <cell r="B1094" t="str">
            <v>Middle</v>
          </cell>
          <cell r="C1094" t="str">
            <v>2010 - 2022</v>
          </cell>
          <cell r="D1094" t="str">
            <v>reg_iter</v>
          </cell>
          <cell r="E1094" t="str">
            <v>lfls1_s1_a5</v>
          </cell>
          <cell r="F1094">
            <v>1.4208126068115234</v>
          </cell>
          <cell r="G1094">
            <v>6</v>
          </cell>
        </row>
        <row r="1095">
          <cell r="A1095" t="str">
            <v>BGD</v>
          </cell>
          <cell r="B1095" t="str">
            <v>Middle</v>
          </cell>
          <cell r="C1095" t="str">
            <v>2010 - 2022</v>
          </cell>
          <cell r="D1095" t="str">
            <v>reg_iter</v>
          </cell>
          <cell r="E1095" t="str">
            <v>lfls1_s1_a6</v>
          </cell>
          <cell r="F1095">
            <v>-2.0003602504730225</v>
          </cell>
          <cell r="G1095">
            <v>6</v>
          </cell>
        </row>
        <row r="1096">
          <cell r="A1096" t="str">
            <v>BGD</v>
          </cell>
          <cell r="B1096" t="str">
            <v>Middle</v>
          </cell>
          <cell r="C1096" t="str">
            <v>2010 - 2022</v>
          </cell>
          <cell r="D1096" t="str">
            <v>reg_iter</v>
          </cell>
          <cell r="E1096" t="str">
            <v>lfprod_s0_a1</v>
          </cell>
          <cell r="F1096">
            <v>-3.5847146511077881</v>
          </cell>
          <cell r="G1096">
            <v>6</v>
          </cell>
        </row>
        <row r="1097">
          <cell r="A1097" t="str">
            <v>BGD</v>
          </cell>
          <cell r="B1097" t="str">
            <v>Middle</v>
          </cell>
          <cell r="C1097" t="str">
            <v>2010 - 2022</v>
          </cell>
          <cell r="D1097" t="str">
            <v>reg_iter</v>
          </cell>
          <cell r="E1097" t="str">
            <v>lfprod_s0_a2</v>
          </cell>
          <cell r="F1097">
            <v>0.23602207005023956</v>
          </cell>
          <cell r="G1097">
            <v>6</v>
          </cell>
        </row>
        <row r="1098">
          <cell r="A1098" t="str">
            <v>BGD</v>
          </cell>
          <cell r="B1098" t="str">
            <v>Middle</v>
          </cell>
          <cell r="C1098" t="str">
            <v>2010 - 2022</v>
          </cell>
          <cell r="D1098" t="str">
            <v>reg_iter</v>
          </cell>
          <cell r="E1098" t="str">
            <v>lfprod_s0_a3</v>
          </cell>
          <cell r="F1098">
            <v>5.1122570037841797</v>
          </cell>
          <cell r="G1098">
            <v>6</v>
          </cell>
        </row>
        <row r="1099">
          <cell r="A1099" t="str">
            <v>BGD</v>
          </cell>
          <cell r="B1099" t="str">
            <v>Middle</v>
          </cell>
          <cell r="C1099" t="str">
            <v>2010 - 2022</v>
          </cell>
          <cell r="D1099" t="str">
            <v>reg_iter</v>
          </cell>
          <cell r="E1099" t="str">
            <v>lfprod_s0_a4</v>
          </cell>
          <cell r="F1099">
            <v>-1.6727675199508667</v>
          </cell>
          <cell r="G1099">
            <v>6</v>
          </cell>
        </row>
        <row r="1100">
          <cell r="A1100" t="str">
            <v>BGD</v>
          </cell>
          <cell r="B1100" t="str">
            <v>Middle</v>
          </cell>
          <cell r="C1100" t="str">
            <v>2010 - 2022</v>
          </cell>
          <cell r="D1100" t="str">
            <v>reg_iter</v>
          </cell>
          <cell r="E1100" t="str">
            <v>lfprod_s0_a5</v>
          </cell>
          <cell r="F1100">
            <v>-1.8616399765014648</v>
          </cell>
          <cell r="G1100">
            <v>6</v>
          </cell>
        </row>
        <row r="1101">
          <cell r="A1101" t="str">
            <v>BGD</v>
          </cell>
          <cell r="B1101" t="str">
            <v>Middle</v>
          </cell>
          <cell r="C1101" t="str">
            <v>2010 - 2022</v>
          </cell>
          <cell r="D1101" t="str">
            <v>reg_iter</v>
          </cell>
          <cell r="E1101" t="str">
            <v>lfprod_s0_a6</v>
          </cell>
          <cell r="F1101">
            <v>0.47101670503616333</v>
          </cell>
          <cell r="G1101">
            <v>6</v>
          </cell>
        </row>
        <row r="1102">
          <cell r="A1102" t="str">
            <v>BGD</v>
          </cell>
          <cell r="B1102" t="str">
            <v>Middle</v>
          </cell>
          <cell r="C1102" t="str">
            <v>2010 - 2022</v>
          </cell>
          <cell r="D1102" t="str">
            <v>reg_iter</v>
          </cell>
          <cell r="E1102" t="str">
            <v>lfprod_s1_a1</v>
          </cell>
          <cell r="F1102">
            <v>2.2255244255065918</v>
          </cell>
          <cell r="G1102">
            <v>6</v>
          </cell>
        </row>
        <row r="1103">
          <cell r="A1103" t="str">
            <v>BGD</v>
          </cell>
          <cell r="B1103" t="str">
            <v>Middle</v>
          </cell>
          <cell r="C1103" t="str">
            <v>2010 - 2022</v>
          </cell>
          <cell r="D1103" t="str">
            <v>reg_iter</v>
          </cell>
          <cell r="E1103" t="str">
            <v>lfprod_s1_a2</v>
          </cell>
          <cell r="F1103">
            <v>-2.7101261615753174</v>
          </cell>
          <cell r="G1103">
            <v>6</v>
          </cell>
        </row>
        <row r="1104">
          <cell r="A1104" t="str">
            <v>BGD</v>
          </cell>
          <cell r="B1104" t="str">
            <v>Middle</v>
          </cell>
          <cell r="C1104" t="str">
            <v>2010 - 2022</v>
          </cell>
          <cell r="D1104" t="str">
            <v>reg_iter</v>
          </cell>
          <cell r="E1104" t="str">
            <v>lfprod_s1_a3</v>
          </cell>
          <cell r="F1104">
            <v>19.527565002441406</v>
          </cell>
          <cell r="G1104">
            <v>6</v>
          </cell>
        </row>
        <row r="1105">
          <cell r="A1105" t="str">
            <v>BGD</v>
          </cell>
          <cell r="B1105" t="str">
            <v>Middle</v>
          </cell>
          <cell r="C1105" t="str">
            <v>2010 - 2022</v>
          </cell>
          <cell r="D1105" t="str">
            <v>reg_iter</v>
          </cell>
          <cell r="E1105" t="str">
            <v>lfprod_s1_a4</v>
          </cell>
          <cell r="F1105">
            <v>0.38043910264968872</v>
          </cell>
          <cell r="G1105">
            <v>6</v>
          </cell>
        </row>
        <row r="1106">
          <cell r="A1106" t="str">
            <v>BGD</v>
          </cell>
          <cell r="B1106" t="str">
            <v>Middle</v>
          </cell>
          <cell r="C1106" t="str">
            <v>2010 - 2022</v>
          </cell>
          <cell r="D1106" t="str">
            <v>reg_iter</v>
          </cell>
          <cell r="E1106" t="str">
            <v>lfprod_s1_a5</v>
          </cell>
          <cell r="F1106">
            <v>0.42081257700920105</v>
          </cell>
          <cell r="G1106">
            <v>6</v>
          </cell>
        </row>
        <row r="1107">
          <cell r="A1107" t="str">
            <v>BGD</v>
          </cell>
          <cell r="B1107" t="str">
            <v>Middle</v>
          </cell>
          <cell r="C1107" t="str">
            <v>2010 - 2022</v>
          </cell>
          <cell r="D1107" t="str">
            <v>reg_iter</v>
          </cell>
          <cell r="E1107" t="str">
            <v>lfprod_s1_a6</v>
          </cell>
          <cell r="F1107">
            <v>-3.0003602504730225</v>
          </cell>
          <cell r="G1107">
            <v>6</v>
          </cell>
        </row>
        <row r="1108">
          <cell r="A1108" t="str">
            <v>BGD</v>
          </cell>
          <cell r="B1108" t="str">
            <v>Short</v>
          </cell>
          <cell r="C1108" t="str">
            <v>2015 - 2022</v>
          </cell>
          <cell r="D1108" t="str">
            <v>avg</v>
          </cell>
          <cell r="E1108" t="str">
            <v>lfls12_S0_A0</v>
          </cell>
          <cell r="F1108">
            <v>0.30144312977790833</v>
          </cell>
          <cell r="G1108">
            <v>6</v>
          </cell>
        </row>
        <row r="1109">
          <cell r="A1109" t="str">
            <v>BGD</v>
          </cell>
          <cell r="B1109" t="str">
            <v>Short</v>
          </cell>
          <cell r="C1109" t="str">
            <v>2015 - 2022</v>
          </cell>
          <cell r="D1109" t="str">
            <v>avg</v>
          </cell>
          <cell r="E1109" t="str">
            <v>lfls1_S0_A0</v>
          </cell>
          <cell r="F1109">
            <v>0.29684466123580933</v>
          </cell>
          <cell r="G1109">
            <v>6</v>
          </cell>
        </row>
        <row r="1110">
          <cell r="A1110" t="str">
            <v>BGD</v>
          </cell>
          <cell r="B1110" t="str">
            <v>Short</v>
          </cell>
          <cell r="C1110" t="str">
            <v>2015 - 2022</v>
          </cell>
          <cell r="D1110" t="str">
            <v>avg</v>
          </cell>
          <cell r="E1110" t="str">
            <v>lfls1_S0_a1</v>
          </cell>
          <cell r="F1110">
            <v>0.28965547680854797</v>
          </cell>
          <cell r="G1110">
            <v>6</v>
          </cell>
        </row>
        <row r="1111">
          <cell r="A1111" t="str">
            <v>BGD</v>
          </cell>
          <cell r="B1111" t="str">
            <v>Short</v>
          </cell>
          <cell r="C1111" t="str">
            <v>2015 - 2022</v>
          </cell>
          <cell r="D1111" t="str">
            <v>avg</v>
          </cell>
          <cell r="E1111" t="str">
            <v>lfls1_S0_a2</v>
          </cell>
          <cell r="F1111">
            <v>1.1615478992462158</v>
          </cell>
          <cell r="G1111">
            <v>6</v>
          </cell>
        </row>
        <row r="1112">
          <cell r="A1112" t="str">
            <v>BGD</v>
          </cell>
          <cell r="B1112" t="str">
            <v>Short</v>
          </cell>
          <cell r="C1112" t="str">
            <v>2015 - 2022</v>
          </cell>
          <cell r="D1112" t="str">
            <v>avg</v>
          </cell>
          <cell r="E1112" t="str">
            <v>lfls1_S0_a3</v>
          </cell>
          <cell r="F1112">
            <v>-0.17779318988323212</v>
          </cell>
          <cell r="G1112">
            <v>6</v>
          </cell>
        </row>
        <row r="1113">
          <cell r="A1113" t="str">
            <v>BGD</v>
          </cell>
          <cell r="B1113" t="str">
            <v>Short</v>
          </cell>
          <cell r="C1113" t="str">
            <v>2015 - 2022</v>
          </cell>
          <cell r="D1113" t="str">
            <v>avg</v>
          </cell>
          <cell r="E1113" t="str">
            <v>lfls1_S0_a4</v>
          </cell>
          <cell r="F1113">
            <v>0.39119985699653625</v>
          </cell>
          <cell r="G1113">
            <v>6</v>
          </cell>
        </row>
        <row r="1114">
          <cell r="A1114" t="str">
            <v>BGD</v>
          </cell>
          <cell r="B1114" t="str">
            <v>Short</v>
          </cell>
          <cell r="C1114" t="str">
            <v>2015 - 2022</v>
          </cell>
          <cell r="D1114" t="str">
            <v>avg</v>
          </cell>
          <cell r="E1114" t="str">
            <v>lfls1_S0_a5</v>
          </cell>
          <cell r="F1114">
            <v>0.11176517605781555</v>
          </cell>
          <cell r="G1114">
            <v>6</v>
          </cell>
        </row>
        <row r="1115">
          <cell r="A1115" t="str">
            <v>BGD</v>
          </cell>
          <cell r="B1115" t="str">
            <v>Short</v>
          </cell>
          <cell r="C1115" t="str">
            <v>2015 - 2022</v>
          </cell>
          <cell r="D1115" t="str">
            <v>avg</v>
          </cell>
          <cell r="E1115" t="str">
            <v>lfls1_S0_a6</v>
          </cell>
          <cell r="F1115">
            <v>0.69021117687225342</v>
          </cell>
          <cell r="G1115">
            <v>6</v>
          </cell>
        </row>
        <row r="1116">
          <cell r="A1116" t="str">
            <v>BGD</v>
          </cell>
          <cell r="B1116" t="str">
            <v>Short</v>
          </cell>
          <cell r="C1116" t="str">
            <v>2015 - 2022</v>
          </cell>
          <cell r="D1116" t="str">
            <v>avg</v>
          </cell>
          <cell r="E1116" t="str">
            <v>lfls1_s0_A0</v>
          </cell>
          <cell r="F1116">
            <v>0.64339053630828857</v>
          </cell>
          <cell r="G1116">
            <v>6</v>
          </cell>
        </row>
        <row r="1117">
          <cell r="A1117" t="str">
            <v>BGD</v>
          </cell>
          <cell r="B1117" t="str">
            <v>Short</v>
          </cell>
          <cell r="C1117" t="str">
            <v>2015 - 2022</v>
          </cell>
          <cell r="D1117" t="str">
            <v>avg</v>
          </cell>
          <cell r="E1117" t="str">
            <v>lfls1_s0_a1</v>
          </cell>
          <cell r="F1117">
            <v>4.4583425521850586</v>
          </cell>
          <cell r="G1117">
            <v>6</v>
          </cell>
        </row>
        <row r="1118">
          <cell r="A1118" t="str">
            <v>BGD</v>
          </cell>
          <cell r="B1118" t="str">
            <v>Short</v>
          </cell>
          <cell r="C1118" t="str">
            <v>2015 - 2022</v>
          </cell>
          <cell r="D1118" t="str">
            <v>avg</v>
          </cell>
          <cell r="E1118" t="str">
            <v>lfls1_s0_a2</v>
          </cell>
          <cell r="F1118">
            <v>1.2461729049682617</v>
          </cell>
          <cell r="G1118">
            <v>6</v>
          </cell>
        </row>
        <row r="1119">
          <cell r="A1119" t="str">
            <v>BGD</v>
          </cell>
          <cell r="B1119" t="str">
            <v>Short</v>
          </cell>
          <cell r="C1119" t="str">
            <v>2015 - 2022</v>
          </cell>
          <cell r="D1119" t="str">
            <v>avg</v>
          </cell>
          <cell r="E1119" t="str">
            <v>lfls1_s0_a3</v>
          </cell>
          <cell r="F1119">
            <v>-0.27688288688659668</v>
          </cell>
          <cell r="G1119">
            <v>6</v>
          </cell>
        </row>
        <row r="1120">
          <cell r="A1120" t="str">
            <v>BGD</v>
          </cell>
          <cell r="B1120" t="str">
            <v>Short</v>
          </cell>
          <cell r="C1120" t="str">
            <v>2015 - 2022</v>
          </cell>
          <cell r="D1120" t="str">
            <v>avg</v>
          </cell>
          <cell r="E1120" t="str">
            <v>lfls1_s0_a4</v>
          </cell>
          <cell r="F1120">
            <v>0.36067149043083191</v>
          </cell>
          <cell r="G1120">
            <v>6</v>
          </cell>
        </row>
        <row r="1121">
          <cell r="A1121" t="str">
            <v>BGD</v>
          </cell>
          <cell r="B1121" t="str">
            <v>Short</v>
          </cell>
          <cell r="C1121" t="str">
            <v>2015 - 2022</v>
          </cell>
          <cell r="D1121" t="str">
            <v>avg</v>
          </cell>
          <cell r="E1121" t="str">
            <v>lfls1_s0_a5</v>
          </cell>
          <cell r="F1121">
            <v>0.23122511804103851</v>
          </cell>
          <cell r="G1121">
            <v>6</v>
          </cell>
        </row>
        <row r="1122">
          <cell r="A1122" t="str">
            <v>BGD</v>
          </cell>
          <cell r="B1122" t="str">
            <v>Short</v>
          </cell>
          <cell r="C1122" t="str">
            <v>2015 - 2022</v>
          </cell>
          <cell r="D1122" t="str">
            <v>avg</v>
          </cell>
          <cell r="E1122" t="str">
            <v>lfls1_s0_a6</v>
          </cell>
          <cell r="F1122">
            <v>0.57756233215332031</v>
          </cell>
          <cell r="G1122">
            <v>6</v>
          </cell>
        </row>
        <row r="1123">
          <cell r="A1123" t="str">
            <v>BGD</v>
          </cell>
          <cell r="B1123" t="str">
            <v>Short</v>
          </cell>
          <cell r="C1123" t="str">
            <v>2015 - 2022</v>
          </cell>
          <cell r="D1123" t="str">
            <v>avg</v>
          </cell>
          <cell r="E1123" t="str">
            <v>lfls1_s1_A0</v>
          </cell>
          <cell r="F1123">
            <v>-0.17981986701488495</v>
          </cell>
          <cell r="G1123">
            <v>6</v>
          </cell>
        </row>
        <row r="1124">
          <cell r="A1124" t="str">
            <v>BGD</v>
          </cell>
          <cell r="B1124" t="str">
            <v>Short</v>
          </cell>
          <cell r="C1124" t="str">
            <v>2015 - 2022</v>
          </cell>
          <cell r="D1124" t="str">
            <v>avg</v>
          </cell>
          <cell r="E1124" t="str">
            <v>lfls1_s1_a1</v>
          </cell>
          <cell r="F1124">
            <v>-0.84124022722244263</v>
          </cell>
          <cell r="G1124">
            <v>6</v>
          </cell>
        </row>
        <row r="1125">
          <cell r="A1125" t="str">
            <v>BGD</v>
          </cell>
          <cell r="B1125" t="str">
            <v>Short</v>
          </cell>
          <cell r="C1125" t="str">
            <v>2015 - 2022</v>
          </cell>
          <cell r="D1125" t="str">
            <v>avg</v>
          </cell>
          <cell r="E1125" t="str">
            <v>lfls1_s1_a2</v>
          </cell>
          <cell r="F1125">
            <v>0.13087838888168335</v>
          </cell>
          <cell r="G1125">
            <v>6</v>
          </cell>
        </row>
        <row r="1126">
          <cell r="A1126" t="str">
            <v>BGD</v>
          </cell>
          <cell r="B1126" t="str">
            <v>Short</v>
          </cell>
          <cell r="C1126" t="str">
            <v>2015 - 2022</v>
          </cell>
          <cell r="D1126" t="str">
            <v>avg</v>
          </cell>
          <cell r="E1126" t="str">
            <v>lfls1_s1_a3</v>
          </cell>
          <cell r="F1126">
            <v>1.5982093811035156</v>
          </cell>
          <cell r="G1126">
            <v>6</v>
          </cell>
        </row>
        <row r="1127">
          <cell r="A1127" t="str">
            <v>BGD</v>
          </cell>
          <cell r="B1127" t="str">
            <v>Short</v>
          </cell>
          <cell r="C1127" t="str">
            <v>2015 - 2022</v>
          </cell>
          <cell r="D1127" t="str">
            <v>avg</v>
          </cell>
          <cell r="E1127" t="str">
            <v>lfls1_s1_a4</v>
          </cell>
          <cell r="F1127">
            <v>1.321619987487793</v>
          </cell>
          <cell r="G1127">
            <v>6</v>
          </cell>
        </row>
        <row r="1128">
          <cell r="A1128" t="str">
            <v>BGD</v>
          </cell>
          <cell r="B1128" t="str">
            <v>Short</v>
          </cell>
          <cell r="C1128" t="str">
            <v>2015 - 2022</v>
          </cell>
          <cell r="D1128" t="str">
            <v>avg</v>
          </cell>
          <cell r="E1128" t="str">
            <v>lfls1_s1_a5</v>
          </cell>
          <cell r="F1128">
            <v>8.2127980887889862E-2</v>
          </cell>
          <cell r="G1128">
            <v>6</v>
          </cell>
        </row>
        <row r="1129">
          <cell r="A1129" t="str">
            <v>BGD</v>
          </cell>
          <cell r="B1129" t="str">
            <v>Short</v>
          </cell>
          <cell r="C1129" t="str">
            <v>2015 - 2022</v>
          </cell>
          <cell r="D1129" t="str">
            <v>avg</v>
          </cell>
          <cell r="E1129" t="str">
            <v>lfls1_s1_a6</v>
          </cell>
          <cell r="F1129">
            <v>1.1285845041275024</v>
          </cell>
          <cell r="G1129">
            <v>6</v>
          </cell>
        </row>
        <row r="1130">
          <cell r="A1130" t="str">
            <v>BGD</v>
          </cell>
          <cell r="B1130" t="str">
            <v>Short</v>
          </cell>
          <cell r="C1130" t="str">
            <v>2015 - 2022</v>
          </cell>
          <cell r="D1130" t="str">
            <v>avg</v>
          </cell>
          <cell r="E1130" t="str">
            <v>lfprod_s0_a1</v>
          </cell>
          <cell r="F1130">
            <v>2.9618732929229736</v>
          </cell>
          <cell r="G1130">
            <v>6</v>
          </cell>
        </row>
        <row r="1131">
          <cell r="A1131" t="str">
            <v>BGD</v>
          </cell>
          <cell r="B1131" t="str">
            <v>Short</v>
          </cell>
          <cell r="C1131" t="str">
            <v>2015 - 2022</v>
          </cell>
          <cell r="D1131" t="str">
            <v>avg</v>
          </cell>
          <cell r="E1131" t="str">
            <v>lfprod_s0_a2</v>
          </cell>
          <cell r="F1131">
            <v>0.29586702585220337</v>
          </cell>
          <cell r="G1131">
            <v>6</v>
          </cell>
        </row>
        <row r="1132">
          <cell r="A1132" t="str">
            <v>BGD</v>
          </cell>
          <cell r="B1132" t="str">
            <v>Short</v>
          </cell>
          <cell r="C1132" t="str">
            <v>2015 - 2022</v>
          </cell>
          <cell r="D1132" t="str">
            <v>avg</v>
          </cell>
          <cell r="E1132" t="str">
            <v>lfprod_s0_a3</v>
          </cell>
          <cell r="F1132">
            <v>-0.99732333421707153</v>
          </cell>
          <cell r="G1132">
            <v>6</v>
          </cell>
        </row>
        <row r="1133">
          <cell r="A1133" t="str">
            <v>BGD</v>
          </cell>
          <cell r="B1133" t="str">
            <v>Short</v>
          </cell>
          <cell r="C1133" t="str">
            <v>2015 - 2022</v>
          </cell>
          <cell r="D1133" t="str">
            <v>avg</v>
          </cell>
          <cell r="E1133" t="str">
            <v>lfprod_s0_a4</v>
          </cell>
          <cell r="F1133">
            <v>-0.71097475290298462</v>
          </cell>
          <cell r="G1133">
            <v>6</v>
          </cell>
        </row>
        <row r="1134">
          <cell r="A1134" t="str">
            <v>BGD</v>
          </cell>
          <cell r="B1134" t="str">
            <v>Short</v>
          </cell>
          <cell r="C1134" t="str">
            <v>2015 - 2022</v>
          </cell>
          <cell r="D1134" t="str">
            <v>avg</v>
          </cell>
          <cell r="E1134" t="str">
            <v>lfprod_s0_a5</v>
          </cell>
          <cell r="F1134">
            <v>-0.76323217153549194</v>
          </cell>
          <cell r="G1134">
            <v>6</v>
          </cell>
        </row>
        <row r="1135">
          <cell r="A1135" t="str">
            <v>BGD</v>
          </cell>
          <cell r="B1135" t="str">
            <v>Short</v>
          </cell>
          <cell r="C1135" t="str">
            <v>2015 - 2022</v>
          </cell>
          <cell r="D1135" t="str">
            <v>avg</v>
          </cell>
          <cell r="E1135" t="str">
            <v>lfprod_s0_a6</v>
          </cell>
          <cell r="F1135">
            <v>-0.3277985155582428</v>
          </cell>
          <cell r="G1135">
            <v>6</v>
          </cell>
        </row>
        <row r="1136">
          <cell r="A1136" t="str">
            <v>BGD</v>
          </cell>
          <cell r="B1136" t="str">
            <v>Short</v>
          </cell>
          <cell r="C1136" t="str">
            <v>2015 - 2022</v>
          </cell>
          <cell r="D1136" t="str">
            <v>avg</v>
          </cell>
          <cell r="E1136" t="str">
            <v>lfprod_s1_a1</v>
          </cell>
          <cell r="F1136">
            <v>-1.6635783910751343</v>
          </cell>
          <cell r="G1136">
            <v>6</v>
          </cell>
        </row>
        <row r="1137">
          <cell r="A1137" t="str">
            <v>BGD</v>
          </cell>
          <cell r="B1137" t="str">
            <v>Short</v>
          </cell>
          <cell r="C1137" t="str">
            <v>2015 - 2022</v>
          </cell>
          <cell r="D1137" t="str">
            <v>avg</v>
          </cell>
          <cell r="E1137" t="str">
            <v>lfprod_s1_a2</v>
          </cell>
          <cell r="F1137">
            <v>-0.67703384160995483</v>
          </cell>
          <cell r="G1137">
            <v>6</v>
          </cell>
        </row>
        <row r="1138">
          <cell r="A1138" t="str">
            <v>BGD</v>
          </cell>
          <cell r="B1138" t="str">
            <v>Short</v>
          </cell>
          <cell r="C1138" t="str">
            <v>2015 - 2022</v>
          </cell>
          <cell r="D1138" t="str">
            <v>avg</v>
          </cell>
          <cell r="E1138" t="str">
            <v>lfprod_s1_a3</v>
          </cell>
          <cell r="F1138">
            <v>0.58557289838790894</v>
          </cell>
          <cell r="G1138">
            <v>6</v>
          </cell>
        </row>
        <row r="1139">
          <cell r="A1139" t="str">
            <v>BGD</v>
          </cell>
          <cell r="B1139" t="str">
            <v>Short</v>
          </cell>
          <cell r="C1139" t="str">
            <v>2015 - 2022</v>
          </cell>
          <cell r="D1139" t="str">
            <v>avg</v>
          </cell>
          <cell r="E1139" t="str">
            <v>lfprod_s1_a4</v>
          </cell>
          <cell r="F1139">
            <v>0.27095824480056763</v>
          </cell>
          <cell r="G1139">
            <v>6</v>
          </cell>
        </row>
        <row r="1140">
          <cell r="A1140" t="str">
            <v>BGD</v>
          </cell>
          <cell r="B1140" t="str">
            <v>Short</v>
          </cell>
          <cell r="C1140" t="str">
            <v>2015 - 2022</v>
          </cell>
          <cell r="D1140" t="str">
            <v>avg</v>
          </cell>
          <cell r="E1140" t="str">
            <v>lfprod_s1_a5</v>
          </cell>
          <cell r="F1140">
            <v>-0.75138133764266968</v>
          </cell>
          <cell r="G1140">
            <v>6</v>
          </cell>
        </row>
        <row r="1141">
          <cell r="A1141" t="str">
            <v>BGD</v>
          </cell>
          <cell r="B1141" t="str">
            <v>Short</v>
          </cell>
          <cell r="C1141" t="str">
            <v>2015 - 2022</v>
          </cell>
          <cell r="D1141" t="str">
            <v>avg</v>
          </cell>
          <cell r="E1141" t="str">
            <v>lfprod_s1_a6</v>
          </cell>
          <cell r="F1141">
            <v>5.4443951696157455E-2</v>
          </cell>
          <cell r="G1141">
            <v>6</v>
          </cell>
        </row>
        <row r="1142">
          <cell r="A1142" t="str">
            <v>BGD</v>
          </cell>
          <cell r="B1142" t="str">
            <v>Short</v>
          </cell>
          <cell r="C1142" t="str">
            <v>2015 - 2022</v>
          </cell>
          <cell r="D1142" t="str">
            <v>avg_1_99</v>
          </cell>
          <cell r="E1142" t="str">
            <v>lfls12_S0_A0</v>
          </cell>
          <cell r="F1142">
            <v>0.31307488679885864</v>
          </cell>
          <cell r="G1142">
            <v>6</v>
          </cell>
        </row>
        <row r="1143">
          <cell r="A1143" t="str">
            <v>BGD</v>
          </cell>
          <cell r="B1143" t="str">
            <v>Short</v>
          </cell>
          <cell r="C1143" t="str">
            <v>2015 - 2022</v>
          </cell>
          <cell r="D1143" t="str">
            <v>avg_1_99</v>
          </cell>
          <cell r="E1143" t="str">
            <v>lfls1_S0_A0</v>
          </cell>
          <cell r="F1143">
            <v>0.32965004444122314</v>
          </cell>
          <cell r="G1143">
            <v>6</v>
          </cell>
        </row>
        <row r="1144">
          <cell r="A1144" t="str">
            <v>BGD</v>
          </cell>
          <cell r="B1144" t="str">
            <v>Short</v>
          </cell>
          <cell r="C1144" t="str">
            <v>2015 - 2022</v>
          </cell>
          <cell r="D1144" t="str">
            <v>avg_1_99</v>
          </cell>
          <cell r="E1144" t="str">
            <v>lfls1_S0_a1</v>
          </cell>
          <cell r="F1144">
            <v>0.45131835341453552</v>
          </cell>
          <cell r="G1144">
            <v>6</v>
          </cell>
        </row>
        <row r="1145">
          <cell r="A1145" t="str">
            <v>BGD</v>
          </cell>
          <cell r="B1145" t="str">
            <v>Short</v>
          </cell>
          <cell r="C1145" t="str">
            <v>2015 - 2022</v>
          </cell>
          <cell r="D1145" t="str">
            <v>avg_1_99</v>
          </cell>
          <cell r="E1145" t="str">
            <v>lfls1_S0_a2</v>
          </cell>
          <cell r="F1145">
            <v>0.16145037114620209</v>
          </cell>
          <cell r="G1145">
            <v>6</v>
          </cell>
        </row>
        <row r="1146">
          <cell r="A1146" t="str">
            <v>BGD</v>
          </cell>
          <cell r="B1146" t="str">
            <v>Short</v>
          </cell>
          <cell r="C1146" t="str">
            <v>2015 - 2022</v>
          </cell>
          <cell r="D1146" t="str">
            <v>avg_1_99</v>
          </cell>
          <cell r="E1146" t="str">
            <v>lfls1_S0_a3</v>
          </cell>
          <cell r="F1146">
            <v>-0.15169130265712738</v>
          </cell>
          <cell r="G1146">
            <v>6</v>
          </cell>
        </row>
        <row r="1147">
          <cell r="A1147" t="str">
            <v>BGD</v>
          </cell>
          <cell r="B1147" t="str">
            <v>Short</v>
          </cell>
          <cell r="C1147" t="str">
            <v>2015 - 2022</v>
          </cell>
          <cell r="D1147" t="str">
            <v>avg_1_99</v>
          </cell>
          <cell r="E1147" t="str">
            <v>lfls1_S0_a4</v>
          </cell>
          <cell r="F1147">
            <v>0.28939640522003174</v>
          </cell>
          <cell r="G1147">
            <v>6</v>
          </cell>
        </row>
        <row r="1148">
          <cell r="A1148" t="str">
            <v>BGD</v>
          </cell>
          <cell r="B1148" t="str">
            <v>Short</v>
          </cell>
          <cell r="C1148" t="str">
            <v>2015 - 2022</v>
          </cell>
          <cell r="D1148" t="str">
            <v>avg_1_99</v>
          </cell>
          <cell r="E1148" t="str">
            <v>lfls1_S0_a5</v>
          </cell>
          <cell r="F1148">
            <v>0.11601751297712326</v>
          </cell>
          <cell r="G1148">
            <v>6</v>
          </cell>
        </row>
        <row r="1149">
          <cell r="A1149" t="str">
            <v>BGD</v>
          </cell>
          <cell r="B1149" t="str">
            <v>Short</v>
          </cell>
          <cell r="C1149" t="str">
            <v>2015 - 2022</v>
          </cell>
          <cell r="D1149" t="str">
            <v>avg_1_99</v>
          </cell>
          <cell r="E1149" t="str">
            <v>lfls1_S0_a6</v>
          </cell>
          <cell r="F1149">
            <v>0.60046446323394775</v>
          </cell>
          <cell r="G1149">
            <v>6</v>
          </cell>
        </row>
        <row r="1150">
          <cell r="A1150" t="str">
            <v>BGD</v>
          </cell>
          <cell r="B1150" t="str">
            <v>Short</v>
          </cell>
          <cell r="C1150" t="str">
            <v>2015 - 2022</v>
          </cell>
          <cell r="D1150" t="str">
            <v>avg_1_99</v>
          </cell>
          <cell r="E1150" t="str">
            <v>lfls1_s0_A0</v>
          </cell>
          <cell r="F1150">
            <v>0.61345076560974121</v>
          </cell>
          <cell r="G1150">
            <v>6</v>
          </cell>
        </row>
        <row r="1151">
          <cell r="A1151" t="str">
            <v>BGD</v>
          </cell>
          <cell r="B1151" t="str">
            <v>Short</v>
          </cell>
          <cell r="C1151" t="str">
            <v>2015 - 2022</v>
          </cell>
          <cell r="D1151" t="str">
            <v>avg_1_99</v>
          </cell>
          <cell r="E1151" t="str">
            <v>lfls1_s0_a1</v>
          </cell>
          <cell r="F1151">
            <v>2.7213976383209229</v>
          </cell>
          <cell r="G1151">
            <v>6</v>
          </cell>
        </row>
        <row r="1152">
          <cell r="A1152" t="str">
            <v>BGD</v>
          </cell>
          <cell r="B1152" t="str">
            <v>Short</v>
          </cell>
          <cell r="C1152" t="str">
            <v>2015 - 2022</v>
          </cell>
          <cell r="D1152" t="str">
            <v>avg_1_99</v>
          </cell>
          <cell r="E1152" t="str">
            <v>lfls1_s0_a2</v>
          </cell>
          <cell r="F1152">
            <v>0.14960949122905731</v>
          </cell>
          <cell r="G1152">
            <v>6</v>
          </cell>
        </row>
        <row r="1153">
          <cell r="A1153" t="str">
            <v>BGD</v>
          </cell>
          <cell r="B1153" t="str">
            <v>Short</v>
          </cell>
          <cell r="C1153" t="str">
            <v>2015 - 2022</v>
          </cell>
          <cell r="D1153" t="str">
            <v>avg_1_99</v>
          </cell>
          <cell r="E1153" t="str">
            <v>lfls1_s0_a3</v>
          </cell>
          <cell r="F1153">
            <v>-0.15583361685276031</v>
          </cell>
          <cell r="G1153">
            <v>6</v>
          </cell>
        </row>
        <row r="1154">
          <cell r="A1154" t="str">
            <v>BGD</v>
          </cell>
          <cell r="B1154" t="str">
            <v>Short</v>
          </cell>
          <cell r="C1154" t="str">
            <v>2015 - 2022</v>
          </cell>
          <cell r="D1154" t="str">
            <v>avg_1_99</v>
          </cell>
          <cell r="E1154" t="str">
            <v>lfls1_s0_a4</v>
          </cell>
          <cell r="F1154">
            <v>0.29488569498062134</v>
          </cell>
          <cell r="G1154">
            <v>6</v>
          </cell>
        </row>
        <row r="1155">
          <cell r="A1155" t="str">
            <v>BGD</v>
          </cell>
          <cell r="B1155" t="str">
            <v>Short</v>
          </cell>
          <cell r="C1155" t="str">
            <v>2015 - 2022</v>
          </cell>
          <cell r="D1155" t="str">
            <v>avg_1_99</v>
          </cell>
          <cell r="E1155" t="str">
            <v>lfls1_s0_a5</v>
          </cell>
          <cell r="F1155">
            <v>-3.3732350915670395E-2</v>
          </cell>
          <cell r="G1155">
            <v>6</v>
          </cell>
        </row>
        <row r="1156">
          <cell r="A1156" t="str">
            <v>BGD</v>
          </cell>
          <cell r="B1156" t="str">
            <v>Short</v>
          </cell>
          <cell r="C1156" t="str">
            <v>2015 - 2022</v>
          </cell>
          <cell r="D1156" t="str">
            <v>avg_1_99</v>
          </cell>
          <cell r="E1156" t="str">
            <v>lfls1_s0_a6</v>
          </cell>
          <cell r="F1156">
            <v>0.68296808004379272</v>
          </cell>
          <cell r="G1156">
            <v>6</v>
          </cell>
        </row>
        <row r="1157">
          <cell r="A1157" t="str">
            <v>BGD</v>
          </cell>
          <cell r="B1157" t="str">
            <v>Short</v>
          </cell>
          <cell r="C1157" t="str">
            <v>2015 - 2022</v>
          </cell>
          <cell r="D1157" t="str">
            <v>avg_1_99</v>
          </cell>
          <cell r="E1157" t="str">
            <v>lfls1_s1_A0</v>
          </cell>
          <cell r="F1157">
            <v>-0.26652166247367859</v>
          </cell>
          <cell r="G1157">
            <v>6</v>
          </cell>
        </row>
        <row r="1158">
          <cell r="A1158" t="str">
            <v>BGD</v>
          </cell>
          <cell r="B1158" t="str">
            <v>Short</v>
          </cell>
          <cell r="C1158" t="str">
            <v>2015 - 2022</v>
          </cell>
          <cell r="D1158" t="str">
            <v>avg_1_99</v>
          </cell>
          <cell r="E1158" t="str">
            <v>lfls1_s1_a1</v>
          </cell>
          <cell r="F1158">
            <v>-1.1248633861541748</v>
          </cell>
          <cell r="G1158">
            <v>6</v>
          </cell>
        </row>
        <row r="1159">
          <cell r="A1159" t="str">
            <v>BGD</v>
          </cell>
          <cell r="B1159" t="str">
            <v>Short</v>
          </cell>
          <cell r="C1159" t="str">
            <v>2015 - 2022</v>
          </cell>
          <cell r="D1159" t="str">
            <v>avg_1_99</v>
          </cell>
          <cell r="E1159" t="str">
            <v>lfls1_s1_a2</v>
          </cell>
          <cell r="F1159">
            <v>0.13641639053821564</v>
          </cell>
          <cell r="G1159">
            <v>6</v>
          </cell>
        </row>
        <row r="1160">
          <cell r="A1160" t="str">
            <v>BGD</v>
          </cell>
          <cell r="B1160" t="str">
            <v>Short</v>
          </cell>
          <cell r="C1160" t="str">
            <v>2015 - 2022</v>
          </cell>
          <cell r="D1160" t="str">
            <v>avg_1_99</v>
          </cell>
          <cell r="E1160" t="str">
            <v>lfls1_s1_a3</v>
          </cell>
          <cell r="F1160">
            <v>0.70365333557128906</v>
          </cell>
          <cell r="G1160">
            <v>6</v>
          </cell>
        </row>
        <row r="1161">
          <cell r="A1161" t="str">
            <v>BGD</v>
          </cell>
          <cell r="B1161" t="str">
            <v>Short</v>
          </cell>
          <cell r="C1161" t="str">
            <v>2015 - 2022</v>
          </cell>
          <cell r="D1161" t="str">
            <v>avg_1_99</v>
          </cell>
          <cell r="E1161" t="str">
            <v>lfls1_s1_a4</v>
          </cell>
          <cell r="F1161">
            <v>0.29250118136405945</v>
          </cell>
          <cell r="G1161">
            <v>6</v>
          </cell>
        </row>
        <row r="1162">
          <cell r="A1162" t="str">
            <v>BGD</v>
          </cell>
          <cell r="B1162" t="str">
            <v>Short</v>
          </cell>
          <cell r="C1162" t="str">
            <v>2015 - 2022</v>
          </cell>
          <cell r="D1162" t="str">
            <v>avg_1_99</v>
          </cell>
          <cell r="E1162" t="str">
            <v>lfls1_s1_a5</v>
          </cell>
          <cell r="F1162">
            <v>0.20097702741622925</v>
          </cell>
          <cell r="G1162">
            <v>6</v>
          </cell>
        </row>
        <row r="1163">
          <cell r="A1163" t="str">
            <v>BGD</v>
          </cell>
          <cell r="B1163" t="str">
            <v>Short</v>
          </cell>
          <cell r="C1163" t="str">
            <v>2015 - 2022</v>
          </cell>
          <cell r="D1163" t="str">
            <v>avg_1_99</v>
          </cell>
          <cell r="E1163" t="str">
            <v>lfls1_s1_a6</v>
          </cell>
          <cell r="F1163">
            <v>1.2506506443023682</v>
          </cell>
          <cell r="G1163">
            <v>6</v>
          </cell>
        </row>
        <row r="1164">
          <cell r="A1164" t="str">
            <v>BGD</v>
          </cell>
          <cell r="B1164" t="str">
            <v>Short</v>
          </cell>
          <cell r="C1164" t="str">
            <v>2015 - 2022</v>
          </cell>
          <cell r="D1164" t="str">
            <v>avg_1_99</v>
          </cell>
          <cell r="E1164" t="str">
            <v>lfprod_s0_a1</v>
          </cell>
          <cell r="F1164">
            <v>1.5961661338806152</v>
          </cell>
          <cell r="G1164">
            <v>6</v>
          </cell>
        </row>
        <row r="1165">
          <cell r="A1165" t="str">
            <v>BGD</v>
          </cell>
          <cell r="B1165" t="str">
            <v>Short</v>
          </cell>
          <cell r="C1165" t="str">
            <v>2015 - 2022</v>
          </cell>
          <cell r="D1165" t="str">
            <v>avg_1_99</v>
          </cell>
          <cell r="E1165" t="str">
            <v>lfprod_s0_a2</v>
          </cell>
          <cell r="F1165">
            <v>-0.49700677394866943</v>
          </cell>
          <cell r="G1165">
            <v>6</v>
          </cell>
        </row>
        <row r="1166">
          <cell r="A1166" t="str">
            <v>BGD</v>
          </cell>
          <cell r="B1166" t="str">
            <v>Short</v>
          </cell>
          <cell r="C1166" t="str">
            <v>2015 - 2022</v>
          </cell>
          <cell r="D1166" t="str">
            <v>avg_1_99</v>
          </cell>
          <cell r="E1166" t="str">
            <v>lfprod_s0_a3</v>
          </cell>
          <cell r="F1166">
            <v>-0.78111934661865234</v>
          </cell>
          <cell r="G1166">
            <v>6</v>
          </cell>
        </row>
        <row r="1167">
          <cell r="A1167" t="str">
            <v>BGD</v>
          </cell>
          <cell r="B1167" t="str">
            <v>Short</v>
          </cell>
          <cell r="C1167" t="str">
            <v>2015 - 2022</v>
          </cell>
          <cell r="D1167" t="str">
            <v>avg_1_99</v>
          </cell>
          <cell r="E1167" t="str">
            <v>lfprod_s0_a4</v>
          </cell>
          <cell r="F1167">
            <v>-0.51311057806015015</v>
          </cell>
          <cell r="G1167">
            <v>6</v>
          </cell>
        </row>
        <row r="1168">
          <cell r="A1168" t="str">
            <v>BGD</v>
          </cell>
          <cell r="B1168" t="str">
            <v>Short</v>
          </cell>
          <cell r="C1168" t="str">
            <v>2015 - 2022</v>
          </cell>
          <cell r="D1168" t="str">
            <v>avg_1_99</v>
          </cell>
          <cell r="E1168" t="str">
            <v>lfprod_s0_a5</v>
          </cell>
          <cell r="F1168">
            <v>-0.99447900056838989</v>
          </cell>
          <cell r="G1168">
            <v>6</v>
          </cell>
        </row>
        <row r="1169">
          <cell r="A1169" t="str">
            <v>BGD</v>
          </cell>
          <cell r="B1169" t="str">
            <v>Short</v>
          </cell>
          <cell r="C1169" t="str">
            <v>2015 - 2022</v>
          </cell>
          <cell r="D1169" t="str">
            <v>avg_1_99</v>
          </cell>
          <cell r="E1169" t="str">
            <v>lfprod_s0_a6</v>
          </cell>
          <cell r="F1169">
            <v>-0.27968227863311768</v>
          </cell>
          <cell r="G1169">
            <v>6</v>
          </cell>
        </row>
        <row r="1170">
          <cell r="A1170" t="str">
            <v>BGD</v>
          </cell>
          <cell r="B1170" t="str">
            <v>Short</v>
          </cell>
          <cell r="C1170" t="str">
            <v>2015 - 2022</v>
          </cell>
          <cell r="D1170" t="str">
            <v>avg_1_99</v>
          </cell>
          <cell r="E1170" t="str">
            <v>lfprod_s1_a1</v>
          </cell>
          <cell r="F1170">
            <v>-1.9702798128128052</v>
          </cell>
          <cell r="G1170">
            <v>6</v>
          </cell>
        </row>
        <row r="1171">
          <cell r="A1171" t="str">
            <v>BGD</v>
          </cell>
          <cell r="B1171" t="str">
            <v>Short</v>
          </cell>
          <cell r="C1171" t="str">
            <v>2015 - 2022</v>
          </cell>
          <cell r="D1171" t="str">
            <v>avg_1_99</v>
          </cell>
          <cell r="E1171" t="str">
            <v>lfprod_s1_a2</v>
          </cell>
          <cell r="F1171">
            <v>-0.70446908473968506</v>
          </cell>
          <cell r="G1171">
            <v>6</v>
          </cell>
        </row>
        <row r="1172">
          <cell r="A1172" t="str">
            <v>BGD</v>
          </cell>
          <cell r="B1172" t="str">
            <v>Short</v>
          </cell>
          <cell r="C1172" t="str">
            <v>2015 - 2022</v>
          </cell>
          <cell r="D1172" t="str">
            <v>avg_1_99</v>
          </cell>
          <cell r="E1172" t="str">
            <v>lfprod_s1_a3</v>
          </cell>
          <cell r="F1172">
            <v>-0.26514190435409546</v>
          </cell>
          <cell r="G1172">
            <v>6</v>
          </cell>
        </row>
        <row r="1173">
          <cell r="A1173" t="str">
            <v>BGD</v>
          </cell>
          <cell r="B1173" t="str">
            <v>Short</v>
          </cell>
          <cell r="C1173" t="str">
            <v>2015 - 2022</v>
          </cell>
          <cell r="D1173" t="str">
            <v>avg_1_99</v>
          </cell>
          <cell r="E1173" t="str">
            <v>lfprod_s1_a4</v>
          </cell>
          <cell r="F1173">
            <v>-0.64944636821746826</v>
          </cell>
          <cell r="G1173">
            <v>6</v>
          </cell>
        </row>
        <row r="1174">
          <cell r="A1174" t="str">
            <v>BGD</v>
          </cell>
          <cell r="B1174" t="str">
            <v>Short</v>
          </cell>
          <cell r="C1174" t="str">
            <v>2015 - 2022</v>
          </cell>
          <cell r="D1174" t="str">
            <v>avg_1_99</v>
          </cell>
          <cell r="E1174" t="str">
            <v>lfprod_s1_a5</v>
          </cell>
          <cell r="F1174">
            <v>-0.71877515316009521</v>
          </cell>
          <cell r="G1174">
            <v>6</v>
          </cell>
        </row>
        <row r="1175">
          <cell r="A1175" t="str">
            <v>BGD</v>
          </cell>
          <cell r="B1175" t="str">
            <v>Short</v>
          </cell>
          <cell r="C1175" t="str">
            <v>2015 - 2022</v>
          </cell>
          <cell r="D1175" t="str">
            <v>avg_1_99</v>
          </cell>
          <cell r="E1175" t="str">
            <v>lfprod_s1_a6</v>
          </cell>
          <cell r="F1175">
            <v>0.22531037032604218</v>
          </cell>
          <cell r="G1175">
            <v>6</v>
          </cell>
        </row>
        <row r="1176">
          <cell r="A1176" t="str">
            <v>BGD</v>
          </cell>
          <cell r="B1176" t="str">
            <v>Short</v>
          </cell>
          <cell r="C1176" t="str">
            <v>2015 - 2022</v>
          </cell>
          <cell r="D1176" t="str">
            <v>avg_1_99_imp</v>
          </cell>
          <cell r="E1176" t="str">
            <v>lfls12_S0_A0</v>
          </cell>
          <cell r="F1176">
            <v>0.31307488679885864</v>
          </cell>
          <cell r="G1176">
            <v>6</v>
          </cell>
        </row>
        <row r="1177">
          <cell r="A1177" t="str">
            <v>BGD</v>
          </cell>
          <cell r="B1177" t="str">
            <v>Short</v>
          </cell>
          <cell r="C1177" t="str">
            <v>2015 - 2022</v>
          </cell>
          <cell r="D1177" t="str">
            <v>avg_1_99_imp</v>
          </cell>
          <cell r="E1177" t="str">
            <v>lfls1_S0_A0</v>
          </cell>
          <cell r="F1177">
            <v>0.32965004444122314</v>
          </cell>
          <cell r="G1177">
            <v>6</v>
          </cell>
        </row>
        <row r="1178">
          <cell r="A1178" t="str">
            <v>BGD</v>
          </cell>
          <cell r="B1178" t="str">
            <v>Short</v>
          </cell>
          <cell r="C1178" t="str">
            <v>2015 - 2022</v>
          </cell>
          <cell r="D1178" t="str">
            <v>avg_1_99_imp</v>
          </cell>
          <cell r="E1178" t="str">
            <v>lfls1_S0_a1</v>
          </cell>
          <cell r="F1178">
            <v>0.45131835341453552</v>
          </cell>
          <cell r="G1178">
            <v>6</v>
          </cell>
        </row>
        <row r="1179">
          <cell r="A1179" t="str">
            <v>BGD</v>
          </cell>
          <cell r="B1179" t="str">
            <v>Short</v>
          </cell>
          <cell r="C1179" t="str">
            <v>2015 - 2022</v>
          </cell>
          <cell r="D1179" t="str">
            <v>avg_1_99_imp</v>
          </cell>
          <cell r="E1179" t="str">
            <v>lfls1_S0_a2</v>
          </cell>
          <cell r="F1179">
            <v>0.16145037114620209</v>
          </cell>
          <cell r="G1179">
            <v>6</v>
          </cell>
        </row>
        <row r="1180">
          <cell r="A1180" t="str">
            <v>BGD</v>
          </cell>
          <cell r="B1180" t="str">
            <v>Short</v>
          </cell>
          <cell r="C1180" t="str">
            <v>2015 - 2022</v>
          </cell>
          <cell r="D1180" t="str">
            <v>avg_1_99_imp</v>
          </cell>
          <cell r="E1180" t="str">
            <v>lfls1_S0_a3</v>
          </cell>
          <cell r="F1180">
            <v>-0.15169130265712738</v>
          </cell>
          <cell r="G1180">
            <v>6</v>
          </cell>
        </row>
        <row r="1181">
          <cell r="A1181" t="str">
            <v>BGD</v>
          </cell>
          <cell r="B1181" t="str">
            <v>Short</v>
          </cell>
          <cell r="C1181" t="str">
            <v>2015 - 2022</v>
          </cell>
          <cell r="D1181" t="str">
            <v>avg_1_99_imp</v>
          </cell>
          <cell r="E1181" t="str">
            <v>lfls1_S0_a4</v>
          </cell>
          <cell r="F1181">
            <v>0.28939640522003174</v>
          </cell>
          <cell r="G1181">
            <v>6</v>
          </cell>
        </row>
        <row r="1182">
          <cell r="A1182" t="str">
            <v>BGD</v>
          </cell>
          <cell r="B1182" t="str">
            <v>Short</v>
          </cell>
          <cell r="C1182" t="str">
            <v>2015 - 2022</v>
          </cell>
          <cell r="D1182" t="str">
            <v>avg_1_99_imp</v>
          </cell>
          <cell r="E1182" t="str">
            <v>lfls1_S0_a5</v>
          </cell>
          <cell r="F1182">
            <v>0.11601751297712326</v>
          </cell>
          <cell r="G1182">
            <v>6</v>
          </cell>
        </row>
        <row r="1183">
          <cell r="A1183" t="str">
            <v>BGD</v>
          </cell>
          <cell r="B1183" t="str">
            <v>Short</v>
          </cell>
          <cell r="C1183" t="str">
            <v>2015 - 2022</v>
          </cell>
          <cell r="D1183" t="str">
            <v>avg_1_99_imp</v>
          </cell>
          <cell r="E1183" t="str">
            <v>lfls1_S0_a6</v>
          </cell>
          <cell r="F1183">
            <v>0.60046446323394775</v>
          </cell>
          <cell r="G1183">
            <v>6</v>
          </cell>
        </row>
        <row r="1184">
          <cell r="A1184" t="str">
            <v>BGD</v>
          </cell>
          <cell r="B1184" t="str">
            <v>Short</v>
          </cell>
          <cell r="C1184" t="str">
            <v>2015 - 2022</v>
          </cell>
          <cell r="D1184" t="str">
            <v>avg_1_99_imp</v>
          </cell>
          <cell r="E1184" t="str">
            <v>lfls1_s0_A0</v>
          </cell>
          <cell r="F1184">
            <v>0.61345076560974121</v>
          </cell>
          <cell r="G1184">
            <v>6</v>
          </cell>
        </row>
        <row r="1185">
          <cell r="A1185" t="str">
            <v>BGD</v>
          </cell>
          <cell r="B1185" t="str">
            <v>Short</v>
          </cell>
          <cell r="C1185" t="str">
            <v>2015 - 2022</v>
          </cell>
          <cell r="D1185" t="str">
            <v>avg_1_99_imp</v>
          </cell>
          <cell r="E1185" t="str">
            <v>lfls1_s0_a1</v>
          </cell>
          <cell r="F1185">
            <v>2.7213976383209229</v>
          </cell>
          <cell r="G1185">
            <v>6</v>
          </cell>
        </row>
        <row r="1186">
          <cell r="A1186" t="str">
            <v>BGD</v>
          </cell>
          <cell r="B1186" t="str">
            <v>Short</v>
          </cell>
          <cell r="C1186" t="str">
            <v>2015 - 2022</v>
          </cell>
          <cell r="D1186" t="str">
            <v>avg_1_99_imp</v>
          </cell>
          <cell r="E1186" t="str">
            <v>lfls1_s0_a2</v>
          </cell>
          <cell r="F1186">
            <v>0.14960949122905731</v>
          </cell>
          <cell r="G1186">
            <v>6</v>
          </cell>
        </row>
        <row r="1187">
          <cell r="A1187" t="str">
            <v>BGD</v>
          </cell>
          <cell r="B1187" t="str">
            <v>Short</v>
          </cell>
          <cell r="C1187" t="str">
            <v>2015 - 2022</v>
          </cell>
          <cell r="D1187" t="str">
            <v>avg_1_99_imp</v>
          </cell>
          <cell r="E1187" t="str">
            <v>lfls1_s0_a3</v>
          </cell>
          <cell r="F1187">
            <v>-0.15583361685276031</v>
          </cell>
          <cell r="G1187">
            <v>6</v>
          </cell>
        </row>
        <row r="1188">
          <cell r="A1188" t="str">
            <v>BGD</v>
          </cell>
          <cell r="B1188" t="str">
            <v>Short</v>
          </cell>
          <cell r="C1188" t="str">
            <v>2015 - 2022</v>
          </cell>
          <cell r="D1188" t="str">
            <v>avg_1_99_imp</v>
          </cell>
          <cell r="E1188" t="str">
            <v>lfls1_s0_a4</v>
          </cell>
          <cell r="F1188">
            <v>0.29488569498062134</v>
          </cell>
          <cell r="G1188">
            <v>6</v>
          </cell>
        </row>
        <row r="1189">
          <cell r="A1189" t="str">
            <v>BGD</v>
          </cell>
          <cell r="B1189" t="str">
            <v>Short</v>
          </cell>
          <cell r="C1189" t="str">
            <v>2015 - 2022</v>
          </cell>
          <cell r="D1189" t="str">
            <v>avg_1_99_imp</v>
          </cell>
          <cell r="E1189" t="str">
            <v>lfls1_s0_a5</v>
          </cell>
          <cell r="F1189">
            <v>-3.3732350915670395E-2</v>
          </cell>
          <cell r="G1189">
            <v>6</v>
          </cell>
        </row>
        <row r="1190">
          <cell r="A1190" t="str">
            <v>BGD</v>
          </cell>
          <cell r="B1190" t="str">
            <v>Short</v>
          </cell>
          <cell r="C1190" t="str">
            <v>2015 - 2022</v>
          </cell>
          <cell r="D1190" t="str">
            <v>avg_1_99_imp</v>
          </cell>
          <cell r="E1190" t="str">
            <v>lfls1_s0_a6</v>
          </cell>
          <cell r="F1190">
            <v>0.68296808004379272</v>
          </cell>
          <cell r="G1190">
            <v>6</v>
          </cell>
        </row>
        <row r="1191">
          <cell r="A1191" t="str">
            <v>BGD</v>
          </cell>
          <cell r="B1191" t="str">
            <v>Short</v>
          </cell>
          <cell r="C1191" t="str">
            <v>2015 - 2022</v>
          </cell>
          <cell r="D1191" t="str">
            <v>avg_1_99_imp</v>
          </cell>
          <cell r="E1191" t="str">
            <v>lfls1_s1_A0</v>
          </cell>
          <cell r="F1191">
            <v>-0.26652166247367859</v>
          </cell>
          <cell r="G1191">
            <v>6</v>
          </cell>
        </row>
        <row r="1192">
          <cell r="A1192" t="str">
            <v>BGD</v>
          </cell>
          <cell r="B1192" t="str">
            <v>Short</v>
          </cell>
          <cell r="C1192" t="str">
            <v>2015 - 2022</v>
          </cell>
          <cell r="D1192" t="str">
            <v>avg_1_99_imp</v>
          </cell>
          <cell r="E1192" t="str">
            <v>lfls1_s1_a1</v>
          </cell>
          <cell r="F1192">
            <v>-1.1248633861541748</v>
          </cell>
          <cell r="G1192">
            <v>6</v>
          </cell>
        </row>
        <row r="1193">
          <cell r="A1193" t="str">
            <v>BGD</v>
          </cell>
          <cell r="B1193" t="str">
            <v>Short</v>
          </cell>
          <cell r="C1193" t="str">
            <v>2015 - 2022</v>
          </cell>
          <cell r="D1193" t="str">
            <v>avg_1_99_imp</v>
          </cell>
          <cell r="E1193" t="str">
            <v>lfls1_s1_a2</v>
          </cell>
          <cell r="F1193">
            <v>0.13641639053821564</v>
          </cell>
          <cell r="G1193">
            <v>6</v>
          </cell>
        </row>
        <row r="1194">
          <cell r="A1194" t="str">
            <v>BGD</v>
          </cell>
          <cell r="B1194" t="str">
            <v>Short</v>
          </cell>
          <cell r="C1194" t="str">
            <v>2015 - 2022</v>
          </cell>
          <cell r="D1194" t="str">
            <v>avg_1_99_imp</v>
          </cell>
          <cell r="E1194" t="str">
            <v>lfls1_s1_a3</v>
          </cell>
          <cell r="F1194">
            <v>0.70365333557128906</v>
          </cell>
          <cell r="G1194">
            <v>6</v>
          </cell>
        </row>
        <row r="1195">
          <cell r="A1195" t="str">
            <v>BGD</v>
          </cell>
          <cell r="B1195" t="str">
            <v>Short</v>
          </cell>
          <cell r="C1195" t="str">
            <v>2015 - 2022</v>
          </cell>
          <cell r="D1195" t="str">
            <v>avg_1_99_imp</v>
          </cell>
          <cell r="E1195" t="str">
            <v>lfls1_s1_a4</v>
          </cell>
          <cell r="F1195">
            <v>0.29250118136405945</v>
          </cell>
          <cell r="G1195">
            <v>6</v>
          </cell>
        </row>
        <row r="1196">
          <cell r="A1196" t="str">
            <v>BGD</v>
          </cell>
          <cell r="B1196" t="str">
            <v>Short</v>
          </cell>
          <cell r="C1196" t="str">
            <v>2015 - 2022</v>
          </cell>
          <cell r="D1196" t="str">
            <v>avg_1_99_imp</v>
          </cell>
          <cell r="E1196" t="str">
            <v>lfls1_s1_a5</v>
          </cell>
          <cell r="F1196">
            <v>0.20097702741622925</v>
          </cell>
          <cell r="G1196">
            <v>6</v>
          </cell>
        </row>
        <row r="1197">
          <cell r="A1197" t="str">
            <v>BGD</v>
          </cell>
          <cell r="B1197" t="str">
            <v>Short</v>
          </cell>
          <cell r="C1197" t="str">
            <v>2015 - 2022</v>
          </cell>
          <cell r="D1197" t="str">
            <v>avg_1_99_imp</v>
          </cell>
          <cell r="E1197" t="str">
            <v>lfls1_s1_a6</v>
          </cell>
          <cell r="F1197">
            <v>1.2506506443023682</v>
          </cell>
          <cell r="G1197">
            <v>6</v>
          </cell>
        </row>
        <row r="1198">
          <cell r="A1198" t="str">
            <v>BGD</v>
          </cell>
          <cell r="B1198" t="str">
            <v>Short</v>
          </cell>
          <cell r="C1198" t="str">
            <v>2015 - 2022</v>
          </cell>
          <cell r="D1198" t="str">
            <v>avg_1_99_imp</v>
          </cell>
          <cell r="E1198" t="str">
            <v>lfprod_s0_a1</v>
          </cell>
          <cell r="F1198">
            <v>1.5961661338806152</v>
          </cell>
          <cell r="G1198">
            <v>6</v>
          </cell>
        </row>
        <row r="1199">
          <cell r="A1199" t="str">
            <v>BGD</v>
          </cell>
          <cell r="B1199" t="str">
            <v>Short</v>
          </cell>
          <cell r="C1199" t="str">
            <v>2015 - 2022</v>
          </cell>
          <cell r="D1199" t="str">
            <v>avg_1_99_imp</v>
          </cell>
          <cell r="E1199" t="str">
            <v>lfprod_s0_a2</v>
          </cell>
          <cell r="F1199">
            <v>-0.49700677394866943</v>
          </cell>
          <cell r="G1199">
            <v>6</v>
          </cell>
        </row>
        <row r="1200">
          <cell r="A1200" t="str">
            <v>BGD</v>
          </cell>
          <cell r="B1200" t="str">
            <v>Short</v>
          </cell>
          <cell r="C1200" t="str">
            <v>2015 - 2022</v>
          </cell>
          <cell r="D1200" t="str">
            <v>avg_1_99_imp</v>
          </cell>
          <cell r="E1200" t="str">
            <v>lfprod_s0_a3</v>
          </cell>
          <cell r="F1200">
            <v>-0.78111934661865234</v>
          </cell>
          <cell r="G1200">
            <v>6</v>
          </cell>
        </row>
        <row r="1201">
          <cell r="A1201" t="str">
            <v>BGD</v>
          </cell>
          <cell r="B1201" t="str">
            <v>Short</v>
          </cell>
          <cell r="C1201" t="str">
            <v>2015 - 2022</v>
          </cell>
          <cell r="D1201" t="str">
            <v>avg_1_99_imp</v>
          </cell>
          <cell r="E1201" t="str">
            <v>lfprod_s0_a4</v>
          </cell>
          <cell r="F1201">
            <v>-0.51311057806015015</v>
          </cell>
          <cell r="G1201">
            <v>6</v>
          </cell>
        </row>
        <row r="1202">
          <cell r="A1202" t="str">
            <v>BGD</v>
          </cell>
          <cell r="B1202" t="str">
            <v>Short</v>
          </cell>
          <cell r="C1202" t="str">
            <v>2015 - 2022</v>
          </cell>
          <cell r="D1202" t="str">
            <v>avg_1_99_imp</v>
          </cell>
          <cell r="E1202" t="str">
            <v>lfprod_s0_a5</v>
          </cell>
          <cell r="F1202">
            <v>-0.99447900056838989</v>
          </cell>
          <cell r="G1202">
            <v>6</v>
          </cell>
        </row>
        <row r="1203">
          <cell r="A1203" t="str">
            <v>BGD</v>
          </cell>
          <cell r="B1203" t="str">
            <v>Short</v>
          </cell>
          <cell r="C1203" t="str">
            <v>2015 - 2022</v>
          </cell>
          <cell r="D1203" t="str">
            <v>avg_1_99_imp</v>
          </cell>
          <cell r="E1203" t="str">
            <v>lfprod_s0_a6</v>
          </cell>
          <cell r="F1203">
            <v>-0.27968227863311768</v>
          </cell>
          <cell r="G1203">
            <v>6</v>
          </cell>
        </row>
        <row r="1204">
          <cell r="A1204" t="str">
            <v>BGD</v>
          </cell>
          <cell r="B1204" t="str">
            <v>Short</v>
          </cell>
          <cell r="C1204" t="str">
            <v>2015 - 2022</v>
          </cell>
          <cell r="D1204" t="str">
            <v>avg_1_99_imp</v>
          </cell>
          <cell r="E1204" t="str">
            <v>lfprod_s1_a1</v>
          </cell>
          <cell r="F1204">
            <v>-1.9702798128128052</v>
          </cell>
          <cell r="G1204">
            <v>6</v>
          </cell>
        </row>
        <row r="1205">
          <cell r="A1205" t="str">
            <v>BGD</v>
          </cell>
          <cell r="B1205" t="str">
            <v>Short</v>
          </cell>
          <cell r="C1205" t="str">
            <v>2015 - 2022</v>
          </cell>
          <cell r="D1205" t="str">
            <v>avg_1_99_imp</v>
          </cell>
          <cell r="E1205" t="str">
            <v>lfprod_s1_a2</v>
          </cell>
          <cell r="F1205">
            <v>-0.70446908473968506</v>
          </cell>
          <cell r="G1205">
            <v>6</v>
          </cell>
        </row>
        <row r="1206">
          <cell r="A1206" t="str">
            <v>BGD</v>
          </cell>
          <cell r="B1206" t="str">
            <v>Short</v>
          </cell>
          <cell r="C1206" t="str">
            <v>2015 - 2022</v>
          </cell>
          <cell r="D1206" t="str">
            <v>avg_1_99_imp</v>
          </cell>
          <cell r="E1206" t="str">
            <v>lfprod_s1_a3</v>
          </cell>
          <cell r="F1206">
            <v>-0.26514190435409546</v>
          </cell>
          <cell r="G1206">
            <v>6</v>
          </cell>
        </row>
        <row r="1207">
          <cell r="A1207" t="str">
            <v>BGD</v>
          </cell>
          <cell r="B1207" t="str">
            <v>Short</v>
          </cell>
          <cell r="C1207" t="str">
            <v>2015 - 2022</v>
          </cell>
          <cell r="D1207" t="str">
            <v>avg_1_99_imp</v>
          </cell>
          <cell r="E1207" t="str">
            <v>lfprod_s1_a4</v>
          </cell>
          <cell r="F1207">
            <v>-0.64944636821746826</v>
          </cell>
          <cell r="G1207">
            <v>6</v>
          </cell>
        </row>
        <row r="1208">
          <cell r="A1208" t="str">
            <v>BGD</v>
          </cell>
          <cell r="B1208" t="str">
            <v>Short</v>
          </cell>
          <cell r="C1208" t="str">
            <v>2015 - 2022</v>
          </cell>
          <cell r="D1208" t="str">
            <v>avg_1_99_imp</v>
          </cell>
          <cell r="E1208" t="str">
            <v>lfprod_s1_a5</v>
          </cell>
          <cell r="F1208">
            <v>-0.71877515316009521</v>
          </cell>
          <cell r="G1208">
            <v>6</v>
          </cell>
        </row>
        <row r="1209">
          <cell r="A1209" t="str">
            <v>BGD</v>
          </cell>
          <cell r="B1209" t="str">
            <v>Short</v>
          </cell>
          <cell r="C1209" t="str">
            <v>2015 - 2022</v>
          </cell>
          <cell r="D1209" t="str">
            <v>avg_1_99_imp</v>
          </cell>
          <cell r="E1209" t="str">
            <v>lfprod_s1_a6</v>
          </cell>
          <cell r="F1209">
            <v>0.22531037032604218</v>
          </cell>
          <cell r="G1209">
            <v>6</v>
          </cell>
        </row>
        <row r="1210">
          <cell r="A1210" t="str">
            <v>BGD</v>
          </cell>
          <cell r="B1210" t="str">
            <v>Short</v>
          </cell>
          <cell r="C1210" t="str">
            <v>2015 - 2022</v>
          </cell>
          <cell r="D1210" t="str">
            <v>med_reg</v>
          </cell>
          <cell r="E1210" t="str">
            <v>lfls12_S0_A0</v>
          </cell>
          <cell r="F1210">
            <v>0.36854246258735657</v>
          </cell>
          <cell r="G1210">
            <v>6</v>
          </cell>
        </row>
        <row r="1211">
          <cell r="A1211" t="str">
            <v>BGD</v>
          </cell>
          <cell r="B1211" t="str">
            <v>Short</v>
          </cell>
          <cell r="C1211" t="str">
            <v>2015 - 2022</v>
          </cell>
          <cell r="D1211" t="str">
            <v>med_reg</v>
          </cell>
          <cell r="E1211" t="str">
            <v>lfls1_S0_A0</v>
          </cell>
          <cell r="F1211">
            <v>0.37110373377799988</v>
          </cell>
          <cell r="G1211">
            <v>6</v>
          </cell>
        </row>
        <row r="1212">
          <cell r="A1212" t="str">
            <v>BGD</v>
          </cell>
          <cell r="B1212" t="str">
            <v>Short</v>
          </cell>
          <cell r="C1212" t="str">
            <v>2015 - 2022</v>
          </cell>
          <cell r="D1212" t="str">
            <v>med_reg</v>
          </cell>
          <cell r="E1212" t="str">
            <v>lfls1_S0_a1</v>
          </cell>
          <cell r="F1212">
            <v>0.83137369155883789</v>
          </cell>
          <cell r="G1212">
            <v>6</v>
          </cell>
        </row>
        <row r="1213">
          <cell r="A1213" t="str">
            <v>BGD</v>
          </cell>
          <cell r="B1213" t="str">
            <v>Short</v>
          </cell>
          <cell r="C1213" t="str">
            <v>2015 - 2022</v>
          </cell>
          <cell r="D1213" t="str">
            <v>med_reg</v>
          </cell>
          <cell r="E1213" t="str">
            <v>lfls1_S0_a2</v>
          </cell>
          <cell r="F1213">
            <v>0.19037431478500366</v>
          </cell>
          <cell r="G1213">
            <v>6</v>
          </cell>
        </row>
        <row r="1214">
          <cell r="A1214" t="str">
            <v>BGD</v>
          </cell>
          <cell r="B1214" t="str">
            <v>Short</v>
          </cell>
          <cell r="C1214" t="str">
            <v>2015 - 2022</v>
          </cell>
          <cell r="D1214" t="str">
            <v>med_reg</v>
          </cell>
          <cell r="E1214" t="str">
            <v>lfls1_S0_a3</v>
          </cell>
          <cell r="F1214">
            <v>-0.13618260622024536</v>
          </cell>
          <cell r="G1214">
            <v>6</v>
          </cell>
        </row>
        <row r="1215">
          <cell r="A1215" t="str">
            <v>BGD</v>
          </cell>
          <cell r="B1215" t="str">
            <v>Short</v>
          </cell>
          <cell r="C1215" t="str">
            <v>2015 - 2022</v>
          </cell>
          <cell r="D1215" t="str">
            <v>med_reg</v>
          </cell>
          <cell r="E1215" t="str">
            <v>lfls1_S0_a4</v>
          </cell>
          <cell r="F1215">
            <v>0.32346409559249878</v>
          </cell>
          <cell r="G1215">
            <v>6</v>
          </cell>
        </row>
        <row r="1216">
          <cell r="A1216" t="str">
            <v>BGD</v>
          </cell>
          <cell r="B1216" t="str">
            <v>Short</v>
          </cell>
          <cell r="C1216" t="str">
            <v>2015 - 2022</v>
          </cell>
          <cell r="D1216" t="str">
            <v>med_reg</v>
          </cell>
          <cell r="E1216" t="str">
            <v>lfls1_S0_a5</v>
          </cell>
          <cell r="F1216">
            <v>0.85480952262878418</v>
          </cell>
          <cell r="G1216">
            <v>6</v>
          </cell>
        </row>
        <row r="1217">
          <cell r="A1217" t="str">
            <v>BGD</v>
          </cell>
          <cell r="B1217" t="str">
            <v>Short</v>
          </cell>
          <cell r="C1217" t="str">
            <v>2015 - 2022</v>
          </cell>
          <cell r="D1217" t="str">
            <v>med_reg</v>
          </cell>
          <cell r="E1217" t="str">
            <v>lfls1_S0_a6</v>
          </cell>
          <cell r="F1217">
            <v>0.62428683042526245</v>
          </cell>
          <cell r="G1217">
            <v>6</v>
          </cell>
        </row>
        <row r="1218">
          <cell r="A1218" t="str">
            <v>BGD</v>
          </cell>
          <cell r="B1218" t="str">
            <v>Short</v>
          </cell>
          <cell r="C1218" t="str">
            <v>2015 - 2022</v>
          </cell>
          <cell r="D1218" t="str">
            <v>med_reg</v>
          </cell>
          <cell r="E1218" t="str">
            <v>lfls1_s0_A0</v>
          </cell>
          <cell r="F1218">
            <v>0.74236464500427246</v>
          </cell>
          <cell r="G1218">
            <v>6</v>
          </cell>
        </row>
        <row r="1219">
          <cell r="A1219" t="str">
            <v>BGD</v>
          </cell>
          <cell r="B1219" t="str">
            <v>Short</v>
          </cell>
          <cell r="C1219" t="str">
            <v>2015 - 2022</v>
          </cell>
          <cell r="D1219" t="str">
            <v>med_reg</v>
          </cell>
          <cell r="E1219" t="str">
            <v>lfls1_s0_a1</v>
          </cell>
          <cell r="F1219">
            <v>5.5386190414428711</v>
          </cell>
          <cell r="G1219">
            <v>6</v>
          </cell>
        </row>
        <row r="1220">
          <cell r="A1220" t="str">
            <v>BGD</v>
          </cell>
          <cell r="B1220" t="str">
            <v>Short</v>
          </cell>
          <cell r="C1220" t="str">
            <v>2015 - 2022</v>
          </cell>
          <cell r="D1220" t="str">
            <v>med_reg</v>
          </cell>
          <cell r="E1220" t="str">
            <v>lfls1_s0_a2</v>
          </cell>
          <cell r="F1220">
            <v>0.18027122318744659</v>
          </cell>
          <cell r="G1220">
            <v>6</v>
          </cell>
        </row>
        <row r="1221">
          <cell r="A1221" t="str">
            <v>BGD</v>
          </cell>
          <cell r="B1221" t="str">
            <v>Short</v>
          </cell>
          <cell r="C1221" t="str">
            <v>2015 - 2022</v>
          </cell>
          <cell r="D1221" t="str">
            <v>med_reg</v>
          </cell>
          <cell r="E1221" t="str">
            <v>lfls1_s0_a3</v>
          </cell>
          <cell r="F1221">
            <v>-0.15143889188766479</v>
          </cell>
          <cell r="G1221">
            <v>6</v>
          </cell>
        </row>
        <row r="1222">
          <cell r="A1222" t="str">
            <v>BGD</v>
          </cell>
          <cell r="B1222" t="str">
            <v>Short</v>
          </cell>
          <cell r="C1222" t="str">
            <v>2015 - 2022</v>
          </cell>
          <cell r="D1222" t="str">
            <v>med_reg</v>
          </cell>
          <cell r="E1222" t="str">
            <v>lfls1_s0_a4</v>
          </cell>
          <cell r="F1222">
            <v>0.32928931713104248</v>
          </cell>
          <cell r="G1222">
            <v>6</v>
          </cell>
        </row>
        <row r="1223">
          <cell r="A1223" t="str">
            <v>BGD</v>
          </cell>
          <cell r="B1223" t="str">
            <v>Short</v>
          </cell>
          <cell r="C1223" t="str">
            <v>2015 - 2022</v>
          </cell>
          <cell r="D1223" t="str">
            <v>med_reg</v>
          </cell>
          <cell r="E1223" t="str">
            <v>lfls1_s0_a5</v>
          </cell>
          <cell r="F1223">
            <v>1.6618167161941528</v>
          </cell>
          <cell r="G1223">
            <v>6</v>
          </cell>
        </row>
        <row r="1224">
          <cell r="A1224" t="str">
            <v>BGD</v>
          </cell>
          <cell r="B1224" t="str">
            <v>Short</v>
          </cell>
          <cell r="C1224" t="str">
            <v>2015 - 2022</v>
          </cell>
          <cell r="D1224" t="str">
            <v>med_reg</v>
          </cell>
          <cell r="E1224" t="str">
            <v>lfls1_s0_a6</v>
          </cell>
          <cell r="F1224">
            <v>0.37807664275169373</v>
          </cell>
          <cell r="G1224">
            <v>6</v>
          </cell>
        </row>
        <row r="1225">
          <cell r="A1225" t="str">
            <v>BGD</v>
          </cell>
          <cell r="B1225" t="str">
            <v>Short</v>
          </cell>
          <cell r="C1225" t="str">
            <v>2015 - 2022</v>
          </cell>
          <cell r="D1225" t="str">
            <v>med_reg</v>
          </cell>
          <cell r="E1225" t="str">
            <v>lfls1_s1_A0</v>
          </cell>
          <cell r="F1225">
            <v>-0.28888872265815735</v>
          </cell>
          <cell r="G1225">
            <v>6</v>
          </cell>
        </row>
        <row r="1226">
          <cell r="A1226" t="str">
            <v>BGD</v>
          </cell>
          <cell r="B1226" t="str">
            <v>Short</v>
          </cell>
          <cell r="C1226" t="str">
            <v>2015 - 2022</v>
          </cell>
          <cell r="D1226" t="str">
            <v>med_reg</v>
          </cell>
          <cell r="E1226" t="str">
            <v>lfls1_s1_a1</v>
          </cell>
          <cell r="F1226">
            <v>-1.9553773403167725</v>
          </cell>
          <cell r="G1226">
            <v>6</v>
          </cell>
        </row>
        <row r="1227">
          <cell r="A1227" t="str">
            <v>BGD</v>
          </cell>
          <cell r="B1227" t="str">
            <v>Short</v>
          </cell>
          <cell r="C1227" t="str">
            <v>2015 - 2022</v>
          </cell>
          <cell r="D1227" t="str">
            <v>med_reg</v>
          </cell>
          <cell r="E1227" t="str">
            <v>lfls1_s1_a2</v>
          </cell>
          <cell r="F1227">
            <v>0.38308560848236084</v>
          </cell>
          <cell r="G1227">
            <v>6</v>
          </cell>
        </row>
        <row r="1228">
          <cell r="A1228" t="str">
            <v>BGD</v>
          </cell>
          <cell r="B1228" t="str">
            <v>Short</v>
          </cell>
          <cell r="C1228" t="str">
            <v>2015 - 2022</v>
          </cell>
          <cell r="D1228" t="str">
            <v>med_reg</v>
          </cell>
          <cell r="E1228" t="str">
            <v>lfls1_s1_a3</v>
          </cell>
          <cell r="F1228">
            <v>1.2401716085150838E-3</v>
          </cell>
          <cell r="G1228">
            <v>6</v>
          </cell>
        </row>
        <row r="1229">
          <cell r="A1229" t="str">
            <v>BGD</v>
          </cell>
          <cell r="B1229" t="str">
            <v>Short</v>
          </cell>
          <cell r="C1229" t="str">
            <v>2015 - 2022</v>
          </cell>
          <cell r="D1229" t="str">
            <v>med_reg</v>
          </cell>
          <cell r="E1229" t="str">
            <v>lfls1_s1_a4</v>
          </cell>
          <cell r="F1229">
            <v>0.12410839647054672</v>
          </cell>
          <cell r="G1229">
            <v>6</v>
          </cell>
        </row>
        <row r="1230">
          <cell r="A1230" t="str">
            <v>BGD</v>
          </cell>
          <cell r="B1230" t="str">
            <v>Short</v>
          </cell>
          <cell r="C1230" t="str">
            <v>2015 - 2022</v>
          </cell>
          <cell r="D1230" t="str">
            <v>med_reg</v>
          </cell>
          <cell r="E1230" t="str">
            <v>lfls1_s1_a5</v>
          </cell>
          <cell r="F1230">
            <v>-0.21068975329399109</v>
          </cell>
          <cell r="G1230">
            <v>6</v>
          </cell>
        </row>
        <row r="1231">
          <cell r="A1231" t="str">
            <v>BGD</v>
          </cell>
          <cell r="B1231" t="str">
            <v>Short</v>
          </cell>
          <cell r="C1231" t="str">
            <v>2015 - 2022</v>
          </cell>
          <cell r="D1231" t="str">
            <v>med_reg</v>
          </cell>
          <cell r="E1231" t="str">
            <v>lfls1_s1_a6</v>
          </cell>
          <cell r="F1231">
            <v>1.3216625452041626</v>
          </cell>
          <cell r="G1231">
            <v>6</v>
          </cell>
        </row>
        <row r="1232">
          <cell r="A1232" t="str">
            <v>BGD</v>
          </cell>
          <cell r="B1232" t="str">
            <v>Short</v>
          </cell>
          <cell r="C1232" t="str">
            <v>2015 - 2022</v>
          </cell>
          <cell r="D1232" t="str">
            <v>med_reg</v>
          </cell>
          <cell r="E1232" t="str">
            <v>lfprod_s0_a1</v>
          </cell>
          <cell r="F1232">
            <v>4.5386190414428711</v>
          </cell>
          <cell r="G1232">
            <v>6</v>
          </cell>
        </row>
        <row r="1233">
          <cell r="A1233" t="str">
            <v>BGD</v>
          </cell>
          <cell r="B1233" t="str">
            <v>Short</v>
          </cell>
          <cell r="C1233" t="str">
            <v>2015 - 2022</v>
          </cell>
          <cell r="D1233" t="str">
            <v>med_reg</v>
          </cell>
          <cell r="E1233" t="str">
            <v>lfprod_s0_a2</v>
          </cell>
          <cell r="F1233">
            <v>-0.8197287917137146</v>
          </cell>
          <cell r="G1233">
            <v>6</v>
          </cell>
        </row>
        <row r="1234">
          <cell r="A1234" t="str">
            <v>BGD</v>
          </cell>
          <cell r="B1234" t="str">
            <v>Short</v>
          </cell>
          <cell r="C1234" t="str">
            <v>2015 - 2022</v>
          </cell>
          <cell r="D1234" t="str">
            <v>med_reg</v>
          </cell>
          <cell r="E1234" t="str">
            <v>lfprod_s0_a3</v>
          </cell>
          <cell r="F1234">
            <v>-1.1514389514923096</v>
          </cell>
          <cell r="G1234">
            <v>6</v>
          </cell>
        </row>
        <row r="1235">
          <cell r="A1235" t="str">
            <v>BGD</v>
          </cell>
          <cell r="B1235" t="str">
            <v>Short</v>
          </cell>
          <cell r="C1235" t="str">
            <v>2015 - 2022</v>
          </cell>
          <cell r="D1235" t="str">
            <v>med_reg</v>
          </cell>
          <cell r="E1235" t="str">
            <v>lfprod_s0_a4</v>
          </cell>
          <cell r="F1235">
            <v>-0.67071068286895752</v>
          </cell>
          <cell r="G1235">
            <v>6</v>
          </cell>
        </row>
        <row r="1236">
          <cell r="A1236" t="str">
            <v>BGD</v>
          </cell>
          <cell r="B1236" t="str">
            <v>Short</v>
          </cell>
          <cell r="C1236" t="str">
            <v>2015 - 2022</v>
          </cell>
          <cell r="D1236" t="str">
            <v>med_reg</v>
          </cell>
          <cell r="E1236" t="str">
            <v>lfprod_s0_a5</v>
          </cell>
          <cell r="F1236">
            <v>0.66181671619415283</v>
          </cell>
          <cell r="G1236">
            <v>6</v>
          </cell>
        </row>
        <row r="1237">
          <cell r="A1237" t="str">
            <v>BGD</v>
          </cell>
          <cell r="B1237" t="str">
            <v>Short</v>
          </cell>
          <cell r="C1237" t="str">
            <v>2015 - 2022</v>
          </cell>
          <cell r="D1237" t="str">
            <v>med_reg</v>
          </cell>
          <cell r="E1237" t="str">
            <v>lfprod_s0_a6</v>
          </cell>
          <cell r="F1237">
            <v>-0.62192332744598389</v>
          </cell>
          <cell r="G1237">
            <v>6</v>
          </cell>
        </row>
        <row r="1238">
          <cell r="A1238" t="str">
            <v>BGD</v>
          </cell>
          <cell r="B1238" t="str">
            <v>Short</v>
          </cell>
          <cell r="C1238" t="str">
            <v>2015 - 2022</v>
          </cell>
          <cell r="D1238" t="str">
            <v>med_reg</v>
          </cell>
          <cell r="E1238" t="str">
            <v>lfprod_s1_a1</v>
          </cell>
          <cell r="F1238">
            <v>-2.9553773403167725</v>
          </cell>
          <cell r="G1238">
            <v>6</v>
          </cell>
        </row>
        <row r="1239">
          <cell r="A1239" t="str">
            <v>BGD</v>
          </cell>
          <cell r="B1239" t="str">
            <v>Short</v>
          </cell>
          <cell r="C1239" t="str">
            <v>2015 - 2022</v>
          </cell>
          <cell r="D1239" t="str">
            <v>med_reg</v>
          </cell>
          <cell r="E1239" t="str">
            <v>lfprod_s1_a2</v>
          </cell>
          <cell r="F1239">
            <v>-0.61691439151763916</v>
          </cell>
          <cell r="G1239">
            <v>6</v>
          </cell>
        </row>
        <row r="1240">
          <cell r="A1240" t="str">
            <v>BGD</v>
          </cell>
          <cell r="B1240" t="str">
            <v>Short</v>
          </cell>
          <cell r="C1240" t="str">
            <v>2015 - 2022</v>
          </cell>
          <cell r="D1240" t="str">
            <v>med_reg</v>
          </cell>
          <cell r="E1240" t="str">
            <v>lfprod_s1_a3</v>
          </cell>
          <cell r="F1240">
            <v>-0.99875980615615845</v>
          </cell>
          <cell r="G1240">
            <v>6</v>
          </cell>
        </row>
        <row r="1241">
          <cell r="A1241" t="str">
            <v>BGD</v>
          </cell>
          <cell r="B1241" t="str">
            <v>Short</v>
          </cell>
          <cell r="C1241" t="str">
            <v>2015 - 2022</v>
          </cell>
          <cell r="D1241" t="str">
            <v>med_reg</v>
          </cell>
          <cell r="E1241" t="str">
            <v>lfprod_s1_a4</v>
          </cell>
          <cell r="F1241">
            <v>-0.87589162588119507</v>
          </cell>
          <cell r="G1241">
            <v>6</v>
          </cell>
        </row>
        <row r="1242">
          <cell r="A1242" t="str">
            <v>BGD</v>
          </cell>
          <cell r="B1242" t="str">
            <v>Short</v>
          </cell>
          <cell r="C1242" t="str">
            <v>2015 - 2022</v>
          </cell>
          <cell r="D1242" t="str">
            <v>med_reg</v>
          </cell>
          <cell r="E1242" t="str">
            <v>lfprod_s1_a5</v>
          </cell>
          <cell r="F1242">
            <v>-1.2106897830963135</v>
          </cell>
          <cell r="G1242">
            <v>6</v>
          </cell>
        </row>
        <row r="1243">
          <cell r="A1243" t="str">
            <v>BGD</v>
          </cell>
          <cell r="B1243" t="str">
            <v>Short</v>
          </cell>
          <cell r="C1243" t="str">
            <v>2015 - 2022</v>
          </cell>
          <cell r="D1243" t="str">
            <v>med_reg</v>
          </cell>
          <cell r="E1243" t="str">
            <v>lfprod_s1_a6</v>
          </cell>
          <cell r="F1243">
            <v>0.32166251540184021</v>
          </cell>
          <cell r="G1243">
            <v>6</v>
          </cell>
        </row>
        <row r="1244">
          <cell r="A1244" t="str">
            <v>BGD</v>
          </cell>
          <cell r="B1244" t="str">
            <v>Short</v>
          </cell>
          <cell r="C1244" t="str">
            <v>2015 - 2022</v>
          </cell>
          <cell r="D1244" t="str">
            <v>reg</v>
          </cell>
          <cell r="E1244" t="str">
            <v>lfls12_S0_A0</v>
          </cell>
          <cell r="F1244">
            <v>0.36420696973800659</v>
          </cell>
          <cell r="G1244">
            <v>6</v>
          </cell>
        </row>
        <row r="1245">
          <cell r="A1245" t="str">
            <v>BGD</v>
          </cell>
          <cell r="B1245" t="str">
            <v>Short</v>
          </cell>
          <cell r="C1245" t="str">
            <v>2015 - 2022</v>
          </cell>
          <cell r="D1245" t="str">
            <v>reg</v>
          </cell>
          <cell r="E1245" t="str">
            <v>lfls1_S0_A0</v>
          </cell>
          <cell r="F1245">
            <v>0.37182855606079102</v>
          </cell>
          <cell r="G1245">
            <v>6</v>
          </cell>
        </row>
        <row r="1246">
          <cell r="A1246" t="str">
            <v>BGD</v>
          </cell>
          <cell r="B1246" t="str">
            <v>Short</v>
          </cell>
          <cell r="C1246" t="str">
            <v>2015 - 2022</v>
          </cell>
          <cell r="D1246" t="str">
            <v>reg</v>
          </cell>
          <cell r="E1246" t="str">
            <v>lfls1_S0_a1</v>
          </cell>
          <cell r="F1246">
            <v>0.86043602228164673</v>
          </cell>
          <cell r="G1246">
            <v>6</v>
          </cell>
        </row>
        <row r="1247">
          <cell r="A1247" t="str">
            <v>BGD</v>
          </cell>
          <cell r="B1247" t="str">
            <v>Short</v>
          </cell>
          <cell r="C1247" t="str">
            <v>2015 - 2022</v>
          </cell>
          <cell r="D1247" t="str">
            <v>reg</v>
          </cell>
          <cell r="E1247" t="str">
            <v>lfls1_S0_a2</v>
          </cell>
          <cell r="F1247">
            <v>0.19281153380870819</v>
          </cell>
          <cell r="G1247">
            <v>6</v>
          </cell>
        </row>
        <row r="1248">
          <cell r="A1248" t="str">
            <v>BGD</v>
          </cell>
          <cell r="B1248" t="str">
            <v>Short</v>
          </cell>
          <cell r="C1248" t="str">
            <v>2015 - 2022</v>
          </cell>
          <cell r="D1248" t="str">
            <v>reg</v>
          </cell>
          <cell r="E1248" t="str">
            <v>lfls1_S0_a3</v>
          </cell>
          <cell r="F1248">
            <v>-0.15828391909599304</v>
          </cell>
          <cell r="G1248">
            <v>6</v>
          </cell>
        </row>
        <row r="1249">
          <cell r="A1249" t="str">
            <v>BGD</v>
          </cell>
          <cell r="B1249" t="str">
            <v>Short</v>
          </cell>
          <cell r="C1249" t="str">
            <v>2015 - 2022</v>
          </cell>
          <cell r="D1249" t="str">
            <v>reg</v>
          </cell>
          <cell r="E1249" t="str">
            <v>lfls1_S0_a4</v>
          </cell>
          <cell r="F1249">
            <v>0.34884333610534668</v>
          </cell>
          <cell r="G1249">
            <v>6</v>
          </cell>
        </row>
        <row r="1250">
          <cell r="A1250" t="str">
            <v>BGD</v>
          </cell>
          <cell r="B1250" t="str">
            <v>Short</v>
          </cell>
          <cell r="C1250" t="str">
            <v>2015 - 2022</v>
          </cell>
          <cell r="D1250" t="str">
            <v>reg</v>
          </cell>
          <cell r="E1250" t="str">
            <v>lfls1_S0_a5</v>
          </cell>
          <cell r="F1250">
            <v>0.8865516185760498</v>
          </cell>
          <cell r="G1250">
            <v>6</v>
          </cell>
        </row>
        <row r="1251">
          <cell r="A1251" t="str">
            <v>BGD</v>
          </cell>
          <cell r="B1251" t="str">
            <v>Short</v>
          </cell>
          <cell r="C1251" t="str">
            <v>2015 - 2022</v>
          </cell>
          <cell r="D1251" t="str">
            <v>reg</v>
          </cell>
          <cell r="E1251" t="str">
            <v>lfls1_S0_a6</v>
          </cell>
          <cell r="F1251">
            <v>0.62803804874420166</v>
          </cell>
          <cell r="G1251">
            <v>6</v>
          </cell>
        </row>
        <row r="1252">
          <cell r="A1252" t="str">
            <v>BGD</v>
          </cell>
          <cell r="B1252" t="str">
            <v>Short</v>
          </cell>
          <cell r="C1252" t="str">
            <v>2015 - 2022</v>
          </cell>
          <cell r="D1252" t="str">
            <v>reg</v>
          </cell>
          <cell r="E1252" t="str">
            <v>lfls1_s0_A0</v>
          </cell>
          <cell r="F1252">
            <v>0.75167715549468994</v>
          </cell>
          <cell r="G1252">
            <v>6</v>
          </cell>
        </row>
        <row r="1253">
          <cell r="A1253" t="str">
            <v>BGD</v>
          </cell>
          <cell r="B1253" t="str">
            <v>Short</v>
          </cell>
          <cell r="C1253" t="str">
            <v>2015 - 2022</v>
          </cell>
          <cell r="D1253" t="str">
            <v>reg</v>
          </cell>
          <cell r="E1253" t="str">
            <v>lfls1_s0_a1</v>
          </cell>
          <cell r="F1253">
            <v>5.8268165588378906</v>
          </cell>
          <cell r="G1253">
            <v>6</v>
          </cell>
        </row>
        <row r="1254">
          <cell r="A1254" t="str">
            <v>BGD</v>
          </cell>
          <cell r="B1254" t="str">
            <v>Short</v>
          </cell>
          <cell r="C1254" t="str">
            <v>2015 - 2022</v>
          </cell>
          <cell r="D1254" t="str">
            <v>reg</v>
          </cell>
          <cell r="E1254" t="str">
            <v>lfls1_s0_a2</v>
          </cell>
          <cell r="F1254">
            <v>0.18189077079296112</v>
          </cell>
          <cell r="G1254">
            <v>6</v>
          </cell>
        </row>
        <row r="1255">
          <cell r="A1255" t="str">
            <v>BGD</v>
          </cell>
          <cell r="B1255" t="str">
            <v>Short</v>
          </cell>
          <cell r="C1255" t="str">
            <v>2015 - 2022</v>
          </cell>
          <cell r="D1255" t="str">
            <v>reg</v>
          </cell>
          <cell r="E1255" t="str">
            <v>lfls1_s0_a3</v>
          </cell>
          <cell r="F1255">
            <v>-0.17069312930107117</v>
          </cell>
          <cell r="G1255">
            <v>6</v>
          </cell>
        </row>
        <row r="1256">
          <cell r="A1256" t="str">
            <v>BGD</v>
          </cell>
          <cell r="B1256" t="str">
            <v>Short</v>
          </cell>
          <cell r="C1256" t="str">
            <v>2015 - 2022</v>
          </cell>
          <cell r="D1256" t="str">
            <v>reg</v>
          </cell>
          <cell r="E1256" t="str">
            <v>lfls1_s0_a4</v>
          </cell>
          <cell r="F1256">
            <v>0.35559779405593872</v>
          </cell>
          <cell r="G1256">
            <v>6</v>
          </cell>
        </row>
        <row r="1257">
          <cell r="A1257" t="str">
            <v>BGD</v>
          </cell>
          <cell r="B1257" t="str">
            <v>Short</v>
          </cell>
          <cell r="C1257" t="str">
            <v>2015 - 2022</v>
          </cell>
          <cell r="D1257" t="str">
            <v>reg</v>
          </cell>
          <cell r="E1257" t="str">
            <v>lfls1_s0_a5</v>
          </cell>
          <cell r="F1257">
            <v>1.7348934412002563</v>
          </cell>
          <cell r="G1257">
            <v>6</v>
          </cell>
        </row>
        <row r="1258">
          <cell r="A1258" t="str">
            <v>BGD</v>
          </cell>
          <cell r="B1258" t="str">
            <v>Short</v>
          </cell>
          <cell r="C1258" t="str">
            <v>2015 - 2022</v>
          </cell>
          <cell r="D1258" t="str">
            <v>reg</v>
          </cell>
          <cell r="E1258" t="str">
            <v>lfls1_s0_a6</v>
          </cell>
          <cell r="F1258">
            <v>0.3534730076789856</v>
          </cell>
          <cell r="G1258">
            <v>6</v>
          </cell>
        </row>
        <row r="1259">
          <cell r="A1259" t="str">
            <v>BGD</v>
          </cell>
          <cell r="B1259" t="str">
            <v>Short</v>
          </cell>
          <cell r="C1259" t="str">
            <v>2015 - 2022</v>
          </cell>
          <cell r="D1259" t="str">
            <v>reg</v>
          </cell>
          <cell r="E1259" t="str">
            <v>lfls1_s1_A0</v>
          </cell>
          <cell r="F1259">
            <v>-0.30815955996513367</v>
          </cell>
          <cell r="G1259">
            <v>6</v>
          </cell>
        </row>
        <row r="1260">
          <cell r="A1260" t="str">
            <v>BGD</v>
          </cell>
          <cell r="B1260" t="str">
            <v>Short</v>
          </cell>
          <cell r="C1260" t="str">
            <v>2015 - 2022</v>
          </cell>
          <cell r="D1260" t="str">
            <v>reg</v>
          </cell>
          <cell r="E1260" t="str">
            <v>lfls1_s1_a1</v>
          </cell>
          <cell r="F1260">
            <v>-2.1076726913452148</v>
          </cell>
          <cell r="G1260">
            <v>6</v>
          </cell>
        </row>
        <row r="1261">
          <cell r="A1261" t="str">
            <v>BGD</v>
          </cell>
          <cell r="B1261" t="str">
            <v>Short</v>
          </cell>
          <cell r="C1261" t="str">
            <v>2015 - 2022</v>
          </cell>
          <cell r="D1261" t="str">
            <v>reg</v>
          </cell>
          <cell r="E1261" t="str">
            <v>lfls1_s1_a2</v>
          </cell>
          <cell r="F1261">
            <v>0.40117564797401428</v>
          </cell>
          <cell r="G1261">
            <v>6</v>
          </cell>
        </row>
        <row r="1262">
          <cell r="A1262" t="str">
            <v>BGD</v>
          </cell>
          <cell r="B1262" t="str">
            <v>Short</v>
          </cell>
          <cell r="C1262" t="str">
            <v>2015 - 2022</v>
          </cell>
          <cell r="D1262" t="str">
            <v>reg</v>
          </cell>
          <cell r="E1262" t="str">
            <v>lfls1_s1_a3</v>
          </cell>
          <cell r="F1262">
            <v>-4.703177884221077E-2</v>
          </cell>
          <cell r="G1262">
            <v>6</v>
          </cell>
        </row>
        <row r="1263">
          <cell r="A1263" t="str">
            <v>BGD</v>
          </cell>
          <cell r="B1263" t="str">
            <v>Short</v>
          </cell>
          <cell r="C1263" t="str">
            <v>2015 - 2022</v>
          </cell>
          <cell r="D1263" t="str">
            <v>reg</v>
          </cell>
          <cell r="E1263" t="str">
            <v>lfls1_s1_a4</v>
          </cell>
          <cell r="F1263">
            <v>0.12076184898614883</v>
          </cell>
          <cell r="G1263">
            <v>6</v>
          </cell>
        </row>
        <row r="1264">
          <cell r="A1264" t="str">
            <v>BGD</v>
          </cell>
          <cell r="B1264" t="str">
            <v>Short</v>
          </cell>
          <cell r="C1264" t="str">
            <v>2015 - 2022</v>
          </cell>
          <cell r="D1264" t="str">
            <v>reg</v>
          </cell>
          <cell r="E1264" t="str">
            <v>lfls1_s1_a5</v>
          </cell>
          <cell r="F1264">
            <v>-0.23081856966018677</v>
          </cell>
          <cell r="G1264">
            <v>6</v>
          </cell>
        </row>
        <row r="1265">
          <cell r="A1265" t="str">
            <v>BGD</v>
          </cell>
          <cell r="B1265" t="str">
            <v>Short</v>
          </cell>
          <cell r="C1265" t="str">
            <v>2015 - 2022</v>
          </cell>
          <cell r="D1265" t="str">
            <v>reg</v>
          </cell>
          <cell r="E1265" t="str">
            <v>lfls1_s1_a6</v>
          </cell>
          <cell r="F1265">
            <v>1.4137283563613892</v>
          </cell>
          <cell r="G1265">
            <v>6</v>
          </cell>
        </row>
        <row r="1266">
          <cell r="A1266" t="str">
            <v>BGD</v>
          </cell>
          <cell r="B1266" t="str">
            <v>Short</v>
          </cell>
          <cell r="C1266" t="str">
            <v>2015 - 2022</v>
          </cell>
          <cell r="D1266" t="str">
            <v>reg</v>
          </cell>
          <cell r="E1266" t="str">
            <v>lfprod_s0_a1</v>
          </cell>
          <cell r="F1266">
            <v>4.8268165588378906</v>
          </cell>
          <cell r="G1266">
            <v>6</v>
          </cell>
        </row>
        <row r="1267">
          <cell r="A1267" t="str">
            <v>BGD</v>
          </cell>
          <cell r="B1267" t="str">
            <v>Short</v>
          </cell>
          <cell r="C1267" t="str">
            <v>2015 - 2022</v>
          </cell>
          <cell r="D1267" t="str">
            <v>reg</v>
          </cell>
          <cell r="E1267" t="str">
            <v>lfprod_s0_a2</v>
          </cell>
          <cell r="F1267">
            <v>-0.81810921430587769</v>
          </cell>
          <cell r="G1267">
            <v>6</v>
          </cell>
        </row>
        <row r="1268">
          <cell r="A1268" t="str">
            <v>BGD</v>
          </cell>
          <cell r="B1268" t="str">
            <v>Short</v>
          </cell>
          <cell r="C1268" t="str">
            <v>2015 - 2022</v>
          </cell>
          <cell r="D1268" t="str">
            <v>reg</v>
          </cell>
          <cell r="E1268" t="str">
            <v>lfprod_s0_a3</v>
          </cell>
          <cell r="F1268">
            <v>-1.1706931591033936</v>
          </cell>
          <cell r="G1268">
            <v>6</v>
          </cell>
        </row>
        <row r="1269">
          <cell r="A1269" t="str">
            <v>BGD</v>
          </cell>
          <cell r="B1269" t="str">
            <v>Short</v>
          </cell>
          <cell r="C1269" t="str">
            <v>2015 - 2022</v>
          </cell>
          <cell r="D1269" t="str">
            <v>reg</v>
          </cell>
          <cell r="E1269" t="str">
            <v>lfprod_s0_a4</v>
          </cell>
          <cell r="F1269">
            <v>-0.64440220594406128</v>
          </cell>
          <cell r="G1269">
            <v>6</v>
          </cell>
        </row>
        <row r="1270">
          <cell r="A1270" t="str">
            <v>BGD</v>
          </cell>
          <cell r="B1270" t="str">
            <v>Short</v>
          </cell>
          <cell r="C1270" t="str">
            <v>2015 - 2022</v>
          </cell>
          <cell r="D1270" t="str">
            <v>reg</v>
          </cell>
          <cell r="E1270" t="str">
            <v>lfprod_s0_a5</v>
          </cell>
          <cell r="F1270">
            <v>0.73489344120025635</v>
          </cell>
          <cell r="G1270">
            <v>6</v>
          </cell>
        </row>
        <row r="1271">
          <cell r="A1271" t="str">
            <v>BGD</v>
          </cell>
          <cell r="B1271" t="str">
            <v>Short</v>
          </cell>
          <cell r="C1271" t="str">
            <v>2015 - 2022</v>
          </cell>
          <cell r="D1271" t="str">
            <v>reg</v>
          </cell>
          <cell r="E1271" t="str">
            <v>lfprod_s0_a6</v>
          </cell>
          <cell r="F1271">
            <v>-0.6465269923210144</v>
          </cell>
          <cell r="G1271">
            <v>6</v>
          </cell>
        </row>
        <row r="1272">
          <cell r="A1272" t="str">
            <v>BGD</v>
          </cell>
          <cell r="B1272" t="str">
            <v>Short</v>
          </cell>
          <cell r="C1272" t="str">
            <v>2015 - 2022</v>
          </cell>
          <cell r="D1272" t="str">
            <v>reg</v>
          </cell>
          <cell r="E1272" t="str">
            <v>lfprod_s1_a1</v>
          </cell>
          <cell r="F1272">
            <v>-3.1076726913452148</v>
          </cell>
          <cell r="G1272">
            <v>6</v>
          </cell>
        </row>
        <row r="1273">
          <cell r="A1273" t="str">
            <v>BGD</v>
          </cell>
          <cell r="B1273" t="str">
            <v>Short</v>
          </cell>
          <cell r="C1273" t="str">
            <v>2015 - 2022</v>
          </cell>
          <cell r="D1273" t="str">
            <v>reg</v>
          </cell>
          <cell r="E1273" t="str">
            <v>lfprod_s1_a2</v>
          </cell>
          <cell r="F1273">
            <v>-0.59882432222366333</v>
          </cell>
          <cell r="G1273">
            <v>6</v>
          </cell>
        </row>
        <row r="1274">
          <cell r="A1274" t="str">
            <v>BGD</v>
          </cell>
          <cell r="B1274" t="str">
            <v>Short</v>
          </cell>
          <cell r="C1274" t="str">
            <v>2015 - 2022</v>
          </cell>
          <cell r="D1274" t="str">
            <v>reg</v>
          </cell>
          <cell r="E1274" t="str">
            <v>lfprod_s1_a3</v>
          </cell>
          <cell r="F1274">
            <v>-1.0470317602157593</v>
          </cell>
          <cell r="G1274">
            <v>6</v>
          </cell>
        </row>
        <row r="1275">
          <cell r="A1275" t="str">
            <v>BGD</v>
          </cell>
          <cell r="B1275" t="str">
            <v>Short</v>
          </cell>
          <cell r="C1275" t="str">
            <v>2015 - 2022</v>
          </cell>
          <cell r="D1275" t="str">
            <v>reg</v>
          </cell>
          <cell r="E1275" t="str">
            <v>lfprod_s1_a4</v>
          </cell>
          <cell r="F1275">
            <v>-0.87923812866210938</v>
          </cell>
          <cell r="G1275">
            <v>6</v>
          </cell>
        </row>
        <row r="1276">
          <cell r="A1276" t="str">
            <v>BGD</v>
          </cell>
          <cell r="B1276" t="str">
            <v>Short</v>
          </cell>
          <cell r="C1276" t="str">
            <v>2015 - 2022</v>
          </cell>
          <cell r="D1276" t="str">
            <v>reg</v>
          </cell>
          <cell r="E1276" t="str">
            <v>lfprod_s1_a5</v>
          </cell>
          <cell r="F1276">
            <v>-1.230818510055542</v>
          </cell>
          <cell r="G1276">
            <v>6</v>
          </cell>
        </row>
        <row r="1277">
          <cell r="A1277" t="str">
            <v>BGD</v>
          </cell>
          <cell r="B1277" t="str">
            <v>Short</v>
          </cell>
          <cell r="C1277" t="str">
            <v>2015 - 2022</v>
          </cell>
          <cell r="D1277" t="str">
            <v>reg</v>
          </cell>
          <cell r="E1277" t="str">
            <v>lfprod_s1_a6</v>
          </cell>
          <cell r="F1277">
            <v>0.41372835636138916</v>
          </cell>
          <cell r="G1277">
            <v>6</v>
          </cell>
        </row>
        <row r="1278">
          <cell r="A1278" t="str">
            <v>BGD</v>
          </cell>
          <cell r="B1278" t="str">
            <v>Short</v>
          </cell>
          <cell r="C1278" t="str">
            <v>2016 - 2022</v>
          </cell>
          <cell r="D1278" t="str">
            <v>avg</v>
          </cell>
          <cell r="E1278" t="str">
            <v>hsls12_S0_A0</v>
          </cell>
          <cell r="F1278">
            <v>0.35838958621025085</v>
          </cell>
          <cell r="G1278">
            <v>6</v>
          </cell>
        </row>
        <row r="1279">
          <cell r="A1279" t="str">
            <v>BGD</v>
          </cell>
          <cell r="B1279" t="str">
            <v>Short</v>
          </cell>
          <cell r="C1279" t="str">
            <v>2016 - 2022</v>
          </cell>
          <cell r="D1279" t="str">
            <v>avg</v>
          </cell>
          <cell r="E1279" t="str">
            <v>hsls1_S0_A0</v>
          </cell>
          <cell r="F1279">
            <v>0.33362236618995667</v>
          </cell>
          <cell r="G1279">
            <v>6</v>
          </cell>
        </row>
        <row r="1280">
          <cell r="A1280" t="str">
            <v>BGD</v>
          </cell>
          <cell r="B1280" t="str">
            <v>Short</v>
          </cell>
          <cell r="C1280" t="str">
            <v>2016 - 2022</v>
          </cell>
          <cell r="D1280" t="str">
            <v>avg</v>
          </cell>
          <cell r="E1280" t="str">
            <v>hsls1_S0_a1</v>
          </cell>
          <cell r="F1280">
            <v>0.55237853527069092</v>
          </cell>
          <cell r="G1280">
            <v>6</v>
          </cell>
        </row>
        <row r="1281">
          <cell r="A1281" t="str">
            <v>BGD</v>
          </cell>
          <cell r="B1281" t="str">
            <v>Short</v>
          </cell>
          <cell r="C1281" t="str">
            <v>2016 - 2022</v>
          </cell>
          <cell r="D1281" t="str">
            <v>avg</v>
          </cell>
          <cell r="E1281" t="str">
            <v>hsls1_S0_a2</v>
          </cell>
          <cell r="F1281">
            <v>0.62764430046081543</v>
          </cell>
          <cell r="G1281">
            <v>6</v>
          </cell>
        </row>
        <row r="1282">
          <cell r="A1282" t="str">
            <v>BGD</v>
          </cell>
          <cell r="B1282" t="str">
            <v>Short</v>
          </cell>
          <cell r="C1282" t="str">
            <v>2016 - 2022</v>
          </cell>
          <cell r="D1282" t="str">
            <v>avg</v>
          </cell>
          <cell r="E1282" t="str">
            <v>hsls1_S0_a3</v>
          </cell>
          <cell r="F1282">
            <v>0.35409775376319885</v>
          </cell>
          <cell r="G1282">
            <v>6</v>
          </cell>
        </row>
        <row r="1283">
          <cell r="A1283" t="str">
            <v>BGD</v>
          </cell>
          <cell r="B1283" t="str">
            <v>Short</v>
          </cell>
          <cell r="C1283" t="str">
            <v>2016 - 2022</v>
          </cell>
          <cell r="D1283" t="str">
            <v>avg</v>
          </cell>
          <cell r="E1283" t="str">
            <v>hsls1_S0_a4</v>
          </cell>
          <cell r="F1283">
            <v>-5.3827922791242599E-2</v>
          </cell>
          <cell r="G1283">
            <v>6</v>
          </cell>
        </row>
        <row r="1284">
          <cell r="A1284" t="str">
            <v>BGD</v>
          </cell>
          <cell r="B1284" t="str">
            <v>Short</v>
          </cell>
          <cell r="C1284" t="str">
            <v>2016 - 2022</v>
          </cell>
          <cell r="D1284" t="str">
            <v>avg</v>
          </cell>
          <cell r="E1284" t="str">
            <v>hsls1_S0_a5</v>
          </cell>
          <cell r="F1284">
            <v>0.27837413549423218</v>
          </cell>
          <cell r="G1284">
            <v>6</v>
          </cell>
        </row>
        <row r="1285">
          <cell r="A1285" t="str">
            <v>BGD</v>
          </cell>
          <cell r="B1285" t="str">
            <v>Short</v>
          </cell>
          <cell r="C1285" t="str">
            <v>2016 - 2022</v>
          </cell>
          <cell r="D1285" t="str">
            <v>avg</v>
          </cell>
          <cell r="E1285" t="str">
            <v>hsls1_S0_a6</v>
          </cell>
          <cell r="F1285">
            <v>0.38358873128890991</v>
          </cell>
          <cell r="G1285">
            <v>6</v>
          </cell>
        </row>
        <row r="1286">
          <cell r="A1286" t="str">
            <v>BGD</v>
          </cell>
          <cell r="B1286" t="str">
            <v>Short</v>
          </cell>
          <cell r="C1286" t="str">
            <v>2016 - 2022</v>
          </cell>
          <cell r="D1286" t="str">
            <v>avg</v>
          </cell>
          <cell r="E1286" t="str">
            <v>hsls1_s0_A0</v>
          </cell>
          <cell r="F1286">
            <v>-1.2554699555039406E-2</v>
          </cell>
          <cell r="G1286">
            <v>6</v>
          </cell>
        </row>
        <row r="1287">
          <cell r="A1287" t="str">
            <v>BGD</v>
          </cell>
          <cell r="B1287" t="str">
            <v>Short</v>
          </cell>
          <cell r="C1287" t="str">
            <v>2016 - 2022</v>
          </cell>
          <cell r="D1287" t="str">
            <v>avg</v>
          </cell>
          <cell r="E1287" t="str">
            <v>hsls1_s0_a1</v>
          </cell>
          <cell r="F1287">
            <v>1.0052577257156372</v>
          </cell>
          <cell r="G1287">
            <v>6</v>
          </cell>
        </row>
        <row r="1288">
          <cell r="A1288" t="str">
            <v>BGD</v>
          </cell>
          <cell r="B1288" t="str">
            <v>Short</v>
          </cell>
          <cell r="C1288" t="str">
            <v>2016 - 2022</v>
          </cell>
          <cell r="D1288" t="str">
            <v>avg</v>
          </cell>
          <cell r="E1288" t="str">
            <v>hsls1_s0_a2</v>
          </cell>
          <cell r="F1288">
            <v>0.47443830966949463</v>
          </cell>
          <cell r="G1288">
            <v>6</v>
          </cell>
        </row>
        <row r="1289">
          <cell r="A1289" t="str">
            <v>BGD</v>
          </cell>
          <cell r="B1289" t="str">
            <v>Short</v>
          </cell>
          <cell r="C1289" t="str">
            <v>2016 - 2022</v>
          </cell>
          <cell r="D1289" t="str">
            <v>avg</v>
          </cell>
          <cell r="E1289" t="str">
            <v>hsls1_s0_a3</v>
          </cell>
          <cell r="F1289">
            <v>-4.0827054530382156E-2</v>
          </cell>
          <cell r="G1289">
            <v>6</v>
          </cell>
        </row>
        <row r="1290">
          <cell r="A1290" t="str">
            <v>BGD</v>
          </cell>
          <cell r="B1290" t="str">
            <v>Short</v>
          </cell>
          <cell r="C1290" t="str">
            <v>2016 - 2022</v>
          </cell>
          <cell r="D1290" t="str">
            <v>avg</v>
          </cell>
          <cell r="E1290" t="str">
            <v>hsls1_s0_a4</v>
          </cell>
          <cell r="F1290">
            <v>-0.18949064612388611</v>
          </cell>
          <cell r="G1290">
            <v>6</v>
          </cell>
        </row>
        <row r="1291">
          <cell r="A1291" t="str">
            <v>BGD</v>
          </cell>
          <cell r="B1291" t="str">
            <v>Short</v>
          </cell>
          <cell r="C1291" t="str">
            <v>2016 - 2022</v>
          </cell>
          <cell r="D1291" t="str">
            <v>avg</v>
          </cell>
          <cell r="E1291" t="str">
            <v>hsls1_s0_a5</v>
          </cell>
          <cell r="F1291">
            <v>-0.3075462281703949</v>
          </cell>
          <cell r="G1291">
            <v>6</v>
          </cell>
        </row>
        <row r="1292">
          <cell r="A1292" t="str">
            <v>BGD</v>
          </cell>
          <cell r="B1292" t="str">
            <v>Short</v>
          </cell>
          <cell r="C1292" t="str">
            <v>2016 - 2022</v>
          </cell>
          <cell r="D1292" t="str">
            <v>avg</v>
          </cell>
          <cell r="E1292" t="str">
            <v>hsls1_s0_a6</v>
          </cell>
          <cell r="F1292">
            <v>-9.4280429184436798E-2</v>
          </cell>
          <cell r="G1292">
            <v>6</v>
          </cell>
        </row>
        <row r="1293">
          <cell r="A1293" t="str">
            <v>BGD</v>
          </cell>
          <cell r="B1293" t="str">
            <v>Short</v>
          </cell>
          <cell r="C1293" t="str">
            <v>2016 - 2022</v>
          </cell>
          <cell r="D1293" t="str">
            <v>avg</v>
          </cell>
          <cell r="E1293" t="str">
            <v>hsls1_s1_A0</v>
          </cell>
          <cell r="F1293">
            <v>0.70783334970474243</v>
          </cell>
          <cell r="G1293">
            <v>6</v>
          </cell>
        </row>
        <row r="1294">
          <cell r="A1294" t="str">
            <v>BGD</v>
          </cell>
          <cell r="B1294" t="str">
            <v>Short</v>
          </cell>
          <cell r="C1294" t="str">
            <v>2016 - 2022</v>
          </cell>
          <cell r="D1294" t="str">
            <v>avg</v>
          </cell>
          <cell r="E1294" t="str">
            <v>hsls1_s1_a1</v>
          </cell>
          <cell r="F1294">
            <v>0.48470062017440796</v>
          </cell>
          <cell r="G1294">
            <v>6</v>
          </cell>
        </row>
        <row r="1295">
          <cell r="A1295" t="str">
            <v>BGD</v>
          </cell>
          <cell r="B1295" t="str">
            <v>Short</v>
          </cell>
          <cell r="C1295" t="str">
            <v>2016 - 2022</v>
          </cell>
          <cell r="D1295" t="str">
            <v>avg</v>
          </cell>
          <cell r="E1295" t="str">
            <v>hsls1_s1_a2</v>
          </cell>
          <cell r="F1295">
            <v>0.97298693656921387</v>
          </cell>
          <cell r="G1295">
            <v>6</v>
          </cell>
        </row>
        <row r="1296">
          <cell r="A1296" t="str">
            <v>BGD</v>
          </cell>
          <cell r="B1296" t="str">
            <v>Short</v>
          </cell>
          <cell r="C1296" t="str">
            <v>2016 - 2022</v>
          </cell>
          <cell r="D1296" t="str">
            <v>avg</v>
          </cell>
          <cell r="E1296" t="str">
            <v>hsls1_s1_a3</v>
          </cell>
          <cell r="F1296">
            <v>1.8073049783706665</v>
          </cell>
          <cell r="G1296">
            <v>6</v>
          </cell>
        </row>
        <row r="1297">
          <cell r="A1297" t="str">
            <v>BGD</v>
          </cell>
          <cell r="B1297" t="str">
            <v>Short</v>
          </cell>
          <cell r="C1297" t="str">
            <v>2016 - 2022</v>
          </cell>
          <cell r="D1297" t="str">
            <v>avg</v>
          </cell>
          <cell r="E1297" t="str">
            <v>hsls1_s1_a4</v>
          </cell>
          <cell r="F1297">
            <v>2.7788980007171631</v>
          </cell>
          <cell r="G1297">
            <v>6</v>
          </cell>
        </row>
        <row r="1298">
          <cell r="A1298" t="str">
            <v>BGD</v>
          </cell>
          <cell r="B1298" t="str">
            <v>Short</v>
          </cell>
          <cell r="C1298" t="str">
            <v>2016 - 2022</v>
          </cell>
          <cell r="D1298" t="str">
            <v>avg</v>
          </cell>
          <cell r="E1298" t="str">
            <v>hsls1_s1_a5</v>
          </cell>
          <cell r="F1298">
            <v>1.0250763893127441</v>
          </cell>
          <cell r="G1298">
            <v>6</v>
          </cell>
        </row>
        <row r="1299">
          <cell r="A1299" t="str">
            <v>BGD</v>
          </cell>
          <cell r="B1299" t="str">
            <v>Short</v>
          </cell>
          <cell r="C1299" t="str">
            <v>2016 - 2022</v>
          </cell>
          <cell r="D1299" t="str">
            <v>avg</v>
          </cell>
          <cell r="E1299" t="str">
            <v>hsls1_s1_a6</v>
          </cell>
          <cell r="F1299">
            <v>1.1476885080337524</v>
          </cell>
          <cell r="G1299">
            <v>6</v>
          </cell>
        </row>
        <row r="1300">
          <cell r="A1300" t="str">
            <v>BGD</v>
          </cell>
          <cell r="B1300" t="str">
            <v>Short</v>
          </cell>
          <cell r="C1300" t="str">
            <v>2016 - 2022</v>
          </cell>
          <cell r="D1300" t="str">
            <v>avg</v>
          </cell>
          <cell r="E1300" t="str">
            <v>hsprod_s0_a1</v>
          </cell>
          <cell r="F1300">
            <v>4.3333717621862888E-3</v>
          </cell>
          <cell r="G1300">
            <v>6</v>
          </cell>
        </row>
        <row r="1301">
          <cell r="A1301" t="str">
            <v>BGD</v>
          </cell>
          <cell r="B1301" t="str">
            <v>Short</v>
          </cell>
          <cell r="C1301" t="str">
            <v>2016 - 2022</v>
          </cell>
          <cell r="D1301" t="str">
            <v>avg</v>
          </cell>
          <cell r="E1301" t="str">
            <v>hsprod_s0_a2</v>
          </cell>
          <cell r="F1301">
            <v>-0.3071620762348175</v>
          </cell>
          <cell r="G1301">
            <v>6</v>
          </cell>
        </row>
        <row r="1302">
          <cell r="A1302" t="str">
            <v>BGD</v>
          </cell>
          <cell r="B1302" t="str">
            <v>Short</v>
          </cell>
          <cell r="C1302" t="str">
            <v>2016 - 2022</v>
          </cell>
          <cell r="D1302" t="str">
            <v>avg</v>
          </cell>
          <cell r="E1302" t="str">
            <v>hsprod_s0_a3</v>
          </cell>
          <cell r="F1302">
            <v>-0.62746447324752808</v>
          </cell>
          <cell r="G1302">
            <v>6</v>
          </cell>
        </row>
        <row r="1303">
          <cell r="A1303" t="str">
            <v>BGD</v>
          </cell>
          <cell r="B1303" t="str">
            <v>Short</v>
          </cell>
          <cell r="C1303" t="str">
            <v>2016 - 2022</v>
          </cell>
          <cell r="D1303" t="str">
            <v>avg</v>
          </cell>
          <cell r="E1303" t="str">
            <v>hsprod_s0_a4</v>
          </cell>
          <cell r="F1303">
            <v>-0.86559057235717773</v>
          </cell>
          <cell r="G1303">
            <v>6</v>
          </cell>
        </row>
        <row r="1304">
          <cell r="A1304" t="str">
            <v>BGD</v>
          </cell>
          <cell r="B1304" t="str">
            <v>Short</v>
          </cell>
          <cell r="C1304" t="str">
            <v>2016 - 2022</v>
          </cell>
          <cell r="D1304" t="str">
            <v>avg</v>
          </cell>
          <cell r="E1304" t="str">
            <v>hsprod_s0_a5</v>
          </cell>
          <cell r="F1304">
            <v>-0.91427850723266602</v>
          </cell>
          <cell r="G1304">
            <v>6</v>
          </cell>
        </row>
        <row r="1305">
          <cell r="A1305" t="str">
            <v>BGD</v>
          </cell>
          <cell r="B1305" t="str">
            <v>Short</v>
          </cell>
          <cell r="C1305" t="str">
            <v>2016 - 2022</v>
          </cell>
          <cell r="D1305" t="str">
            <v>avg</v>
          </cell>
          <cell r="E1305" t="str">
            <v>hsprod_s0_a6</v>
          </cell>
          <cell r="F1305">
            <v>-0.76933866739273071</v>
          </cell>
          <cell r="G1305">
            <v>6</v>
          </cell>
        </row>
        <row r="1306">
          <cell r="A1306" t="str">
            <v>BGD</v>
          </cell>
          <cell r="B1306" t="str">
            <v>Short</v>
          </cell>
          <cell r="C1306" t="str">
            <v>2016 - 2022</v>
          </cell>
          <cell r="D1306" t="str">
            <v>avg</v>
          </cell>
          <cell r="E1306" t="str">
            <v>hsprod_s1_a1</v>
          </cell>
          <cell r="F1306">
            <v>-0.42470669746398926</v>
          </cell>
          <cell r="G1306">
            <v>6</v>
          </cell>
        </row>
        <row r="1307">
          <cell r="A1307" t="str">
            <v>BGD</v>
          </cell>
          <cell r="B1307" t="str">
            <v>Short</v>
          </cell>
          <cell r="C1307" t="str">
            <v>2016 - 2022</v>
          </cell>
          <cell r="D1307" t="str">
            <v>avg</v>
          </cell>
          <cell r="E1307" t="str">
            <v>hsprod_s1_a2</v>
          </cell>
          <cell r="F1307">
            <v>-1.5787666663527489E-2</v>
          </cell>
          <cell r="G1307">
            <v>6</v>
          </cell>
        </row>
        <row r="1308">
          <cell r="A1308" t="str">
            <v>BGD</v>
          </cell>
          <cell r="B1308" t="str">
            <v>Short</v>
          </cell>
          <cell r="C1308" t="str">
            <v>2016 - 2022</v>
          </cell>
          <cell r="D1308" t="str">
            <v>avg</v>
          </cell>
          <cell r="E1308" t="str">
            <v>hsprod_s1_a3</v>
          </cell>
          <cell r="F1308">
            <v>0.48668521642684937</v>
          </cell>
          <cell r="G1308">
            <v>6</v>
          </cell>
        </row>
        <row r="1309">
          <cell r="A1309" t="str">
            <v>BGD</v>
          </cell>
          <cell r="B1309" t="str">
            <v>Short</v>
          </cell>
          <cell r="C1309" t="str">
            <v>2016 - 2022</v>
          </cell>
          <cell r="D1309" t="str">
            <v>avg</v>
          </cell>
          <cell r="E1309" t="str">
            <v>hsprod_s1_a4</v>
          </cell>
          <cell r="F1309">
            <v>1.2945014238357544</v>
          </cell>
          <cell r="G1309">
            <v>6</v>
          </cell>
        </row>
        <row r="1310">
          <cell r="A1310" t="str">
            <v>BGD</v>
          </cell>
          <cell r="B1310" t="str">
            <v>Short</v>
          </cell>
          <cell r="C1310" t="str">
            <v>2016 - 2022</v>
          </cell>
          <cell r="D1310" t="str">
            <v>avg</v>
          </cell>
          <cell r="E1310" t="str">
            <v>hsprod_s1_a5</v>
          </cell>
          <cell r="F1310">
            <v>1.7534229904413223E-2</v>
          </cell>
          <cell r="G1310">
            <v>6</v>
          </cell>
        </row>
        <row r="1311">
          <cell r="A1311" t="str">
            <v>BGD</v>
          </cell>
          <cell r="B1311" t="str">
            <v>Short</v>
          </cell>
          <cell r="C1311" t="str">
            <v>2016 - 2022</v>
          </cell>
          <cell r="D1311" t="str">
            <v>avg</v>
          </cell>
          <cell r="E1311" t="str">
            <v>hsprod_s1_a6</v>
          </cell>
          <cell r="F1311">
            <v>0.10383304208517075</v>
          </cell>
          <cell r="G1311">
            <v>6</v>
          </cell>
        </row>
        <row r="1312">
          <cell r="A1312" t="str">
            <v>BGD</v>
          </cell>
          <cell r="B1312" t="str">
            <v>Short</v>
          </cell>
          <cell r="C1312" t="str">
            <v>2016 - 2022</v>
          </cell>
          <cell r="D1312" t="str">
            <v>avg_1_99_imp</v>
          </cell>
          <cell r="E1312" t="str">
            <v>hsls12_S0_A0</v>
          </cell>
          <cell r="F1312">
            <v>0.35838958621025085</v>
          </cell>
          <cell r="G1312">
            <v>6</v>
          </cell>
        </row>
        <row r="1313">
          <cell r="A1313" t="str">
            <v>BGD</v>
          </cell>
          <cell r="B1313" t="str">
            <v>Short</v>
          </cell>
          <cell r="C1313" t="str">
            <v>2016 - 2022</v>
          </cell>
          <cell r="D1313" t="str">
            <v>avg_1_99_imp</v>
          </cell>
          <cell r="E1313" t="str">
            <v>hsls1_S0_A0</v>
          </cell>
          <cell r="F1313">
            <v>0.33362236618995667</v>
          </cell>
          <cell r="G1313">
            <v>6</v>
          </cell>
        </row>
        <row r="1314">
          <cell r="A1314" t="str">
            <v>BGD</v>
          </cell>
          <cell r="B1314" t="str">
            <v>Short</v>
          </cell>
          <cell r="C1314" t="str">
            <v>2016 - 2022</v>
          </cell>
          <cell r="D1314" t="str">
            <v>avg_1_99_imp</v>
          </cell>
          <cell r="E1314" t="str">
            <v>hsls1_S0_a1</v>
          </cell>
          <cell r="F1314">
            <v>0.55237853527069092</v>
          </cell>
          <cell r="G1314">
            <v>6</v>
          </cell>
        </row>
        <row r="1315">
          <cell r="A1315" t="str">
            <v>BGD</v>
          </cell>
          <cell r="B1315" t="str">
            <v>Short</v>
          </cell>
          <cell r="C1315" t="str">
            <v>2016 - 2022</v>
          </cell>
          <cell r="D1315" t="str">
            <v>avg_1_99_imp</v>
          </cell>
          <cell r="E1315" t="str">
            <v>hsls1_S0_a2</v>
          </cell>
          <cell r="F1315">
            <v>0.62764430046081543</v>
          </cell>
          <cell r="G1315">
            <v>6</v>
          </cell>
        </row>
        <row r="1316">
          <cell r="A1316" t="str">
            <v>BGD</v>
          </cell>
          <cell r="B1316" t="str">
            <v>Short</v>
          </cell>
          <cell r="C1316" t="str">
            <v>2016 - 2022</v>
          </cell>
          <cell r="D1316" t="str">
            <v>avg_1_99_imp</v>
          </cell>
          <cell r="E1316" t="str">
            <v>hsls1_S0_a3</v>
          </cell>
          <cell r="F1316">
            <v>0.35409775376319885</v>
          </cell>
          <cell r="G1316">
            <v>6</v>
          </cell>
        </row>
        <row r="1317">
          <cell r="A1317" t="str">
            <v>BGD</v>
          </cell>
          <cell r="B1317" t="str">
            <v>Short</v>
          </cell>
          <cell r="C1317" t="str">
            <v>2016 - 2022</v>
          </cell>
          <cell r="D1317" t="str">
            <v>avg_1_99_imp</v>
          </cell>
          <cell r="E1317" t="str">
            <v>hsls1_S0_a4</v>
          </cell>
          <cell r="F1317">
            <v>-5.3827922791242599E-2</v>
          </cell>
          <cell r="G1317">
            <v>6</v>
          </cell>
        </row>
        <row r="1318">
          <cell r="A1318" t="str">
            <v>BGD</v>
          </cell>
          <cell r="B1318" t="str">
            <v>Short</v>
          </cell>
          <cell r="C1318" t="str">
            <v>2016 - 2022</v>
          </cell>
          <cell r="D1318" t="str">
            <v>avg_1_99_imp</v>
          </cell>
          <cell r="E1318" t="str">
            <v>hsls1_S0_a5</v>
          </cell>
          <cell r="F1318">
            <v>0.27837413549423218</v>
          </cell>
          <cell r="G1318">
            <v>6</v>
          </cell>
        </row>
        <row r="1319">
          <cell r="A1319" t="str">
            <v>BGD</v>
          </cell>
          <cell r="B1319" t="str">
            <v>Short</v>
          </cell>
          <cell r="C1319" t="str">
            <v>2016 - 2022</v>
          </cell>
          <cell r="D1319" t="str">
            <v>avg_1_99_imp</v>
          </cell>
          <cell r="E1319" t="str">
            <v>hsls1_S0_a6</v>
          </cell>
          <cell r="F1319">
            <v>0.38358873128890991</v>
          </cell>
          <cell r="G1319">
            <v>6</v>
          </cell>
        </row>
        <row r="1320">
          <cell r="A1320" t="str">
            <v>BGD</v>
          </cell>
          <cell r="B1320" t="str">
            <v>Short</v>
          </cell>
          <cell r="C1320" t="str">
            <v>2016 - 2022</v>
          </cell>
          <cell r="D1320" t="str">
            <v>avg_1_99_imp</v>
          </cell>
          <cell r="E1320" t="str">
            <v>hsls1_s0_A0</v>
          </cell>
          <cell r="F1320">
            <v>-1.2554699555039406E-2</v>
          </cell>
          <cell r="G1320">
            <v>6</v>
          </cell>
        </row>
        <row r="1321">
          <cell r="A1321" t="str">
            <v>BGD</v>
          </cell>
          <cell r="B1321" t="str">
            <v>Short</v>
          </cell>
          <cell r="C1321" t="str">
            <v>2016 - 2022</v>
          </cell>
          <cell r="D1321" t="str">
            <v>avg_1_99_imp</v>
          </cell>
          <cell r="E1321" t="str">
            <v>hsls1_s0_a1</v>
          </cell>
          <cell r="F1321">
            <v>1.0052577257156372</v>
          </cell>
          <cell r="G1321">
            <v>6</v>
          </cell>
        </row>
        <row r="1322">
          <cell r="A1322" t="str">
            <v>BGD</v>
          </cell>
          <cell r="B1322" t="str">
            <v>Short</v>
          </cell>
          <cell r="C1322" t="str">
            <v>2016 - 2022</v>
          </cell>
          <cell r="D1322" t="str">
            <v>avg_1_99_imp</v>
          </cell>
          <cell r="E1322" t="str">
            <v>hsls1_s0_a2</v>
          </cell>
          <cell r="F1322">
            <v>0.47443830966949463</v>
          </cell>
          <cell r="G1322">
            <v>6</v>
          </cell>
        </row>
        <row r="1323">
          <cell r="A1323" t="str">
            <v>BGD</v>
          </cell>
          <cell r="B1323" t="str">
            <v>Short</v>
          </cell>
          <cell r="C1323" t="str">
            <v>2016 - 2022</v>
          </cell>
          <cell r="D1323" t="str">
            <v>avg_1_99_imp</v>
          </cell>
          <cell r="E1323" t="str">
            <v>hsls1_s0_a3</v>
          </cell>
          <cell r="F1323">
            <v>-4.0827054530382156E-2</v>
          </cell>
          <cell r="G1323">
            <v>6</v>
          </cell>
        </row>
        <row r="1324">
          <cell r="A1324" t="str">
            <v>BGD</v>
          </cell>
          <cell r="B1324" t="str">
            <v>Short</v>
          </cell>
          <cell r="C1324" t="str">
            <v>2016 - 2022</v>
          </cell>
          <cell r="D1324" t="str">
            <v>avg_1_99_imp</v>
          </cell>
          <cell r="E1324" t="str">
            <v>hsls1_s0_a4</v>
          </cell>
          <cell r="F1324">
            <v>-0.18949064612388611</v>
          </cell>
          <cell r="G1324">
            <v>6</v>
          </cell>
        </row>
        <row r="1325">
          <cell r="A1325" t="str">
            <v>BGD</v>
          </cell>
          <cell r="B1325" t="str">
            <v>Short</v>
          </cell>
          <cell r="C1325" t="str">
            <v>2016 - 2022</v>
          </cell>
          <cell r="D1325" t="str">
            <v>avg_1_99_imp</v>
          </cell>
          <cell r="E1325" t="str">
            <v>hsls1_s0_a5</v>
          </cell>
          <cell r="F1325">
            <v>-0.3075462281703949</v>
          </cell>
          <cell r="G1325">
            <v>6</v>
          </cell>
        </row>
        <row r="1326">
          <cell r="A1326" t="str">
            <v>BGD</v>
          </cell>
          <cell r="B1326" t="str">
            <v>Short</v>
          </cell>
          <cell r="C1326" t="str">
            <v>2016 - 2022</v>
          </cell>
          <cell r="D1326" t="str">
            <v>avg_1_99_imp</v>
          </cell>
          <cell r="E1326" t="str">
            <v>hsls1_s0_a6</v>
          </cell>
          <cell r="F1326">
            <v>-9.4280429184436798E-2</v>
          </cell>
          <cell r="G1326">
            <v>6</v>
          </cell>
        </row>
        <row r="1327">
          <cell r="A1327" t="str">
            <v>BGD</v>
          </cell>
          <cell r="B1327" t="str">
            <v>Short</v>
          </cell>
          <cell r="C1327" t="str">
            <v>2016 - 2022</v>
          </cell>
          <cell r="D1327" t="str">
            <v>avg_1_99_imp</v>
          </cell>
          <cell r="E1327" t="str">
            <v>hsls1_s1_A0</v>
          </cell>
          <cell r="F1327">
            <v>0.70783334970474243</v>
          </cell>
          <cell r="G1327">
            <v>6</v>
          </cell>
        </row>
        <row r="1328">
          <cell r="A1328" t="str">
            <v>BGD</v>
          </cell>
          <cell r="B1328" t="str">
            <v>Short</v>
          </cell>
          <cell r="C1328" t="str">
            <v>2016 - 2022</v>
          </cell>
          <cell r="D1328" t="str">
            <v>avg_1_99_imp</v>
          </cell>
          <cell r="E1328" t="str">
            <v>hsls1_s1_a1</v>
          </cell>
          <cell r="F1328">
            <v>0.48470062017440796</v>
          </cell>
          <cell r="G1328">
            <v>6</v>
          </cell>
        </row>
        <row r="1329">
          <cell r="A1329" t="str">
            <v>BGD</v>
          </cell>
          <cell r="B1329" t="str">
            <v>Short</v>
          </cell>
          <cell r="C1329" t="str">
            <v>2016 - 2022</v>
          </cell>
          <cell r="D1329" t="str">
            <v>avg_1_99_imp</v>
          </cell>
          <cell r="E1329" t="str">
            <v>hsls1_s1_a2</v>
          </cell>
          <cell r="F1329">
            <v>0.97298693656921387</v>
          </cell>
          <cell r="G1329">
            <v>6</v>
          </cell>
        </row>
        <row r="1330">
          <cell r="A1330" t="str">
            <v>BGD</v>
          </cell>
          <cell r="B1330" t="str">
            <v>Short</v>
          </cell>
          <cell r="C1330" t="str">
            <v>2016 - 2022</v>
          </cell>
          <cell r="D1330" t="str">
            <v>avg_1_99_imp</v>
          </cell>
          <cell r="E1330" t="str">
            <v>hsls1_s1_a3</v>
          </cell>
          <cell r="F1330">
            <v>1.8073049783706665</v>
          </cell>
          <cell r="G1330">
            <v>6</v>
          </cell>
        </row>
        <row r="1331">
          <cell r="A1331" t="str">
            <v>BGD</v>
          </cell>
          <cell r="B1331" t="str">
            <v>Short</v>
          </cell>
          <cell r="C1331" t="str">
            <v>2016 - 2022</v>
          </cell>
          <cell r="D1331" t="str">
            <v>avg_1_99_imp</v>
          </cell>
          <cell r="E1331" t="str">
            <v>hsls1_s1_a4</v>
          </cell>
          <cell r="F1331">
            <v>2.7788980007171631</v>
          </cell>
          <cell r="G1331">
            <v>6</v>
          </cell>
        </row>
        <row r="1332">
          <cell r="A1332" t="str">
            <v>BGD</v>
          </cell>
          <cell r="B1332" t="str">
            <v>Short</v>
          </cell>
          <cell r="C1332" t="str">
            <v>2016 - 2022</v>
          </cell>
          <cell r="D1332" t="str">
            <v>avg_1_99_imp</v>
          </cell>
          <cell r="E1332" t="str">
            <v>hsls1_s1_a5</v>
          </cell>
          <cell r="F1332">
            <v>1.0250763893127441</v>
          </cell>
          <cell r="G1332">
            <v>6</v>
          </cell>
        </row>
        <row r="1333">
          <cell r="A1333" t="str">
            <v>BGD</v>
          </cell>
          <cell r="B1333" t="str">
            <v>Short</v>
          </cell>
          <cell r="C1333" t="str">
            <v>2016 - 2022</v>
          </cell>
          <cell r="D1333" t="str">
            <v>avg_1_99_imp</v>
          </cell>
          <cell r="E1333" t="str">
            <v>hsls1_s1_a6</v>
          </cell>
          <cell r="F1333">
            <v>1.1476885080337524</v>
          </cell>
          <cell r="G1333">
            <v>6</v>
          </cell>
        </row>
        <row r="1334">
          <cell r="A1334" t="str">
            <v>BGD</v>
          </cell>
          <cell r="B1334" t="str">
            <v>Short</v>
          </cell>
          <cell r="C1334" t="str">
            <v>2016 - 2022</v>
          </cell>
          <cell r="D1334" t="str">
            <v>avg_1_99_imp</v>
          </cell>
          <cell r="E1334" t="str">
            <v>hsprod_s0_a1</v>
          </cell>
          <cell r="F1334">
            <v>4.3333717621862888E-3</v>
          </cell>
          <cell r="G1334">
            <v>6</v>
          </cell>
        </row>
        <row r="1335">
          <cell r="A1335" t="str">
            <v>BGD</v>
          </cell>
          <cell r="B1335" t="str">
            <v>Short</v>
          </cell>
          <cell r="C1335" t="str">
            <v>2016 - 2022</v>
          </cell>
          <cell r="D1335" t="str">
            <v>avg_1_99_imp</v>
          </cell>
          <cell r="E1335" t="str">
            <v>hsprod_s0_a2</v>
          </cell>
          <cell r="F1335">
            <v>-0.3071620762348175</v>
          </cell>
          <cell r="G1335">
            <v>6</v>
          </cell>
        </row>
        <row r="1336">
          <cell r="A1336" t="str">
            <v>BGD</v>
          </cell>
          <cell r="B1336" t="str">
            <v>Short</v>
          </cell>
          <cell r="C1336" t="str">
            <v>2016 - 2022</v>
          </cell>
          <cell r="D1336" t="str">
            <v>avg_1_99_imp</v>
          </cell>
          <cell r="E1336" t="str">
            <v>hsprod_s0_a3</v>
          </cell>
          <cell r="F1336">
            <v>-0.62746447324752808</v>
          </cell>
          <cell r="G1336">
            <v>6</v>
          </cell>
        </row>
        <row r="1337">
          <cell r="A1337" t="str">
            <v>BGD</v>
          </cell>
          <cell r="B1337" t="str">
            <v>Short</v>
          </cell>
          <cell r="C1337" t="str">
            <v>2016 - 2022</v>
          </cell>
          <cell r="D1337" t="str">
            <v>avg_1_99_imp</v>
          </cell>
          <cell r="E1337" t="str">
            <v>hsprod_s0_a4</v>
          </cell>
          <cell r="F1337">
            <v>-0.86559057235717773</v>
          </cell>
          <cell r="G1337">
            <v>6</v>
          </cell>
        </row>
        <row r="1338">
          <cell r="A1338" t="str">
            <v>BGD</v>
          </cell>
          <cell r="B1338" t="str">
            <v>Short</v>
          </cell>
          <cell r="C1338" t="str">
            <v>2016 - 2022</v>
          </cell>
          <cell r="D1338" t="str">
            <v>avg_1_99_imp</v>
          </cell>
          <cell r="E1338" t="str">
            <v>hsprod_s0_a5</v>
          </cell>
          <cell r="F1338">
            <v>-0.91427850723266602</v>
          </cell>
          <cell r="G1338">
            <v>6</v>
          </cell>
        </row>
        <row r="1339">
          <cell r="A1339" t="str">
            <v>BGD</v>
          </cell>
          <cell r="B1339" t="str">
            <v>Short</v>
          </cell>
          <cell r="C1339" t="str">
            <v>2016 - 2022</v>
          </cell>
          <cell r="D1339" t="str">
            <v>avg_1_99_imp</v>
          </cell>
          <cell r="E1339" t="str">
            <v>hsprod_s0_a6</v>
          </cell>
          <cell r="F1339">
            <v>-0.76933866739273071</v>
          </cell>
          <cell r="G1339">
            <v>6</v>
          </cell>
        </row>
        <row r="1340">
          <cell r="A1340" t="str">
            <v>BGD</v>
          </cell>
          <cell r="B1340" t="str">
            <v>Short</v>
          </cell>
          <cell r="C1340" t="str">
            <v>2016 - 2022</v>
          </cell>
          <cell r="D1340" t="str">
            <v>avg_1_99_imp</v>
          </cell>
          <cell r="E1340" t="str">
            <v>hsprod_s1_a1</v>
          </cell>
          <cell r="F1340">
            <v>-0.42470669746398926</v>
          </cell>
          <cell r="G1340">
            <v>6</v>
          </cell>
        </row>
        <row r="1341">
          <cell r="A1341" t="str">
            <v>BGD</v>
          </cell>
          <cell r="B1341" t="str">
            <v>Short</v>
          </cell>
          <cell r="C1341" t="str">
            <v>2016 - 2022</v>
          </cell>
          <cell r="D1341" t="str">
            <v>avg_1_99_imp</v>
          </cell>
          <cell r="E1341" t="str">
            <v>hsprod_s1_a2</v>
          </cell>
          <cell r="F1341">
            <v>-1.5787666663527489E-2</v>
          </cell>
          <cell r="G1341">
            <v>6</v>
          </cell>
        </row>
        <row r="1342">
          <cell r="A1342" t="str">
            <v>BGD</v>
          </cell>
          <cell r="B1342" t="str">
            <v>Short</v>
          </cell>
          <cell r="C1342" t="str">
            <v>2016 - 2022</v>
          </cell>
          <cell r="D1342" t="str">
            <v>avg_1_99_imp</v>
          </cell>
          <cell r="E1342" t="str">
            <v>hsprod_s1_a3</v>
          </cell>
          <cell r="F1342">
            <v>0.48668521642684937</v>
          </cell>
          <cell r="G1342">
            <v>6</v>
          </cell>
        </row>
        <row r="1343">
          <cell r="A1343" t="str">
            <v>BGD</v>
          </cell>
          <cell r="B1343" t="str">
            <v>Short</v>
          </cell>
          <cell r="C1343" t="str">
            <v>2016 - 2022</v>
          </cell>
          <cell r="D1343" t="str">
            <v>avg_1_99_imp</v>
          </cell>
          <cell r="E1343" t="str">
            <v>hsprod_s1_a4</v>
          </cell>
          <cell r="F1343">
            <v>1.2945014238357544</v>
          </cell>
          <cell r="G1343">
            <v>6</v>
          </cell>
        </row>
        <row r="1344">
          <cell r="A1344" t="str">
            <v>BGD</v>
          </cell>
          <cell r="B1344" t="str">
            <v>Short</v>
          </cell>
          <cell r="C1344" t="str">
            <v>2016 - 2022</v>
          </cell>
          <cell r="D1344" t="str">
            <v>avg_1_99_imp</v>
          </cell>
          <cell r="E1344" t="str">
            <v>hsprod_s1_a5</v>
          </cell>
          <cell r="F1344">
            <v>1.7534229904413223E-2</v>
          </cell>
          <cell r="G1344">
            <v>6</v>
          </cell>
        </row>
        <row r="1345">
          <cell r="A1345" t="str">
            <v>BGD</v>
          </cell>
          <cell r="B1345" t="str">
            <v>Short</v>
          </cell>
          <cell r="C1345" t="str">
            <v>2016 - 2022</v>
          </cell>
          <cell r="D1345" t="str">
            <v>avg_1_99_imp</v>
          </cell>
          <cell r="E1345" t="str">
            <v>hsprod_s1_a6</v>
          </cell>
          <cell r="F1345">
            <v>0.10383304208517075</v>
          </cell>
          <cell r="G1345">
            <v>6</v>
          </cell>
        </row>
        <row r="1346">
          <cell r="A1346" t="str">
            <v>BGD</v>
          </cell>
          <cell r="B1346" t="str">
            <v>Short</v>
          </cell>
          <cell r="C1346" t="str">
            <v>2016 - 2022</v>
          </cell>
          <cell r="D1346" t="str">
            <v>reg</v>
          </cell>
          <cell r="E1346" t="str">
            <v>hsls12_S0_A0</v>
          </cell>
          <cell r="F1346">
            <v>0.4034169614315033</v>
          </cell>
          <cell r="G1346">
            <v>6</v>
          </cell>
        </row>
        <row r="1347">
          <cell r="A1347" t="str">
            <v>BGD</v>
          </cell>
          <cell r="B1347" t="str">
            <v>Short</v>
          </cell>
          <cell r="C1347" t="str">
            <v>2016 - 2022</v>
          </cell>
          <cell r="D1347" t="str">
            <v>reg</v>
          </cell>
          <cell r="E1347" t="str">
            <v>hsls1_S0_A0</v>
          </cell>
          <cell r="F1347">
            <v>0.37744155526161194</v>
          </cell>
          <cell r="G1347">
            <v>6</v>
          </cell>
        </row>
        <row r="1348">
          <cell r="A1348" t="str">
            <v>BGD</v>
          </cell>
          <cell r="B1348" t="str">
            <v>Short</v>
          </cell>
          <cell r="C1348" t="str">
            <v>2016 - 2022</v>
          </cell>
          <cell r="D1348" t="str">
            <v>reg</v>
          </cell>
          <cell r="E1348" t="str">
            <v>hsls1_S0_a1</v>
          </cell>
          <cell r="F1348">
            <v>0.57608526945114136</v>
          </cell>
          <cell r="G1348">
            <v>6</v>
          </cell>
        </row>
        <row r="1349">
          <cell r="A1349" t="str">
            <v>BGD</v>
          </cell>
          <cell r="B1349" t="str">
            <v>Short</v>
          </cell>
          <cell r="C1349" t="str">
            <v>2016 - 2022</v>
          </cell>
          <cell r="D1349" t="str">
            <v>reg</v>
          </cell>
          <cell r="E1349" t="str">
            <v>hsls1_S0_a2</v>
          </cell>
          <cell r="F1349">
            <v>0.68701070547103882</v>
          </cell>
          <cell r="G1349">
            <v>6</v>
          </cell>
        </row>
        <row r="1350">
          <cell r="A1350" t="str">
            <v>BGD</v>
          </cell>
          <cell r="B1350" t="str">
            <v>Short</v>
          </cell>
          <cell r="C1350" t="str">
            <v>2016 - 2022</v>
          </cell>
          <cell r="D1350" t="str">
            <v>reg</v>
          </cell>
          <cell r="E1350" t="str">
            <v>hsls1_S0_a3</v>
          </cell>
          <cell r="F1350">
            <v>0.41430270671844482</v>
          </cell>
          <cell r="G1350">
            <v>6</v>
          </cell>
        </row>
        <row r="1351">
          <cell r="A1351" t="str">
            <v>BGD</v>
          </cell>
          <cell r="B1351" t="str">
            <v>Short</v>
          </cell>
          <cell r="C1351" t="str">
            <v>2016 - 2022</v>
          </cell>
          <cell r="D1351" t="str">
            <v>reg</v>
          </cell>
          <cell r="E1351" t="str">
            <v>hsls1_S0_a4</v>
          </cell>
          <cell r="F1351">
            <v>-6.4013227820396423E-2</v>
          </cell>
          <cell r="G1351">
            <v>6</v>
          </cell>
        </row>
        <row r="1352">
          <cell r="A1352" t="str">
            <v>BGD</v>
          </cell>
          <cell r="B1352" t="str">
            <v>Short</v>
          </cell>
          <cell r="C1352" t="str">
            <v>2016 - 2022</v>
          </cell>
          <cell r="D1352" t="str">
            <v>reg</v>
          </cell>
          <cell r="E1352" t="str">
            <v>hsls1_S0_a5</v>
          </cell>
          <cell r="F1352">
            <v>0.3161126971244812</v>
          </cell>
          <cell r="G1352">
            <v>6</v>
          </cell>
        </row>
        <row r="1353">
          <cell r="A1353" t="str">
            <v>BGD</v>
          </cell>
          <cell r="B1353" t="str">
            <v>Short</v>
          </cell>
          <cell r="C1353" t="str">
            <v>2016 - 2022</v>
          </cell>
          <cell r="D1353" t="str">
            <v>reg</v>
          </cell>
          <cell r="E1353" t="str">
            <v>hsls1_S0_a6</v>
          </cell>
          <cell r="F1353">
            <v>0.42618834972381592</v>
          </cell>
          <cell r="G1353">
            <v>6</v>
          </cell>
        </row>
        <row r="1354">
          <cell r="A1354" t="str">
            <v>BGD</v>
          </cell>
          <cell r="B1354" t="str">
            <v>Short</v>
          </cell>
          <cell r="C1354" t="str">
            <v>2016 - 2022</v>
          </cell>
          <cell r="D1354" t="str">
            <v>reg</v>
          </cell>
          <cell r="E1354" t="str">
            <v>hsls1_s0_A0</v>
          </cell>
          <cell r="F1354">
            <v>-1.5316971577703953E-2</v>
          </cell>
          <cell r="G1354">
            <v>6</v>
          </cell>
        </row>
        <row r="1355">
          <cell r="A1355" t="str">
            <v>BGD</v>
          </cell>
          <cell r="B1355" t="str">
            <v>Short</v>
          </cell>
          <cell r="C1355" t="str">
            <v>2016 - 2022</v>
          </cell>
          <cell r="D1355" t="str">
            <v>reg</v>
          </cell>
          <cell r="E1355" t="str">
            <v>hsls1_s0_a1</v>
          </cell>
          <cell r="F1355">
            <v>1.0047785043716431</v>
          </cell>
          <cell r="G1355">
            <v>6</v>
          </cell>
        </row>
        <row r="1356">
          <cell r="A1356" t="str">
            <v>BGD</v>
          </cell>
          <cell r="B1356" t="str">
            <v>Short</v>
          </cell>
          <cell r="C1356" t="str">
            <v>2016 - 2022</v>
          </cell>
          <cell r="D1356" t="str">
            <v>reg</v>
          </cell>
          <cell r="E1356" t="str">
            <v>hsls1_s0_a2</v>
          </cell>
          <cell r="F1356">
            <v>0.54121142625808716</v>
          </cell>
          <cell r="G1356">
            <v>6</v>
          </cell>
        </row>
        <row r="1357">
          <cell r="A1357" t="str">
            <v>BGD</v>
          </cell>
          <cell r="B1357" t="str">
            <v>Short</v>
          </cell>
          <cell r="C1357" t="str">
            <v>2016 - 2022</v>
          </cell>
          <cell r="D1357" t="str">
            <v>reg</v>
          </cell>
          <cell r="E1357" t="str">
            <v>hsls1_s0_a3</v>
          </cell>
          <cell r="F1357">
            <v>-5.3873416036367416E-2</v>
          </cell>
          <cell r="G1357">
            <v>6</v>
          </cell>
        </row>
        <row r="1358">
          <cell r="A1358" t="str">
            <v>BGD</v>
          </cell>
          <cell r="B1358" t="str">
            <v>Short</v>
          </cell>
          <cell r="C1358" t="str">
            <v>2016 - 2022</v>
          </cell>
          <cell r="D1358" t="str">
            <v>reg</v>
          </cell>
          <cell r="E1358" t="str">
            <v>hsls1_s0_a4</v>
          </cell>
          <cell r="F1358">
            <v>-0.23137226700782776</v>
          </cell>
          <cell r="G1358">
            <v>6</v>
          </cell>
        </row>
        <row r="1359">
          <cell r="A1359" t="str">
            <v>BGD</v>
          </cell>
          <cell r="B1359" t="str">
            <v>Short</v>
          </cell>
          <cell r="C1359" t="str">
            <v>2016 - 2022</v>
          </cell>
          <cell r="D1359" t="str">
            <v>reg</v>
          </cell>
          <cell r="E1359" t="str">
            <v>hsls1_s0_a5</v>
          </cell>
          <cell r="F1359">
            <v>-0.39660793542861938</v>
          </cell>
          <cell r="G1359">
            <v>6</v>
          </cell>
        </row>
        <row r="1360">
          <cell r="A1360" t="str">
            <v>BGD</v>
          </cell>
          <cell r="B1360" t="str">
            <v>Short</v>
          </cell>
          <cell r="C1360" t="str">
            <v>2016 - 2022</v>
          </cell>
          <cell r="D1360" t="str">
            <v>reg</v>
          </cell>
          <cell r="E1360" t="str">
            <v>hsls1_s0_a6</v>
          </cell>
          <cell r="F1360">
            <v>-0.11533601582050323</v>
          </cell>
          <cell r="G1360">
            <v>6</v>
          </cell>
        </row>
        <row r="1361">
          <cell r="A1361" t="str">
            <v>BGD</v>
          </cell>
          <cell r="B1361" t="str">
            <v>Short</v>
          </cell>
          <cell r="C1361" t="str">
            <v>2016 - 2022</v>
          </cell>
          <cell r="D1361" t="str">
            <v>reg</v>
          </cell>
          <cell r="E1361" t="str">
            <v>hsls1_s1_A0</v>
          </cell>
          <cell r="F1361">
            <v>0.74495667219161987</v>
          </cell>
          <cell r="G1361">
            <v>6</v>
          </cell>
        </row>
        <row r="1362">
          <cell r="A1362" t="str">
            <v>BGD</v>
          </cell>
          <cell r="B1362" t="str">
            <v>Short</v>
          </cell>
          <cell r="C1362" t="str">
            <v>2016 - 2022</v>
          </cell>
          <cell r="D1362" t="str">
            <v>reg</v>
          </cell>
          <cell r="E1362" t="str">
            <v>hsls1_s1_a1</v>
          </cell>
          <cell r="F1362">
            <v>0.50885671377182007</v>
          </cell>
          <cell r="G1362">
            <v>6</v>
          </cell>
        </row>
        <row r="1363">
          <cell r="A1363" t="str">
            <v>BGD</v>
          </cell>
          <cell r="B1363" t="str">
            <v>Short</v>
          </cell>
          <cell r="C1363" t="str">
            <v>2016 - 2022</v>
          </cell>
          <cell r="D1363" t="str">
            <v>reg</v>
          </cell>
          <cell r="E1363" t="str">
            <v>hsls1_s1_a2</v>
          </cell>
          <cell r="F1363">
            <v>0.97898143529891968</v>
          </cell>
          <cell r="G1363">
            <v>6</v>
          </cell>
        </row>
        <row r="1364">
          <cell r="A1364" t="str">
            <v>BGD</v>
          </cell>
          <cell r="B1364" t="str">
            <v>Short</v>
          </cell>
          <cell r="C1364" t="str">
            <v>2016 - 2022</v>
          </cell>
          <cell r="D1364" t="str">
            <v>reg</v>
          </cell>
          <cell r="E1364" t="str">
            <v>hsls1_s1_a3</v>
          </cell>
          <cell r="F1364">
            <v>1.5495157241821289</v>
          </cell>
          <cell r="G1364">
            <v>6</v>
          </cell>
        </row>
        <row r="1365">
          <cell r="A1365" t="str">
            <v>BGD</v>
          </cell>
          <cell r="B1365" t="str">
            <v>Short</v>
          </cell>
          <cell r="C1365" t="str">
            <v>2016 - 2022</v>
          </cell>
          <cell r="D1365" t="str">
            <v>reg</v>
          </cell>
          <cell r="E1365" t="str">
            <v>hsls1_s1_a4</v>
          </cell>
          <cell r="F1365">
            <v>2.2426786422729492</v>
          </cell>
          <cell r="G1365">
            <v>6</v>
          </cell>
        </row>
        <row r="1366">
          <cell r="A1366" t="str">
            <v>BGD</v>
          </cell>
          <cell r="B1366" t="str">
            <v>Short</v>
          </cell>
          <cell r="C1366" t="str">
            <v>2016 - 2022</v>
          </cell>
          <cell r="D1366" t="str">
            <v>reg</v>
          </cell>
          <cell r="E1366" t="str">
            <v>hsls1_s1_a5</v>
          </cell>
          <cell r="F1366">
            <v>1.0210018157958984</v>
          </cell>
          <cell r="G1366">
            <v>6</v>
          </cell>
        </row>
        <row r="1367">
          <cell r="A1367" t="str">
            <v>BGD</v>
          </cell>
          <cell r="B1367" t="str">
            <v>Short</v>
          </cell>
          <cell r="C1367" t="str">
            <v>2016 - 2022</v>
          </cell>
          <cell r="D1367" t="str">
            <v>reg</v>
          </cell>
          <cell r="E1367" t="str">
            <v>hsls1_s1_a6</v>
          </cell>
          <cell r="F1367">
            <v>1.1218236684799194</v>
          </cell>
          <cell r="G1367">
            <v>6</v>
          </cell>
        </row>
        <row r="1368">
          <cell r="A1368" t="str">
            <v>BGD</v>
          </cell>
          <cell r="B1368" t="str">
            <v>Short</v>
          </cell>
          <cell r="C1368" t="str">
            <v>2016 - 2022</v>
          </cell>
          <cell r="D1368" t="str">
            <v>reg</v>
          </cell>
          <cell r="E1368" t="str">
            <v>hsprod_s0_a1</v>
          </cell>
          <cell r="F1368">
            <v>4.7784475609660149E-3</v>
          </cell>
          <cell r="G1368">
            <v>6</v>
          </cell>
        </row>
        <row r="1369">
          <cell r="A1369" t="str">
            <v>BGD</v>
          </cell>
          <cell r="B1369" t="str">
            <v>Short</v>
          </cell>
          <cell r="C1369" t="str">
            <v>2016 - 2022</v>
          </cell>
          <cell r="D1369" t="str">
            <v>reg</v>
          </cell>
          <cell r="E1369" t="str">
            <v>hsprod_s0_a2</v>
          </cell>
          <cell r="F1369">
            <v>-0.45878857374191284</v>
          </cell>
          <cell r="G1369">
            <v>6</v>
          </cell>
        </row>
        <row r="1370">
          <cell r="A1370" t="str">
            <v>BGD</v>
          </cell>
          <cell r="B1370" t="str">
            <v>Short</v>
          </cell>
          <cell r="C1370" t="str">
            <v>2016 - 2022</v>
          </cell>
          <cell r="D1370" t="str">
            <v>reg</v>
          </cell>
          <cell r="E1370" t="str">
            <v>hsprod_s0_a3</v>
          </cell>
          <cell r="F1370">
            <v>-1.0538734197616577</v>
          </cell>
          <cell r="G1370">
            <v>6</v>
          </cell>
        </row>
        <row r="1371">
          <cell r="A1371" t="str">
            <v>BGD</v>
          </cell>
          <cell r="B1371" t="str">
            <v>Short</v>
          </cell>
          <cell r="C1371" t="str">
            <v>2016 - 2022</v>
          </cell>
          <cell r="D1371" t="str">
            <v>reg</v>
          </cell>
          <cell r="E1371" t="str">
            <v>hsprod_s0_a4</v>
          </cell>
          <cell r="F1371">
            <v>-1.2313722372055054</v>
          </cell>
          <cell r="G1371">
            <v>6</v>
          </cell>
        </row>
        <row r="1372">
          <cell r="A1372" t="str">
            <v>BGD</v>
          </cell>
          <cell r="B1372" t="str">
            <v>Short</v>
          </cell>
          <cell r="C1372" t="str">
            <v>2016 - 2022</v>
          </cell>
          <cell r="D1372" t="str">
            <v>reg</v>
          </cell>
          <cell r="E1372" t="str">
            <v>hsprod_s0_a5</v>
          </cell>
          <cell r="F1372">
            <v>-1.3966079950332642</v>
          </cell>
          <cell r="G1372">
            <v>6</v>
          </cell>
        </row>
        <row r="1373">
          <cell r="A1373" t="str">
            <v>BGD</v>
          </cell>
          <cell r="B1373" t="str">
            <v>Short</v>
          </cell>
          <cell r="C1373" t="str">
            <v>2016 - 2022</v>
          </cell>
          <cell r="D1373" t="str">
            <v>reg</v>
          </cell>
          <cell r="E1373" t="str">
            <v>hsprod_s0_a6</v>
          </cell>
          <cell r="F1373">
            <v>-1.1153360605239868</v>
          </cell>
          <cell r="G1373">
            <v>6</v>
          </cell>
        </row>
        <row r="1374">
          <cell r="A1374" t="str">
            <v>BGD</v>
          </cell>
          <cell r="B1374" t="str">
            <v>Short</v>
          </cell>
          <cell r="C1374" t="str">
            <v>2016 - 2022</v>
          </cell>
          <cell r="D1374" t="str">
            <v>reg</v>
          </cell>
          <cell r="E1374" t="str">
            <v>hsprod_s1_a1</v>
          </cell>
          <cell r="F1374">
            <v>-0.49114328622817993</v>
          </cell>
          <cell r="G1374">
            <v>6</v>
          </cell>
        </row>
        <row r="1375">
          <cell r="A1375" t="str">
            <v>BGD</v>
          </cell>
          <cell r="B1375" t="str">
            <v>Short</v>
          </cell>
          <cell r="C1375" t="str">
            <v>2016 - 2022</v>
          </cell>
          <cell r="D1375" t="str">
            <v>reg</v>
          </cell>
          <cell r="E1375" t="str">
            <v>hsprod_s1_a2</v>
          </cell>
          <cell r="F1375">
            <v>-2.1018540486693382E-2</v>
          </cell>
          <cell r="G1375">
            <v>6</v>
          </cell>
        </row>
        <row r="1376">
          <cell r="A1376" t="str">
            <v>BGD</v>
          </cell>
          <cell r="B1376" t="str">
            <v>Short</v>
          </cell>
          <cell r="C1376" t="str">
            <v>2016 - 2022</v>
          </cell>
          <cell r="D1376" t="str">
            <v>reg</v>
          </cell>
          <cell r="E1376" t="str">
            <v>hsprod_s1_a3</v>
          </cell>
          <cell r="F1376">
            <v>0.54951578378677368</v>
          </cell>
          <cell r="G1376">
            <v>6</v>
          </cell>
        </row>
        <row r="1377">
          <cell r="A1377" t="str">
            <v>BGD</v>
          </cell>
          <cell r="B1377" t="str">
            <v>Short</v>
          </cell>
          <cell r="C1377" t="str">
            <v>2016 - 2022</v>
          </cell>
          <cell r="D1377" t="str">
            <v>reg</v>
          </cell>
          <cell r="E1377" t="str">
            <v>hsprod_s1_a4</v>
          </cell>
          <cell r="F1377">
            <v>1.2426786422729492</v>
          </cell>
          <cell r="G1377">
            <v>6</v>
          </cell>
        </row>
        <row r="1378">
          <cell r="A1378" t="str">
            <v>BGD</v>
          </cell>
          <cell r="B1378" t="str">
            <v>Short</v>
          </cell>
          <cell r="C1378" t="str">
            <v>2016 - 2022</v>
          </cell>
          <cell r="D1378" t="str">
            <v>reg</v>
          </cell>
          <cell r="E1378" t="str">
            <v>hsprod_s1_a5</v>
          </cell>
          <cell r="F1378">
            <v>2.1001830697059631E-2</v>
          </cell>
          <cell r="G1378">
            <v>6</v>
          </cell>
        </row>
        <row r="1379">
          <cell r="A1379" t="str">
            <v>BGD</v>
          </cell>
          <cell r="B1379" t="str">
            <v>Short</v>
          </cell>
          <cell r="C1379" t="str">
            <v>2016 - 2022</v>
          </cell>
          <cell r="D1379" t="str">
            <v>reg</v>
          </cell>
          <cell r="E1379" t="str">
            <v>hsprod_s1_a6</v>
          </cell>
          <cell r="F1379">
            <v>0.12182362377643585</v>
          </cell>
          <cell r="G1379">
            <v>6</v>
          </cell>
        </row>
      </sheetData>
      <sheetData sheetId="3">
        <row r="1">
          <cell r="A1" t="str">
            <v>country</v>
          </cell>
          <cell r="B1" t="str">
            <v>year</v>
          </cell>
          <cell r="C1" t="str">
            <v>value</v>
          </cell>
        </row>
        <row r="2">
          <cell r="A2" t="str">
            <v>BGD</v>
          </cell>
          <cell r="B2">
            <v>1980</v>
          </cell>
          <cell r="C2">
            <v>336.79579999999999</v>
          </cell>
          <cell r="D2" t="str">
            <v>mfbxfstremtcd</v>
          </cell>
        </row>
        <row r="3">
          <cell r="A3" t="str">
            <v>BGD</v>
          </cell>
          <cell r="B3">
            <v>1981</v>
          </cell>
          <cell r="C3">
            <v>378.52280000000002</v>
          </cell>
        </row>
        <row r="4">
          <cell r="A4" t="str">
            <v>BGD</v>
          </cell>
          <cell r="B4">
            <v>1982</v>
          </cell>
          <cell r="C4">
            <v>523.57349999999997</v>
          </cell>
        </row>
        <row r="5">
          <cell r="A5" t="str">
            <v>BGD</v>
          </cell>
          <cell r="B5">
            <v>1983</v>
          </cell>
          <cell r="C5">
            <v>637.82569999999998</v>
          </cell>
        </row>
        <row r="6">
          <cell r="A6" t="str">
            <v>BGD</v>
          </cell>
          <cell r="B6">
            <v>1984</v>
          </cell>
          <cell r="C6">
            <v>497.74250000000001</v>
          </cell>
        </row>
        <row r="7">
          <cell r="A7" t="str">
            <v>BGD</v>
          </cell>
          <cell r="B7">
            <v>1985</v>
          </cell>
          <cell r="C7">
            <v>499.72949999999997</v>
          </cell>
        </row>
        <row r="8">
          <cell r="A8" t="str">
            <v>BGD</v>
          </cell>
          <cell r="B8">
            <v>1986</v>
          </cell>
          <cell r="C8">
            <v>572.25490000000002</v>
          </cell>
        </row>
        <row r="9">
          <cell r="A9" t="str">
            <v>BGD</v>
          </cell>
          <cell r="B9">
            <v>1987</v>
          </cell>
          <cell r="C9">
            <v>743.13649999999996</v>
          </cell>
        </row>
        <row r="10">
          <cell r="A10" t="str">
            <v>BGD</v>
          </cell>
          <cell r="B10">
            <v>1988</v>
          </cell>
          <cell r="C10">
            <v>759.03250000000003</v>
          </cell>
        </row>
        <row r="11">
          <cell r="A11" t="str">
            <v>BGD</v>
          </cell>
          <cell r="B11">
            <v>1989</v>
          </cell>
          <cell r="C11">
            <v>753.07150000000001</v>
          </cell>
        </row>
        <row r="12">
          <cell r="A12" t="str">
            <v>BGD</v>
          </cell>
          <cell r="B12">
            <v>1990</v>
          </cell>
          <cell r="C12">
            <v>773.93499999999995</v>
          </cell>
        </row>
        <row r="13">
          <cell r="A13" t="str">
            <v>BGD</v>
          </cell>
          <cell r="B13">
            <v>1991</v>
          </cell>
          <cell r="C13">
            <v>764</v>
          </cell>
        </row>
        <row r="14">
          <cell r="A14" t="str">
            <v>BGD</v>
          </cell>
          <cell r="B14">
            <v>1992</v>
          </cell>
          <cell r="C14">
            <v>848</v>
          </cell>
        </row>
        <row r="15">
          <cell r="A15" t="str">
            <v>BGD</v>
          </cell>
          <cell r="B15">
            <v>1993</v>
          </cell>
          <cell r="C15">
            <v>944</v>
          </cell>
        </row>
        <row r="16">
          <cell r="A16" t="str">
            <v>BGD</v>
          </cell>
          <cell r="B16">
            <v>1994</v>
          </cell>
          <cell r="C16">
            <v>1088.76</v>
          </cell>
        </row>
        <row r="17">
          <cell r="A17" t="str">
            <v>BGD</v>
          </cell>
          <cell r="B17">
            <v>1995</v>
          </cell>
          <cell r="C17">
            <v>1197.6300000000001</v>
          </cell>
        </row>
        <row r="18">
          <cell r="A18" t="str">
            <v>BGD</v>
          </cell>
          <cell r="B18">
            <v>1996</v>
          </cell>
          <cell r="C18">
            <v>1217.06</v>
          </cell>
        </row>
        <row r="19">
          <cell r="A19" t="str">
            <v>BGD</v>
          </cell>
          <cell r="B19">
            <v>1997</v>
          </cell>
          <cell r="C19">
            <v>1475.42</v>
          </cell>
        </row>
        <row r="20">
          <cell r="A20" t="str">
            <v>BGD</v>
          </cell>
          <cell r="B20">
            <v>1998</v>
          </cell>
          <cell r="C20">
            <v>1525.43</v>
          </cell>
        </row>
        <row r="21">
          <cell r="A21" t="str">
            <v>BGD</v>
          </cell>
          <cell r="B21">
            <v>1999</v>
          </cell>
          <cell r="C21">
            <v>1705.74</v>
          </cell>
        </row>
        <row r="22">
          <cell r="A22" t="str">
            <v>BGD</v>
          </cell>
          <cell r="B22">
            <v>2000</v>
          </cell>
          <cell r="C22">
            <v>1949.32</v>
          </cell>
        </row>
        <row r="23">
          <cell r="A23" t="str">
            <v>BGD</v>
          </cell>
          <cell r="B23">
            <v>2001</v>
          </cell>
          <cell r="C23">
            <v>1882.08</v>
          </cell>
        </row>
        <row r="24">
          <cell r="A24" t="str">
            <v>BGD</v>
          </cell>
          <cell r="B24">
            <v>2002</v>
          </cell>
          <cell r="C24">
            <v>2501</v>
          </cell>
        </row>
        <row r="25">
          <cell r="A25" t="str">
            <v>BGD</v>
          </cell>
          <cell r="B25">
            <v>2003</v>
          </cell>
          <cell r="C25">
            <v>3062</v>
          </cell>
        </row>
        <row r="26">
          <cell r="A26" t="str">
            <v>BGD</v>
          </cell>
          <cell r="B26">
            <v>2004</v>
          </cell>
          <cell r="C26">
            <v>3372</v>
          </cell>
        </row>
        <row r="27">
          <cell r="A27" t="str">
            <v>BGD</v>
          </cell>
          <cell r="B27">
            <v>2005</v>
          </cell>
          <cell r="C27">
            <v>3848</v>
          </cell>
        </row>
        <row r="28">
          <cell r="A28" t="str">
            <v>BGD</v>
          </cell>
          <cell r="B28">
            <v>2006</v>
          </cell>
          <cell r="C28">
            <v>4802</v>
          </cell>
        </row>
        <row r="29">
          <cell r="A29" t="str">
            <v>BGD</v>
          </cell>
          <cell r="B29">
            <v>2007</v>
          </cell>
          <cell r="C29">
            <v>5979</v>
          </cell>
        </row>
        <row r="30">
          <cell r="A30" t="str">
            <v>BGD</v>
          </cell>
          <cell r="B30">
            <v>2008</v>
          </cell>
          <cell r="C30">
            <v>7915</v>
          </cell>
        </row>
        <row r="31">
          <cell r="A31" t="str">
            <v>BGD</v>
          </cell>
          <cell r="B31">
            <v>2009</v>
          </cell>
          <cell r="C31">
            <v>9689</v>
          </cell>
        </row>
        <row r="32">
          <cell r="A32" t="str">
            <v>BGD</v>
          </cell>
          <cell r="B32">
            <v>2010</v>
          </cell>
          <cell r="C32">
            <v>10987</v>
          </cell>
        </row>
        <row r="33">
          <cell r="A33" t="str">
            <v>BGD</v>
          </cell>
          <cell r="B33">
            <v>2011</v>
          </cell>
          <cell r="C33">
            <v>11650</v>
          </cell>
        </row>
        <row r="34">
          <cell r="A34" t="str">
            <v>BGD</v>
          </cell>
          <cell r="B34">
            <v>2012</v>
          </cell>
          <cell r="C34">
            <v>12734</v>
          </cell>
        </row>
        <row r="35">
          <cell r="A35" t="str">
            <v>BGD</v>
          </cell>
          <cell r="B35">
            <v>2013</v>
          </cell>
          <cell r="C35">
            <v>14337.999999999991</v>
          </cell>
        </row>
        <row r="36">
          <cell r="A36" t="str">
            <v>BGD</v>
          </cell>
          <cell r="B36">
            <v>2014</v>
          </cell>
          <cell r="C36">
            <v>14115.999999999995</v>
          </cell>
        </row>
        <row r="37">
          <cell r="A37" t="str">
            <v>BGD</v>
          </cell>
          <cell r="B37">
            <v>2015</v>
          </cell>
          <cell r="C37">
            <v>15169.999999999998</v>
          </cell>
        </row>
        <row r="38">
          <cell r="A38" t="str">
            <v>BGD</v>
          </cell>
          <cell r="B38">
            <v>2016</v>
          </cell>
          <cell r="C38">
            <v>14716.999999999995</v>
          </cell>
        </row>
        <row r="39">
          <cell r="A39" t="str">
            <v>BGD</v>
          </cell>
          <cell r="B39">
            <v>2017</v>
          </cell>
          <cell r="C39">
            <v>12769.000000000005</v>
          </cell>
        </row>
        <row r="40">
          <cell r="A40" t="str">
            <v>BGD</v>
          </cell>
          <cell r="B40">
            <v>2018</v>
          </cell>
          <cell r="C40">
            <v>14982.000000000011</v>
          </cell>
        </row>
        <row r="41">
          <cell r="A41" t="str">
            <v>BGD</v>
          </cell>
          <cell r="B41">
            <v>2019</v>
          </cell>
          <cell r="C41">
            <v>16420.000000000011</v>
          </cell>
        </row>
        <row r="42">
          <cell r="A42" t="str">
            <v>BGD</v>
          </cell>
          <cell r="B42">
            <v>2020</v>
          </cell>
          <cell r="C42">
            <v>18205.000829999997</v>
          </cell>
        </row>
        <row r="43">
          <cell r="A43" t="str">
            <v>BGD</v>
          </cell>
          <cell r="B43">
            <v>2021</v>
          </cell>
          <cell r="C43">
            <v>24777.710000000003</v>
          </cell>
        </row>
        <row r="44">
          <cell r="A44" t="str">
            <v>BGD</v>
          </cell>
          <cell r="B44">
            <v>2022</v>
          </cell>
          <cell r="C44">
            <v>21031.680000000011</v>
          </cell>
        </row>
        <row r="45">
          <cell r="A45" t="str">
            <v>BGD</v>
          </cell>
          <cell r="B45">
            <v>2023</v>
          </cell>
          <cell r="C45">
            <v>21610.2</v>
          </cell>
        </row>
        <row r="46">
          <cell r="A46" t="str">
            <v>BGD</v>
          </cell>
          <cell r="B46">
            <v>2024</v>
          </cell>
          <cell r="C46">
            <v>22366.577699999998</v>
          </cell>
        </row>
        <row r="47">
          <cell r="A47" t="str">
            <v>BGD</v>
          </cell>
          <cell r="B47">
            <v>2025</v>
          </cell>
          <cell r="C47">
            <v>24044.071027499998</v>
          </cell>
        </row>
        <row r="48">
          <cell r="A48" t="str">
            <v>BGD</v>
          </cell>
          <cell r="B48">
            <v>2026</v>
          </cell>
          <cell r="C48">
            <v>25077.966081682498</v>
          </cell>
        </row>
        <row r="49">
          <cell r="A49" t="str">
            <v>BGD</v>
          </cell>
          <cell r="B49">
            <v>2027</v>
          </cell>
          <cell r="C49">
            <v>25955.694894541382</v>
          </cell>
        </row>
        <row r="50">
          <cell r="A50" t="str">
            <v>BGD</v>
          </cell>
          <cell r="B50">
            <v>2028</v>
          </cell>
          <cell r="C50">
            <v>28037.923357323634</v>
          </cell>
        </row>
        <row r="51">
          <cell r="A51" t="str">
            <v>BGD</v>
          </cell>
          <cell r="B51">
            <v>2029</v>
          </cell>
          <cell r="C51">
            <v>30431.459295695444</v>
          </cell>
        </row>
        <row r="52">
          <cell r="A52" t="str">
            <v>BGD</v>
          </cell>
          <cell r="B52">
            <v>2030</v>
          </cell>
          <cell r="C52">
            <v>33142.921608087418</v>
          </cell>
        </row>
        <row r="53">
          <cell r="A53" t="str">
            <v>BGD</v>
          </cell>
          <cell r="B53">
            <v>2031</v>
          </cell>
          <cell r="C53">
            <v>37450.790013534861</v>
          </cell>
        </row>
        <row r="54">
          <cell r="A54" t="str">
            <v>BGD</v>
          </cell>
          <cell r="B54">
            <v>2032</v>
          </cell>
          <cell r="C54">
            <v>40955.949528731799</v>
          </cell>
        </row>
        <row r="55">
          <cell r="A55" t="str">
            <v>BGD</v>
          </cell>
          <cell r="B55">
            <v>2033</v>
          </cell>
          <cell r="C55">
            <v>44839.427069708123</v>
          </cell>
        </row>
        <row r="56">
          <cell r="A56" t="str">
            <v>BGD</v>
          </cell>
          <cell r="B56">
            <v>2034</v>
          </cell>
          <cell r="C56">
            <v>49125.837412872403</v>
          </cell>
        </row>
        <row r="57">
          <cell r="A57" t="str">
            <v>BGD</v>
          </cell>
          <cell r="B57">
            <v>2035</v>
          </cell>
          <cell r="C57">
            <v>53843.72923573255</v>
          </cell>
        </row>
        <row r="58">
          <cell r="A58" t="str">
            <v>BGD</v>
          </cell>
          <cell r="B58">
            <v>2036</v>
          </cell>
          <cell r="C58">
            <v>59025.667213830762</v>
          </cell>
        </row>
        <row r="59">
          <cell r="A59" t="str">
            <v>BGD</v>
          </cell>
          <cell r="B59">
            <v>2037</v>
          </cell>
          <cell r="C59">
            <v>64708.389538027535</v>
          </cell>
        </row>
        <row r="60">
          <cell r="A60" t="str">
            <v>BGD</v>
          </cell>
          <cell r="B60">
            <v>2038</v>
          </cell>
          <cell r="C60">
            <v>70933.025738947079</v>
          </cell>
        </row>
        <row r="61">
          <cell r="A61" t="str">
            <v>BGD</v>
          </cell>
          <cell r="B61">
            <v>2039</v>
          </cell>
          <cell r="C61">
            <v>77745.366410482238</v>
          </cell>
        </row>
        <row r="62">
          <cell r="A62" t="str">
            <v>BGD</v>
          </cell>
          <cell r="B62">
            <v>2040</v>
          </cell>
          <cell r="C62">
            <v>85196.180730492299</v>
          </cell>
        </row>
        <row r="63">
          <cell r="A63" t="str">
            <v>BGD</v>
          </cell>
          <cell r="B63">
            <v>2041</v>
          </cell>
          <cell r="C63">
            <v>93341.58048817153</v>
          </cell>
        </row>
        <row r="64">
          <cell r="A64" t="str">
            <v>BGD</v>
          </cell>
          <cell r="B64">
            <v>2042</v>
          </cell>
          <cell r="C64">
            <v>102243.43120471299</v>
          </cell>
        </row>
        <row r="65">
          <cell r="A65" t="str">
            <v>BGD</v>
          </cell>
          <cell r="B65">
            <v>2043</v>
          </cell>
          <cell r="C65">
            <v>111969.81223086519</v>
          </cell>
        </row>
        <row r="66">
          <cell r="A66" t="str">
            <v>BGD</v>
          </cell>
          <cell r="B66">
            <v>2044</v>
          </cell>
          <cell r="C66">
            <v>122595.52864814611</v>
          </cell>
        </row>
        <row r="67">
          <cell r="A67" t="str">
            <v>BGD</v>
          </cell>
          <cell r="B67">
            <v>2045</v>
          </cell>
          <cell r="C67">
            <v>134202.67853571597</v>
          </cell>
        </row>
        <row r="68">
          <cell r="A68" t="str">
            <v>BGD</v>
          </cell>
          <cell r="B68">
            <v>2046</v>
          </cell>
          <cell r="C68">
            <v>146881.27978670283</v>
          </cell>
        </row>
        <row r="69">
          <cell r="A69" t="str">
            <v>BGD</v>
          </cell>
          <cell r="B69">
            <v>2047</v>
          </cell>
          <cell r="C69">
            <v>160729.9612274816</v>
          </cell>
        </row>
        <row r="70">
          <cell r="A70" t="str">
            <v>BGD</v>
          </cell>
          <cell r="B70">
            <v>2048</v>
          </cell>
          <cell r="C70">
            <v>175856.72335109723</v>
          </cell>
        </row>
        <row r="71">
          <cell r="A71" t="str">
            <v>BGD</v>
          </cell>
          <cell r="B71">
            <v>2049</v>
          </cell>
          <cell r="C71">
            <v>192379.77454811026</v>
          </cell>
        </row>
        <row r="72">
          <cell r="A72" t="str">
            <v>BGD</v>
          </cell>
          <cell r="B72">
            <v>2050</v>
          </cell>
          <cell r="C72">
            <v>210428.4493224741</v>
          </cell>
        </row>
      </sheetData>
      <sheetData sheetId="4">
        <row r="2">
          <cell r="B2"/>
          <cell r="D2"/>
        </row>
        <row r="3">
          <cell r="B3"/>
          <cell r="D3"/>
        </row>
        <row r="4">
          <cell r="B4"/>
          <cell r="D4"/>
        </row>
        <row r="5">
          <cell r="B5"/>
          <cell r="D5"/>
        </row>
        <row r="6">
          <cell r="B6"/>
          <cell r="D6"/>
        </row>
        <row r="7">
          <cell r="B7"/>
          <cell r="D7"/>
        </row>
        <row r="8">
          <cell r="B8"/>
          <cell r="D8"/>
        </row>
        <row r="9">
          <cell r="B9"/>
          <cell r="D9"/>
        </row>
        <row r="10">
          <cell r="B10"/>
          <cell r="D10"/>
        </row>
        <row r="11">
          <cell r="B11"/>
          <cell r="D11"/>
        </row>
        <row r="12">
          <cell r="B12"/>
          <cell r="D12"/>
        </row>
        <row r="13">
          <cell r="B13"/>
          <cell r="D13"/>
        </row>
        <row r="14">
          <cell r="B14"/>
          <cell r="D14"/>
        </row>
        <row r="15">
          <cell r="B15"/>
          <cell r="D15"/>
        </row>
        <row r="16">
          <cell r="B16"/>
          <cell r="D16"/>
        </row>
        <row r="17">
          <cell r="B17"/>
          <cell r="D17"/>
        </row>
        <row r="18">
          <cell r="B18"/>
          <cell r="D18"/>
        </row>
        <row r="19">
          <cell r="B19"/>
          <cell r="D19"/>
        </row>
        <row r="20">
          <cell r="B20"/>
          <cell r="D20"/>
        </row>
        <row r="21">
          <cell r="B21"/>
          <cell r="D21"/>
        </row>
        <row r="22">
          <cell r="B22"/>
          <cell r="D22"/>
        </row>
        <row r="23">
          <cell r="B23"/>
          <cell r="D23"/>
        </row>
        <row r="24">
          <cell r="B24"/>
          <cell r="D24"/>
        </row>
        <row r="25">
          <cell r="B25"/>
          <cell r="D25"/>
        </row>
        <row r="26">
          <cell r="B26"/>
          <cell r="D26"/>
        </row>
        <row r="27">
          <cell r="B27"/>
          <cell r="D27"/>
        </row>
        <row r="28">
          <cell r="B28"/>
          <cell r="D28"/>
        </row>
        <row r="29">
          <cell r="B29"/>
          <cell r="D29"/>
        </row>
        <row r="30">
          <cell r="B30"/>
          <cell r="D30"/>
        </row>
        <row r="31">
          <cell r="B31"/>
          <cell r="D31"/>
        </row>
        <row r="32">
          <cell r="B32"/>
          <cell r="D32"/>
        </row>
        <row r="33">
          <cell r="B33"/>
          <cell r="D33"/>
        </row>
        <row r="34">
          <cell r="B34"/>
          <cell r="D34"/>
        </row>
        <row r="35">
          <cell r="B35"/>
          <cell r="D35"/>
        </row>
        <row r="36">
          <cell r="B36"/>
          <cell r="D36"/>
        </row>
        <row r="37">
          <cell r="B37"/>
          <cell r="D37"/>
        </row>
        <row r="38">
          <cell r="B38"/>
          <cell r="D38"/>
        </row>
        <row r="39">
          <cell r="B39"/>
          <cell r="D39"/>
        </row>
        <row r="40">
          <cell r="B40"/>
          <cell r="D40"/>
        </row>
        <row r="41">
          <cell r="B41"/>
          <cell r="D41"/>
        </row>
        <row r="42">
          <cell r="B42"/>
          <cell r="D42"/>
        </row>
        <row r="43">
          <cell r="B43"/>
          <cell r="D43"/>
        </row>
        <row r="44">
          <cell r="B44"/>
          <cell r="D44"/>
        </row>
        <row r="45">
          <cell r="B45"/>
          <cell r="D45"/>
        </row>
        <row r="46">
          <cell r="B46"/>
          <cell r="D46"/>
        </row>
        <row r="47">
          <cell r="B47"/>
          <cell r="D47"/>
        </row>
        <row r="48">
          <cell r="B48"/>
          <cell r="D48"/>
        </row>
        <row r="49">
          <cell r="B49"/>
          <cell r="D49"/>
        </row>
        <row r="50">
          <cell r="B50"/>
          <cell r="D50"/>
        </row>
        <row r="51">
          <cell r="B51"/>
          <cell r="D51"/>
        </row>
        <row r="52">
          <cell r="B52"/>
          <cell r="D52"/>
        </row>
        <row r="53">
          <cell r="B53"/>
          <cell r="D53"/>
        </row>
        <row r="54">
          <cell r="B54"/>
          <cell r="D54"/>
        </row>
        <row r="55">
          <cell r="B55"/>
          <cell r="D55"/>
        </row>
        <row r="56">
          <cell r="B56"/>
          <cell r="D56"/>
        </row>
        <row r="57">
          <cell r="B57"/>
          <cell r="D57"/>
        </row>
        <row r="58">
          <cell r="B58"/>
          <cell r="D58"/>
        </row>
        <row r="59">
          <cell r="B59"/>
          <cell r="D59"/>
        </row>
        <row r="60">
          <cell r="B60"/>
          <cell r="D60"/>
        </row>
        <row r="61">
          <cell r="B61"/>
          <cell r="D61"/>
        </row>
        <row r="62">
          <cell r="B62"/>
          <cell r="D62"/>
        </row>
        <row r="63">
          <cell r="B63"/>
          <cell r="D63"/>
        </row>
        <row r="64">
          <cell r="B64"/>
          <cell r="D64"/>
        </row>
        <row r="65">
          <cell r="B65"/>
          <cell r="D65"/>
        </row>
        <row r="66">
          <cell r="B66"/>
          <cell r="D66"/>
        </row>
        <row r="67">
          <cell r="B67"/>
          <cell r="D67"/>
        </row>
        <row r="68">
          <cell r="B68"/>
          <cell r="D68"/>
        </row>
        <row r="69">
          <cell r="B69"/>
          <cell r="D69"/>
        </row>
        <row r="70">
          <cell r="B70"/>
          <cell r="D70"/>
        </row>
        <row r="71">
          <cell r="B71"/>
          <cell r="D71"/>
        </row>
        <row r="72">
          <cell r="B72"/>
          <cell r="D72"/>
        </row>
        <row r="73">
          <cell r="B73"/>
          <cell r="D73"/>
        </row>
        <row r="74">
          <cell r="B74"/>
          <cell r="D74"/>
        </row>
        <row r="75">
          <cell r="B75"/>
          <cell r="D75"/>
        </row>
        <row r="76">
          <cell r="B76"/>
          <cell r="D76"/>
        </row>
        <row r="77">
          <cell r="B77"/>
          <cell r="D77"/>
        </row>
        <row r="78">
          <cell r="B78"/>
          <cell r="D78"/>
        </row>
        <row r="79">
          <cell r="B79"/>
          <cell r="D79"/>
        </row>
        <row r="80">
          <cell r="B80"/>
          <cell r="D80"/>
        </row>
        <row r="81">
          <cell r="B81"/>
          <cell r="D81"/>
        </row>
        <row r="82">
          <cell r="B82"/>
          <cell r="D82"/>
        </row>
        <row r="83">
          <cell r="B83"/>
          <cell r="D83"/>
        </row>
        <row r="84">
          <cell r="B84"/>
          <cell r="D84"/>
        </row>
        <row r="85">
          <cell r="B85"/>
          <cell r="D85"/>
        </row>
        <row r="86">
          <cell r="B86"/>
          <cell r="D86"/>
        </row>
        <row r="87">
          <cell r="B87"/>
          <cell r="D87"/>
        </row>
        <row r="88">
          <cell r="B88"/>
          <cell r="D88"/>
        </row>
        <row r="89">
          <cell r="B89"/>
          <cell r="D89"/>
        </row>
        <row r="90">
          <cell r="B90"/>
          <cell r="D90"/>
        </row>
        <row r="91">
          <cell r="B91"/>
          <cell r="D91"/>
        </row>
        <row r="92">
          <cell r="B92"/>
          <cell r="D92"/>
        </row>
        <row r="93">
          <cell r="B93"/>
          <cell r="D93"/>
        </row>
        <row r="94">
          <cell r="B94"/>
          <cell r="D94"/>
        </row>
        <row r="95">
          <cell r="B95"/>
          <cell r="D95"/>
        </row>
        <row r="96">
          <cell r="B96"/>
          <cell r="D96"/>
        </row>
        <row r="97">
          <cell r="B97"/>
          <cell r="D97"/>
        </row>
        <row r="98">
          <cell r="B98"/>
          <cell r="D98"/>
        </row>
        <row r="99">
          <cell r="B99"/>
          <cell r="D99"/>
        </row>
        <row r="100">
          <cell r="B100"/>
          <cell r="D100"/>
        </row>
        <row r="101">
          <cell r="B101"/>
          <cell r="D101"/>
        </row>
        <row r="102">
          <cell r="B102"/>
          <cell r="D102"/>
        </row>
        <row r="103">
          <cell r="B103"/>
          <cell r="D103"/>
        </row>
        <row r="104">
          <cell r="B104"/>
          <cell r="D104"/>
        </row>
        <row r="105">
          <cell r="B105"/>
          <cell r="D105"/>
        </row>
        <row r="106">
          <cell r="B106"/>
          <cell r="D106"/>
        </row>
        <row r="107">
          <cell r="B107"/>
          <cell r="D107"/>
        </row>
        <row r="108">
          <cell r="B108"/>
          <cell r="D108"/>
        </row>
        <row r="109">
          <cell r="B109"/>
          <cell r="D109"/>
        </row>
        <row r="110">
          <cell r="B110"/>
          <cell r="D110"/>
        </row>
        <row r="111">
          <cell r="B111"/>
          <cell r="D111"/>
        </row>
        <row r="112">
          <cell r="B112"/>
          <cell r="D112"/>
        </row>
        <row r="113">
          <cell r="B113"/>
          <cell r="D113"/>
        </row>
        <row r="114">
          <cell r="B114"/>
          <cell r="D114"/>
        </row>
        <row r="115">
          <cell r="B115"/>
          <cell r="D115"/>
        </row>
        <row r="116">
          <cell r="B116"/>
          <cell r="D116"/>
        </row>
        <row r="117">
          <cell r="B117"/>
          <cell r="D117"/>
        </row>
        <row r="118">
          <cell r="B118"/>
          <cell r="D118"/>
        </row>
        <row r="119">
          <cell r="B119"/>
          <cell r="D119"/>
        </row>
        <row r="120">
          <cell r="B120"/>
          <cell r="D120"/>
        </row>
        <row r="121">
          <cell r="B121"/>
          <cell r="D121"/>
        </row>
        <row r="122">
          <cell r="B122"/>
          <cell r="D122"/>
        </row>
        <row r="123">
          <cell r="B123"/>
          <cell r="D123"/>
        </row>
        <row r="124">
          <cell r="B124"/>
          <cell r="D124"/>
        </row>
        <row r="125">
          <cell r="B125"/>
          <cell r="D125"/>
        </row>
        <row r="126">
          <cell r="B126"/>
          <cell r="D126"/>
        </row>
        <row r="127">
          <cell r="B127"/>
          <cell r="D127"/>
        </row>
        <row r="128">
          <cell r="B128"/>
          <cell r="D128"/>
        </row>
        <row r="129">
          <cell r="B129"/>
          <cell r="D129"/>
        </row>
        <row r="130">
          <cell r="B130"/>
          <cell r="D130"/>
        </row>
        <row r="131">
          <cell r="B131"/>
          <cell r="D131"/>
        </row>
        <row r="132">
          <cell r="B132"/>
          <cell r="D132"/>
        </row>
        <row r="133">
          <cell r="B133"/>
          <cell r="D133"/>
        </row>
        <row r="134">
          <cell r="B134"/>
          <cell r="D134"/>
        </row>
        <row r="135">
          <cell r="B135"/>
          <cell r="D135"/>
        </row>
        <row r="136">
          <cell r="B136"/>
          <cell r="D136"/>
        </row>
        <row r="137">
          <cell r="B137"/>
          <cell r="D137"/>
        </row>
        <row r="138">
          <cell r="B138"/>
          <cell r="D138"/>
        </row>
        <row r="139">
          <cell r="B139"/>
          <cell r="D139"/>
        </row>
        <row r="140">
          <cell r="B140"/>
          <cell r="D140"/>
        </row>
        <row r="141">
          <cell r="B141"/>
          <cell r="D141"/>
        </row>
        <row r="142">
          <cell r="B142"/>
          <cell r="D142"/>
        </row>
        <row r="143">
          <cell r="B143"/>
          <cell r="D143"/>
        </row>
        <row r="144">
          <cell r="B144"/>
          <cell r="D144"/>
        </row>
        <row r="145">
          <cell r="B145"/>
          <cell r="D145"/>
        </row>
        <row r="146">
          <cell r="B146"/>
          <cell r="D146"/>
        </row>
        <row r="147">
          <cell r="B147"/>
          <cell r="D147"/>
        </row>
        <row r="148">
          <cell r="B148"/>
          <cell r="D148"/>
        </row>
        <row r="149">
          <cell r="B149"/>
          <cell r="D149"/>
        </row>
        <row r="150">
          <cell r="B150"/>
          <cell r="D150"/>
        </row>
        <row r="151">
          <cell r="B151"/>
          <cell r="D151"/>
        </row>
        <row r="152">
          <cell r="B152"/>
          <cell r="D152"/>
        </row>
        <row r="153">
          <cell r="B153"/>
          <cell r="D153"/>
        </row>
        <row r="154">
          <cell r="B154"/>
          <cell r="D154"/>
        </row>
        <row r="155">
          <cell r="B155"/>
          <cell r="D155"/>
        </row>
        <row r="156">
          <cell r="B156"/>
          <cell r="D156"/>
        </row>
        <row r="157">
          <cell r="B157"/>
          <cell r="D157"/>
        </row>
        <row r="158">
          <cell r="B158"/>
          <cell r="D158"/>
        </row>
        <row r="159">
          <cell r="B159"/>
          <cell r="D159"/>
        </row>
        <row r="160">
          <cell r="B160"/>
          <cell r="D160"/>
        </row>
        <row r="161">
          <cell r="B161"/>
          <cell r="D161"/>
        </row>
        <row r="162">
          <cell r="B162"/>
          <cell r="D162"/>
        </row>
        <row r="163">
          <cell r="B163"/>
          <cell r="D163"/>
        </row>
        <row r="164">
          <cell r="B164"/>
          <cell r="D164"/>
        </row>
        <row r="165">
          <cell r="B165"/>
          <cell r="D165"/>
        </row>
        <row r="166">
          <cell r="B166"/>
          <cell r="D166"/>
        </row>
        <row r="167">
          <cell r="B167"/>
          <cell r="D167"/>
        </row>
        <row r="168">
          <cell r="B168"/>
          <cell r="D168"/>
        </row>
        <row r="169">
          <cell r="B169"/>
          <cell r="D169"/>
        </row>
        <row r="170">
          <cell r="B170"/>
          <cell r="D170"/>
        </row>
        <row r="171">
          <cell r="B171"/>
          <cell r="D171"/>
        </row>
        <row r="172">
          <cell r="B172"/>
          <cell r="D172"/>
        </row>
        <row r="173">
          <cell r="B173"/>
          <cell r="D173"/>
        </row>
        <row r="174">
          <cell r="B174"/>
          <cell r="D174"/>
        </row>
        <row r="175">
          <cell r="B175"/>
          <cell r="D175"/>
        </row>
        <row r="176">
          <cell r="B176"/>
          <cell r="D176"/>
        </row>
        <row r="177">
          <cell r="B177"/>
          <cell r="D177"/>
        </row>
        <row r="178">
          <cell r="B178"/>
          <cell r="D178"/>
        </row>
        <row r="179">
          <cell r="B179"/>
          <cell r="D179"/>
        </row>
        <row r="180">
          <cell r="B180"/>
          <cell r="D180"/>
        </row>
        <row r="181">
          <cell r="B181"/>
          <cell r="D181"/>
        </row>
        <row r="182">
          <cell r="B182"/>
          <cell r="D182"/>
        </row>
        <row r="183">
          <cell r="B183"/>
          <cell r="D183"/>
        </row>
        <row r="184">
          <cell r="B184"/>
          <cell r="D184"/>
        </row>
        <row r="185">
          <cell r="B185"/>
          <cell r="D185"/>
        </row>
        <row r="186">
          <cell r="B186"/>
          <cell r="D186"/>
        </row>
        <row r="187">
          <cell r="B187"/>
          <cell r="D187"/>
        </row>
        <row r="188">
          <cell r="B188"/>
          <cell r="D188"/>
        </row>
        <row r="189">
          <cell r="B189"/>
          <cell r="D189"/>
        </row>
        <row r="190">
          <cell r="B190"/>
          <cell r="D190"/>
        </row>
        <row r="191">
          <cell r="B191"/>
          <cell r="D191"/>
        </row>
        <row r="192">
          <cell r="B192"/>
          <cell r="D192"/>
        </row>
        <row r="193">
          <cell r="B193"/>
          <cell r="D193"/>
        </row>
        <row r="194">
          <cell r="B194"/>
          <cell r="D194"/>
        </row>
        <row r="195">
          <cell r="B195"/>
          <cell r="D195"/>
        </row>
        <row r="196">
          <cell r="B196"/>
          <cell r="D196"/>
        </row>
        <row r="197">
          <cell r="B197"/>
          <cell r="D197"/>
        </row>
        <row r="198">
          <cell r="B198"/>
          <cell r="D198"/>
        </row>
        <row r="199">
          <cell r="B199"/>
          <cell r="D199"/>
        </row>
        <row r="200">
          <cell r="B200"/>
          <cell r="D200"/>
        </row>
        <row r="201">
          <cell r="B201"/>
          <cell r="D201"/>
        </row>
        <row r="202">
          <cell r="B202"/>
          <cell r="D202"/>
        </row>
        <row r="203">
          <cell r="B203"/>
          <cell r="D203"/>
        </row>
        <row r="204">
          <cell r="B204"/>
          <cell r="D204"/>
        </row>
        <row r="205">
          <cell r="B205"/>
          <cell r="D205"/>
        </row>
        <row r="206">
          <cell r="B206"/>
          <cell r="D206"/>
        </row>
        <row r="207">
          <cell r="B207"/>
          <cell r="D207"/>
        </row>
        <row r="208">
          <cell r="B208"/>
          <cell r="D208"/>
        </row>
        <row r="209">
          <cell r="B209"/>
          <cell r="D209"/>
        </row>
        <row r="210">
          <cell r="B210"/>
          <cell r="D210"/>
        </row>
        <row r="211">
          <cell r="B211"/>
          <cell r="D211"/>
        </row>
        <row r="212">
          <cell r="B212"/>
          <cell r="D212"/>
        </row>
        <row r="213">
          <cell r="B213"/>
          <cell r="D213"/>
        </row>
        <row r="214">
          <cell r="B214"/>
          <cell r="D214"/>
        </row>
        <row r="215">
          <cell r="B215"/>
          <cell r="D215"/>
        </row>
        <row r="216">
          <cell r="B216"/>
          <cell r="D216"/>
        </row>
        <row r="217">
          <cell r="B217"/>
          <cell r="D217"/>
        </row>
        <row r="218">
          <cell r="B218"/>
          <cell r="D218"/>
        </row>
        <row r="219">
          <cell r="B219"/>
          <cell r="D219"/>
        </row>
        <row r="220">
          <cell r="B220"/>
          <cell r="D220"/>
        </row>
        <row r="221">
          <cell r="B221"/>
          <cell r="D221"/>
        </row>
        <row r="222">
          <cell r="B222"/>
          <cell r="D222"/>
        </row>
        <row r="223">
          <cell r="B223"/>
          <cell r="D223"/>
        </row>
        <row r="224">
          <cell r="B224"/>
          <cell r="D224"/>
        </row>
        <row r="225">
          <cell r="B225"/>
          <cell r="D225"/>
        </row>
        <row r="226">
          <cell r="B226"/>
          <cell r="D226"/>
        </row>
        <row r="227">
          <cell r="B227"/>
          <cell r="D227"/>
        </row>
        <row r="228">
          <cell r="B228"/>
          <cell r="D228"/>
        </row>
        <row r="229">
          <cell r="B229"/>
          <cell r="D229"/>
        </row>
        <row r="230">
          <cell r="B230"/>
          <cell r="D230"/>
        </row>
        <row r="231">
          <cell r="B231"/>
          <cell r="D231"/>
        </row>
        <row r="232">
          <cell r="B232"/>
          <cell r="D232"/>
        </row>
        <row r="233">
          <cell r="B233"/>
          <cell r="D233"/>
        </row>
        <row r="234">
          <cell r="B234"/>
          <cell r="D234"/>
        </row>
        <row r="235">
          <cell r="B235"/>
          <cell r="D235"/>
        </row>
        <row r="236">
          <cell r="B236"/>
          <cell r="D236"/>
        </row>
        <row r="237">
          <cell r="B237"/>
          <cell r="D237"/>
        </row>
        <row r="238">
          <cell r="B238"/>
          <cell r="D238"/>
        </row>
        <row r="239">
          <cell r="B239"/>
          <cell r="D239"/>
        </row>
        <row r="240">
          <cell r="B240"/>
          <cell r="D240"/>
        </row>
        <row r="241">
          <cell r="B241"/>
          <cell r="D241"/>
        </row>
        <row r="242">
          <cell r="B242"/>
          <cell r="D242"/>
        </row>
        <row r="243">
          <cell r="B243"/>
          <cell r="D243"/>
        </row>
        <row r="244">
          <cell r="B244"/>
          <cell r="D244"/>
        </row>
        <row r="245">
          <cell r="B245"/>
          <cell r="D245"/>
        </row>
        <row r="246">
          <cell r="B246"/>
          <cell r="D246"/>
        </row>
        <row r="247">
          <cell r="B247"/>
          <cell r="D247"/>
        </row>
        <row r="248">
          <cell r="B248"/>
          <cell r="D248"/>
        </row>
        <row r="249">
          <cell r="B249"/>
          <cell r="D249"/>
        </row>
        <row r="250">
          <cell r="B250"/>
          <cell r="D250"/>
        </row>
        <row r="251">
          <cell r="B251"/>
          <cell r="D251"/>
        </row>
        <row r="252">
          <cell r="B252"/>
          <cell r="D252"/>
        </row>
        <row r="253">
          <cell r="B253"/>
          <cell r="D253"/>
        </row>
        <row r="254">
          <cell r="B254"/>
          <cell r="D254"/>
        </row>
        <row r="255">
          <cell r="B255"/>
          <cell r="D255"/>
        </row>
        <row r="256">
          <cell r="B256"/>
          <cell r="D256"/>
        </row>
        <row r="257">
          <cell r="B257"/>
          <cell r="D257"/>
        </row>
        <row r="258">
          <cell r="B258"/>
          <cell r="D258"/>
        </row>
        <row r="259">
          <cell r="B259"/>
          <cell r="D259"/>
        </row>
        <row r="260">
          <cell r="B260"/>
          <cell r="D260"/>
        </row>
        <row r="261">
          <cell r="B261"/>
          <cell r="D261"/>
        </row>
        <row r="262">
          <cell r="B262"/>
          <cell r="D262"/>
        </row>
        <row r="263">
          <cell r="B263"/>
          <cell r="D263"/>
        </row>
        <row r="264">
          <cell r="B264"/>
          <cell r="D264"/>
        </row>
        <row r="265">
          <cell r="B265"/>
          <cell r="D265"/>
        </row>
        <row r="266">
          <cell r="B266"/>
          <cell r="D266"/>
        </row>
        <row r="267">
          <cell r="B267"/>
          <cell r="D267"/>
        </row>
        <row r="268">
          <cell r="B268"/>
          <cell r="D268"/>
        </row>
        <row r="269">
          <cell r="B269"/>
          <cell r="D269"/>
        </row>
        <row r="270">
          <cell r="B270"/>
          <cell r="D270"/>
        </row>
        <row r="271">
          <cell r="B271"/>
          <cell r="D271"/>
        </row>
        <row r="272">
          <cell r="B272"/>
          <cell r="D272"/>
        </row>
        <row r="273">
          <cell r="B273"/>
          <cell r="D273"/>
        </row>
        <row r="274">
          <cell r="B274"/>
          <cell r="D274"/>
        </row>
        <row r="275">
          <cell r="B275"/>
          <cell r="D275"/>
        </row>
        <row r="276">
          <cell r="B276"/>
          <cell r="D276"/>
        </row>
        <row r="277">
          <cell r="B277"/>
          <cell r="D277"/>
        </row>
        <row r="278">
          <cell r="B278"/>
          <cell r="D278"/>
        </row>
        <row r="279">
          <cell r="B279"/>
          <cell r="D279"/>
        </row>
        <row r="280">
          <cell r="B280"/>
          <cell r="D280"/>
        </row>
        <row r="281">
          <cell r="B281"/>
          <cell r="D281"/>
        </row>
        <row r="282">
          <cell r="B282"/>
          <cell r="D282"/>
        </row>
        <row r="283">
          <cell r="B283"/>
          <cell r="D283"/>
        </row>
        <row r="284">
          <cell r="B284"/>
          <cell r="D284"/>
        </row>
        <row r="285">
          <cell r="B285"/>
          <cell r="D285"/>
        </row>
        <row r="286">
          <cell r="B286"/>
          <cell r="D286"/>
        </row>
        <row r="287">
          <cell r="B287"/>
          <cell r="D287"/>
        </row>
        <row r="288">
          <cell r="B288"/>
          <cell r="D288"/>
        </row>
        <row r="289">
          <cell r="B289"/>
          <cell r="D289"/>
        </row>
        <row r="290">
          <cell r="B290"/>
          <cell r="D290"/>
        </row>
        <row r="291">
          <cell r="B291"/>
          <cell r="D291"/>
        </row>
        <row r="292">
          <cell r="B292"/>
          <cell r="D292"/>
        </row>
        <row r="293">
          <cell r="B293"/>
          <cell r="D293"/>
        </row>
        <row r="294">
          <cell r="B294"/>
          <cell r="D294"/>
        </row>
        <row r="295">
          <cell r="B295"/>
          <cell r="D295"/>
        </row>
        <row r="296">
          <cell r="B296"/>
          <cell r="D296"/>
        </row>
        <row r="297">
          <cell r="B297"/>
          <cell r="D297"/>
        </row>
        <row r="298">
          <cell r="B298"/>
          <cell r="D298"/>
        </row>
        <row r="299">
          <cell r="B299"/>
          <cell r="D299"/>
        </row>
        <row r="300">
          <cell r="B300"/>
          <cell r="D300"/>
        </row>
        <row r="301">
          <cell r="B301"/>
          <cell r="D301"/>
        </row>
        <row r="302">
          <cell r="B302"/>
          <cell r="D302"/>
        </row>
        <row r="303">
          <cell r="B303"/>
          <cell r="D303"/>
        </row>
        <row r="304">
          <cell r="B304"/>
          <cell r="D304"/>
        </row>
        <row r="305">
          <cell r="B305"/>
          <cell r="D305"/>
        </row>
        <row r="306">
          <cell r="B306"/>
          <cell r="D306"/>
        </row>
        <row r="307">
          <cell r="B307"/>
          <cell r="D307"/>
        </row>
        <row r="308">
          <cell r="B308"/>
          <cell r="D308"/>
        </row>
        <row r="309">
          <cell r="B309"/>
          <cell r="D309"/>
        </row>
        <row r="310">
          <cell r="B310"/>
          <cell r="D310"/>
        </row>
        <row r="311">
          <cell r="B311"/>
          <cell r="D311"/>
        </row>
        <row r="312">
          <cell r="B312"/>
          <cell r="D312"/>
        </row>
        <row r="313">
          <cell r="B313"/>
          <cell r="D313"/>
        </row>
        <row r="314">
          <cell r="B314"/>
          <cell r="D314"/>
        </row>
        <row r="315">
          <cell r="B315"/>
          <cell r="D315"/>
        </row>
        <row r="316">
          <cell r="B316"/>
          <cell r="D316"/>
        </row>
        <row r="317">
          <cell r="B317"/>
          <cell r="D317"/>
        </row>
        <row r="318">
          <cell r="B318"/>
          <cell r="D318"/>
        </row>
        <row r="319">
          <cell r="B319"/>
          <cell r="D319"/>
        </row>
        <row r="320">
          <cell r="B320"/>
          <cell r="D320"/>
        </row>
        <row r="321">
          <cell r="B321"/>
          <cell r="D321"/>
        </row>
        <row r="322">
          <cell r="B322"/>
          <cell r="D322"/>
        </row>
        <row r="323">
          <cell r="B323"/>
          <cell r="D323"/>
        </row>
        <row r="324">
          <cell r="B324"/>
          <cell r="D324"/>
        </row>
        <row r="325">
          <cell r="B325"/>
          <cell r="D325"/>
        </row>
        <row r="326">
          <cell r="B326"/>
          <cell r="D326"/>
        </row>
        <row r="327">
          <cell r="B327"/>
          <cell r="D327"/>
        </row>
        <row r="328">
          <cell r="B328"/>
          <cell r="D328"/>
        </row>
        <row r="329">
          <cell r="B329"/>
          <cell r="D329"/>
        </row>
        <row r="330">
          <cell r="B330"/>
          <cell r="D330"/>
        </row>
        <row r="331">
          <cell r="B331"/>
          <cell r="D331"/>
        </row>
        <row r="332">
          <cell r="B332"/>
          <cell r="D332"/>
        </row>
        <row r="333">
          <cell r="B333"/>
          <cell r="D333"/>
        </row>
        <row r="334">
          <cell r="B334"/>
          <cell r="D334"/>
        </row>
        <row r="335">
          <cell r="B335"/>
          <cell r="D335"/>
        </row>
        <row r="336">
          <cell r="B336"/>
          <cell r="D336"/>
        </row>
        <row r="337">
          <cell r="B337"/>
          <cell r="D337"/>
        </row>
        <row r="338">
          <cell r="B338"/>
          <cell r="D338"/>
        </row>
        <row r="339">
          <cell r="B339"/>
          <cell r="D339"/>
        </row>
        <row r="340">
          <cell r="B340"/>
          <cell r="D340"/>
        </row>
        <row r="341">
          <cell r="B341"/>
          <cell r="D341"/>
        </row>
        <row r="342">
          <cell r="B342"/>
          <cell r="D342"/>
        </row>
        <row r="343">
          <cell r="B343"/>
          <cell r="D343"/>
        </row>
        <row r="344">
          <cell r="B344"/>
          <cell r="D344"/>
        </row>
        <row r="345">
          <cell r="B345"/>
          <cell r="D345"/>
        </row>
        <row r="346">
          <cell r="B346"/>
          <cell r="D346"/>
        </row>
        <row r="347">
          <cell r="B347"/>
          <cell r="D347"/>
        </row>
        <row r="348">
          <cell r="B348"/>
          <cell r="D348"/>
        </row>
        <row r="349">
          <cell r="B349"/>
          <cell r="D349"/>
        </row>
        <row r="350">
          <cell r="B350"/>
          <cell r="D350"/>
        </row>
        <row r="351">
          <cell r="B351"/>
          <cell r="D351"/>
        </row>
        <row r="352">
          <cell r="B352"/>
          <cell r="D352"/>
        </row>
        <row r="353">
          <cell r="B353"/>
          <cell r="D353"/>
        </row>
        <row r="354">
          <cell r="B354"/>
          <cell r="D354"/>
        </row>
        <row r="355">
          <cell r="B355"/>
          <cell r="D355"/>
        </row>
        <row r="356">
          <cell r="B356"/>
          <cell r="D356"/>
        </row>
        <row r="357">
          <cell r="B357"/>
          <cell r="D357"/>
        </row>
        <row r="358">
          <cell r="B358"/>
          <cell r="D358"/>
        </row>
        <row r="359">
          <cell r="B359"/>
          <cell r="D359"/>
        </row>
        <row r="360">
          <cell r="B360"/>
          <cell r="D360"/>
        </row>
        <row r="361">
          <cell r="B361"/>
          <cell r="D361"/>
        </row>
        <row r="362">
          <cell r="B362"/>
          <cell r="D362"/>
        </row>
        <row r="363">
          <cell r="B363"/>
          <cell r="D363"/>
        </row>
        <row r="364">
          <cell r="B364"/>
          <cell r="D364"/>
        </row>
        <row r="365">
          <cell r="B365"/>
          <cell r="D365"/>
        </row>
        <row r="366">
          <cell r="B366"/>
          <cell r="D366"/>
        </row>
        <row r="367">
          <cell r="B367"/>
          <cell r="D367"/>
        </row>
        <row r="368">
          <cell r="B368"/>
          <cell r="D368"/>
        </row>
        <row r="369">
          <cell r="B369"/>
          <cell r="D369"/>
        </row>
        <row r="370">
          <cell r="B370"/>
          <cell r="D370"/>
        </row>
        <row r="371">
          <cell r="B371"/>
          <cell r="D371"/>
        </row>
        <row r="372">
          <cell r="B372"/>
          <cell r="D372"/>
        </row>
        <row r="373">
          <cell r="B373"/>
          <cell r="D373"/>
        </row>
        <row r="374">
          <cell r="B374"/>
          <cell r="D374"/>
        </row>
        <row r="375">
          <cell r="B375"/>
          <cell r="D375"/>
        </row>
        <row r="376">
          <cell r="B376"/>
          <cell r="D376"/>
        </row>
        <row r="377">
          <cell r="B377"/>
          <cell r="D377"/>
        </row>
        <row r="378">
          <cell r="B378"/>
          <cell r="D378"/>
        </row>
        <row r="379">
          <cell r="B379"/>
          <cell r="D379"/>
        </row>
        <row r="380">
          <cell r="B380"/>
          <cell r="D380"/>
        </row>
        <row r="381">
          <cell r="B381"/>
          <cell r="D381"/>
        </row>
        <row r="382">
          <cell r="B382"/>
          <cell r="D382"/>
        </row>
        <row r="383">
          <cell r="B383"/>
          <cell r="D383"/>
        </row>
        <row r="384">
          <cell r="B384"/>
          <cell r="D384"/>
        </row>
        <row r="385">
          <cell r="B385"/>
          <cell r="D385"/>
        </row>
        <row r="386">
          <cell r="B386"/>
          <cell r="D386"/>
        </row>
        <row r="387">
          <cell r="B387"/>
          <cell r="D387"/>
        </row>
        <row r="388">
          <cell r="B388"/>
          <cell r="D388"/>
        </row>
        <row r="389">
          <cell r="B389"/>
          <cell r="D389"/>
        </row>
        <row r="390">
          <cell r="B390"/>
          <cell r="D390"/>
        </row>
        <row r="391">
          <cell r="B391"/>
          <cell r="D391"/>
        </row>
        <row r="392">
          <cell r="B392"/>
          <cell r="D392"/>
        </row>
        <row r="393">
          <cell r="B393"/>
          <cell r="D393"/>
        </row>
        <row r="394">
          <cell r="B394"/>
          <cell r="D394"/>
        </row>
        <row r="395">
          <cell r="B395"/>
          <cell r="D395"/>
        </row>
        <row r="396">
          <cell r="B396"/>
          <cell r="D396"/>
        </row>
        <row r="397">
          <cell r="B397"/>
          <cell r="D397"/>
        </row>
        <row r="398">
          <cell r="B398"/>
          <cell r="D398"/>
        </row>
        <row r="399">
          <cell r="B399"/>
          <cell r="D399"/>
        </row>
        <row r="400">
          <cell r="B400"/>
          <cell r="D400"/>
        </row>
        <row r="401">
          <cell r="B401"/>
          <cell r="D401"/>
        </row>
        <row r="402">
          <cell r="B402"/>
          <cell r="D402"/>
        </row>
        <row r="403">
          <cell r="B403"/>
          <cell r="D403"/>
        </row>
        <row r="404">
          <cell r="B404"/>
          <cell r="D404"/>
        </row>
        <row r="405">
          <cell r="B405"/>
          <cell r="D405"/>
        </row>
        <row r="406">
          <cell r="B406"/>
          <cell r="D406"/>
        </row>
        <row r="407">
          <cell r="B407"/>
          <cell r="D407"/>
        </row>
        <row r="408">
          <cell r="B408"/>
          <cell r="D408"/>
        </row>
        <row r="409">
          <cell r="B409"/>
          <cell r="D409"/>
        </row>
        <row r="410">
          <cell r="B410"/>
          <cell r="D410"/>
        </row>
        <row r="411">
          <cell r="B411"/>
          <cell r="D411"/>
        </row>
        <row r="412">
          <cell r="B412"/>
          <cell r="D412"/>
        </row>
        <row r="413">
          <cell r="B413"/>
          <cell r="D413"/>
        </row>
        <row r="414">
          <cell r="B414"/>
          <cell r="D414"/>
        </row>
        <row r="415">
          <cell r="B415"/>
          <cell r="D415"/>
        </row>
        <row r="416">
          <cell r="B416"/>
          <cell r="D416"/>
        </row>
        <row r="417">
          <cell r="B417"/>
          <cell r="D417"/>
        </row>
        <row r="418">
          <cell r="B418"/>
          <cell r="D418"/>
        </row>
        <row r="419">
          <cell r="B419"/>
          <cell r="D419"/>
        </row>
        <row r="420">
          <cell r="B420"/>
          <cell r="D420"/>
        </row>
        <row r="421">
          <cell r="B421"/>
          <cell r="D421"/>
        </row>
        <row r="422">
          <cell r="B422"/>
          <cell r="D422"/>
        </row>
        <row r="423">
          <cell r="B423"/>
          <cell r="D423"/>
        </row>
        <row r="424">
          <cell r="B424"/>
          <cell r="D424"/>
        </row>
        <row r="425">
          <cell r="B425"/>
          <cell r="D425"/>
        </row>
        <row r="426">
          <cell r="B426"/>
          <cell r="D426"/>
        </row>
        <row r="427">
          <cell r="B427"/>
          <cell r="D427"/>
        </row>
        <row r="428">
          <cell r="B428"/>
          <cell r="D428"/>
        </row>
        <row r="429">
          <cell r="B429"/>
          <cell r="D429"/>
        </row>
        <row r="430">
          <cell r="B430"/>
          <cell r="D430"/>
        </row>
        <row r="431">
          <cell r="B431"/>
          <cell r="D431"/>
        </row>
        <row r="432">
          <cell r="B432"/>
          <cell r="D432"/>
        </row>
        <row r="433">
          <cell r="B433"/>
          <cell r="D433"/>
        </row>
        <row r="434">
          <cell r="B434"/>
          <cell r="D434"/>
        </row>
        <row r="435">
          <cell r="B435"/>
          <cell r="D435"/>
        </row>
        <row r="436">
          <cell r="B436"/>
          <cell r="D436"/>
        </row>
        <row r="437">
          <cell r="B437"/>
          <cell r="D437"/>
        </row>
        <row r="438">
          <cell r="B438"/>
          <cell r="D438"/>
        </row>
        <row r="439">
          <cell r="B439"/>
          <cell r="D439"/>
        </row>
        <row r="440">
          <cell r="B440"/>
          <cell r="D440"/>
        </row>
        <row r="441">
          <cell r="B441"/>
          <cell r="D441"/>
        </row>
        <row r="442">
          <cell r="B442"/>
          <cell r="D442"/>
        </row>
        <row r="443">
          <cell r="B443"/>
          <cell r="D443"/>
        </row>
        <row r="444">
          <cell r="B444"/>
          <cell r="D444"/>
        </row>
        <row r="445">
          <cell r="B445"/>
          <cell r="D445"/>
        </row>
        <row r="446">
          <cell r="B446"/>
          <cell r="D446"/>
        </row>
        <row r="447">
          <cell r="B447"/>
          <cell r="D447"/>
        </row>
        <row r="448">
          <cell r="B448"/>
          <cell r="D448"/>
        </row>
        <row r="449">
          <cell r="B449"/>
          <cell r="D449"/>
        </row>
        <row r="450">
          <cell r="B450"/>
          <cell r="D450"/>
        </row>
        <row r="451">
          <cell r="B451"/>
          <cell r="D451"/>
        </row>
        <row r="452">
          <cell r="B452"/>
          <cell r="D452"/>
        </row>
        <row r="453">
          <cell r="B453"/>
          <cell r="D453"/>
        </row>
        <row r="454">
          <cell r="B454"/>
          <cell r="D454"/>
        </row>
        <row r="455">
          <cell r="B455"/>
          <cell r="D455"/>
        </row>
        <row r="456">
          <cell r="B456"/>
          <cell r="D456"/>
        </row>
        <row r="457">
          <cell r="B457"/>
          <cell r="D457"/>
        </row>
        <row r="458">
          <cell r="B458"/>
          <cell r="D458"/>
        </row>
        <row r="459">
          <cell r="B459"/>
          <cell r="D459"/>
        </row>
        <row r="460">
          <cell r="B460"/>
          <cell r="D460"/>
        </row>
        <row r="461">
          <cell r="B461"/>
          <cell r="D461"/>
        </row>
        <row r="462">
          <cell r="B462"/>
          <cell r="D462"/>
        </row>
        <row r="463">
          <cell r="B463"/>
          <cell r="D463"/>
        </row>
        <row r="464">
          <cell r="B464"/>
          <cell r="D464"/>
        </row>
        <row r="465">
          <cell r="B465"/>
          <cell r="D465"/>
        </row>
        <row r="466">
          <cell r="B466"/>
          <cell r="D466"/>
        </row>
        <row r="467">
          <cell r="B467"/>
          <cell r="D467"/>
        </row>
        <row r="468">
          <cell r="B468"/>
          <cell r="D468"/>
        </row>
        <row r="469">
          <cell r="B469"/>
          <cell r="D469"/>
        </row>
        <row r="470">
          <cell r="B470"/>
          <cell r="D470"/>
        </row>
        <row r="471">
          <cell r="B471"/>
          <cell r="D471"/>
        </row>
        <row r="472">
          <cell r="B472"/>
          <cell r="D472"/>
        </row>
        <row r="473">
          <cell r="B473"/>
          <cell r="D473"/>
        </row>
        <row r="474">
          <cell r="B474"/>
          <cell r="D474"/>
        </row>
        <row r="475">
          <cell r="B475"/>
          <cell r="D475"/>
        </row>
        <row r="476">
          <cell r="B476"/>
          <cell r="D476"/>
        </row>
        <row r="477">
          <cell r="B477"/>
          <cell r="D477"/>
        </row>
        <row r="478">
          <cell r="B478"/>
          <cell r="D478"/>
        </row>
        <row r="479">
          <cell r="B479"/>
          <cell r="D479"/>
        </row>
        <row r="480">
          <cell r="B480"/>
          <cell r="D480"/>
        </row>
        <row r="481">
          <cell r="B481"/>
          <cell r="D481"/>
        </row>
        <row r="482">
          <cell r="B482"/>
          <cell r="D482"/>
        </row>
        <row r="483">
          <cell r="B483"/>
          <cell r="D483"/>
        </row>
        <row r="484">
          <cell r="B484"/>
          <cell r="D484"/>
        </row>
        <row r="485">
          <cell r="B485"/>
          <cell r="D485"/>
        </row>
        <row r="486">
          <cell r="B486"/>
          <cell r="D486"/>
        </row>
        <row r="487">
          <cell r="B487"/>
          <cell r="D487"/>
        </row>
        <row r="488">
          <cell r="B488"/>
          <cell r="D488"/>
        </row>
        <row r="489">
          <cell r="B489"/>
          <cell r="D489"/>
        </row>
        <row r="490">
          <cell r="B490"/>
          <cell r="D490"/>
        </row>
        <row r="491">
          <cell r="B491"/>
          <cell r="D491"/>
        </row>
        <row r="492">
          <cell r="B492"/>
          <cell r="D492"/>
        </row>
        <row r="493">
          <cell r="B493"/>
          <cell r="D493"/>
        </row>
        <row r="494">
          <cell r="B494"/>
          <cell r="D494"/>
        </row>
        <row r="495">
          <cell r="B495"/>
          <cell r="D495"/>
        </row>
        <row r="496">
          <cell r="B496"/>
          <cell r="D496"/>
        </row>
        <row r="497">
          <cell r="B497"/>
          <cell r="D497"/>
        </row>
        <row r="498">
          <cell r="B498"/>
          <cell r="D498"/>
        </row>
        <row r="499">
          <cell r="B499"/>
          <cell r="D499"/>
        </row>
        <row r="500">
          <cell r="B500"/>
          <cell r="D500"/>
        </row>
        <row r="501">
          <cell r="B501"/>
          <cell r="D501"/>
        </row>
        <row r="502">
          <cell r="B502"/>
          <cell r="D502"/>
        </row>
        <row r="503">
          <cell r="B503"/>
          <cell r="D503"/>
        </row>
        <row r="504">
          <cell r="B504"/>
          <cell r="D504"/>
        </row>
        <row r="505">
          <cell r="B505"/>
          <cell r="D505"/>
        </row>
        <row r="506">
          <cell r="B506"/>
          <cell r="D506"/>
        </row>
        <row r="507">
          <cell r="B507"/>
          <cell r="D507"/>
        </row>
        <row r="508">
          <cell r="B508"/>
          <cell r="D508"/>
        </row>
        <row r="509">
          <cell r="B509"/>
          <cell r="D509"/>
        </row>
        <row r="510">
          <cell r="B510"/>
          <cell r="D510"/>
        </row>
        <row r="511">
          <cell r="B511"/>
          <cell r="D511"/>
        </row>
        <row r="512">
          <cell r="B512"/>
          <cell r="D512"/>
        </row>
        <row r="513">
          <cell r="B513"/>
          <cell r="D513"/>
        </row>
        <row r="514">
          <cell r="B514"/>
          <cell r="D514"/>
        </row>
        <row r="515">
          <cell r="B515"/>
          <cell r="D515"/>
        </row>
        <row r="516">
          <cell r="B516"/>
          <cell r="D516"/>
        </row>
        <row r="517">
          <cell r="B517"/>
          <cell r="D517"/>
        </row>
        <row r="518">
          <cell r="B518"/>
          <cell r="D518"/>
        </row>
        <row r="519">
          <cell r="B519"/>
          <cell r="D519"/>
        </row>
        <row r="520">
          <cell r="B520"/>
          <cell r="D520"/>
        </row>
        <row r="521">
          <cell r="B521"/>
          <cell r="D521"/>
        </row>
        <row r="522">
          <cell r="B522"/>
          <cell r="D522"/>
        </row>
        <row r="523">
          <cell r="B523"/>
          <cell r="D523"/>
        </row>
        <row r="524">
          <cell r="B524"/>
          <cell r="D524"/>
        </row>
        <row r="525">
          <cell r="B525"/>
          <cell r="D525"/>
        </row>
        <row r="526">
          <cell r="B526"/>
          <cell r="D526"/>
        </row>
        <row r="527">
          <cell r="B527"/>
          <cell r="D527"/>
        </row>
        <row r="528">
          <cell r="B528"/>
          <cell r="D528"/>
        </row>
        <row r="529">
          <cell r="B529"/>
          <cell r="D529"/>
        </row>
        <row r="530">
          <cell r="B530"/>
          <cell r="D530"/>
        </row>
        <row r="531">
          <cell r="B531"/>
          <cell r="D531"/>
        </row>
        <row r="532">
          <cell r="B532"/>
          <cell r="D532"/>
        </row>
        <row r="533">
          <cell r="B533"/>
          <cell r="D533"/>
        </row>
        <row r="534">
          <cell r="B534"/>
          <cell r="D534"/>
        </row>
        <row r="535">
          <cell r="B535"/>
          <cell r="D535"/>
        </row>
        <row r="536">
          <cell r="B536"/>
          <cell r="D536"/>
        </row>
        <row r="537">
          <cell r="B537"/>
          <cell r="D537"/>
        </row>
        <row r="538">
          <cell r="B538"/>
          <cell r="D538"/>
        </row>
        <row r="539">
          <cell r="B539"/>
          <cell r="D539"/>
        </row>
        <row r="540">
          <cell r="B540"/>
          <cell r="D540"/>
        </row>
        <row r="541">
          <cell r="B541"/>
          <cell r="D541"/>
        </row>
        <row r="542">
          <cell r="B542"/>
          <cell r="D542"/>
        </row>
        <row r="543">
          <cell r="B543"/>
          <cell r="D543"/>
        </row>
        <row r="544">
          <cell r="B544"/>
          <cell r="D544"/>
        </row>
        <row r="545">
          <cell r="B545"/>
          <cell r="D545"/>
        </row>
        <row r="546">
          <cell r="B546"/>
          <cell r="D546"/>
        </row>
        <row r="547">
          <cell r="B547"/>
          <cell r="D547"/>
        </row>
        <row r="548">
          <cell r="B548"/>
          <cell r="D548"/>
        </row>
        <row r="549">
          <cell r="B549"/>
          <cell r="D549"/>
        </row>
        <row r="550">
          <cell r="B550"/>
          <cell r="D550"/>
        </row>
        <row r="551">
          <cell r="B551"/>
          <cell r="D551"/>
        </row>
        <row r="552">
          <cell r="B552"/>
          <cell r="D552"/>
        </row>
        <row r="553">
          <cell r="B553"/>
          <cell r="D553"/>
        </row>
        <row r="554">
          <cell r="B554"/>
          <cell r="D554"/>
        </row>
        <row r="555">
          <cell r="B555"/>
          <cell r="D555"/>
        </row>
        <row r="556">
          <cell r="B556"/>
          <cell r="D556"/>
        </row>
        <row r="557">
          <cell r="B557"/>
          <cell r="D557"/>
        </row>
        <row r="558">
          <cell r="B558"/>
          <cell r="D558"/>
        </row>
        <row r="559">
          <cell r="B559"/>
          <cell r="D559"/>
        </row>
        <row r="560">
          <cell r="B560"/>
          <cell r="D560"/>
        </row>
        <row r="561">
          <cell r="B561"/>
          <cell r="D561"/>
        </row>
        <row r="562">
          <cell r="B562"/>
          <cell r="D562"/>
        </row>
        <row r="563">
          <cell r="B563"/>
          <cell r="D563"/>
        </row>
        <row r="564">
          <cell r="B564"/>
          <cell r="D564"/>
        </row>
        <row r="565">
          <cell r="B565"/>
          <cell r="D565"/>
        </row>
        <row r="566">
          <cell r="B566"/>
          <cell r="D566"/>
        </row>
        <row r="567">
          <cell r="B567"/>
          <cell r="D567"/>
        </row>
        <row r="568">
          <cell r="B568"/>
          <cell r="D568"/>
        </row>
        <row r="569">
          <cell r="B569"/>
          <cell r="D569"/>
        </row>
        <row r="570">
          <cell r="B570"/>
          <cell r="D570"/>
        </row>
        <row r="571">
          <cell r="B571"/>
          <cell r="D571"/>
        </row>
        <row r="572">
          <cell r="B572"/>
          <cell r="D572"/>
        </row>
        <row r="573">
          <cell r="B573"/>
          <cell r="D573"/>
        </row>
        <row r="574">
          <cell r="B574"/>
          <cell r="D574"/>
        </row>
        <row r="575">
          <cell r="B575"/>
          <cell r="D575"/>
        </row>
        <row r="576">
          <cell r="B576"/>
          <cell r="D576"/>
        </row>
        <row r="577">
          <cell r="B577"/>
          <cell r="D577"/>
        </row>
        <row r="578">
          <cell r="B578"/>
          <cell r="D578"/>
        </row>
        <row r="579">
          <cell r="B579"/>
          <cell r="D579"/>
        </row>
        <row r="580">
          <cell r="B580"/>
          <cell r="D580"/>
        </row>
        <row r="581">
          <cell r="B581"/>
          <cell r="D581"/>
        </row>
        <row r="582">
          <cell r="B582"/>
          <cell r="D582"/>
        </row>
        <row r="583">
          <cell r="B583"/>
          <cell r="D583"/>
        </row>
        <row r="584">
          <cell r="B584"/>
          <cell r="D584"/>
        </row>
        <row r="585">
          <cell r="B585"/>
          <cell r="D585"/>
        </row>
        <row r="586">
          <cell r="B586"/>
          <cell r="D586"/>
        </row>
        <row r="587">
          <cell r="B587"/>
          <cell r="D587"/>
        </row>
        <row r="588">
          <cell r="B588"/>
          <cell r="D588"/>
        </row>
        <row r="589">
          <cell r="B589"/>
          <cell r="D589"/>
        </row>
        <row r="590">
          <cell r="B590"/>
          <cell r="D590"/>
        </row>
        <row r="591">
          <cell r="B591"/>
          <cell r="D591"/>
        </row>
        <row r="592">
          <cell r="B592"/>
          <cell r="D592"/>
        </row>
        <row r="593">
          <cell r="B593"/>
          <cell r="D593"/>
        </row>
        <row r="594">
          <cell r="B594"/>
          <cell r="D594"/>
        </row>
        <row r="595">
          <cell r="B595"/>
          <cell r="D595"/>
        </row>
        <row r="596">
          <cell r="B596"/>
          <cell r="D596"/>
        </row>
        <row r="597">
          <cell r="B597"/>
          <cell r="D597"/>
        </row>
        <row r="598">
          <cell r="B598"/>
          <cell r="D598"/>
        </row>
        <row r="599">
          <cell r="B599"/>
          <cell r="D599"/>
        </row>
        <row r="600">
          <cell r="B600"/>
          <cell r="D600"/>
        </row>
        <row r="601">
          <cell r="B601"/>
          <cell r="D601"/>
        </row>
        <row r="602">
          <cell r="B602"/>
          <cell r="D602"/>
        </row>
        <row r="603">
          <cell r="B603"/>
          <cell r="D603"/>
        </row>
        <row r="604">
          <cell r="B604"/>
          <cell r="D604"/>
        </row>
        <row r="605">
          <cell r="B605"/>
          <cell r="D605"/>
        </row>
        <row r="606">
          <cell r="B606"/>
          <cell r="D606"/>
        </row>
        <row r="607">
          <cell r="B607"/>
          <cell r="D607"/>
        </row>
        <row r="608">
          <cell r="B608"/>
          <cell r="D608"/>
        </row>
        <row r="609">
          <cell r="B609"/>
          <cell r="D609"/>
        </row>
        <row r="610">
          <cell r="B610"/>
          <cell r="D610"/>
        </row>
        <row r="611">
          <cell r="B611"/>
          <cell r="D611"/>
        </row>
        <row r="612">
          <cell r="B612"/>
          <cell r="D612"/>
        </row>
        <row r="613">
          <cell r="B613"/>
          <cell r="D613"/>
        </row>
        <row r="614">
          <cell r="B614"/>
          <cell r="D614"/>
        </row>
        <row r="615">
          <cell r="B615"/>
          <cell r="D615"/>
        </row>
        <row r="616">
          <cell r="B616"/>
          <cell r="D616"/>
        </row>
        <row r="617">
          <cell r="B617"/>
          <cell r="D617"/>
        </row>
        <row r="618">
          <cell r="B618"/>
          <cell r="D618"/>
        </row>
        <row r="619">
          <cell r="B619"/>
          <cell r="D619"/>
        </row>
        <row r="620">
          <cell r="B620"/>
          <cell r="D620"/>
        </row>
        <row r="621">
          <cell r="B621"/>
          <cell r="D621"/>
        </row>
        <row r="622">
          <cell r="B622"/>
          <cell r="D622"/>
        </row>
        <row r="623">
          <cell r="B623"/>
          <cell r="D623"/>
        </row>
        <row r="624">
          <cell r="B624"/>
          <cell r="D624"/>
        </row>
        <row r="625">
          <cell r="B625"/>
          <cell r="D625"/>
        </row>
        <row r="626">
          <cell r="B626"/>
          <cell r="D626"/>
        </row>
        <row r="627">
          <cell r="B627"/>
          <cell r="D627"/>
        </row>
        <row r="628">
          <cell r="B628"/>
          <cell r="D628"/>
        </row>
        <row r="629">
          <cell r="B629"/>
          <cell r="D629"/>
        </row>
        <row r="630">
          <cell r="B630"/>
          <cell r="D630"/>
        </row>
        <row r="631">
          <cell r="B631"/>
          <cell r="D631"/>
        </row>
        <row r="632">
          <cell r="B632"/>
          <cell r="D632"/>
        </row>
        <row r="633">
          <cell r="B633"/>
          <cell r="D633"/>
        </row>
        <row r="634">
          <cell r="B634"/>
          <cell r="D634"/>
        </row>
        <row r="635">
          <cell r="B635"/>
          <cell r="D635"/>
        </row>
        <row r="636">
          <cell r="B636"/>
          <cell r="D636"/>
        </row>
        <row r="637">
          <cell r="B637"/>
          <cell r="D637"/>
        </row>
        <row r="638">
          <cell r="B638"/>
          <cell r="D638"/>
        </row>
        <row r="639">
          <cell r="B639"/>
          <cell r="D639"/>
        </row>
        <row r="640">
          <cell r="B640"/>
          <cell r="D640"/>
        </row>
        <row r="641">
          <cell r="B641"/>
          <cell r="D641"/>
        </row>
        <row r="642">
          <cell r="B642"/>
          <cell r="D642"/>
        </row>
        <row r="643">
          <cell r="B643"/>
          <cell r="D643"/>
        </row>
        <row r="644">
          <cell r="B644"/>
          <cell r="D644"/>
        </row>
        <row r="645">
          <cell r="B645"/>
          <cell r="D645"/>
        </row>
        <row r="646">
          <cell r="B646"/>
          <cell r="D646"/>
        </row>
        <row r="647">
          <cell r="B647"/>
          <cell r="D647"/>
        </row>
        <row r="648">
          <cell r="B648"/>
          <cell r="D648"/>
        </row>
        <row r="649">
          <cell r="B649"/>
          <cell r="D649"/>
        </row>
        <row r="650">
          <cell r="B650"/>
          <cell r="D650"/>
        </row>
        <row r="651">
          <cell r="B651"/>
          <cell r="D651"/>
        </row>
        <row r="652">
          <cell r="B652"/>
          <cell r="D652"/>
        </row>
        <row r="653">
          <cell r="B653"/>
          <cell r="D653"/>
        </row>
        <row r="654">
          <cell r="B654"/>
          <cell r="D654"/>
        </row>
        <row r="655">
          <cell r="B655"/>
          <cell r="D655"/>
        </row>
        <row r="656">
          <cell r="B656"/>
          <cell r="D656"/>
        </row>
        <row r="657">
          <cell r="B657"/>
          <cell r="D657"/>
        </row>
        <row r="658">
          <cell r="B658"/>
          <cell r="D658"/>
        </row>
        <row r="659">
          <cell r="B659"/>
          <cell r="D659"/>
        </row>
        <row r="660">
          <cell r="B660"/>
          <cell r="D660"/>
        </row>
        <row r="661">
          <cell r="B661"/>
          <cell r="D661"/>
        </row>
        <row r="662">
          <cell r="B662"/>
          <cell r="D662"/>
        </row>
        <row r="663">
          <cell r="B663"/>
          <cell r="D663"/>
        </row>
        <row r="664">
          <cell r="B664"/>
          <cell r="D664"/>
        </row>
        <row r="665">
          <cell r="B665"/>
          <cell r="D665"/>
        </row>
        <row r="666">
          <cell r="B666"/>
          <cell r="D666"/>
        </row>
        <row r="667">
          <cell r="B667"/>
          <cell r="D667"/>
        </row>
        <row r="668">
          <cell r="B668"/>
          <cell r="D668"/>
        </row>
        <row r="669">
          <cell r="B669"/>
          <cell r="D669"/>
        </row>
        <row r="670">
          <cell r="B670"/>
          <cell r="D670"/>
        </row>
        <row r="671">
          <cell r="B671"/>
          <cell r="D671"/>
        </row>
        <row r="672">
          <cell r="B672"/>
          <cell r="D672"/>
        </row>
        <row r="673">
          <cell r="B673"/>
          <cell r="D673"/>
        </row>
        <row r="674">
          <cell r="B674"/>
          <cell r="D674"/>
        </row>
        <row r="675">
          <cell r="B675"/>
          <cell r="D675"/>
        </row>
        <row r="676">
          <cell r="B676"/>
          <cell r="D676"/>
        </row>
        <row r="677">
          <cell r="B677"/>
          <cell r="D677"/>
        </row>
        <row r="678">
          <cell r="B678"/>
          <cell r="D678"/>
        </row>
        <row r="679">
          <cell r="B679"/>
          <cell r="D679"/>
        </row>
        <row r="680">
          <cell r="B680"/>
          <cell r="D680"/>
        </row>
        <row r="681">
          <cell r="B681"/>
          <cell r="D681"/>
        </row>
        <row r="682">
          <cell r="B682"/>
          <cell r="D682"/>
        </row>
        <row r="683">
          <cell r="B683"/>
          <cell r="D683"/>
        </row>
        <row r="684">
          <cell r="B684"/>
          <cell r="D684"/>
        </row>
        <row r="685">
          <cell r="B685"/>
          <cell r="D685"/>
        </row>
        <row r="686">
          <cell r="B686"/>
          <cell r="D686"/>
        </row>
        <row r="687">
          <cell r="B687"/>
          <cell r="D687"/>
        </row>
        <row r="688">
          <cell r="B688"/>
          <cell r="D688"/>
        </row>
        <row r="689">
          <cell r="B689"/>
          <cell r="D689"/>
        </row>
        <row r="690">
          <cell r="B690"/>
          <cell r="D690"/>
        </row>
        <row r="691">
          <cell r="B691"/>
          <cell r="D691"/>
        </row>
        <row r="692">
          <cell r="B692"/>
          <cell r="D692"/>
        </row>
        <row r="693">
          <cell r="B693"/>
          <cell r="D693"/>
        </row>
        <row r="694">
          <cell r="B694"/>
          <cell r="D694"/>
        </row>
        <row r="695">
          <cell r="B695"/>
          <cell r="D695"/>
        </row>
        <row r="696">
          <cell r="B696"/>
          <cell r="D696"/>
        </row>
        <row r="697">
          <cell r="B697"/>
          <cell r="D697"/>
        </row>
        <row r="698">
          <cell r="B698"/>
          <cell r="D698"/>
        </row>
        <row r="699">
          <cell r="B699"/>
          <cell r="D699"/>
        </row>
        <row r="700">
          <cell r="B700"/>
          <cell r="D700"/>
        </row>
        <row r="701">
          <cell r="B701"/>
          <cell r="D701"/>
        </row>
        <row r="702">
          <cell r="B702"/>
          <cell r="D702"/>
        </row>
        <row r="703">
          <cell r="B703"/>
          <cell r="D703"/>
        </row>
        <row r="704">
          <cell r="B704"/>
          <cell r="D704"/>
        </row>
        <row r="705">
          <cell r="B705"/>
          <cell r="D705"/>
        </row>
        <row r="706">
          <cell r="B706"/>
          <cell r="D706"/>
        </row>
        <row r="707">
          <cell r="B707"/>
          <cell r="D707"/>
        </row>
        <row r="708">
          <cell r="B708"/>
          <cell r="D708"/>
        </row>
        <row r="709">
          <cell r="B709"/>
          <cell r="D709"/>
        </row>
        <row r="710">
          <cell r="B710"/>
          <cell r="D710"/>
        </row>
        <row r="711">
          <cell r="B711"/>
          <cell r="D711"/>
        </row>
        <row r="712">
          <cell r="B712"/>
          <cell r="D712"/>
        </row>
        <row r="713">
          <cell r="B713"/>
          <cell r="D713"/>
        </row>
        <row r="714">
          <cell r="B714"/>
          <cell r="D714"/>
        </row>
        <row r="715">
          <cell r="B715"/>
          <cell r="D715"/>
        </row>
        <row r="716">
          <cell r="B716"/>
          <cell r="D716"/>
        </row>
        <row r="717">
          <cell r="B717"/>
          <cell r="D717"/>
        </row>
        <row r="718">
          <cell r="B718"/>
          <cell r="D718"/>
        </row>
        <row r="719">
          <cell r="B719"/>
          <cell r="D719"/>
        </row>
        <row r="720">
          <cell r="B720"/>
          <cell r="D720"/>
        </row>
        <row r="721">
          <cell r="B721"/>
          <cell r="D721"/>
        </row>
        <row r="722">
          <cell r="B722"/>
          <cell r="D722"/>
        </row>
        <row r="723">
          <cell r="B723"/>
          <cell r="D723"/>
        </row>
        <row r="724">
          <cell r="B724"/>
          <cell r="D724"/>
        </row>
        <row r="725">
          <cell r="B725"/>
          <cell r="D725"/>
        </row>
        <row r="726">
          <cell r="B726"/>
          <cell r="D726"/>
        </row>
        <row r="727">
          <cell r="B727"/>
          <cell r="D727"/>
        </row>
        <row r="728">
          <cell r="B728"/>
          <cell r="D728"/>
        </row>
        <row r="729">
          <cell r="B729"/>
          <cell r="D729"/>
        </row>
        <row r="730">
          <cell r="B730"/>
          <cell r="D730"/>
        </row>
        <row r="731">
          <cell r="B731"/>
          <cell r="D731"/>
        </row>
        <row r="732">
          <cell r="B732"/>
          <cell r="D732"/>
        </row>
        <row r="733">
          <cell r="B733"/>
          <cell r="D733"/>
        </row>
        <row r="734">
          <cell r="B734"/>
          <cell r="D734"/>
        </row>
        <row r="735">
          <cell r="B735"/>
          <cell r="D735"/>
        </row>
        <row r="736">
          <cell r="B736"/>
          <cell r="D736"/>
        </row>
        <row r="737">
          <cell r="B737"/>
          <cell r="D737"/>
        </row>
        <row r="738">
          <cell r="B738"/>
          <cell r="D738"/>
        </row>
        <row r="739">
          <cell r="B739"/>
          <cell r="D739"/>
        </row>
        <row r="740">
          <cell r="B740"/>
          <cell r="D740"/>
        </row>
        <row r="741">
          <cell r="B741"/>
          <cell r="D741"/>
        </row>
        <row r="742">
          <cell r="B742"/>
          <cell r="D742"/>
        </row>
        <row r="743">
          <cell r="B743"/>
          <cell r="D743"/>
        </row>
        <row r="744">
          <cell r="B744"/>
          <cell r="D744"/>
        </row>
        <row r="745">
          <cell r="B745"/>
          <cell r="D745"/>
        </row>
        <row r="746">
          <cell r="B746"/>
          <cell r="D746"/>
        </row>
        <row r="747">
          <cell r="B747"/>
          <cell r="D747"/>
        </row>
        <row r="748">
          <cell r="B748"/>
          <cell r="D748"/>
        </row>
        <row r="749">
          <cell r="B749"/>
          <cell r="D749"/>
        </row>
        <row r="750">
          <cell r="B750"/>
          <cell r="D750"/>
        </row>
        <row r="751">
          <cell r="B751"/>
          <cell r="D751"/>
        </row>
        <row r="752">
          <cell r="B752"/>
          <cell r="D752"/>
        </row>
        <row r="753">
          <cell r="B753"/>
          <cell r="D753"/>
        </row>
        <row r="754">
          <cell r="B754"/>
          <cell r="D754"/>
        </row>
        <row r="755">
          <cell r="B755"/>
          <cell r="D755"/>
        </row>
        <row r="756">
          <cell r="B756"/>
          <cell r="D756"/>
        </row>
        <row r="757">
          <cell r="B757"/>
          <cell r="D757"/>
        </row>
        <row r="758">
          <cell r="B758"/>
          <cell r="D758"/>
        </row>
        <row r="759">
          <cell r="B759"/>
          <cell r="D759"/>
        </row>
        <row r="760">
          <cell r="B760"/>
          <cell r="D760"/>
        </row>
        <row r="761">
          <cell r="B761"/>
          <cell r="D761"/>
        </row>
        <row r="762">
          <cell r="B762"/>
          <cell r="D762"/>
        </row>
        <row r="763">
          <cell r="B763"/>
          <cell r="D763"/>
        </row>
        <row r="764">
          <cell r="B764"/>
          <cell r="D764"/>
        </row>
        <row r="765">
          <cell r="B765"/>
          <cell r="D765"/>
        </row>
        <row r="766">
          <cell r="B766"/>
          <cell r="D766"/>
        </row>
        <row r="767">
          <cell r="B767"/>
          <cell r="D767"/>
        </row>
        <row r="768">
          <cell r="B768"/>
          <cell r="D768"/>
        </row>
        <row r="769">
          <cell r="B769"/>
          <cell r="D769"/>
        </row>
        <row r="770">
          <cell r="B770"/>
          <cell r="D770"/>
        </row>
        <row r="771">
          <cell r="B771"/>
          <cell r="D771"/>
        </row>
        <row r="772">
          <cell r="B772"/>
          <cell r="D772"/>
        </row>
        <row r="773">
          <cell r="B773"/>
          <cell r="D773"/>
        </row>
        <row r="774">
          <cell r="B774"/>
          <cell r="D774"/>
        </row>
        <row r="775">
          <cell r="B775"/>
          <cell r="D775"/>
        </row>
        <row r="776">
          <cell r="B776"/>
          <cell r="D776"/>
        </row>
        <row r="777">
          <cell r="B777"/>
          <cell r="D777"/>
        </row>
        <row r="778">
          <cell r="B778"/>
          <cell r="D778"/>
        </row>
        <row r="779">
          <cell r="B779"/>
          <cell r="D779"/>
        </row>
        <row r="780">
          <cell r="B780"/>
          <cell r="D780"/>
        </row>
        <row r="781">
          <cell r="B781"/>
          <cell r="D781"/>
        </row>
        <row r="782">
          <cell r="B782"/>
          <cell r="D782"/>
        </row>
        <row r="783">
          <cell r="B783"/>
          <cell r="D783"/>
        </row>
        <row r="784">
          <cell r="B784"/>
          <cell r="D784"/>
        </row>
        <row r="785">
          <cell r="B785"/>
          <cell r="D785"/>
        </row>
        <row r="786">
          <cell r="B786"/>
          <cell r="D786"/>
        </row>
        <row r="787">
          <cell r="B787"/>
          <cell r="D787"/>
        </row>
        <row r="788">
          <cell r="B788"/>
          <cell r="D788"/>
        </row>
        <row r="789">
          <cell r="B789"/>
          <cell r="D789"/>
        </row>
        <row r="790">
          <cell r="B790"/>
          <cell r="D790"/>
        </row>
        <row r="791">
          <cell r="B791"/>
          <cell r="D791"/>
        </row>
        <row r="792">
          <cell r="B792"/>
          <cell r="D792"/>
        </row>
        <row r="793">
          <cell r="B793"/>
          <cell r="D793"/>
        </row>
        <row r="794">
          <cell r="B794"/>
          <cell r="D794"/>
        </row>
        <row r="795">
          <cell r="B795"/>
          <cell r="D795"/>
        </row>
        <row r="796">
          <cell r="B796"/>
          <cell r="D796"/>
        </row>
        <row r="797">
          <cell r="B797"/>
          <cell r="D797"/>
        </row>
        <row r="798">
          <cell r="B798"/>
          <cell r="D798"/>
        </row>
        <row r="799">
          <cell r="B799"/>
          <cell r="D799"/>
        </row>
        <row r="800">
          <cell r="B800"/>
          <cell r="D800"/>
        </row>
        <row r="801">
          <cell r="B801"/>
          <cell r="D801"/>
        </row>
        <row r="802">
          <cell r="B802"/>
          <cell r="D802"/>
        </row>
        <row r="803">
          <cell r="B803"/>
          <cell r="D803"/>
        </row>
        <row r="804">
          <cell r="B804"/>
          <cell r="D804"/>
        </row>
        <row r="805">
          <cell r="B805"/>
          <cell r="D805"/>
        </row>
        <row r="806">
          <cell r="B806"/>
          <cell r="D806"/>
        </row>
        <row r="807">
          <cell r="B807"/>
          <cell r="D807"/>
        </row>
        <row r="808">
          <cell r="B808"/>
          <cell r="D808"/>
        </row>
        <row r="809">
          <cell r="B809"/>
          <cell r="D809"/>
        </row>
        <row r="810">
          <cell r="B810"/>
          <cell r="D810"/>
        </row>
        <row r="811">
          <cell r="B811"/>
          <cell r="D811"/>
        </row>
        <row r="812">
          <cell r="B812"/>
          <cell r="D812"/>
        </row>
        <row r="813">
          <cell r="B813"/>
          <cell r="D813"/>
        </row>
        <row r="814">
          <cell r="B814"/>
          <cell r="D814"/>
        </row>
        <row r="815">
          <cell r="B815"/>
          <cell r="D815"/>
        </row>
        <row r="816">
          <cell r="B816"/>
          <cell r="D816"/>
        </row>
        <row r="817">
          <cell r="B817"/>
          <cell r="D817"/>
        </row>
        <row r="818">
          <cell r="B818"/>
          <cell r="D818"/>
        </row>
        <row r="819">
          <cell r="B819"/>
          <cell r="D819"/>
        </row>
        <row r="820">
          <cell r="B820"/>
          <cell r="D820"/>
        </row>
        <row r="821">
          <cell r="B821"/>
          <cell r="D821"/>
        </row>
        <row r="822">
          <cell r="B822"/>
          <cell r="D822"/>
        </row>
        <row r="823">
          <cell r="B823"/>
          <cell r="D823"/>
        </row>
        <row r="824">
          <cell r="B824"/>
          <cell r="D824"/>
        </row>
        <row r="825">
          <cell r="B825"/>
          <cell r="D825"/>
        </row>
        <row r="826">
          <cell r="B826"/>
          <cell r="D826"/>
        </row>
        <row r="827">
          <cell r="B827"/>
          <cell r="D827"/>
        </row>
        <row r="828">
          <cell r="B828"/>
          <cell r="D828"/>
        </row>
        <row r="829">
          <cell r="B829"/>
          <cell r="D829"/>
        </row>
        <row r="830">
          <cell r="B830"/>
          <cell r="D830"/>
        </row>
        <row r="831">
          <cell r="B831"/>
          <cell r="D831"/>
        </row>
        <row r="832">
          <cell r="B832"/>
          <cell r="D832"/>
        </row>
        <row r="833">
          <cell r="B833"/>
          <cell r="D833"/>
        </row>
        <row r="834">
          <cell r="B834"/>
          <cell r="D834"/>
        </row>
        <row r="835">
          <cell r="B835"/>
          <cell r="D835"/>
        </row>
        <row r="836">
          <cell r="B836"/>
          <cell r="D836"/>
        </row>
        <row r="837">
          <cell r="B837"/>
          <cell r="D837"/>
        </row>
        <row r="838">
          <cell r="B838"/>
          <cell r="D838"/>
        </row>
        <row r="839">
          <cell r="B839"/>
          <cell r="D839"/>
        </row>
        <row r="840">
          <cell r="B840"/>
          <cell r="D840"/>
        </row>
        <row r="841">
          <cell r="B841"/>
          <cell r="D841"/>
        </row>
        <row r="842">
          <cell r="B842"/>
          <cell r="D842"/>
        </row>
        <row r="843">
          <cell r="B843"/>
          <cell r="D843"/>
        </row>
        <row r="844">
          <cell r="B844"/>
          <cell r="D844"/>
        </row>
        <row r="845">
          <cell r="B845"/>
          <cell r="D845"/>
        </row>
        <row r="846">
          <cell r="B846"/>
          <cell r="D846"/>
        </row>
        <row r="847">
          <cell r="B847"/>
          <cell r="D847"/>
        </row>
        <row r="848">
          <cell r="B848"/>
          <cell r="D848"/>
        </row>
        <row r="849">
          <cell r="B849"/>
          <cell r="D849"/>
        </row>
        <row r="850">
          <cell r="B850"/>
          <cell r="D850"/>
        </row>
        <row r="851">
          <cell r="B851"/>
          <cell r="D851"/>
        </row>
        <row r="852">
          <cell r="B852"/>
          <cell r="D852"/>
        </row>
        <row r="853">
          <cell r="B853"/>
          <cell r="D853"/>
        </row>
        <row r="854">
          <cell r="B854"/>
          <cell r="D854"/>
        </row>
        <row r="855">
          <cell r="B855"/>
          <cell r="D855"/>
        </row>
        <row r="856">
          <cell r="B856"/>
          <cell r="D856"/>
        </row>
        <row r="857">
          <cell r="B857"/>
          <cell r="D857"/>
        </row>
        <row r="858">
          <cell r="B858"/>
          <cell r="D858"/>
        </row>
        <row r="859">
          <cell r="B859"/>
          <cell r="D859"/>
        </row>
        <row r="860">
          <cell r="B860"/>
          <cell r="D860"/>
        </row>
        <row r="861">
          <cell r="B861"/>
          <cell r="D861"/>
        </row>
        <row r="862">
          <cell r="B862"/>
          <cell r="D862"/>
        </row>
        <row r="863">
          <cell r="B863"/>
          <cell r="D863"/>
        </row>
        <row r="864">
          <cell r="B864"/>
          <cell r="D864"/>
        </row>
        <row r="865">
          <cell r="B865"/>
          <cell r="D865"/>
        </row>
        <row r="866">
          <cell r="B866"/>
          <cell r="D866"/>
        </row>
        <row r="867">
          <cell r="B867"/>
          <cell r="D867"/>
        </row>
        <row r="868">
          <cell r="B868"/>
          <cell r="D868"/>
        </row>
        <row r="869">
          <cell r="B869"/>
          <cell r="D869"/>
        </row>
        <row r="870">
          <cell r="B870"/>
          <cell r="D870"/>
        </row>
        <row r="871">
          <cell r="B871"/>
          <cell r="D871"/>
        </row>
        <row r="872">
          <cell r="B872"/>
          <cell r="D872"/>
        </row>
        <row r="873">
          <cell r="B873"/>
          <cell r="D873"/>
        </row>
        <row r="874">
          <cell r="B874"/>
          <cell r="D874"/>
        </row>
        <row r="875">
          <cell r="B875"/>
          <cell r="D875"/>
        </row>
        <row r="876">
          <cell r="B876"/>
          <cell r="D876"/>
        </row>
        <row r="877">
          <cell r="B877"/>
          <cell r="D877"/>
        </row>
        <row r="878">
          <cell r="B878"/>
          <cell r="D878"/>
        </row>
        <row r="879">
          <cell r="B879"/>
          <cell r="D879"/>
        </row>
        <row r="880">
          <cell r="B880"/>
          <cell r="D880"/>
        </row>
        <row r="881">
          <cell r="B881"/>
          <cell r="D881"/>
        </row>
        <row r="882">
          <cell r="B882"/>
          <cell r="D882"/>
        </row>
        <row r="883">
          <cell r="B883"/>
          <cell r="D883"/>
        </row>
        <row r="884">
          <cell r="B884"/>
          <cell r="D884"/>
        </row>
        <row r="885">
          <cell r="B885"/>
          <cell r="D885"/>
        </row>
        <row r="886">
          <cell r="B886"/>
          <cell r="D886"/>
        </row>
        <row r="887">
          <cell r="B887"/>
          <cell r="D887"/>
        </row>
        <row r="888">
          <cell r="B888"/>
          <cell r="D888"/>
        </row>
        <row r="889">
          <cell r="B889"/>
          <cell r="D889"/>
        </row>
        <row r="890">
          <cell r="B890"/>
          <cell r="D890"/>
        </row>
        <row r="891">
          <cell r="B891"/>
          <cell r="D891"/>
        </row>
        <row r="892">
          <cell r="B892"/>
          <cell r="D892"/>
        </row>
        <row r="893">
          <cell r="B893"/>
          <cell r="D893"/>
        </row>
        <row r="894">
          <cell r="B894"/>
          <cell r="D894"/>
        </row>
        <row r="895">
          <cell r="B895"/>
          <cell r="D895"/>
        </row>
        <row r="896">
          <cell r="B896"/>
          <cell r="D896"/>
        </row>
        <row r="897">
          <cell r="B897"/>
          <cell r="D897"/>
        </row>
        <row r="898">
          <cell r="B898"/>
          <cell r="D898"/>
        </row>
        <row r="899">
          <cell r="B899"/>
          <cell r="D899"/>
        </row>
        <row r="900">
          <cell r="B900"/>
          <cell r="D900"/>
        </row>
        <row r="901">
          <cell r="B901"/>
          <cell r="D901"/>
        </row>
        <row r="902">
          <cell r="B902"/>
          <cell r="D902"/>
        </row>
        <row r="903">
          <cell r="B903"/>
          <cell r="D903"/>
        </row>
        <row r="904">
          <cell r="B904"/>
          <cell r="D904"/>
        </row>
        <row r="905">
          <cell r="B905"/>
          <cell r="D905"/>
        </row>
        <row r="906">
          <cell r="B906"/>
          <cell r="D906"/>
        </row>
        <row r="907">
          <cell r="B907"/>
          <cell r="D907"/>
        </row>
        <row r="908">
          <cell r="B908"/>
          <cell r="D908"/>
        </row>
        <row r="909">
          <cell r="B909"/>
          <cell r="D909"/>
        </row>
        <row r="910">
          <cell r="B910"/>
          <cell r="D910"/>
        </row>
        <row r="911">
          <cell r="B911"/>
          <cell r="D911"/>
        </row>
        <row r="912">
          <cell r="B912"/>
          <cell r="D912"/>
        </row>
        <row r="913">
          <cell r="B913"/>
          <cell r="D913"/>
        </row>
        <row r="914">
          <cell r="B914"/>
          <cell r="D914"/>
        </row>
        <row r="915">
          <cell r="B915"/>
          <cell r="D915"/>
        </row>
        <row r="916">
          <cell r="B916"/>
          <cell r="D916"/>
        </row>
        <row r="917">
          <cell r="B917"/>
          <cell r="D917"/>
        </row>
        <row r="918">
          <cell r="B918"/>
          <cell r="D918"/>
        </row>
        <row r="919">
          <cell r="B919"/>
          <cell r="D919"/>
        </row>
        <row r="920">
          <cell r="B920"/>
          <cell r="D920"/>
        </row>
        <row r="921">
          <cell r="B921"/>
          <cell r="D921"/>
        </row>
        <row r="922">
          <cell r="B922"/>
          <cell r="D922"/>
        </row>
        <row r="923">
          <cell r="B923"/>
          <cell r="D923"/>
        </row>
        <row r="924">
          <cell r="B924"/>
          <cell r="D924"/>
        </row>
        <row r="925">
          <cell r="B925"/>
          <cell r="D925"/>
        </row>
        <row r="926">
          <cell r="B926"/>
          <cell r="D926"/>
        </row>
        <row r="927">
          <cell r="B927"/>
          <cell r="D927"/>
        </row>
        <row r="928">
          <cell r="B928"/>
          <cell r="D928"/>
        </row>
        <row r="929">
          <cell r="B929"/>
          <cell r="D929"/>
        </row>
        <row r="930">
          <cell r="B930"/>
          <cell r="D930"/>
        </row>
        <row r="931">
          <cell r="B931"/>
          <cell r="D931"/>
        </row>
        <row r="932">
          <cell r="B932"/>
          <cell r="D932"/>
        </row>
        <row r="933">
          <cell r="B933"/>
          <cell r="D933"/>
        </row>
        <row r="934">
          <cell r="B934"/>
          <cell r="D934"/>
        </row>
        <row r="935">
          <cell r="B935"/>
          <cell r="D935"/>
        </row>
        <row r="936">
          <cell r="B936"/>
          <cell r="D936"/>
        </row>
        <row r="937">
          <cell r="B937"/>
          <cell r="D937"/>
        </row>
        <row r="938">
          <cell r="B938"/>
          <cell r="D938"/>
        </row>
        <row r="939">
          <cell r="B939"/>
          <cell r="D939"/>
        </row>
        <row r="940">
          <cell r="B940"/>
          <cell r="D940"/>
        </row>
        <row r="941">
          <cell r="B941"/>
          <cell r="D941"/>
        </row>
        <row r="942">
          <cell r="B942"/>
          <cell r="D942"/>
        </row>
        <row r="943">
          <cell r="B943"/>
          <cell r="D943"/>
        </row>
        <row r="944">
          <cell r="B944"/>
          <cell r="D944"/>
        </row>
        <row r="945">
          <cell r="B945"/>
          <cell r="D945"/>
        </row>
        <row r="946">
          <cell r="B946"/>
          <cell r="D946"/>
        </row>
        <row r="947">
          <cell r="B947"/>
          <cell r="D947"/>
        </row>
        <row r="948">
          <cell r="B948"/>
          <cell r="D948"/>
        </row>
        <row r="949">
          <cell r="B949"/>
          <cell r="D949"/>
        </row>
        <row r="950">
          <cell r="B950"/>
          <cell r="D950"/>
        </row>
        <row r="951">
          <cell r="B951"/>
          <cell r="D951"/>
        </row>
        <row r="952">
          <cell r="B952"/>
          <cell r="D952"/>
        </row>
        <row r="953">
          <cell r="B953"/>
          <cell r="D953"/>
        </row>
        <row r="954">
          <cell r="B954"/>
          <cell r="D954"/>
        </row>
        <row r="955">
          <cell r="B955"/>
          <cell r="D955"/>
        </row>
        <row r="956">
          <cell r="B956"/>
          <cell r="D956"/>
        </row>
        <row r="957">
          <cell r="B957"/>
          <cell r="D957"/>
        </row>
        <row r="958">
          <cell r="B958"/>
          <cell r="D958"/>
        </row>
        <row r="959">
          <cell r="B959"/>
          <cell r="D959"/>
        </row>
        <row r="960">
          <cell r="B960"/>
          <cell r="D960"/>
        </row>
        <row r="961">
          <cell r="B961"/>
          <cell r="D961"/>
        </row>
        <row r="962">
          <cell r="B962"/>
          <cell r="D962"/>
        </row>
        <row r="963">
          <cell r="B963"/>
          <cell r="D963"/>
        </row>
        <row r="964">
          <cell r="B964"/>
          <cell r="D964"/>
        </row>
        <row r="965">
          <cell r="B965"/>
          <cell r="D965"/>
        </row>
        <row r="966">
          <cell r="B966"/>
          <cell r="D966"/>
        </row>
        <row r="967">
          <cell r="B967"/>
          <cell r="D967"/>
        </row>
        <row r="968">
          <cell r="B968"/>
          <cell r="D968"/>
        </row>
        <row r="969">
          <cell r="B969"/>
          <cell r="D969"/>
        </row>
        <row r="970">
          <cell r="B970"/>
          <cell r="D970"/>
        </row>
        <row r="971">
          <cell r="B971"/>
          <cell r="D971"/>
        </row>
        <row r="972">
          <cell r="B972"/>
          <cell r="D972"/>
        </row>
        <row r="973">
          <cell r="B973"/>
          <cell r="D973"/>
        </row>
        <row r="974">
          <cell r="B974"/>
          <cell r="D974"/>
        </row>
        <row r="975">
          <cell r="B975"/>
          <cell r="D975"/>
        </row>
        <row r="976">
          <cell r="B976"/>
          <cell r="D976"/>
        </row>
        <row r="977">
          <cell r="B977"/>
          <cell r="D977"/>
        </row>
        <row r="978">
          <cell r="B978"/>
          <cell r="D978"/>
        </row>
        <row r="979">
          <cell r="B979"/>
          <cell r="D979"/>
        </row>
        <row r="980">
          <cell r="B980"/>
          <cell r="D980"/>
        </row>
        <row r="981">
          <cell r="B981"/>
          <cell r="D981"/>
        </row>
        <row r="982">
          <cell r="B982"/>
          <cell r="D982"/>
        </row>
        <row r="983">
          <cell r="B983"/>
          <cell r="D983"/>
        </row>
        <row r="984">
          <cell r="B984"/>
          <cell r="D984"/>
        </row>
        <row r="985">
          <cell r="B985"/>
          <cell r="D985"/>
        </row>
        <row r="986">
          <cell r="B986"/>
          <cell r="D986"/>
        </row>
        <row r="987">
          <cell r="B987"/>
          <cell r="D987"/>
        </row>
        <row r="988">
          <cell r="B988"/>
          <cell r="D988"/>
        </row>
        <row r="989">
          <cell r="B989"/>
          <cell r="D989"/>
        </row>
        <row r="990">
          <cell r="B990"/>
          <cell r="D990"/>
        </row>
        <row r="991">
          <cell r="B991"/>
          <cell r="D991"/>
        </row>
        <row r="992">
          <cell r="B992"/>
          <cell r="D992"/>
        </row>
        <row r="993">
          <cell r="B993"/>
          <cell r="D993"/>
        </row>
        <row r="994">
          <cell r="B994"/>
          <cell r="D994"/>
        </row>
        <row r="995">
          <cell r="B995"/>
          <cell r="D995"/>
        </row>
        <row r="996">
          <cell r="B996"/>
          <cell r="D996"/>
        </row>
        <row r="997">
          <cell r="B997"/>
          <cell r="D997"/>
        </row>
        <row r="998">
          <cell r="B998"/>
          <cell r="D998"/>
        </row>
        <row r="999">
          <cell r="B999"/>
          <cell r="D999"/>
        </row>
        <row r="1000">
          <cell r="B1000"/>
          <cell r="D1000"/>
        </row>
        <row r="1001">
          <cell r="B1001"/>
          <cell r="D1001"/>
        </row>
        <row r="1002">
          <cell r="B1002"/>
          <cell r="D1002"/>
        </row>
        <row r="1003">
          <cell r="B1003"/>
          <cell r="D1003"/>
        </row>
        <row r="1004">
          <cell r="B1004"/>
          <cell r="D1004"/>
        </row>
        <row r="1005">
          <cell r="B1005"/>
          <cell r="D1005"/>
        </row>
        <row r="1006">
          <cell r="B1006"/>
          <cell r="D1006"/>
        </row>
        <row r="1007">
          <cell r="B1007"/>
          <cell r="D1007"/>
        </row>
        <row r="1008">
          <cell r="B1008"/>
          <cell r="D1008"/>
        </row>
        <row r="1009">
          <cell r="B1009"/>
          <cell r="D1009"/>
        </row>
        <row r="1010">
          <cell r="B1010"/>
          <cell r="D1010"/>
        </row>
        <row r="1011">
          <cell r="B1011"/>
          <cell r="D1011"/>
        </row>
        <row r="1012">
          <cell r="B1012"/>
          <cell r="D1012"/>
        </row>
        <row r="1013">
          <cell r="B1013"/>
          <cell r="D1013"/>
        </row>
        <row r="1014">
          <cell r="B1014"/>
          <cell r="D1014"/>
        </row>
        <row r="1015">
          <cell r="B1015"/>
          <cell r="D1015"/>
        </row>
        <row r="1016">
          <cell r="B1016"/>
          <cell r="D1016"/>
        </row>
        <row r="1017">
          <cell r="B1017"/>
          <cell r="D1017"/>
        </row>
        <row r="1018">
          <cell r="B1018"/>
          <cell r="D1018"/>
        </row>
        <row r="1019">
          <cell r="B1019"/>
          <cell r="D1019"/>
        </row>
        <row r="1020">
          <cell r="B1020"/>
          <cell r="D1020"/>
        </row>
        <row r="1021">
          <cell r="B1021"/>
          <cell r="D1021"/>
        </row>
        <row r="1022">
          <cell r="B1022"/>
          <cell r="D1022"/>
        </row>
        <row r="1023">
          <cell r="B1023"/>
          <cell r="D1023"/>
        </row>
        <row r="1024">
          <cell r="B1024"/>
          <cell r="D1024"/>
        </row>
        <row r="1025">
          <cell r="B1025"/>
          <cell r="D1025"/>
        </row>
        <row r="1026">
          <cell r="B1026"/>
          <cell r="D1026"/>
        </row>
        <row r="1027">
          <cell r="B1027"/>
          <cell r="D1027"/>
        </row>
        <row r="1028">
          <cell r="B1028"/>
          <cell r="D1028"/>
        </row>
        <row r="1029">
          <cell r="B1029"/>
          <cell r="D1029"/>
        </row>
        <row r="1030">
          <cell r="B1030"/>
          <cell r="D1030"/>
        </row>
        <row r="1031">
          <cell r="B1031"/>
          <cell r="D1031"/>
        </row>
        <row r="1032">
          <cell r="B1032"/>
          <cell r="D1032"/>
        </row>
        <row r="1033">
          <cell r="B1033"/>
          <cell r="D1033"/>
        </row>
        <row r="1034">
          <cell r="B1034"/>
          <cell r="D1034"/>
        </row>
        <row r="1035">
          <cell r="B1035"/>
          <cell r="D1035"/>
        </row>
        <row r="1036">
          <cell r="B1036"/>
          <cell r="D1036"/>
        </row>
        <row r="1037">
          <cell r="B1037"/>
          <cell r="D1037"/>
        </row>
        <row r="1038">
          <cell r="B1038"/>
          <cell r="D1038"/>
        </row>
        <row r="1039">
          <cell r="B1039"/>
          <cell r="D1039"/>
        </row>
        <row r="1040">
          <cell r="B1040"/>
          <cell r="D1040"/>
        </row>
        <row r="1041">
          <cell r="B1041"/>
          <cell r="D1041"/>
        </row>
        <row r="1042">
          <cell r="B1042"/>
          <cell r="D1042"/>
        </row>
        <row r="1043">
          <cell r="B1043"/>
          <cell r="D1043"/>
        </row>
        <row r="1044">
          <cell r="B1044"/>
          <cell r="D1044"/>
        </row>
        <row r="1045">
          <cell r="B1045"/>
          <cell r="D1045"/>
        </row>
        <row r="1046">
          <cell r="B1046"/>
          <cell r="D1046"/>
        </row>
        <row r="1047">
          <cell r="B1047"/>
          <cell r="D1047"/>
        </row>
        <row r="1048">
          <cell r="B1048"/>
          <cell r="D1048"/>
        </row>
        <row r="1049">
          <cell r="B1049"/>
          <cell r="D1049"/>
        </row>
        <row r="1050">
          <cell r="B1050"/>
          <cell r="D1050"/>
        </row>
        <row r="1051">
          <cell r="B1051"/>
          <cell r="D1051"/>
        </row>
        <row r="1052">
          <cell r="B1052"/>
          <cell r="D1052"/>
        </row>
        <row r="1053">
          <cell r="B1053"/>
          <cell r="D1053"/>
        </row>
        <row r="1054">
          <cell r="B1054"/>
          <cell r="D1054"/>
        </row>
        <row r="1055">
          <cell r="B1055"/>
          <cell r="D1055"/>
        </row>
        <row r="1056">
          <cell r="B1056"/>
          <cell r="D1056"/>
        </row>
        <row r="1057">
          <cell r="B1057"/>
          <cell r="D1057"/>
        </row>
        <row r="1058">
          <cell r="B1058"/>
          <cell r="D1058"/>
        </row>
        <row r="1059">
          <cell r="B1059"/>
          <cell r="D1059"/>
        </row>
        <row r="1060">
          <cell r="B1060"/>
          <cell r="D1060"/>
        </row>
        <row r="1061">
          <cell r="B1061"/>
          <cell r="D1061"/>
        </row>
        <row r="1062">
          <cell r="B1062"/>
          <cell r="D1062"/>
        </row>
        <row r="1063">
          <cell r="B1063"/>
          <cell r="D1063"/>
        </row>
        <row r="1064">
          <cell r="B1064"/>
          <cell r="D1064"/>
        </row>
        <row r="1065">
          <cell r="B1065"/>
          <cell r="D1065"/>
        </row>
        <row r="1066">
          <cell r="B1066"/>
          <cell r="D1066"/>
        </row>
        <row r="1067">
          <cell r="B1067"/>
          <cell r="D1067"/>
        </row>
        <row r="1068">
          <cell r="B1068"/>
          <cell r="D1068"/>
        </row>
        <row r="1069">
          <cell r="B1069"/>
          <cell r="D1069"/>
        </row>
        <row r="1070">
          <cell r="B1070"/>
          <cell r="D1070"/>
        </row>
        <row r="1071">
          <cell r="B1071"/>
          <cell r="D1071"/>
        </row>
        <row r="1072">
          <cell r="B1072"/>
          <cell r="D1072"/>
        </row>
        <row r="1073">
          <cell r="B1073"/>
          <cell r="D1073"/>
        </row>
        <row r="1074">
          <cell r="B1074"/>
          <cell r="D1074"/>
        </row>
        <row r="1075">
          <cell r="B1075"/>
          <cell r="D1075"/>
        </row>
        <row r="1076">
          <cell r="B1076"/>
          <cell r="D1076"/>
        </row>
        <row r="1077">
          <cell r="B1077"/>
          <cell r="D1077"/>
        </row>
        <row r="1078">
          <cell r="B1078"/>
          <cell r="D1078"/>
        </row>
        <row r="1079">
          <cell r="B1079"/>
          <cell r="D1079"/>
        </row>
        <row r="1080">
          <cell r="B1080"/>
          <cell r="D1080"/>
        </row>
        <row r="1081">
          <cell r="B1081"/>
          <cell r="D1081"/>
        </row>
        <row r="1082">
          <cell r="B1082"/>
          <cell r="D1082"/>
        </row>
        <row r="1083">
          <cell r="B1083"/>
          <cell r="D1083"/>
        </row>
        <row r="1084">
          <cell r="B1084"/>
          <cell r="D1084"/>
        </row>
        <row r="1085">
          <cell r="B1085"/>
          <cell r="D1085"/>
        </row>
        <row r="1086">
          <cell r="B1086"/>
          <cell r="D1086"/>
        </row>
        <row r="1087">
          <cell r="B1087"/>
          <cell r="D1087"/>
        </row>
        <row r="1088">
          <cell r="B1088"/>
          <cell r="D1088"/>
        </row>
        <row r="1089">
          <cell r="B1089"/>
          <cell r="D1089"/>
        </row>
        <row r="1090">
          <cell r="B1090"/>
          <cell r="D1090"/>
        </row>
        <row r="1091">
          <cell r="B1091"/>
          <cell r="D1091"/>
        </row>
        <row r="1092">
          <cell r="B1092"/>
          <cell r="D1092"/>
        </row>
        <row r="1093">
          <cell r="B1093"/>
          <cell r="D1093"/>
        </row>
        <row r="1094">
          <cell r="B1094"/>
          <cell r="D1094"/>
        </row>
        <row r="1095">
          <cell r="B1095"/>
          <cell r="D1095"/>
        </row>
        <row r="1096">
          <cell r="B1096"/>
          <cell r="D1096"/>
        </row>
        <row r="1097">
          <cell r="B1097"/>
          <cell r="D1097"/>
        </row>
        <row r="1098">
          <cell r="B1098"/>
          <cell r="D1098"/>
        </row>
        <row r="1099">
          <cell r="B1099"/>
          <cell r="D1099"/>
        </row>
        <row r="1100">
          <cell r="B1100"/>
          <cell r="D1100"/>
        </row>
        <row r="1101">
          <cell r="B1101"/>
          <cell r="D1101"/>
        </row>
        <row r="1102">
          <cell r="B1102"/>
          <cell r="D1102"/>
        </row>
        <row r="1103">
          <cell r="B1103"/>
          <cell r="D1103"/>
        </row>
        <row r="1104">
          <cell r="B1104"/>
          <cell r="D1104"/>
        </row>
        <row r="1105">
          <cell r="B1105"/>
          <cell r="D1105"/>
        </row>
        <row r="1106">
          <cell r="B1106"/>
          <cell r="D1106"/>
        </row>
        <row r="1107">
          <cell r="B1107"/>
          <cell r="D1107"/>
        </row>
        <row r="1108">
          <cell r="B1108"/>
          <cell r="D1108"/>
        </row>
        <row r="1109">
          <cell r="B1109"/>
          <cell r="D1109"/>
        </row>
        <row r="1110">
          <cell r="B1110"/>
          <cell r="D1110"/>
        </row>
        <row r="1111">
          <cell r="B1111"/>
          <cell r="D1111"/>
        </row>
        <row r="1112">
          <cell r="B1112"/>
          <cell r="D1112"/>
        </row>
        <row r="1113">
          <cell r="B1113"/>
          <cell r="D1113"/>
        </row>
        <row r="1114">
          <cell r="B1114"/>
          <cell r="D1114"/>
        </row>
        <row r="1115">
          <cell r="B1115"/>
          <cell r="D1115"/>
        </row>
        <row r="1116">
          <cell r="B1116"/>
          <cell r="D1116"/>
        </row>
        <row r="1117">
          <cell r="B1117"/>
          <cell r="D1117"/>
        </row>
        <row r="1118">
          <cell r="B1118"/>
          <cell r="D1118"/>
        </row>
        <row r="1119">
          <cell r="B1119"/>
          <cell r="D1119"/>
        </row>
        <row r="1120">
          <cell r="B1120"/>
          <cell r="D1120"/>
        </row>
        <row r="1121">
          <cell r="B1121"/>
          <cell r="D1121"/>
        </row>
        <row r="1122">
          <cell r="B1122"/>
          <cell r="D1122"/>
        </row>
        <row r="1123">
          <cell r="B1123"/>
          <cell r="D1123"/>
        </row>
        <row r="1124">
          <cell r="B1124"/>
          <cell r="D1124"/>
        </row>
        <row r="1125">
          <cell r="B1125"/>
          <cell r="D1125"/>
        </row>
        <row r="1126">
          <cell r="B1126"/>
          <cell r="D1126"/>
        </row>
        <row r="1127">
          <cell r="B1127"/>
          <cell r="D1127"/>
        </row>
        <row r="1128">
          <cell r="B1128"/>
          <cell r="D1128"/>
        </row>
        <row r="1129">
          <cell r="B1129"/>
          <cell r="D1129"/>
        </row>
        <row r="1130">
          <cell r="B1130"/>
          <cell r="D1130"/>
        </row>
        <row r="1131">
          <cell r="B1131"/>
          <cell r="D1131"/>
        </row>
        <row r="1132">
          <cell r="B1132"/>
          <cell r="D1132"/>
        </row>
        <row r="1133">
          <cell r="B1133"/>
          <cell r="D1133"/>
        </row>
        <row r="1134">
          <cell r="B1134"/>
          <cell r="D1134"/>
        </row>
        <row r="1135">
          <cell r="B1135"/>
          <cell r="D1135"/>
        </row>
        <row r="1136">
          <cell r="B1136"/>
          <cell r="D1136"/>
        </row>
        <row r="1137">
          <cell r="B1137"/>
          <cell r="D1137"/>
        </row>
        <row r="1138">
          <cell r="B1138"/>
          <cell r="D1138"/>
        </row>
        <row r="1139">
          <cell r="B1139"/>
          <cell r="D1139"/>
        </row>
        <row r="1140">
          <cell r="B1140"/>
          <cell r="D1140"/>
        </row>
        <row r="1141">
          <cell r="B1141"/>
          <cell r="D1141"/>
        </row>
        <row r="1142">
          <cell r="B1142"/>
          <cell r="D1142"/>
        </row>
        <row r="1143">
          <cell r="B1143"/>
          <cell r="D1143"/>
        </row>
        <row r="1144">
          <cell r="B1144"/>
          <cell r="D1144"/>
        </row>
        <row r="1145">
          <cell r="B1145"/>
          <cell r="D1145"/>
        </row>
        <row r="1146">
          <cell r="B1146"/>
          <cell r="D1146"/>
        </row>
        <row r="1147">
          <cell r="B1147"/>
          <cell r="D1147"/>
        </row>
        <row r="1148">
          <cell r="B1148"/>
          <cell r="D1148"/>
        </row>
        <row r="1149">
          <cell r="B1149"/>
          <cell r="D1149"/>
        </row>
        <row r="1150">
          <cell r="B1150"/>
          <cell r="D1150"/>
        </row>
        <row r="1151">
          <cell r="B1151"/>
          <cell r="D1151"/>
        </row>
        <row r="1152">
          <cell r="B1152"/>
          <cell r="D1152"/>
        </row>
        <row r="1153">
          <cell r="B1153"/>
          <cell r="D1153"/>
        </row>
        <row r="1154">
          <cell r="B1154"/>
          <cell r="D1154"/>
        </row>
        <row r="1155">
          <cell r="B1155"/>
          <cell r="D1155"/>
        </row>
        <row r="1156">
          <cell r="B1156"/>
          <cell r="D1156"/>
        </row>
        <row r="1157">
          <cell r="B1157"/>
          <cell r="D1157"/>
        </row>
        <row r="1158">
          <cell r="B1158"/>
          <cell r="D1158"/>
        </row>
        <row r="1159">
          <cell r="B1159"/>
          <cell r="D1159"/>
        </row>
        <row r="1160">
          <cell r="B1160"/>
          <cell r="D1160"/>
        </row>
        <row r="1161">
          <cell r="B1161"/>
          <cell r="D1161"/>
        </row>
        <row r="1162">
          <cell r="B1162"/>
          <cell r="D1162"/>
        </row>
        <row r="1163">
          <cell r="B1163"/>
          <cell r="D1163"/>
        </row>
        <row r="1164">
          <cell r="B1164"/>
          <cell r="D1164"/>
        </row>
        <row r="1165">
          <cell r="B1165"/>
          <cell r="D1165"/>
        </row>
        <row r="1166">
          <cell r="B1166"/>
          <cell r="D1166"/>
        </row>
        <row r="1167">
          <cell r="B1167"/>
          <cell r="D1167"/>
        </row>
        <row r="1168">
          <cell r="B1168"/>
          <cell r="D1168"/>
        </row>
        <row r="1169">
          <cell r="B1169"/>
          <cell r="D1169"/>
        </row>
        <row r="1170">
          <cell r="B1170"/>
          <cell r="D1170"/>
        </row>
        <row r="1171">
          <cell r="B1171"/>
          <cell r="D1171"/>
        </row>
        <row r="1172">
          <cell r="B1172"/>
          <cell r="D1172"/>
        </row>
        <row r="1173">
          <cell r="B1173"/>
          <cell r="D1173"/>
        </row>
        <row r="1174">
          <cell r="B1174"/>
          <cell r="D1174"/>
        </row>
        <row r="1175">
          <cell r="B1175"/>
          <cell r="D1175"/>
        </row>
        <row r="1176">
          <cell r="B1176"/>
          <cell r="D1176"/>
        </row>
        <row r="1177">
          <cell r="B1177"/>
          <cell r="D1177"/>
        </row>
        <row r="1178">
          <cell r="B1178"/>
          <cell r="D1178"/>
        </row>
        <row r="1179">
          <cell r="B1179"/>
          <cell r="D1179"/>
        </row>
        <row r="1180">
          <cell r="B1180"/>
          <cell r="D1180"/>
        </row>
        <row r="1181">
          <cell r="B1181"/>
          <cell r="D1181"/>
        </row>
        <row r="1182">
          <cell r="B1182"/>
          <cell r="D1182"/>
        </row>
        <row r="1183">
          <cell r="B1183"/>
          <cell r="D1183"/>
        </row>
        <row r="1184">
          <cell r="B1184"/>
          <cell r="D1184"/>
        </row>
        <row r="1185">
          <cell r="B1185"/>
          <cell r="D1185"/>
        </row>
        <row r="1186">
          <cell r="B1186"/>
          <cell r="D1186"/>
        </row>
        <row r="1187">
          <cell r="B1187"/>
          <cell r="D1187"/>
        </row>
        <row r="1188">
          <cell r="B1188"/>
          <cell r="D1188"/>
        </row>
        <row r="1189">
          <cell r="B1189"/>
          <cell r="D1189"/>
        </row>
        <row r="1190">
          <cell r="B1190"/>
          <cell r="D1190"/>
        </row>
        <row r="1191">
          <cell r="B1191"/>
          <cell r="D1191"/>
        </row>
        <row r="1192">
          <cell r="B1192"/>
          <cell r="D1192"/>
        </row>
        <row r="1193">
          <cell r="B1193"/>
          <cell r="D1193"/>
        </row>
        <row r="1194">
          <cell r="B1194"/>
          <cell r="D1194"/>
        </row>
        <row r="1195">
          <cell r="B1195"/>
          <cell r="D1195"/>
        </row>
        <row r="1196">
          <cell r="B1196"/>
          <cell r="D1196"/>
        </row>
        <row r="1197">
          <cell r="B1197"/>
          <cell r="D1197"/>
        </row>
        <row r="1198">
          <cell r="B1198"/>
          <cell r="D1198"/>
        </row>
        <row r="1199">
          <cell r="B1199"/>
          <cell r="D1199"/>
        </row>
        <row r="1200">
          <cell r="B1200"/>
          <cell r="D1200"/>
        </row>
        <row r="1201">
          <cell r="B1201"/>
          <cell r="D1201"/>
        </row>
        <row r="1202">
          <cell r="B1202"/>
          <cell r="D1202"/>
        </row>
        <row r="1203">
          <cell r="B1203"/>
          <cell r="D1203"/>
        </row>
        <row r="1204">
          <cell r="B1204"/>
          <cell r="D1204"/>
        </row>
        <row r="1205">
          <cell r="B1205"/>
          <cell r="D1205"/>
        </row>
        <row r="1206">
          <cell r="B1206"/>
          <cell r="D1206"/>
        </row>
        <row r="1207">
          <cell r="B1207"/>
          <cell r="D1207"/>
        </row>
        <row r="1208">
          <cell r="B1208"/>
          <cell r="D1208"/>
        </row>
        <row r="1209">
          <cell r="B1209"/>
          <cell r="D1209"/>
        </row>
        <row r="1210">
          <cell r="B1210"/>
          <cell r="D1210"/>
        </row>
        <row r="1211">
          <cell r="B1211"/>
          <cell r="D1211"/>
        </row>
        <row r="1212">
          <cell r="B1212"/>
          <cell r="D1212"/>
        </row>
        <row r="1213">
          <cell r="B1213"/>
          <cell r="D1213"/>
        </row>
        <row r="1214">
          <cell r="B1214"/>
          <cell r="D1214"/>
        </row>
        <row r="1215">
          <cell r="B1215"/>
          <cell r="D1215"/>
        </row>
        <row r="1216">
          <cell r="B1216"/>
          <cell r="D1216"/>
        </row>
        <row r="1217">
          <cell r="B1217"/>
          <cell r="D1217"/>
        </row>
        <row r="1218">
          <cell r="B1218"/>
          <cell r="D1218"/>
        </row>
        <row r="1219">
          <cell r="B1219"/>
          <cell r="D1219"/>
        </row>
        <row r="1220">
          <cell r="B1220"/>
          <cell r="D1220"/>
        </row>
        <row r="1221">
          <cell r="B1221"/>
          <cell r="D1221"/>
        </row>
        <row r="1222">
          <cell r="B1222"/>
          <cell r="D1222"/>
        </row>
        <row r="1223">
          <cell r="B1223"/>
          <cell r="D1223"/>
        </row>
        <row r="1224">
          <cell r="B1224"/>
          <cell r="D1224"/>
        </row>
        <row r="1225">
          <cell r="B1225"/>
          <cell r="D1225"/>
        </row>
        <row r="1226">
          <cell r="B1226"/>
          <cell r="D1226"/>
        </row>
        <row r="1227">
          <cell r="B1227"/>
          <cell r="D1227"/>
        </row>
        <row r="1228">
          <cell r="B1228"/>
          <cell r="D1228"/>
        </row>
        <row r="1229">
          <cell r="B1229"/>
          <cell r="D1229"/>
        </row>
        <row r="1230">
          <cell r="B1230"/>
          <cell r="D1230"/>
        </row>
        <row r="1231">
          <cell r="B1231"/>
          <cell r="D1231"/>
        </row>
        <row r="1232">
          <cell r="B1232"/>
          <cell r="D1232"/>
        </row>
        <row r="1233">
          <cell r="B1233"/>
          <cell r="D1233"/>
        </row>
        <row r="1234">
          <cell r="B1234"/>
          <cell r="D1234"/>
        </row>
        <row r="1235">
          <cell r="B1235"/>
          <cell r="D1235"/>
        </row>
        <row r="1236">
          <cell r="B1236"/>
          <cell r="D1236"/>
        </row>
        <row r="1237">
          <cell r="B1237"/>
          <cell r="D1237"/>
        </row>
        <row r="1238">
          <cell r="B1238"/>
          <cell r="D1238"/>
        </row>
        <row r="1239">
          <cell r="B1239"/>
          <cell r="D1239"/>
        </row>
        <row r="1240">
          <cell r="B1240"/>
          <cell r="D1240"/>
        </row>
        <row r="1241">
          <cell r="B1241"/>
          <cell r="D1241"/>
        </row>
        <row r="1242">
          <cell r="B1242"/>
          <cell r="D1242"/>
        </row>
        <row r="1243">
          <cell r="B1243"/>
          <cell r="D1243"/>
        </row>
        <row r="1244">
          <cell r="B1244"/>
          <cell r="D1244"/>
        </row>
        <row r="1245">
          <cell r="B1245"/>
          <cell r="D1245"/>
        </row>
        <row r="1246">
          <cell r="B1246"/>
          <cell r="D1246"/>
        </row>
        <row r="1247">
          <cell r="B1247"/>
          <cell r="D1247"/>
        </row>
        <row r="1248">
          <cell r="B1248"/>
          <cell r="D1248"/>
        </row>
        <row r="1249">
          <cell r="B1249"/>
          <cell r="D1249"/>
        </row>
        <row r="1250">
          <cell r="B1250"/>
          <cell r="D1250"/>
        </row>
        <row r="1251">
          <cell r="B1251"/>
          <cell r="D1251"/>
        </row>
        <row r="1252">
          <cell r="B1252"/>
          <cell r="D1252"/>
        </row>
        <row r="1253">
          <cell r="B1253"/>
          <cell r="D1253"/>
        </row>
        <row r="1254">
          <cell r="B1254"/>
          <cell r="D1254"/>
        </row>
        <row r="1255">
          <cell r="B1255"/>
          <cell r="D1255"/>
        </row>
        <row r="1256">
          <cell r="B1256"/>
          <cell r="D1256"/>
        </row>
        <row r="1257">
          <cell r="B1257"/>
          <cell r="D1257"/>
        </row>
        <row r="1258">
          <cell r="B1258"/>
          <cell r="D1258"/>
        </row>
        <row r="1259">
          <cell r="B1259"/>
          <cell r="D1259"/>
        </row>
        <row r="1260">
          <cell r="B1260"/>
          <cell r="D1260"/>
        </row>
        <row r="1261">
          <cell r="B1261"/>
          <cell r="D1261"/>
        </row>
        <row r="1262">
          <cell r="B1262"/>
          <cell r="D1262"/>
        </row>
        <row r="1263">
          <cell r="B1263"/>
          <cell r="D1263"/>
        </row>
        <row r="1264">
          <cell r="B1264"/>
          <cell r="D1264"/>
        </row>
        <row r="1265">
          <cell r="B1265"/>
          <cell r="D1265"/>
        </row>
        <row r="1266">
          <cell r="B1266"/>
          <cell r="D1266"/>
        </row>
        <row r="1267">
          <cell r="B1267"/>
          <cell r="D1267"/>
        </row>
        <row r="1268">
          <cell r="B1268"/>
          <cell r="D1268"/>
        </row>
        <row r="1269">
          <cell r="B1269"/>
          <cell r="D1269"/>
        </row>
        <row r="1270">
          <cell r="B1270"/>
          <cell r="D1270"/>
        </row>
        <row r="1271">
          <cell r="B1271"/>
          <cell r="D1271"/>
        </row>
        <row r="1272">
          <cell r="B1272"/>
          <cell r="D1272"/>
        </row>
        <row r="1273">
          <cell r="B1273"/>
          <cell r="D1273"/>
        </row>
        <row r="1274">
          <cell r="B1274"/>
          <cell r="D1274"/>
        </row>
        <row r="1275">
          <cell r="B1275"/>
          <cell r="D1275"/>
        </row>
        <row r="1276">
          <cell r="B1276"/>
          <cell r="D1276"/>
        </row>
        <row r="1277">
          <cell r="B1277"/>
          <cell r="D1277"/>
        </row>
        <row r="1278">
          <cell r="B1278"/>
          <cell r="D1278"/>
        </row>
        <row r="1279">
          <cell r="B1279"/>
          <cell r="D1279"/>
        </row>
        <row r="1280">
          <cell r="B1280"/>
          <cell r="D1280"/>
        </row>
        <row r="1281">
          <cell r="B1281"/>
          <cell r="D1281"/>
        </row>
        <row r="1282">
          <cell r="B1282"/>
          <cell r="D1282"/>
        </row>
        <row r="1283">
          <cell r="B1283"/>
          <cell r="D1283"/>
        </row>
        <row r="1284">
          <cell r="B1284"/>
          <cell r="D1284"/>
        </row>
        <row r="1285">
          <cell r="B1285"/>
          <cell r="D1285"/>
        </row>
        <row r="1286">
          <cell r="B1286"/>
          <cell r="D1286"/>
        </row>
        <row r="1287">
          <cell r="B1287"/>
          <cell r="D1287"/>
        </row>
        <row r="1288">
          <cell r="B1288"/>
          <cell r="D1288"/>
        </row>
        <row r="1289">
          <cell r="B1289"/>
          <cell r="D1289"/>
        </row>
        <row r="1290">
          <cell r="B1290"/>
          <cell r="D1290"/>
        </row>
        <row r="1291">
          <cell r="B1291"/>
          <cell r="D1291"/>
        </row>
        <row r="1292">
          <cell r="B1292"/>
          <cell r="D1292"/>
        </row>
        <row r="1293">
          <cell r="B1293"/>
          <cell r="D1293"/>
        </row>
        <row r="1294">
          <cell r="B1294"/>
          <cell r="D1294"/>
        </row>
        <row r="1295">
          <cell r="B1295"/>
          <cell r="D1295"/>
        </row>
        <row r="1296">
          <cell r="B1296"/>
          <cell r="D1296"/>
        </row>
        <row r="1297">
          <cell r="B1297"/>
          <cell r="D1297"/>
        </row>
        <row r="1298">
          <cell r="B1298"/>
          <cell r="D1298"/>
        </row>
        <row r="1299">
          <cell r="B1299"/>
          <cell r="D1299"/>
        </row>
        <row r="1300">
          <cell r="B1300"/>
          <cell r="D1300"/>
        </row>
        <row r="1301">
          <cell r="B1301"/>
          <cell r="D1301"/>
        </row>
        <row r="1302">
          <cell r="B1302"/>
          <cell r="D1302"/>
        </row>
        <row r="1303">
          <cell r="B1303"/>
          <cell r="D1303"/>
        </row>
        <row r="1304">
          <cell r="B1304"/>
          <cell r="D1304"/>
        </row>
        <row r="1305">
          <cell r="B1305"/>
          <cell r="D1305"/>
        </row>
        <row r="1306">
          <cell r="B1306"/>
          <cell r="D1306"/>
        </row>
        <row r="1307">
          <cell r="B1307"/>
          <cell r="D1307"/>
        </row>
        <row r="1308">
          <cell r="B1308"/>
          <cell r="D1308"/>
        </row>
        <row r="1309">
          <cell r="B1309"/>
          <cell r="D1309"/>
        </row>
        <row r="1310">
          <cell r="B1310"/>
          <cell r="D1310"/>
        </row>
        <row r="1311">
          <cell r="B1311"/>
          <cell r="D1311"/>
        </row>
        <row r="1312">
          <cell r="B1312"/>
          <cell r="D1312"/>
        </row>
        <row r="1313">
          <cell r="B1313"/>
          <cell r="D1313"/>
        </row>
        <row r="1314">
          <cell r="B1314"/>
          <cell r="D1314"/>
        </row>
        <row r="1315">
          <cell r="B1315"/>
          <cell r="D1315"/>
        </row>
        <row r="1316">
          <cell r="B1316"/>
          <cell r="D1316"/>
        </row>
        <row r="1317">
          <cell r="B1317"/>
          <cell r="D1317"/>
        </row>
        <row r="1318">
          <cell r="B1318"/>
          <cell r="D1318"/>
        </row>
        <row r="1319">
          <cell r="B1319"/>
          <cell r="D1319"/>
        </row>
        <row r="1320">
          <cell r="B1320"/>
          <cell r="D1320"/>
        </row>
        <row r="1321">
          <cell r="B1321"/>
          <cell r="D1321"/>
        </row>
        <row r="1322">
          <cell r="B1322"/>
          <cell r="D1322"/>
        </row>
        <row r="1323">
          <cell r="B1323"/>
          <cell r="D1323"/>
        </row>
        <row r="1324">
          <cell r="B1324"/>
          <cell r="D1324"/>
        </row>
        <row r="1325">
          <cell r="B1325"/>
          <cell r="D1325"/>
        </row>
        <row r="1326">
          <cell r="B1326"/>
          <cell r="D1326"/>
        </row>
        <row r="1327">
          <cell r="B1327"/>
          <cell r="D1327"/>
        </row>
        <row r="1328">
          <cell r="B1328"/>
          <cell r="D1328"/>
        </row>
        <row r="1329">
          <cell r="B1329"/>
          <cell r="D1329"/>
        </row>
        <row r="1330">
          <cell r="B1330"/>
          <cell r="D1330"/>
        </row>
        <row r="1331">
          <cell r="B1331"/>
          <cell r="D1331"/>
        </row>
        <row r="1332">
          <cell r="B1332"/>
          <cell r="D1332"/>
        </row>
        <row r="1333">
          <cell r="B1333"/>
          <cell r="D1333"/>
        </row>
        <row r="1334">
          <cell r="B1334"/>
          <cell r="D1334"/>
        </row>
        <row r="1335">
          <cell r="B1335"/>
          <cell r="D1335"/>
        </row>
        <row r="1336">
          <cell r="B1336"/>
          <cell r="D1336"/>
        </row>
        <row r="1337">
          <cell r="B1337"/>
          <cell r="D1337"/>
        </row>
        <row r="1338">
          <cell r="B1338"/>
          <cell r="D1338"/>
        </row>
        <row r="1339">
          <cell r="B1339"/>
          <cell r="D1339"/>
        </row>
        <row r="1340">
          <cell r="B1340"/>
          <cell r="D1340"/>
        </row>
        <row r="1341">
          <cell r="B1341"/>
          <cell r="D1341"/>
        </row>
        <row r="1342">
          <cell r="B1342"/>
          <cell r="D1342"/>
        </row>
        <row r="1343">
          <cell r="B1343"/>
          <cell r="D1343"/>
        </row>
        <row r="1344">
          <cell r="B1344"/>
          <cell r="D1344"/>
        </row>
        <row r="1345">
          <cell r="B1345"/>
          <cell r="D1345"/>
        </row>
        <row r="1346">
          <cell r="B1346"/>
          <cell r="D1346"/>
        </row>
        <row r="1347">
          <cell r="B1347"/>
          <cell r="D1347"/>
        </row>
        <row r="1348">
          <cell r="B1348"/>
          <cell r="D1348"/>
        </row>
        <row r="1349">
          <cell r="B1349"/>
          <cell r="D1349"/>
        </row>
        <row r="1350">
          <cell r="B1350"/>
          <cell r="D1350"/>
        </row>
        <row r="1351">
          <cell r="B1351"/>
          <cell r="D1351"/>
        </row>
        <row r="1352">
          <cell r="B1352"/>
          <cell r="D1352"/>
        </row>
        <row r="1353">
          <cell r="B1353"/>
          <cell r="D1353"/>
        </row>
        <row r="1354">
          <cell r="B1354"/>
          <cell r="D1354"/>
        </row>
        <row r="1355">
          <cell r="B1355"/>
          <cell r="D1355"/>
        </row>
        <row r="1356">
          <cell r="B1356"/>
          <cell r="D1356"/>
        </row>
        <row r="1357">
          <cell r="B1357"/>
          <cell r="D1357"/>
        </row>
        <row r="1358">
          <cell r="B1358"/>
          <cell r="D1358"/>
        </row>
        <row r="1359">
          <cell r="B1359"/>
          <cell r="D1359"/>
        </row>
        <row r="1360">
          <cell r="B1360"/>
          <cell r="D1360"/>
        </row>
        <row r="1361">
          <cell r="B1361"/>
          <cell r="D1361"/>
        </row>
        <row r="1362">
          <cell r="B1362"/>
          <cell r="D1362"/>
        </row>
        <row r="1363">
          <cell r="B1363"/>
          <cell r="D1363"/>
        </row>
        <row r="1364">
          <cell r="B1364"/>
          <cell r="D1364"/>
        </row>
        <row r="1365">
          <cell r="B1365"/>
          <cell r="D1365"/>
        </row>
        <row r="1366">
          <cell r="B1366"/>
          <cell r="D1366"/>
        </row>
        <row r="1367">
          <cell r="B1367"/>
          <cell r="D1367"/>
        </row>
        <row r="1368">
          <cell r="B1368"/>
          <cell r="D1368"/>
        </row>
        <row r="1369">
          <cell r="B1369"/>
          <cell r="D1369"/>
        </row>
        <row r="1370">
          <cell r="B1370"/>
          <cell r="D1370"/>
        </row>
        <row r="1371">
          <cell r="B1371"/>
          <cell r="D1371"/>
        </row>
        <row r="1372">
          <cell r="B1372"/>
          <cell r="D1372"/>
        </row>
        <row r="1373">
          <cell r="B1373"/>
          <cell r="D1373"/>
        </row>
        <row r="1374">
          <cell r="B1374"/>
          <cell r="D1374"/>
        </row>
        <row r="1375">
          <cell r="B1375"/>
          <cell r="D1375"/>
        </row>
        <row r="1376">
          <cell r="B1376"/>
          <cell r="D1376"/>
        </row>
        <row r="1377">
          <cell r="B1377"/>
          <cell r="D1377"/>
        </row>
        <row r="1378">
          <cell r="B1378"/>
          <cell r="D1378"/>
        </row>
        <row r="1379">
          <cell r="B1379"/>
          <cell r="D1379"/>
        </row>
        <row r="1380">
          <cell r="B1380"/>
          <cell r="D1380"/>
        </row>
        <row r="1381">
          <cell r="B1381"/>
          <cell r="D1381"/>
        </row>
        <row r="1382">
          <cell r="B1382"/>
          <cell r="D1382"/>
        </row>
        <row r="1383">
          <cell r="B1383"/>
          <cell r="D1383"/>
        </row>
        <row r="1384">
          <cell r="B1384"/>
          <cell r="D1384"/>
        </row>
        <row r="1385">
          <cell r="B1385"/>
          <cell r="D1385"/>
        </row>
        <row r="1386">
          <cell r="B1386"/>
          <cell r="D1386"/>
        </row>
        <row r="1387">
          <cell r="B1387"/>
          <cell r="D1387"/>
        </row>
        <row r="1388">
          <cell r="B1388"/>
          <cell r="D1388"/>
        </row>
        <row r="1389">
          <cell r="B1389"/>
          <cell r="D1389"/>
        </row>
        <row r="1390">
          <cell r="B1390"/>
          <cell r="D1390"/>
        </row>
        <row r="1391">
          <cell r="B1391"/>
          <cell r="D1391"/>
        </row>
        <row r="1392">
          <cell r="B1392"/>
          <cell r="D1392"/>
        </row>
        <row r="1393">
          <cell r="B1393"/>
          <cell r="D1393"/>
        </row>
        <row r="1394">
          <cell r="B1394"/>
          <cell r="D1394"/>
        </row>
        <row r="1395">
          <cell r="B1395"/>
          <cell r="D1395"/>
        </row>
        <row r="1396">
          <cell r="B1396"/>
          <cell r="D1396"/>
        </row>
        <row r="1397">
          <cell r="B1397"/>
          <cell r="D1397"/>
        </row>
        <row r="1398">
          <cell r="B1398"/>
          <cell r="D1398"/>
        </row>
        <row r="1399">
          <cell r="B1399"/>
          <cell r="D1399"/>
        </row>
        <row r="1400">
          <cell r="B1400"/>
          <cell r="D1400"/>
        </row>
        <row r="1401">
          <cell r="B1401"/>
          <cell r="D1401"/>
        </row>
        <row r="1402">
          <cell r="B1402"/>
          <cell r="D1402"/>
        </row>
        <row r="1403">
          <cell r="B1403"/>
          <cell r="D1403"/>
        </row>
        <row r="1404">
          <cell r="B1404"/>
          <cell r="D1404"/>
        </row>
        <row r="1405">
          <cell r="B1405"/>
          <cell r="D1405"/>
        </row>
        <row r="1406">
          <cell r="B1406"/>
          <cell r="D1406"/>
        </row>
        <row r="1407">
          <cell r="B1407"/>
          <cell r="D1407"/>
        </row>
        <row r="1408">
          <cell r="B1408"/>
          <cell r="D1408"/>
        </row>
        <row r="1409">
          <cell r="B1409"/>
          <cell r="D1409"/>
        </row>
        <row r="1410">
          <cell r="B1410"/>
          <cell r="D1410"/>
        </row>
        <row r="1411">
          <cell r="B1411"/>
          <cell r="D1411"/>
        </row>
        <row r="1412">
          <cell r="B1412"/>
          <cell r="D1412"/>
        </row>
        <row r="1413">
          <cell r="B1413"/>
          <cell r="D1413"/>
        </row>
        <row r="1414">
          <cell r="B1414"/>
          <cell r="D1414"/>
        </row>
        <row r="1415">
          <cell r="B1415"/>
          <cell r="D1415"/>
        </row>
        <row r="1416">
          <cell r="B1416"/>
          <cell r="D1416"/>
        </row>
        <row r="1417">
          <cell r="B1417"/>
          <cell r="D1417"/>
        </row>
        <row r="1418">
          <cell r="B1418"/>
          <cell r="D1418"/>
        </row>
        <row r="1419">
          <cell r="B1419"/>
          <cell r="D1419"/>
        </row>
        <row r="1420">
          <cell r="B1420"/>
          <cell r="D1420"/>
        </row>
        <row r="1421">
          <cell r="B1421"/>
          <cell r="D1421"/>
        </row>
        <row r="1422">
          <cell r="B1422"/>
          <cell r="D1422"/>
        </row>
        <row r="1423">
          <cell r="B1423"/>
          <cell r="D1423"/>
        </row>
        <row r="1424">
          <cell r="B1424"/>
          <cell r="D1424"/>
        </row>
        <row r="1425">
          <cell r="B1425"/>
          <cell r="D1425"/>
        </row>
        <row r="1426">
          <cell r="B1426"/>
          <cell r="D1426"/>
        </row>
        <row r="1427">
          <cell r="B1427"/>
          <cell r="D1427"/>
        </row>
        <row r="1428">
          <cell r="B1428"/>
          <cell r="D1428"/>
        </row>
        <row r="1429">
          <cell r="B1429"/>
          <cell r="D1429"/>
        </row>
        <row r="1430">
          <cell r="B1430"/>
          <cell r="D1430"/>
        </row>
        <row r="1431">
          <cell r="B1431"/>
          <cell r="D1431"/>
        </row>
        <row r="1432">
          <cell r="B1432"/>
          <cell r="D1432"/>
        </row>
        <row r="1433">
          <cell r="B1433"/>
          <cell r="D1433"/>
        </row>
        <row r="1434">
          <cell r="B1434"/>
          <cell r="D1434"/>
        </row>
        <row r="1435">
          <cell r="B1435"/>
          <cell r="D1435"/>
        </row>
        <row r="1436">
          <cell r="B1436"/>
          <cell r="D1436"/>
        </row>
        <row r="1437">
          <cell r="B1437"/>
          <cell r="D1437"/>
        </row>
        <row r="1438">
          <cell r="B1438"/>
          <cell r="D1438"/>
        </row>
        <row r="1439">
          <cell r="B1439"/>
          <cell r="D1439"/>
        </row>
        <row r="1440">
          <cell r="B1440"/>
          <cell r="D1440"/>
        </row>
        <row r="1441">
          <cell r="B1441"/>
          <cell r="D1441"/>
        </row>
        <row r="1442">
          <cell r="B1442"/>
          <cell r="D1442"/>
        </row>
        <row r="1443">
          <cell r="B1443"/>
          <cell r="D1443"/>
        </row>
        <row r="1444">
          <cell r="B1444"/>
          <cell r="D1444"/>
        </row>
        <row r="1445">
          <cell r="B1445"/>
          <cell r="D1445"/>
        </row>
        <row r="1446">
          <cell r="B1446"/>
          <cell r="D1446"/>
        </row>
        <row r="1447">
          <cell r="B1447"/>
          <cell r="D1447"/>
        </row>
        <row r="1448">
          <cell r="B1448"/>
          <cell r="D1448"/>
        </row>
        <row r="1449">
          <cell r="B1449"/>
          <cell r="D1449"/>
        </row>
        <row r="1450">
          <cell r="B1450"/>
          <cell r="D1450"/>
        </row>
        <row r="1451">
          <cell r="B1451"/>
          <cell r="D1451"/>
        </row>
        <row r="1452">
          <cell r="B1452"/>
          <cell r="D1452"/>
        </row>
        <row r="1453">
          <cell r="B1453"/>
          <cell r="D1453"/>
        </row>
        <row r="1454">
          <cell r="B1454"/>
          <cell r="D1454"/>
        </row>
        <row r="1455">
          <cell r="B1455"/>
          <cell r="D1455"/>
        </row>
        <row r="1456">
          <cell r="B1456"/>
          <cell r="D1456"/>
        </row>
        <row r="1457">
          <cell r="B1457"/>
          <cell r="D1457"/>
        </row>
        <row r="1458">
          <cell r="B1458"/>
          <cell r="D1458"/>
        </row>
        <row r="1459">
          <cell r="B1459"/>
          <cell r="D1459"/>
        </row>
        <row r="1460">
          <cell r="B1460"/>
          <cell r="D1460"/>
        </row>
        <row r="1461">
          <cell r="B1461"/>
          <cell r="D1461"/>
        </row>
        <row r="1462">
          <cell r="B1462"/>
          <cell r="D1462"/>
        </row>
        <row r="1463">
          <cell r="B1463"/>
          <cell r="D1463"/>
        </row>
        <row r="1464">
          <cell r="B1464"/>
          <cell r="D1464"/>
        </row>
        <row r="1465">
          <cell r="B1465"/>
          <cell r="D1465"/>
        </row>
        <row r="1466">
          <cell r="B1466"/>
          <cell r="D1466"/>
        </row>
        <row r="1467">
          <cell r="B1467"/>
          <cell r="D1467"/>
        </row>
        <row r="1468">
          <cell r="B1468"/>
          <cell r="D1468"/>
        </row>
        <row r="1469">
          <cell r="B1469"/>
          <cell r="D1469"/>
        </row>
        <row r="1470">
          <cell r="B1470"/>
          <cell r="D1470"/>
        </row>
        <row r="1471">
          <cell r="B1471"/>
          <cell r="D1471"/>
        </row>
        <row r="1472">
          <cell r="B1472"/>
          <cell r="D1472"/>
        </row>
        <row r="1473">
          <cell r="B1473"/>
          <cell r="D1473"/>
        </row>
        <row r="1474">
          <cell r="B1474"/>
          <cell r="D1474"/>
        </row>
        <row r="1475">
          <cell r="B1475"/>
          <cell r="D1475"/>
        </row>
        <row r="1476">
          <cell r="B1476"/>
          <cell r="D1476"/>
        </row>
        <row r="1477">
          <cell r="B1477"/>
          <cell r="D1477"/>
        </row>
        <row r="1478">
          <cell r="B1478"/>
          <cell r="D1478"/>
        </row>
        <row r="1479">
          <cell r="B1479"/>
          <cell r="D1479"/>
        </row>
        <row r="1480">
          <cell r="B1480"/>
          <cell r="D1480"/>
        </row>
        <row r="1481">
          <cell r="B1481"/>
          <cell r="D1481"/>
        </row>
        <row r="1482">
          <cell r="B1482"/>
          <cell r="D1482"/>
        </row>
        <row r="1483">
          <cell r="B1483"/>
          <cell r="D1483"/>
        </row>
        <row r="1484">
          <cell r="B1484"/>
          <cell r="D1484"/>
        </row>
        <row r="1485">
          <cell r="B1485"/>
          <cell r="D1485"/>
        </row>
        <row r="1486">
          <cell r="B1486"/>
          <cell r="D1486"/>
        </row>
        <row r="1487">
          <cell r="B1487"/>
          <cell r="D1487"/>
        </row>
        <row r="1488">
          <cell r="B1488"/>
          <cell r="D1488"/>
        </row>
        <row r="1489">
          <cell r="B1489"/>
          <cell r="D1489"/>
        </row>
        <row r="1490">
          <cell r="B1490"/>
          <cell r="D1490"/>
        </row>
        <row r="1491">
          <cell r="B1491"/>
          <cell r="D1491"/>
        </row>
        <row r="1492">
          <cell r="B1492"/>
          <cell r="D1492"/>
        </row>
        <row r="1493">
          <cell r="B1493"/>
          <cell r="D1493"/>
        </row>
        <row r="1494">
          <cell r="B1494"/>
          <cell r="D1494"/>
        </row>
        <row r="1495">
          <cell r="B1495"/>
          <cell r="D1495"/>
        </row>
        <row r="1496">
          <cell r="B1496"/>
          <cell r="D1496"/>
        </row>
        <row r="1497">
          <cell r="B1497"/>
          <cell r="D1497"/>
        </row>
        <row r="1498">
          <cell r="B1498"/>
          <cell r="D1498"/>
        </row>
        <row r="1499">
          <cell r="B1499"/>
          <cell r="D1499"/>
        </row>
        <row r="1500">
          <cell r="B1500"/>
          <cell r="D1500"/>
        </row>
        <row r="1501">
          <cell r="B1501"/>
          <cell r="D1501"/>
        </row>
        <row r="1502">
          <cell r="B1502"/>
          <cell r="D1502"/>
        </row>
        <row r="1503">
          <cell r="B1503"/>
          <cell r="D1503"/>
        </row>
        <row r="1504">
          <cell r="B1504"/>
          <cell r="D1504"/>
        </row>
        <row r="1505">
          <cell r="B1505"/>
          <cell r="D1505"/>
        </row>
        <row r="1506">
          <cell r="B1506"/>
          <cell r="D1506"/>
        </row>
        <row r="1507">
          <cell r="B1507"/>
          <cell r="D1507"/>
        </row>
        <row r="1508">
          <cell r="B1508"/>
          <cell r="D1508"/>
        </row>
        <row r="1509">
          <cell r="B1509"/>
          <cell r="D1509"/>
        </row>
        <row r="1510">
          <cell r="B1510"/>
          <cell r="D1510"/>
        </row>
        <row r="1511">
          <cell r="B1511"/>
          <cell r="D1511"/>
        </row>
        <row r="1512">
          <cell r="B1512"/>
          <cell r="D1512"/>
        </row>
        <row r="1513">
          <cell r="B1513"/>
          <cell r="D1513"/>
        </row>
        <row r="1514">
          <cell r="B1514"/>
          <cell r="D1514"/>
        </row>
        <row r="1515">
          <cell r="B1515"/>
          <cell r="D1515"/>
        </row>
        <row r="1516">
          <cell r="B1516"/>
          <cell r="D1516"/>
        </row>
        <row r="1517">
          <cell r="B1517"/>
          <cell r="D1517"/>
        </row>
        <row r="1518">
          <cell r="B1518"/>
          <cell r="D1518"/>
        </row>
        <row r="1519">
          <cell r="B1519"/>
          <cell r="D1519"/>
        </row>
        <row r="1520">
          <cell r="B1520"/>
          <cell r="D1520"/>
        </row>
        <row r="1521">
          <cell r="B1521"/>
          <cell r="D1521"/>
        </row>
        <row r="1522">
          <cell r="B1522"/>
          <cell r="D1522"/>
        </row>
        <row r="1523">
          <cell r="B1523"/>
          <cell r="D1523"/>
        </row>
        <row r="1524">
          <cell r="B1524"/>
          <cell r="D1524"/>
        </row>
        <row r="1525">
          <cell r="B1525"/>
          <cell r="D1525"/>
        </row>
        <row r="1526">
          <cell r="B1526"/>
          <cell r="D1526"/>
        </row>
        <row r="1527">
          <cell r="B1527"/>
          <cell r="D1527"/>
        </row>
        <row r="1528">
          <cell r="B1528"/>
          <cell r="D1528"/>
        </row>
        <row r="1529">
          <cell r="B1529"/>
          <cell r="D1529"/>
        </row>
        <row r="1530">
          <cell r="B1530"/>
          <cell r="D1530"/>
        </row>
        <row r="1531">
          <cell r="B1531"/>
          <cell r="D1531"/>
        </row>
        <row r="1532">
          <cell r="B1532"/>
          <cell r="D1532"/>
        </row>
        <row r="1533">
          <cell r="B1533"/>
          <cell r="D1533"/>
        </row>
        <row r="1534">
          <cell r="B1534"/>
          <cell r="D1534"/>
        </row>
        <row r="1535">
          <cell r="B1535"/>
          <cell r="D1535"/>
        </row>
        <row r="1536">
          <cell r="B1536"/>
          <cell r="D1536"/>
        </row>
        <row r="1537">
          <cell r="B1537"/>
          <cell r="D1537"/>
        </row>
        <row r="1538">
          <cell r="B1538"/>
          <cell r="D1538"/>
        </row>
        <row r="1539">
          <cell r="B1539"/>
          <cell r="D1539"/>
        </row>
        <row r="1540">
          <cell r="B1540"/>
          <cell r="D1540"/>
        </row>
        <row r="1541">
          <cell r="B1541"/>
          <cell r="D1541"/>
        </row>
        <row r="1542">
          <cell r="B1542"/>
          <cell r="D1542"/>
        </row>
        <row r="1543">
          <cell r="B1543"/>
          <cell r="D1543"/>
        </row>
        <row r="1544">
          <cell r="B1544"/>
          <cell r="D1544"/>
        </row>
        <row r="1545">
          <cell r="B1545"/>
          <cell r="D1545"/>
        </row>
        <row r="1546">
          <cell r="B1546"/>
          <cell r="D1546"/>
        </row>
        <row r="1547">
          <cell r="B1547"/>
          <cell r="D1547"/>
        </row>
        <row r="1548">
          <cell r="B1548"/>
          <cell r="D1548"/>
        </row>
        <row r="1549">
          <cell r="B1549"/>
          <cell r="D1549"/>
        </row>
        <row r="1550">
          <cell r="B1550"/>
          <cell r="D1550"/>
        </row>
        <row r="1551">
          <cell r="B1551"/>
          <cell r="D1551"/>
        </row>
        <row r="1552">
          <cell r="B1552"/>
          <cell r="D1552"/>
        </row>
        <row r="1553">
          <cell r="B1553"/>
          <cell r="D1553"/>
        </row>
        <row r="1554">
          <cell r="B1554"/>
          <cell r="D1554"/>
        </row>
        <row r="1555">
          <cell r="B1555"/>
          <cell r="D1555"/>
        </row>
        <row r="1556">
          <cell r="B1556"/>
          <cell r="D1556"/>
        </row>
        <row r="1557">
          <cell r="B1557"/>
          <cell r="D1557"/>
        </row>
        <row r="1558">
          <cell r="B1558"/>
          <cell r="D1558"/>
        </row>
        <row r="1559">
          <cell r="B1559"/>
          <cell r="D1559"/>
        </row>
        <row r="1560">
          <cell r="B1560"/>
          <cell r="D1560"/>
        </row>
        <row r="1561">
          <cell r="B1561"/>
          <cell r="D1561"/>
        </row>
        <row r="1562">
          <cell r="B1562"/>
          <cell r="D1562"/>
        </row>
        <row r="1563">
          <cell r="B1563"/>
          <cell r="D1563"/>
        </row>
        <row r="1564">
          <cell r="B1564"/>
          <cell r="D1564"/>
        </row>
        <row r="1565">
          <cell r="B1565"/>
          <cell r="D1565"/>
        </row>
        <row r="1566">
          <cell r="B1566"/>
          <cell r="D1566"/>
        </row>
        <row r="1567">
          <cell r="B1567"/>
          <cell r="D1567"/>
        </row>
        <row r="1568">
          <cell r="B1568"/>
          <cell r="D1568"/>
        </row>
        <row r="1569">
          <cell r="B1569"/>
          <cell r="D1569"/>
        </row>
        <row r="1570">
          <cell r="B1570"/>
          <cell r="D1570"/>
        </row>
        <row r="1571">
          <cell r="B1571"/>
          <cell r="D1571"/>
        </row>
        <row r="1572">
          <cell r="B1572"/>
          <cell r="D1572"/>
        </row>
        <row r="1573">
          <cell r="B1573"/>
          <cell r="D1573"/>
        </row>
        <row r="1574">
          <cell r="B1574"/>
          <cell r="D1574"/>
        </row>
        <row r="1575">
          <cell r="B1575"/>
          <cell r="D1575"/>
        </row>
        <row r="1576">
          <cell r="B1576"/>
          <cell r="D1576"/>
        </row>
        <row r="1577">
          <cell r="B1577"/>
          <cell r="D1577"/>
        </row>
        <row r="1578">
          <cell r="B1578"/>
          <cell r="D1578"/>
        </row>
        <row r="1579">
          <cell r="B1579"/>
          <cell r="D1579"/>
        </row>
        <row r="1580">
          <cell r="B1580"/>
          <cell r="D1580"/>
        </row>
        <row r="1581">
          <cell r="B1581"/>
          <cell r="D1581"/>
        </row>
        <row r="1582">
          <cell r="B1582"/>
          <cell r="D1582"/>
        </row>
        <row r="1583">
          <cell r="B1583"/>
          <cell r="D1583"/>
        </row>
        <row r="1584">
          <cell r="B1584"/>
          <cell r="D1584"/>
        </row>
        <row r="1585">
          <cell r="B1585"/>
          <cell r="D1585"/>
        </row>
        <row r="1586">
          <cell r="B1586"/>
          <cell r="D1586"/>
        </row>
        <row r="1587">
          <cell r="B1587"/>
          <cell r="D1587"/>
        </row>
        <row r="1588">
          <cell r="B1588"/>
          <cell r="D1588"/>
        </row>
        <row r="1589">
          <cell r="B1589"/>
          <cell r="D1589"/>
        </row>
        <row r="1590">
          <cell r="B1590"/>
          <cell r="D1590"/>
        </row>
        <row r="1591">
          <cell r="B1591"/>
          <cell r="D1591"/>
        </row>
        <row r="1592">
          <cell r="B1592"/>
          <cell r="D1592"/>
        </row>
        <row r="1593">
          <cell r="B1593"/>
          <cell r="D1593"/>
        </row>
        <row r="1594">
          <cell r="B1594"/>
          <cell r="D1594"/>
        </row>
        <row r="1595">
          <cell r="B1595"/>
          <cell r="D1595"/>
        </row>
        <row r="1596">
          <cell r="B1596"/>
          <cell r="D1596"/>
        </row>
        <row r="1597">
          <cell r="B1597"/>
          <cell r="D1597"/>
        </row>
        <row r="1598">
          <cell r="B1598"/>
          <cell r="D1598"/>
        </row>
        <row r="1599">
          <cell r="B1599"/>
          <cell r="D1599"/>
        </row>
        <row r="1600">
          <cell r="B1600"/>
          <cell r="D1600"/>
        </row>
        <row r="1601">
          <cell r="B1601"/>
          <cell r="D1601"/>
        </row>
        <row r="1602">
          <cell r="B1602"/>
          <cell r="D1602"/>
        </row>
        <row r="1603">
          <cell r="B1603"/>
          <cell r="D1603"/>
        </row>
        <row r="1604">
          <cell r="B1604"/>
          <cell r="D1604"/>
        </row>
        <row r="1605">
          <cell r="B1605"/>
          <cell r="D1605"/>
        </row>
        <row r="1606">
          <cell r="B1606"/>
          <cell r="D1606"/>
        </row>
        <row r="1607">
          <cell r="B1607"/>
          <cell r="D1607"/>
        </row>
        <row r="1608">
          <cell r="B1608"/>
          <cell r="D1608"/>
        </row>
        <row r="1609">
          <cell r="B1609"/>
          <cell r="D1609"/>
        </row>
        <row r="1610">
          <cell r="B1610"/>
          <cell r="D1610"/>
        </row>
        <row r="1611">
          <cell r="B1611"/>
          <cell r="D1611"/>
        </row>
        <row r="1612">
          <cell r="B1612"/>
          <cell r="D1612"/>
        </row>
        <row r="1613">
          <cell r="B1613"/>
          <cell r="D1613"/>
        </row>
        <row r="1614">
          <cell r="B1614"/>
          <cell r="D1614"/>
        </row>
        <row r="1615">
          <cell r="B1615"/>
          <cell r="D1615"/>
        </row>
        <row r="1616">
          <cell r="B1616"/>
          <cell r="D1616"/>
        </row>
        <row r="1617">
          <cell r="B1617"/>
          <cell r="D1617"/>
        </row>
        <row r="1618">
          <cell r="B1618"/>
          <cell r="D1618"/>
        </row>
        <row r="1619">
          <cell r="B1619"/>
          <cell r="D1619"/>
        </row>
        <row r="1620">
          <cell r="B1620"/>
          <cell r="D1620"/>
        </row>
        <row r="1621">
          <cell r="B1621"/>
          <cell r="D1621"/>
        </row>
        <row r="1622">
          <cell r="B1622"/>
          <cell r="D1622"/>
        </row>
        <row r="1623">
          <cell r="B1623"/>
          <cell r="D1623"/>
        </row>
        <row r="1624">
          <cell r="B1624"/>
          <cell r="D1624"/>
        </row>
        <row r="1625">
          <cell r="B1625"/>
          <cell r="D1625"/>
        </row>
        <row r="1626">
          <cell r="B1626"/>
          <cell r="D1626"/>
        </row>
        <row r="1627">
          <cell r="B1627"/>
          <cell r="D1627"/>
        </row>
        <row r="1628">
          <cell r="B1628"/>
          <cell r="D1628"/>
        </row>
        <row r="1629">
          <cell r="B1629"/>
          <cell r="D1629"/>
        </row>
        <row r="1630">
          <cell r="B1630"/>
          <cell r="D1630"/>
        </row>
        <row r="1631">
          <cell r="B1631"/>
          <cell r="D1631"/>
        </row>
        <row r="1632">
          <cell r="B1632"/>
          <cell r="D1632"/>
        </row>
        <row r="1633">
          <cell r="B1633"/>
          <cell r="D1633"/>
        </row>
        <row r="1634">
          <cell r="B1634"/>
          <cell r="D1634"/>
        </row>
        <row r="1635">
          <cell r="B1635"/>
          <cell r="D1635"/>
        </row>
        <row r="1636">
          <cell r="B1636"/>
          <cell r="D1636"/>
        </row>
        <row r="1637">
          <cell r="B1637"/>
          <cell r="D1637"/>
        </row>
        <row r="1638">
          <cell r="B1638"/>
          <cell r="D1638"/>
        </row>
        <row r="1639">
          <cell r="B1639"/>
          <cell r="D1639"/>
        </row>
        <row r="1640">
          <cell r="B1640"/>
          <cell r="D1640"/>
        </row>
        <row r="1641">
          <cell r="B1641"/>
          <cell r="D1641"/>
        </row>
        <row r="1642">
          <cell r="B1642"/>
          <cell r="D1642"/>
        </row>
        <row r="1643">
          <cell r="B1643"/>
          <cell r="D1643"/>
        </row>
        <row r="1644">
          <cell r="B1644"/>
          <cell r="D1644"/>
        </row>
        <row r="1645">
          <cell r="B1645"/>
          <cell r="D1645"/>
        </row>
        <row r="1646">
          <cell r="B1646"/>
          <cell r="D1646"/>
        </row>
        <row r="1647">
          <cell r="B1647"/>
          <cell r="D1647"/>
        </row>
        <row r="1648">
          <cell r="B1648"/>
          <cell r="D1648"/>
        </row>
        <row r="1649">
          <cell r="B1649"/>
          <cell r="D1649"/>
        </row>
        <row r="1650">
          <cell r="B1650"/>
          <cell r="D1650"/>
        </row>
        <row r="1651">
          <cell r="B1651"/>
          <cell r="D1651"/>
        </row>
        <row r="1652">
          <cell r="B1652"/>
          <cell r="D1652"/>
        </row>
        <row r="1653">
          <cell r="B1653"/>
          <cell r="D1653"/>
        </row>
        <row r="1654">
          <cell r="B1654"/>
          <cell r="D1654"/>
        </row>
        <row r="1655">
          <cell r="B1655"/>
          <cell r="D1655"/>
        </row>
        <row r="1656">
          <cell r="B1656"/>
          <cell r="D1656"/>
        </row>
        <row r="1657">
          <cell r="B1657"/>
          <cell r="D1657"/>
        </row>
        <row r="1658">
          <cell r="B1658"/>
          <cell r="D1658"/>
        </row>
        <row r="1659">
          <cell r="B1659"/>
          <cell r="D1659"/>
        </row>
        <row r="1660">
          <cell r="B1660"/>
          <cell r="D1660"/>
        </row>
        <row r="1661">
          <cell r="B1661"/>
          <cell r="D1661"/>
        </row>
        <row r="1662">
          <cell r="B1662"/>
          <cell r="D1662"/>
        </row>
        <row r="1663">
          <cell r="B1663"/>
          <cell r="D1663"/>
        </row>
        <row r="1664">
          <cell r="B1664"/>
          <cell r="D1664"/>
        </row>
        <row r="1665">
          <cell r="B1665"/>
          <cell r="D1665"/>
        </row>
        <row r="1666">
          <cell r="B1666"/>
          <cell r="D1666"/>
        </row>
        <row r="1667">
          <cell r="B1667"/>
          <cell r="D1667"/>
        </row>
        <row r="1668">
          <cell r="B1668"/>
          <cell r="D1668"/>
        </row>
        <row r="1669">
          <cell r="B1669"/>
          <cell r="D1669"/>
        </row>
        <row r="1670">
          <cell r="B1670"/>
          <cell r="D1670"/>
        </row>
        <row r="1671">
          <cell r="B1671"/>
          <cell r="D1671"/>
        </row>
        <row r="1672">
          <cell r="B1672"/>
          <cell r="D1672"/>
        </row>
        <row r="1673">
          <cell r="B1673"/>
          <cell r="D1673"/>
        </row>
        <row r="1674">
          <cell r="B1674"/>
          <cell r="D1674"/>
        </row>
        <row r="1675">
          <cell r="B1675"/>
          <cell r="D1675"/>
        </row>
        <row r="1676">
          <cell r="B1676"/>
          <cell r="D1676"/>
        </row>
        <row r="1677">
          <cell r="B1677"/>
          <cell r="D1677"/>
        </row>
        <row r="1678">
          <cell r="B1678"/>
          <cell r="D1678"/>
        </row>
        <row r="1679">
          <cell r="B1679"/>
          <cell r="D1679"/>
        </row>
        <row r="1680">
          <cell r="B1680"/>
          <cell r="D1680"/>
        </row>
        <row r="1681">
          <cell r="B1681"/>
          <cell r="D1681"/>
        </row>
        <row r="1682">
          <cell r="B1682"/>
          <cell r="D1682"/>
        </row>
        <row r="1683">
          <cell r="B1683"/>
          <cell r="D1683"/>
        </row>
        <row r="1684">
          <cell r="B1684"/>
          <cell r="D1684"/>
        </row>
        <row r="1685">
          <cell r="B1685"/>
          <cell r="D1685"/>
        </row>
        <row r="1686">
          <cell r="B1686"/>
          <cell r="D1686"/>
        </row>
        <row r="1687">
          <cell r="B1687"/>
          <cell r="D1687"/>
        </row>
        <row r="1688">
          <cell r="B1688"/>
          <cell r="D1688"/>
        </row>
        <row r="1689">
          <cell r="B1689"/>
          <cell r="D1689"/>
        </row>
        <row r="1690">
          <cell r="B1690"/>
          <cell r="D1690"/>
        </row>
        <row r="1691">
          <cell r="B1691"/>
          <cell r="D1691"/>
        </row>
        <row r="1692">
          <cell r="B1692"/>
          <cell r="D1692"/>
        </row>
        <row r="1693">
          <cell r="B1693"/>
          <cell r="D1693"/>
        </row>
        <row r="1694">
          <cell r="B1694"/>
          <cell r="D1694"/>
        </row>
        <row r="1695">
          <cell r="B1695"/>
          <cell r="D1695"/>
        </row>
        <row r="1696">
          <cell r="B1696"/>
          <cell r="D1696"/>
        </row>
        <row r="1697">
          <cell r="B1697"/>
          <cell r="D1697"/>
        </row>
        <row r="1698">
          <cell r="B1698"/>
          <cell r="D1698"/>
        </row>
        <row r="1699">
          <cell r="B1699"/>
          <cell r="D1699"/>
        </row>
        <row r="1700">
          <cell r="B1700"/>
          <cell r="D1700"/>
        </row>
        <row r="1701">
          <cell r="B1701"/>
          <cell r="D1701"/>
        </row>
        <row r="1702">
          <cell r="B1702"/>
          <cell r="D1702"/>
        </row>
        <row r="1703">
          <cell r="B1703"/>
          <cell r="D1703"/>
        </row>
        <row r="1704">
          <cell r="B1704"/>
          <cell r="D1704"/>
        </row>
        <row r="1705">
          <cell r="B1705"/>
          <cell r="D1705"/>
        </row>
        <row r="1706">
          <cell r="B1706"/>
          <cell r="D1706"/>
        </row>
        <row r="1707">
          <cell r="B1707"/>
          <cell r="D1707"/>
        </row>
        <row r="1708">
          <cell r="B1708"/>
          <cell r="D1708"/>
        </row>
        <row r="1709">
          <cell r="B1709"/>
          <cell r="D1709"/>
        </row>
        <row r="1710">
          <cell r="B1710"/>
          <cell r="D1710"/>
        </row>
        <row r="1711">
          <cell r="B1711"/>
          <cell r="D1711"/>
        </row>
        <row r="1712">
          <cell r="B1712"/>
          <cell r="D1712"/>
        </row>
        <row r="1713">
          <cell r="B1713"/>
          <cell r="D1713"/>
        </row>
        <row r="1714">
          <cell r="B1714"/>
          <cell r="D1714"/>
        </row>
        <row r="1715">
          <cell r="B1715"/>
          <cell r="D1715"/>
        </row>
        <row r="1716">
          <cell r="B1716"/>
          <cell r="D1716"/>
        </row>
        <row r="1717">
          <cell r="B1717"/>
          <cell r="D1717"/>
        </row>
        <row r="1718">
          <cell r="B1718"/>
          <cell r="D1718"/>
        </row>
        <row r="1719">
          <cell r="B1719"/>
          <cell r="D1719"/>
        </row>
        <row r="1720">
          <cell r="B1720"/>
          <cell r="D1720"/>
        </row>
        <row r="1721">
          <cell r="B1721"/>
          <cell r="D1721"/>
        </row>
        <row r="1722">
          <cell r="B1722"/>
          <cell r="D1722"/>
        </row>
        <row r="1723">
          <cell r="B1723"/>
          <cell r="D1723"/>
        </row>
        <row r="1724">
          <cell r="B1724"/>
          <cell r="D1724"/>
        </row>
        <row r="1725">
          <cell r="B1725"/>
          <cell r="D1725"/>
        </row>
        <row r="1726">
          <cell r="B1726"/>
          <cell r="D1726"/>
        </row>
        <row r="1727">
          <cell r="B1727"/>
          <cell r="D1727"/>
        </row>
        <row r="1728">
          <cell r="B1728"/>
          <cell r="D1728"/>
        </row>
        <row r="1729">
          <cell r="B1729"/>
          <cell r="D1729"/>
        </row>
        <row r="1730">
          <cell r="B1730"/>
          <cell r="D1730"/>
        </row>
        <row r="1731">
          <cell r="B1731"/>
          <cell r="D1731"/>
        </row>
        <row r="1732">
          <cell r="B1732"/>
          <cell r="D1732"/>
        </row>
        <row r="1733">
          <cell r="B1733"/>
          <cell r="D1733"/>
        </row>
        <row r="1734">
          <cell r="B1734"/>
          <cell r="D1734"/>
        </row>
        <row r="1735">
          <cell r="B1735"/>
          <cell r="D1735"/>
        </row>
        <row r="1736">
          <cell r="B1736"/>
          <cell r="D1736"/>
        </row>
        <row r="1737">
          <cell r="B1737"/>
          <cell r="D1737"/>
        </row>
        <row r="1738">
          <cell r="B1738"/>
          <cell r="D1738"/>
        </row>
        <row r="1739">
          <cell r="B1739"/>
          <cell r="D1739"/>
        </row>
        <row r="1740">
          <cell r="B1740"/>
          <cell r="D1740"/>
        </row>
        <row r="1741">
          <cell r="B1741"/>
          <cell r="D1741"/>
        </row>
        <row r="1742">
          <cell r="B1742"/>
          <cell r="D1742"/>
        </row>
        <row r="1743">
          <cell r="B1743"/>
          <cell r="D1743"/>
        </row>
        <row r="1744">
          <cell r="B1744"/>
          <cell r="D1744"/>
        </row>
        <row r="1745">
          <cell r="B1745"/>
          <cell r="D1745"/>
        </row>
        <row r="1746">
          <cell r="B1746"/>
          <cell r="D1746"/>
        </row>
        <row r="1747">
          <cell r="B1747"/>
          <cell r="D1747"/>
        </row>
        <row r="1748">
          <cell r="B1748"/>
          <cell r="D1748"/>
        </row>
        <row r="1749">
          <cell r="B1749"/>
          <cell r="D1749"/>
        </row>
        <row r="1750">
          <cell r="B1750"/>
          <cell r="D1750"/>
        </row>
        <row r="1751">
          <cell r="B1751"/>
          <cell r="D1751"/>
        </row>
        <row r="1752">
          <cell r="B1752"/>
          <cell r="D1752"/>
        </row>
        <row r="1753">
          <cell r="B1753"/>
          <cell r="D1753"/>
        </row>
        <row r="1754">
          <cell r="B1754"/>
          <cell r="D1754"/>
        </row>
        <row r="1755">
          <cell r="B1755"/>
          <cell r="D1755"/>
        </row>
        <row r="1756">
          <cell r="B1756"/>
          <cell r="D1756"/>
        </row>
        <row r="1757">
          <cell r="B1757"/>
          <cell r="D1757"/>
        </row>
        <row r="1758">
          <cell r="B1758"/>
          <cell r="D1758"/>
        </row>
        <row r="1759">
          <cell r="B1759"/>
          <cell r="D1759"/>
        </row>
        <row r="1760">
          <cell r="B1760"/>
          <cell r="D1760"/>
        </row>
        <row r="1761">
          <cell r="B1761"/>
          <cell r="D1761"/>
        </row>
        <row r="1762">
          <cell r="B1762"/>
          <cell r="D1762"/>
        </row>
        <row r="1763">
          <cell r="B1763"/>
          <cell r="D1763"/>
        </row>
        <row r="1764">
          <cell r="B1764"/>
          <cell r="D1764"/>
        </row>
        <row r="1765">
          <cell r="B1765"/>
          <cell r="D1765"/>
        </row>
        <row r="1766">
          <cell r="B1766"/>
          <cell r="D1766"/>
        </row>
        <row r="1767">
          <cell r="B1767"/>
          <cell r="D1767"/>
        </row>
        <row r="1768">
          <cell r="B1768"/>
          <cell r="D1768"/>
        </row>
        <row r="1769">
          <cell r="B1769"/>
          <cell r="D1769"/>
        </row>
        <row r="1770">
          <cell r="B1770"/>
          <cell r="D1770"/>
        </row>
        <row r="1771">
          <cell r="B1771"/>
          <cell r="D1771"/>
        </row>
        <row r="1772">
          <cell r="B1772"/>
          <cell r="D1772"/>
        </row>
        <row r="1773">
          <cell r="B1773"/>
          <cell r="D1773"/>
        </row>
        <row r="1774">
          <cell r="B1774"/>
          <cell r="D1774"/>
        </row>
        <row r="1775">
          <cell r="B1775"/>
          <cell r="D1775"/>
        </row>
        <row r="1776">
          <cell r="B1776"/>
          <cell r="D1776"/>
        </row>
        <row r="1777">
          <cell r="B1777"/>
          <cell r="D1777"/>
        </row>
        <row r="1778">
          <cell r="B1778"/>
          <cell r="D1778"/>
        </row>
        <row r="1779">
          <cell r="B1779"/>
          <cell r="D1779"/>
        </row>
        <row r="1780">
          <cell r="B1780"/>
          <cell r="D1780"/>
        </row>
        <row r="1781">
          <cell r="B1781"/>
          <cell r="D1781"/>
        </row>
        <row r="1782">
          <cell r="B1782"/>
          <cell r="D1782"/>
        </row>
        <row r="1783">
          <cell r="B1783"/>
          <cell r="D1783"/>
        </row>
        <row r="1784">
          <cell r="B1784"/>
          <cell r="D1784"/>
        </row>
        <row r="1785">
          <cell r="B1785"/>
          <cell r="D1785"/>
        </row>
        <row r="1786">
          <cell r="B1786"/>
          <cell r="D1786"/>
        </row>
        <row r="1787">
          <cell r="B1787"/>
          <cell r="D1787"/>
        </row>
        <row r="1788">
          <cell r="B1788"/>
          <cell r="D1788"/>
        </row>
        <row r="1789">
          <cell r="B1789"/>
          <cell r="D1789"/>
        </row>
        <row r="1790">
          <cell r="B1790"/>
          <cell r="D1790"/>
        </row>
        <row r="1791">
          <cell r="B1791"/>
          <cell r="D1791"/>
        </row>
        <row r="1792">
          <cell r="B1792"/>
          <cell r="D1792"/>
        </row>
        <row r="1793">
          <cell r="B1793"/>
          <cell r="D1793"/>
        </row>
        <row r="1794">
          <cell r="B1794"/>
          <cell r="D1794"/>
        </row>
        <row r="1795">
          <cell r="B1795"/>
          <cell r="D1795"/>
        </row>
        <row r="1796">
          <cell r="B1796"/>
          <cell r="D1796"/>
        </row>
        <row r="1797">
          <cell r="B1797"/>
          <cell r="D1797"/>
        </row>
        <row r="1798">
          <cell r="B1798"/>
          <cell r="D1798"/>
        </row>
        <row r="1799">
          <cell r="B1799"/>
          <cell r="D1799"/>
        </row>
        <row r="1800">
          <cell r="B1800"/>
          <cell r="D1800"/>
        </row>
        <row r="1801">
          <cell r="B1801"/>
          <cell r="D1801"/>
        </row>
        <row r="1802">
          <cell r="B1802"/>
          <cell r="D1802"/>
        </row>
        <row r="1803">
          <cell r="B1803"/>
          <cell r="D1803"/>
        </row>
        <row r="1804">
          <cell r="B1804"/>
          <cell r="D1804"/>
        </row>
        <row r="1805">
          <cell r="B1805"/>
          <cell r="D1805"/>
        </row>
        <row r="1806">
          <cell r="B1806"/>
          <cell r="D1806"/>
        </row>
        <row r="1807">
          <cell r="B1807"/>
          <cell r="D1807"/>
        </row>
        <row r="1808">
          <cell r="B1808"/>
          <cell r="D1808"/>
        </row>
        <row r="1809">
          <cell r="B1809"/>
          <cell r="D1809"/>
        </row>
        <row r="1810">
          <cell r="B1810"/>
          <cell r="D1810"/>
        </row>
        <row r="1811">
          <cell r="B1811"/>
          <cell r="D1811"/>
        </row>
        <row r="1812">
          <cell r="B1812"/>
          <cell r="D1812"/>
        </row>
        <row r="1813">
          <cell r="B1813"/>
          <cell r="D1813"/>
        </row>
        <row r="1814">
          <cell r="B1814"/>
          <cell r="D1814"/>
        </row>
        <row r="1815">
          <cell r="B1815"/>
          <cell r="D1815"/>
        </row>
        <row r="1816">
          <cell r="B1816"/>
          <cell r="D1816"/>
        </row>
        <row r="1817">
          <cell r="B1817"/>
          <cell r="D1817"/>
        </row>
        <row r="1818">
          <cell r="B1818"/>
          <cell r="D1818"/>
        </row>
        <row r="1819">
          <cell r="B1819"/>
          <cell r="D1819"/>
        </row>
        <row r="1820">
          <cell r="B1820"/>
          <cell r="D1820"/>
        </row>
        <row r="1821">
          <cell r="B1821"/>
          <cell r="D1821"/>
        </row>
        <row r="1822">
          <cell r="B1822"/>
          <cell r="D1822"/>
        </row>
        <row r="1823">
          <cell r="B1823"/>
          <cell r="D1823"/>
        </row>
        <row r="1824">
          <cell r="B1824"/>
          <cell r="D1824"/>
        </row>
        <row r="1825">
          <cell r="B1825"/>
          <cell r="D1825"/>
        </row>
        <row r="1826">
          <cell r="B1826"/>
          <cell r="D1826"/>
        </row>
        <row r="1827">
          <cell r="B1827"/>
          <cell r="D1827"/>
        </row>
        <row r="1828">
          <cell r="B1828"/>
          <cell r="D1828"/>
        </row>
        <row r="1829">
          <cell r="B1829"/>
          <cell r="D1829"/>
        </row>
        <row r="1830">
          <cell r="B1830"/>
          <cell r="D1830"/>
        </row>
        <row r="1831">
          <cell r="B1831"/>
          <cell r="D1831"/>
        </row>
        <row r="1832">
          <cell r="B1832"/>
          <cell r="D1832"/>
        </row>
        <row r="1833">
          <cell r="B1833"/>
          <cell r="D1833"/>
        </row>
        <row r="1834">
          <cell r="B1834"/>
          <cell r="D1834"/>
        </row>
        <row r="1835">
          <cell r="B1835"/>
          <cell r="D1835"/>
        </row>
        <row r="1836">
          <cell r="B1836"/>
          <cell r="D1836"/>
        </row>
        <row r="1837">
          <cell r="B1837"/>
          <cell r="D1837"/>
        </row>
        <row r="1838">
          <cell r="B1838"/>
          <cell r="D1838"/>
        </row>
        <row r="1839">
          <cell r="B1839"/>
          <cell r="D1839"/>
        </row>
        <row r="1840">
          <cell r="B1840"/>
          <cell r="D1840"/>
        </row>
        <row r="1841">
          <cell r="B1841"/>
          <cell r="D1841"/>
        </row>
        <row r="1842">
          <cell r="B1842"/>
          <cell r="D1842"/>
        </row>
        <row r="1843">
          <cell r="B1843"/>
          <cell r="D1843"/>
        </row>
        <row r="1844">
          <cell r="B1844"/>
          <cell r="D1844"/>
        </row>
        <row r="1845">
          <cell r="B1845"/>
          <cell r="D1845"/>
        </row>
        <row r="1846">
          <cell r="B1846"/>
          <cell r="D1846"/>
        </row>
        <row r="1847">
          <cell r="B1847"/>
          <cell r="D1847"/>
        </row>
        <row r="1848">
          <cell r="B1848"/>
          <cell r="D1848"/>
        </row>
        <row r="1849">
          <cell r="B1849"/>
          <cell r="D1849"/>
        </row>
        <row r="1850">
          <cell r="B1850"/>
          <cell r="D1850"/>
        </row>
        <row r="1851">
          <cell r="B1851"/>
          <cell r="D1851"/>
        </row>
        <row r="1852">
          <cell r="B1852"/>
          <cell r="D1852"/>
        </row>
        <row r="1853">
          <cell r="B1853"/>
          <cell r="D1853"/>
        </row>
        <row r="1854">
          <cell r="B1854"/>
          <cell r="D1854"/>
        </row>
        <row r="1855">
          <cell r="B1855"/>
          <cell r="D1855"/>
        </row>
        <row r="1856">
          <cell r="B1856"/>
          <cell r="D1856"/>
        </row>
        <row r="1857">
          <cell r="B1857"/>
          <cell r="D1857"/>
        </row>
        <row r="1858">
          <cell r="B1858"/>
          <cell r="D1858"/>
        </row>
        <row r="1859">
          <cell r="B1859"/>
          <cell r="D1859"/>
        </row>
        <row r="1860">
          <cell r="B1860"/>
          <cell r="D1860"/>
        </row>
        <row r="1861">
          <cell r="B1861"/>
          <cell r="D1861"/>
        </row>
        <row r="1862">
          <cell r="B1862"/>
          <cell r="D1862"/>
        </row>
        <row r="1863">
          <cell r="B1863"/>
          <cell r="D1863"/>
        </row>
        <row r="1864">
          <cell r="B1864"/>
          <cell r="D1864"/>
        </row>
        <row r="1865">
          <cell r="B1865"/>
          <cell r="D1865"/>
        </row>
        <row r="1866">
          <cell r="B1866"/>
          <cell r="D1866"/>
        </row>
        <row r="1867">
          <cell r="B1867"/>
          <cell r="D1867"/>
        </row>
        <row r="1868">
          <cell r="B1868"/>
          <cell r="D1868"/>
        </row>
        <row r="1869">
          <cell r="B1869"/>
          <cell r="D1869"/>
        </row>
        <row r="1870">
          <cell r="B1870"/>
          <cell r="D1870"/>
        </row>
        <row r="1871">
          <cell r="B1871"/>
          <cell r="D1871"/>
        </row>
        <row r="1872">
          <cell r="B1872"/>
          <cell r="D1872"/>
        </row>
        <row r="1873">
          <cell r="B1873"/>
          <cell r="D1873"/>
        </row>
        <row r="1874">
          <cell r="B1874"/>
          <cell r="D1874"/>
        </row>
        <row r="1875">
          <cell r="B1875"/>
          <cell r="D1875"/>
        </row>
        <row r="1876">
          <cell r="B1876"/>
          <cell r="D1876"/>
        </row>
        <row r="1877">
          <cell r="B1877"/>
          <cell r="D1877"/>
        </row>
        <row r="1878">
          <cell r="B1878"/>
          <cell r="D1878"/>
        </row>
        <row r="1879">
          <cell r="B1879"/>
          <cell r="D1879"/>
        </row>
        <row r="1880">
          <cell r="B1880"/>
          <cell r="D1880"/>
        </row>
        <row r="1881">
          <cell r="B1881"/>
          <cell r="D1881"/>
        </row>
        <row r="1882">
          <cell r="B1882"/>
          <cell r="D1882"/>
        </row>
        <row r="1883">
          <cell r="B1883"/>
          <cell r="D1883"/>
        </row>
        <row r="1884">
          <cell r="B1884"/>
          <cell r="D1884"/>
        </row>
        <row r="1885">
          <cell r="B1885"/>
          <cell r="D1885"/>
        </row>
        <row r="1886">
          <cell r="B1886"/>
          <cell r="D1886"/>
        </row>
        <row r="1887">
          <cell r="B1887"/>
          <cell r="D1887"/>
        </row>
        <row r="1888">
          <cell r="B1888"/>
          <cell r="D1888"/>
        </row>
        <row r="1889">
          <cell r="B1889"/>
          <cell r="D1889"/>
        </row>
        <row r="1890">
          <cell r="B1890"/>
          <cell r="D1890"/>
        </row>
        <row r="1891">
          <cell r="B1891"/>
          <cell r="D1891"/>
        </row>
        <row r="1892">
          <cell r="B1892"/>
          <cell r="D1892"/>
        </row>
        <row r="1893">
          <cell r="B1893"/>
          <cell r="D1893"/>
        </row>
        <row r="1894">
          <cell r="B1894"/>
          <cell r="D1894"/>
        </row>
        <row r="1895">
          <cell r="B1895"/>
          <cell r="D1895"/>
        </row>
        <row r="1896">
          <cell r="B1896"/>
          <cell r="D1896"/>
        </row>
        <row r="1897">
          <cell r="B1897"/>
          <cell r="D1897"/>
        </row>
        <row r="1898">
          <cell r="B1898"/>
          <cell r="D1898"/>
        </row>
        <row r="1899">
          <cell r="B1899"/>
          <cell r="D1899"/>
        </row>
        <row r="1900">
          <cell r="B1900"/>
          <cell r="D1900"/>
        </row>
        <row r="1901">
          <cell r="B1901"/>
          <cell r="D1901"/>
        </row>
        <row r="1902">
          <cell r="B1902"/>
          <cell r="D1902"/>
        </row>
        <row r="1903">
          <cell r="B1903"/>
          <cell r="D1903"/>
        </row>
        <row r="1904">
          <cell r="B1904"/>
          <cell r="D1904"/>
        </row>
        <row r="1905">
          <cell r="B1905"/>
          <cell r="D1905"/>
        </row>
        <row r="1906">
          <cell r="B1906"/>
          <cell r="D1906"/>
        </row>
        <row r="1907">
          <cell r="B1907"/>
          <cell r="D1907"/>
        </row>
        <row r="1908">
          <cell r="B1908"/>
          <cell r="D1908"/>
        </row>
        <row r="1909">
          <cell r="B1909"/>
          <cell r="D1909"/>
        </row>
        <row r="1910">
          <cell r="B1910"/>
          <cell r="D1910"/>
        </row>
        <row r="1911">
          <cell r="B1911"/>
          <cell r="D1911"/>
        </row>
        <row r="1912">
          <cell r="B1912"/>
          <cell r="D1912"/>
        </row>
        <row r="1913">
          <cell r="B1913"/>
          <cell r="D1913"/>
        </row>
        <row r="1914">
          <cell r="B1914"/>
          <cell r="D1914"/>
        </row>
        <row r="1915">
          <cell r="B1915"/>
          <cell r="D1915"/>
        </row>
        <row r="1916">
          <cell r="B1916"/>
          <cell r="D1916"/>
        </row>
        <row r="1917">
          <cell r="B1917"/>
          <cell r="D1917"/>
        </row>
        <row r="1918">
          <cell r="B1918"/>
          <cell r="D1918"/>
        </row>
        <row r="1919">
          <cell r="B1919"/>
          <cell r="D1919"/>
        </row>
        <row r="1920">
          <cell r="B1920"/>
          <cell r="D1920"/>
        </row>
        <row r="1921">
          <cell r="B1921"/>
          <cell r="D1921"/>
        </row>
        <row r="1922">
          <cell r="B1922"/>
          <cell r="D1922"/>
        </row>
        <row r="1923">
          <cell r="B1923"/>
          <cell r="D1923"/>
        </row>
        <row r="1924">
          <cell r="B1924"/>
          <cell r="D1924"/>
        </row>
        <row r="1925">
          <cell r="B1925"/>
          <cell r="D1925"/>
        </row>
        <row r="1926">
          <cell r="B1926"/>
          <cell r="D1926"/>
        </row>
        <row r="1927">
          <cell r="B1927"/>
          <cell r="D1927"/>
        </row>
        <row r="1928">
          <cell r="B1928"/>
          <cell r="D1928"/>
        </row>
        <row r="1929">
          <cell r="B1929"/>
          <cell r="D1929"/>
        </row>
        <row r="1930">
          <cell r="B1930"/>
          <cell r="D1930"/>
        </row>
        <row r="1931">
          <cell r="B1931"/>
          <cell r="D1931"/>
        </row>
        <row r="1932">
          <cell r="B1932"/>
          <cell r="D1932"/>
        </row>
        <row r="1933">
          <cell r="B1933"/>
          <cell r="D1933"/>
        </row>
        <row r="1934">
          <cell r="B1934"/>
          <cell r="D1934"/>
        </row>
        <row r="1935">
          <cell r="B1935"/>
          <cell r="D1935"/>
        </row>
        <row r="1936">
          <cell r="B1936"/>
          <cell r="D1936"/>
        </row>
        <row r="1937">
          <cell r="B1937"/>
          <cell r="D1937"/>
        </row>
        <row r="1938">
          <cell r="B1938"/>
          <cell r="D1938"/>
        </row>
        <row r="1939">
          <cell r="B1939"/>
          <cell r="D1939"/>
        </row>
        <row r="1940">
          <cell r="B1940"/>
          <cell r="D1940"/>
        </row>
        <row r="1941">
          <cell r="B1941"/>
          <cell r="D1941"/>
        </row>
        <row r="1942">
          <cell r="B1942"/>
          <cell r="D1942"/>
        </row>
        <row r="1943">
          <cell r="B1943"/>
          <cell r="D1943"/>
        </row>
        <row r="1944">
          <cell r="B1944"/>
          <cell r="D1944"/>
        </row>
        <row r="1945">
          <cell r="B1945"/>
          <cell r="D1945"/>
        </row>
        <row r="1946">
          <cell r="B1946"/>
          <cell r="D1946"/>
        </row>
        <row r="1947">
          <cell r="B1947"/>
          <cell r="D1947"/>
        </row>
        <row r="1948">
          <cell r="B1948"/>
          <cell r="D1948"/>
        </row>
        <row r="1949">
          <cell r="B1949"/>
          <cell r="D1949"/>
        </row>
        <row r="1950">
          <cell r="B1950"/>
          <cell r="D1950"/>
        </row>
        <row r="1951">
          <cell r="B1951"/>
          <cell r="D1951"/>
        </row>
        <row r="1952">
          <cell r="B1952"/>
          <cell r="D1952"/>
        </row>
        <row r="1953">
          <cell r="B1953"/>
          <cell r="D1953"/>
        </row>
        <row r="1954">
          <cell r="B1954"/>
          <cell r="D1954"/>
        </row>
        <row r="1955">
          <cell r="B1955"/>
          <cell r="D1955"/>
        </row>
        <row r="1956">
          <cell r="B1956"/>
          <cell r="D1956"/>
        </row>
        <row r="1957">
          <cell r="B1957"/>
          <cell r="D1957"/>
        </row>
        <row r="1958">
          <cell r="B1958"/>
          <cell r="D1958"/>
        </row>
        <row r="1959">
          <cell r="B1959"/>
          <cell r="D1959"/>
        </row>
        <row r="1960">
          <cell r="B1960"/>
          <cell r="D1960"/>
        </row>
        <row r="1961">
          <cell r="B1961"/>
          <cell r="D1961"/>
        </row>
        <row r="1962">
          <cell r="B1962"/>
          <cell r="D1962"/>
        </row>
        <row r="1963">
          <cell r="B1963"/>
          <cell r="D1963"/>
        </row>
        <row r="1964">
          <cell r="B1964"/>
          <cell r="D1964"/>
        </row>
        <row r="1965">
          <cell r="B1965"/>
          <cell r="D1965"/>
        </row>
        <row r="1966">
          <cell r="B1966"/>
          <cell r="D1966"/>
        </row>
        <row r="1967">
          <cell r="B1967"/>
          <cell r="D1967"/>
        </row>
        <row r="1968">
          <cell r="B1968"/>
          <cell r="D1968"/>
        </row>
        <row r="1969">
          <cell r="B1969"/>
          <cell r="D1969"/>
        </row>
        <row r="1970">
          <cell r="B1970"/>
          <cell r="D1970"/>
        </row>
        <row r="1971">
          <cell r="B1971"/>
          <cell r="D1971"/>
        </row>
        <row r="1972">
          <cell r="B1972"/>
          <cell r="D1972"/>
        </row>
        <row r="1973">
          <cell r="B1973"/>
          <cell r="D1973"/>
        </row>
        <row r="1974">
          <cell r="B1974"/>
          <cell r="D1974"/>
        </row>
        <row r="1975">
          <cell r="B1975"/>
          <cell r="D1975"/>
        </row>
        <row r="1976">
          <cell r="B1976"/>
          <cell r="D1976"/>
        </row>
        <row r="1977">
          <cell r="B1977"/>
          <cell r="D1977"/>
        </row>
        <row r="1978">
          <cell r="B1978"/>
          <cell r="D1978"/>
        </row>
        <row r="1979">
          <cell r="B1979"/>
          <cell r="D1979"/>
        </row>
        <row r="1980">
          <cell r="B1980"/>
          <cell r="D1980"/>
        </row>
        <row r="1981">
          <cell r="B1981"/>
          <cell r="D1981"/>
        </row>
        <row r="1982">
          <cell r="B1982"/>
          <cell r="D1982"/>
        </row>
        <row r="1983">
          <cell r="B1983"/>
          <cell r="D1983"/>
        </row>
        <row r="1984">
          <cell r="B1984"/>
          <cell r="D1984"/>
        </row>
        <row r="1985">
          <cell r="B1985"/>
          <cell r="D1985"/>
        </row>
        <row r="1986">
          <cell r="B1986"/>
          <cell r="D1986"/>
        </row>
        <row r="1987">
          <cell r="B1987"/>
          <cell r="D1987"/>
        </row>
        <row r="1988">
          <cell r="B1988"/>
          <cell r="D1988"/>
        </row>
        <row r="1989">
          <cell r="B1989"/>
          <cell r="D1989"/>
        </row>
        <row r="1990">
          <cell r="B1990"/>
          <cell r="D1990"/>
        </row>
        <row r="1991">
          <cell r="B1991"/>
          <cell r="D1991"/>
        </row>
        <row r="1992">
          <cell r="B1992"/>
          <cell r="D1992"/>
        </row>
        <row r="1993">
          <cell r="B1993"/>
          <cell r="D1993"/>
        </row>
        <row r="1994">
          <cell r="B1994"/>
          <cell r="D1994"/>
        </row>
        <row r="1995">
          <cell r="B1995"/>
          <cell r="D1995"/>
        </row>
        <row r="1996">
          <cell r="B1996"/>
          <cell r="D1996"/>
        </row>
        <row r="1997">
          <cell r="B1997"/>
          <cell r="D1997"/>
        </row>
        <row r="1998">
          <cell r="B1998"/>
          <cell r="D1998"/>
        </row>
        <row r="1999">
          <cell r="B1999"/>
          <cell r="D1999"/>
        </row>
        <row r="2000">
          <cell r="B2000"/>
          <cell r="D2000"/>
        </row>
        <row r="2001">
          <cell r="B2001"/>
          <cell r="D2001"/>
        </row>
        <row r="2002">
          <cell r="B2002"/>
          <cell r="D2002"/>
        </row>
        <row r="2003">
          <cell r="B2003"/>
          <cell r="D2003"/>
        </row>
        <row r="2004">
          <cell r="B2004"/>
          <cell r="D2004"/>
        </row>
        <row r="2005">
          <cell r="B2005"/>
          <cell r="D2005"/>
        </row>
        <row r="2006">
          <cell r="B2006"/>
          <cell r="D2006"/>
        </row>
        <row r="2007">
          <cell r="B2007"/>
          <cell r="D2007"/>
        </row>
        <row r="2008">
          <cell r="B2008"/>
          <cell r="D2008"/>
        </row>
        <row r="2009">
          <cell r="B2009"/>
          <cell r="D2009"/>
        </row>
        <row r="2010">
          <cell r="B2010"/>
          <cell r="D2010"/>
        </row>
        <row r="2011">
          <cell r="B2011"/>
          <cell r="D2011"/>
        </row>
        <row r="2012">
          <cell r="B2012"/>
          <cell r="D2012"/>
        </row>
        <row r="2013">
          <cell r="B2013"/>
          <cell r="D2013"/>
        </row>
        <row r="2014">
          <cell r="B2014"/>
          <cell r="D2014"/>
        </row>
        <row r="2015">
          <cell r="B2015"/>
          <cell r="D2015"/>
        </row>
        <row r="2016">
          <cell r="B2016"/>
          <cell r="D2016"/>
        </row>
        <row r="2017">
          <cell r="B2017"/>
          <cell r="D2017"/>
        </row>
        <row r="2018">
          <cell r="B2018"/>
          <cell r="D2018"/>
        </row>
        <row r="2019">
          <cell r="B2019"/>
          <cell r="D2019"/>
        </row>
        <row r="2020">
          <cell r="B2020"/>
          <cell r="D2020"/>
        </row>
        <row r="2021">
          <cell r="B2021"/>
          <cell r="D2021"/>
        </row>
        <row r="2022">
          <cell r="B2022"/>
          <cell r="D2022"/>
        </row>
        <row r="2023">
          <cell r="B2023"/>
          <cell r="D2023"/>
        </row>
        <row r="2024">
          <cell r="B2024"/>
          <cell r="D2024"/>
        </row>
        <row r="2025">
          <cell r="B2025"/>
          <cell r="D2025"/>
        </row>
        <row r="2026">
          <cell r="B2026"/>
          <cell r="D2026"/>
        </row>
        <row r="2027">
          <cell r="B2027"/>
          <cell r="D2027"/>
        </row>
        <row r="2028">
          <cell r="B2028"/>
          <cell r="D2028"/>
        </row>
        <row r="2029">
          <cell r="B2029"/>
          <cell r="D2029"/>
        </row>
        <row r="2030">
          <cell r="B2030"/>
          <cell r="D2030"/>
        </row>
        <row r="2031">
          <cell r="B2031"/>
          <cell r="D2031"/>
        </row>
        <row r="2032">
          <cell r="B2032"/>
          <cell r="D2032"/>
        </row>
        <row r="2033">
          <cell r="B2033"/>
          <cell r="D2033"/>
        </row>
        <row r="2034">
          <cell r="B2034"/>
          <cell r="D2034"/>
        </row>
        <row r="2035">
          <cell r="B2035"/>
          <cell r="D2035"/>
        </row>
        <row r="2036">
          <cell r="B2036"/>
          <cell r="D2036"/>
        </row>
        <row r="2037">
          <cell r="B2037"/>
          <cell r="D2037"/>
        </row>
        <row r="2038">
          <cell r="B2038"/>
          <cell r="D2038"/>
        </row>
        <row r="2039">
          <cell r="B2039"/>
          <cell r="D2039"/>
        </row>
        <row r="2040">
          <cell r="B2040"/>
          <cell r="D2040"/>
        </row>
        <row r="2041">
          <cell r="B2041"/>
          <cell r="D2041"/>
        </row>
        <row r="2042">
          <cell r="B2042"/>
          <cell r="D2042"/>
        </row>
        <row r="2043">
          <cell r="B2043"/>
          <cell r="D2043"/>
        </row>
        <row r="2044">
          <cell r="B2044"/>
          <cell r="D2044"/>
        </row>
        <row r="2045">
          <cell r="B2045"/>
          <cell r="D2045"/>
        </row>
        <row r="2046">
          <cell r="B2046"/>
          <cell r="D2046"/>
        </row>
        <row r="2047">
          <cell r="B2047"/>
          <cell r="D2047"/>
        </row>
        <row r="2048">
          <cell r="B2048"/>
          <cell r="D2048"/>
        </row>
        <row r="2049">
          <cell r="B2049"/>
          <cell r="D2049"/>
        </row>
        <row r="2050">
          <cell r="B2050"/>
          <cell r="D2050"/>
        </row>
        <row r="2051">
          <cell r="B2051"/>
          <cell r="D2051"/>
        </row>
        <row r="2052">
          <cell r="B2052"/>
          <cell r="D2052"/>
        </row>
        <row r="2053">
          <cell r="B2053"/>
          <cell r="D2053"/>
        </row>
        <row r="2054">
          <cell r="B2054"/>
          <cell r="D2054"/>
        </row>
        <row r="2055">
          <cell r="B2055"/>
          <cell r="D2055"/>
        </row>
        <row r="2056">
          <cell r="B2056"/>
          <cell r="D2056"/>
        </row>
        <row r="2057">
          <cell r="B2057"/>
          <cell r="D2057"/>
        </row>
        <row r="2058">
          <cell r="B2058"/>
          <cell r="D2058"/>
        </row>
        <row r="2059">
          <cell r="B2059"/>
          <cell r="D2059"/>
        </row>
        <row r="2060">
          <cell r="B2060"/>
          <cell r="D2060"/>
        </row>
        <row r="2061">
          <cell r="B2061"/>
          <cell r="D2061"/>
        </row>
        <row r="2062">
          <cell r="B2062"/>
          <cell r="D2062"/>
        </row>
        <row r="2063">
          <cell r="B2063"/>
          <cell r="D2063"/>
        </row>
        <row r="2064">
          <cell r="B2064"/>
          <cell r="D2064"/>
        </row>
        <row r="2065">
          <cell r="B2065"/>
          <cell r="D2065"/>
        </row>
        <row r="2066">
          <cell r="B2066"/>
          <cell r="D2066"/>
        </row>
        <row r="2067">
          <cell r="B2067"/>
          <cell r="D2067"/>
        </row>
        <row r="2068">
          <cell r="B2068"/>
          <cell r="D2068"/>
        </row>
        <row r="2069">
          <cell r="B2069"/>
          <cell r="D2069"/>
        </row>
        <row r="2070">
          <cell r="B2070"/>
          <cell r="D2070"/>
        </row>
        <row r="2071">
          <cell r="B2071"/>
          <cell r="D2071"/>
        </row>
        <row r="2072">
          <cell r="B2072"/>
          <cell r="D2072"/>
        </row>
        <row r="2073">
          <cell r="B2073"/>
          <cell r="D2073"/>
        </row>
        <row r="2074">
          <cell r="B2074"/>
          <cell r="D2074"/>
        </row>
        <row r="2075">
          <cell r="B2075"/>
          <cell r="D2075"/>
        </row>
        <row r="2076">
          <cell r="B2076"/>
          <cell r="D2076"/>
        </row>
        <row r="2077">
          <cell r="B2077"/>
          <cell r="D2077"/>
        </row>
        <row r="2078">
          <cell r="B2078"/>
          <cell r="D2078"/>
        </row>
        <row r="2079">
          <cell r="B2079"/>
          <cell r="D2079"/>
        </row>
        <row r="2080">
          <cell r="B2080"/>
          <cell r="D2080"/>
        </row>
        <row r="2081">
          <cell r="B2081"/>
          <cell r="D2081"/>
        </row>
        <row r="2082">
          <cell r="B2082"/>
          <cell r="D2082"/>
        </row>
        <row r="2083">
          <cell r="B2083"/>
          <cell r="D2083"/>
        </row>
        <row r="2084">
          <cell r="B2084"/>
          <cell r="D2084"/>
        </row>
        <row r="2085">
          <cell r="B2085"/>
          <cell r="D2085"/>
        </row>
        <row r="2086">
          <cell r="B2086"/>
          <cell r="D2086"/>
        </row>
        <row r="2087">
          <cell r="B2087"/>
          <cell r="D2087"/>
        </row>
        <row r="2088">
          <cell r="B2088"/>
          <cell r="D2088"/>
        </row>
        <row r="2089">
          <cell r="B2089"/>
          <cell r="D2089"/>
        </row>
        <row r="2090">
          <cell r="B2090"/>
          <cell r="D2090"/>
        </row>
        <row r="2091">
          <cell r="B2091"/>
          <cell r="D2091"/>
        </row>
        <row r="2092">
          <cell r="B2092"/>
          <cell r="D2092"/>
        </row>
        <row r="2093">
          <cell r="B2093"/>
          <cell r="D2093"/>
        </row>
        <row r="2094">
          <cell r="B2094"/>
          <cell r="D2094"/>
        </row>
        <row r="2095">
          <cell r="B2095"/>
          <cell r="D2095"/>
        </row>
        <row r="2096">
          <cell r="B2096"/>
          <cell r="D2096"/>
        </row>
        <row r="2097">
          <cell r="B2097"/>
          <cell r="D2097"/>
        </row>
        <row r="2098">
          <cell r="B2098"/>
          <cell r="D2098"/>
        </row>
        <row r="2099">
          <cell r="B2099"/>
          <cell r="D2099"/>
        </row>
        <row r="2100">
          <cell r="B2100"/>
          <cell r="D2100"/>
        </row>
        <row r="2101">
          <cell r="B2101"/>
          <cell r="D2101"/>
        </row>
        <row r="2102">
          <cell r="B2102"/>
          <cell r="D2102"/>
        </row>
        <row r="2103">
          <cell r="B2103"/>
          <cell r="D2103"/>
        </row>
        <row r="2104">
          <cell r="B2104"/>
          <cell r="D2104"/>
        </row>
        <row r="2105">
          <cell r="B2105"/>
          <cell r="D2105"/>
        </row>
        <row r="2106">
          <cell r="B2106"/>
          <cell r="D2106"/>
        </row>
        <row r="2107">
          <cell r="B2107"/>
          <cell r="D2107"/>
        </row>
        <row r="2108">
          <cell r="B2108"/>
          <cell r="D2108"/>
        </row>
        <row r="2109">
          <cell r="B2109"/>
          <cell r="D2109"/>
        </row>
        <row r="2110">
          <cell r="B2110"/>
          <cell r="D2110"/>
        </row>
        <row r="2111">
          <cell r="B2111"/>
          <cell r="D2111"/>
        </row>
        <row r="2112">
          <cell r="B2112"/>
          <cell r="D2112"/>
        </row>
        <row r="2113">
          <cell r="B2113"/>
          <cell r="D2113"/>
        </row>
        <row r="2114">
          <cell r="B2114"/>
          <cell r="D2114"/>
        </row>
        <row r="2115">
          <cell r="B2115"/>
          <cell r="D2115"/>
        </row>
        <row r="2116">
          <cell r="B2116"/>
          <cell r="D2116"/>
        </row>
        <row r="2117">
          <cell r="B2117"/>
          <cell r="D2117"/>
        </row>
        <row r="2118">
          <cell r="B2118"/>
          <cell r="D2118"/>
        </row>
        <row r="2119">
          <cell r="B2119"/>
          <cell r="D2119"/>
        </row>
        <row r="2120">
          <cell r="B2120"/>
          <cell r="D2120"/>
        </row>
        <row r="2121">
          <cell r="B2121"/>
          <cell r="D2121"/>
        </row>
        <row r="2122">
          <cell r="B2122"/>
          <cell r="D2122"/>
        </row>
        <row r="2123">
          <cell r="B2123"/>
          <cell r="D2123"/>
        </row>
        <row r="2124">
          <cell r="B2124"/>
          <cell r="D2124"/>
        </row>
        <row r="2125">
          <cell r="B2125"/>
          <cell r="D2125"/>
        </row>
        <row r="2126">
          <cell r="B2126"/>
          <cell r="D2126"/>
        </row>
        <row r="2127">
          <cell r="B2127"/>
          <cell r="D2127"/>
        </row>
        <row r="2128">
          <cell r="B2128"/>
          <cell r="D2128"/>
        </row>
        <row r="2129">
          <cell r="B2129"/>
          <cell r="D2129"/>
        </row>
        <row r="2130">
          <cell r="B2130"/>
          <cell r="D2130"/>
        </row>
        <row r="2131">
          <cell r="B2131"/>
          <cell r="D2131"/>
        </row>
        <row r="2132">
          <cell r="B2132"/>
          <cell r="D2132"/>
        </row>
        <row r="2133">
          <cell r="B2133"/>
          <cell r="D2133"/>
        </row>
        <row r="2134">
          <cell r="B2134"/>
          <cell r="D2134"/>
        </row>
        <row r="2135">
          <cell r="B2135"/>
          <cell r="D2135"/>
        </row>
        <row r="2136">
          <cell r="B2136"/>
          <cell r="D2136"/>
        </row>
        <row r="2137">
          <cell r="B2137"/>
          <cell r="D2137"/>
        </row>
        <row r="2138">
          <cell r="B2138"/>
          <cell r="D2138"/>
        </row>
        <row r="2139">
          <cell r="B2139"/>
          <cell r="D2139"/>
        </row>
        <row r="2140">
          <cell r="B2140"/>
          <cell r="D2140"/>
        </row>
        <row r="2141">
          <cell r="B2141"/>
          <cell r="D2141"/>
        </row>
        <row r="2142">
          <cell r="B2142"/>
          <cell r="D2142"/>
        </row>
        <row r="2143">
          <cell r="B2143"/>
          <cell r="D2143"/>
        </row>
        <row r="2144">
          <cell r="B2144"/>
          <cell r="D2144"/>
        </row>
        <row r="2145">
          <cell r="B2145"/>
          <cell r="D2145"/>
        </row>
        <row r="2146">
          <cell r="B2146"/>
          <cell r="D2146"/>
        </row>
        <row r="2147">
          <cell r="B2147"/>
          <cell r="D2147"/>
        </row>
        <row r="2148">
          <cell r="B2148"/>
          <cell r="D2148"/>
        </row>
        <row r="2149">
          <cell r="B2149"/>
          <cell r="D2149"/>
        </row>
        <row r="2150">
          <cell r="B2150"/>
          <cell r="D2150"/>
        </row>
        <row r="2151">
          <cell r="B2151"/>
          <cell r="D2151"/>
        </row>
        <row r="2152">
          <cell r="B2152"/>
          <cell r="D2152"/>
        </row>
        <row r="2153">
          <cell r="B2153"/>
          <cell r="D2153"/>
        </row>
        <row r="2154">
          <cell r="B2154"/>
          <cell r="D2154"/>
        </row>
        <row r="2155">
          <cell r="B2155"/>
          <cell r="D2155"/>
        </row>
        <row r="2156">
          <cell r="B2156"/>
          <cell r="D2156"/>
        </row>
        <row r="2157">
          <cell r="B2157"/>
          <cell r="D2157"/>
        </row>
        <row r="2158">
          <cell r="B2158"/>
          <cell r="D2158"/>
        </row>
        <row r="2159">
          <cell r="B2159"/>
          <cell r="D2159"/>
        </row>
        <row r="2160">
          <cell r="B2160"/>
          <cell r="D2160"/>
        </row>
        <row r="2161">
          <cell r="B2161"/>
          <cell r="D2161"/>
        </row>
        <row r="2162">
          <cell r="B2162"/>
          <cell r="D2162"/>
        </row>
        <row r="2163">
          <cell r="B2163"/>
          <cell r="D2163"/>
        </row>
        <row r="2164">
          <cell r="B2164"/>
          <cell r="D2164"/>
        </row>
        <row r="2165">
          <cell r="B2165"/>
          <cell r="D2165"/>
        </row>
        <row r="2166">
          <cell r="B2166"/>
          <cell r="D2166"/>
        </row>
        <row r="2167">
          <cell r="B2167"/>
          <cell r="D2167"/>
        </row>
        <row r="2168">
          <cell r="B2168"/>
          <cell r="D2168"/>
        </row>
        <row r="2169">
          <cell r="B2169"/>
          <cell r="D2169"/>
        </row>
        <row r="2170">
          <cell r="B2170"/>
          <cell r="D2170"/>
        </row>
        <row r="2171">
          <cell r="B2171"/>
          <cell r="D2171"/>
        </row>
        <row r="2172">
          <cell r="B2172"/>
          <cell r="D2172"/>
        </row>
        <row r="2173">
          <cell r="B2173"/>
          <cell r="D2173"/>
        </row>
        <row r="2174">
          <cell r="B2174"/>
          <cell r="D2174"/>
        </row>
        <row r="2175">
          <cell r="B2175"/>
          <cell r="D2175"/>
        </row>
        <row r="2176">
          <cell r="B2176"/>
          <cell r="D2176"/>
        </row>
        <row r="2177">
          <cell r="B2177"/>
          <cell r="D2177"/>
        </row>
        <row r="2178">
          <cell r="B2178"/>
          <cell r="D2178"/>
        </row>
        <row r="2179">
          <cell r="B2179"/>
          <cell r="D2179"/>
        </row>
        <row r="2180">
          <cell r="B2180"/>
          <cell r="D2180"/>
        </row>
        <row r="2181">
          <cell r="B2181"/>
          <cell r="D2181"/>
        </row>
        <row r="2182">
          <cell r="B2182"/>
          <cell r="D2182"/>
        </row>
        <row r="2183">
          <cell r="B2183"/>
          <cell r="D2183"/>
        </row>
        <row r="2184">
          <cell r="B2184"/>
          <cell r="D2184"/>
        </row>
        <row r="2185">
          <cell r="B2185"/>
          <cell r="D2185"/>
        </row>
        <row r="2186">
          <cell r="B2186"/>
          <cell r="D2186"/>
        </row>
        <row r="2187">
          <cell r="B2187"/>
          <cell r="D2187"/>
        </row>
        <row r="2188">
          <cell r="B2188"/>
          <cell r="D2188"/>
        </row>
        <row r="2189">
          <cell r="B2189"/>
          <cell r="D2189"/>
        </row>
        <row r="2190">
          <cell r="B2190"/>
          <cell r="D2190"/>
        </row>
        <row r="2191">
          <cell r="B2191"/>
          <cell r="D2191"/>
        </row>
        <row r="2192">
          <cell r="B2192"/>
          <cell r="D2192"/>
        </row>
        <row r="2193">
          <cell r="B2193"/>
          <cell r="D2193"/>
        </row>
        <row r="2194">
          <cell r="B2194"/>
          <cell r="D2194"/>
        </row>
        <row r="2195">
          <cell r="B2195"/>
          <cell r="D2195"/>
        </row>
        <row r="2196">
          <cell r="B2196"/>
          <cell r="D2196"/>
        </row>
        <row r="2197">
          <cell r="B2197"/>
          <cell r="D2197"/>
        </row>
        <row r="2198">
          <cell r="B2198"/>
          <cell r="D2198"/>
        </row>
        <row r="2199">
          <cell r="B2199"/>
          <cell r="D2199"/>
        </row>
        <row r="2200">
          <cell r="B2200"/>
          <cell r="D2200"/>
        </row>
        <row r="2201">
          <cell r="B2201"/>
          <cell r="D2201"/>
        </row>
        <row r="2202">
          <cell r="B2202"/>
          <cell r="D2202"/>
        </row>
        <row r="2203">
          <cell r="B2203"/>
          <cell r="D2203"/>
        </row>
        <row r="2204">
          <cell r="B2204"/>
          <cell r="D2204"/>
        </row>
        <row r="2205">
          <cell r="B2205"/>
          <cell r="D2205"/>
        </row>
        <row r="2206">
          <cell r="B2206"/>
          <cell r="D2206"/>
        </row>
        <row r="2207">
          <cell r="B2207"/>
          <cell r="D2207"/>
        </row>
        <row r="2208">
          <cell r="B2208"/>
          <cell r="D2208"/>
        </row>
        <row r="2209">
          <cell r="B2209"/>
          <cell r="D2209"/>
        </row>
        <row r="2210">
          <cell r="B2210"/>
          <cell r="D2210"/>
        </row>
        <row r="2211">
          <cell r="B2211"/>
          <cell r="D2211"/>
        </row>
        <row r="2212">
          <cell r="B2212"/>
          <cell r="D2212"/>
        </row>
        <row r="2213">
          <cell r="B2213"/>
          <cell r="D2213"/>
        </row>
        <row r="2214">
          <cell r="B2214"/>
          <cell r="D2214"/>
        </row>
        <row r="2215">
          <cell r="B2215"/>
          <cell r="D2215"/>
        </row>
        <row r="2216">
          <cell r="B2216"/>
          <cell r="D2216"/>
        </row>
        <row r="2217">
          <cell r="B2217"/>
          <cell r="D2217"/>
        </row>
        <row r="2218">
          <cell r="B2218"/>
          <cell r="D2218"/>
        </row>
        <row r="2219">
          <cell r="B2219"/>
          <cell r="D2219"/>
        </row>
        <row r="2220">
          <cell r="B2220"/>
          <cell r="D2220"/>
        </row>
        <row r="2221">
          <cell r="B2221"/>
          <cell r="D2221"/>
        </row>
        <row r="2222">
          <cell r="B2222"/>
          <cell r="D2222"/>
        </row>
        <row r="2223">
          <cell r="B2223"/>
          <cell r="D2223"/>
        </row>
        <row r="2224">
          <cell r="B2224"/>
          <cell r="D2224"/>
        </row>
        <row r="2225">
          <cell r="B2225"/>
          <cell r="D2225"/>
        </row>
        <row r="2226">
          <cell r="B2226"/>
          <cell r="D2226"/>
        </row>
        <row r="2227">
          <cell r="B2227"/>
          <cell r="D2227"/>
        </row>
        <row r="2228">
          <cell r="B2228"/>
          <cell r="D2228"/>
        </row>
        <row r="2229">
          <cell r="B2229"/>
          <cell r="D2229"/>
        </row>
        <row r="2230">
          <cell r="B2230"/>
          <cell r="D2230"/>
        </row>
        <row r="2231">
          <cell r="B2231"/>
          <cell r="D2231"/>
        </row>
        <row r="2232">
          <cell r="B2232"/>
          <cell r="D2232"/>
        </row>
        <row r="2233">
          <cell r="B2233"/>
          <cell r="D2233"/>
        </row>
        <row r="2234">
          <cell r="B2234"/>
          <cell r="D2234"/>
        </row>
        <row r="2235">
          <cell r="B2235"/>
          <cell r="D2235"/>
        </row>
        <row r="2236">
          <cell r="B2236"/>
          <cell r="D2236"/>
        </row>
        <row r="2237">
          <cell r="B2237"/>
          <cell r="D2237"/>
        </row>
        <row r="2238">
          <cell r="B2238"/>
          <cell r="D2238"/>
        </row>
        <row r="2239">
          <cell r="B2239"/>
          <cell r="D2239"/>
        </row>
        <row r="2240">
          <cell r="B2240"/>
          <cell r="D2240"/>
        </row>
        <row r="2241">
          <cell r="B2241"/>
          <cell r="D2241"/>
        </row>
        <row r="2242">
          <cell r="B2242"/>
          <cell r="D2242"/>
        </row>
        <row r="2243">
          <cell r="B2243"/>
          <cell r="D2243"/>
        </row>
        <row r="2244">
          <cell r="B2244"/>
          <cell r="D2244"/>
        </row>
        <row r="2245">
          <cell r="B2245"/>
          <cell r="D2245"/>
        </row>
        <row r="2246">
          <cell r="B2246"/>
          <cell r="D2246"/>
        </row>
        <row r="2247">
          <cell r="B2247"/>
          <cell r="D2247"/>
        </row>
        <row r="2248">
          <cell r="B2248"/>
          <cell r="D2248"/>
        </row>
        <row r="2249">
          <cell r="B2249"/>
          <cell r="D2249"/>
        </row>
        <row r="2250">
          <cell r="B2250"/>
          <cell r="D2250"/>
        </row>
        <row r="2251">
          <cell r="B2251"/>
          <cell r="D2251"/>
        </row>
        <row r="2252">
          <cell r="B2252"/>
          <cell r="D2252"/>
        </row>
        <row r="2253">
          <cell r="B2253"/>
          <cell r="D2253"/>
        </row>
        <row r="2254">
          <cell r="B2254"/>
          <cell r="D2254"/>
        </row>
        <row r="2255">
          <cell r="B2255"/>
          <cell r="D2255"/>
        </row>
        <row r="2256">
          <cell r="B2256"/>
          <cell r="D2256"/>
        </row>
        <row r="2257">
          <cell r="B2257"/>
          <cell r="D2257"/>
        </row>
        <row r="2258">
          <cell r="B2258"/>
          <cell r="D2258"/>
        </row>
        <row r="2259">
          <cell r="B2259"/>
          <cell r="D2259"/>
        </row>
        <row r="2260">
          <cell r="B2260"/>
          <cell r="D2260"/>
        </row>
        <row r="2261">
          <cell r="B2261"/>
          <cell r="D2261"/>
        </row>
        <row r="2262">
          <cell r="B2262"/>
          <cell r="D2262"/>
        </row>
        <row r="2263">
          <cell r="B2263"/>
          <cell r="D2263"/>
        </row>
        <row r="2264">
          <cell r="B2264"/>
          <cell r="D2264"/>
        </row>
        <row r="2265">
          <cell r="B2265"/>
          <cell r="D2265"/>
        </row>
        <row r="2266">
          <cell r="B2266"/>
          <cell r="D2266"/>
        </row>
        <row r="2267">
          <cell r="B2267"/>
          <cell r="D2267"/>
        </row>
        <row r="2268">
          <cell r="B2268"/>
          <cell r="D2268"/>
        </row>
        <row r="2269">
          <cell r="B2269"/>
          <cell r="D2269"/>
        </row>
        <row r="2270">
          <cell r="B2270"/>
          <cell r="D2270"/>
        </row>
        <row r="2271">
          <cell r="B2271"/>
          <cell r="D2271"/>
        </row>
        <row r="2272">
          <cell r="B2272"/>
          <cell r="D2272"/>
        </row>
        <row r="2273">
          <cell r="B2273"/>
          <cell r="D2273"/>
        </row>
        <row r="2274">
          <cell r="B2274"/>
          <cell r="D2274"/>
        </row>
        <row r="2275">
          <cell r="B2275"/>
          <cell r="D2275"/>
        </row>
        <row r="2276">
          <cell r="B2276"/>
          <cell r="D2276"/>
        </row>
        <row r="2277">
          <cell r="B2277"/>
          <cell r="D2277"/>
        </row>
        <row r="2278">
          <cell r="B2278"/>
          <cell r="D2278"/>
        </row>
        <row r="2279">
          <cell r="B2279"/>
          <cell r="D2279"/>
        </row>
        <row r="2280">
          <cell r="B2280"/>
          <cell r="D2280"/>
        </row>
        <row r="2281">
          <cell r="B2281"/>
          <cell r="D2281"/>
        </row>
        <row r="2282">
          <cell r="B2282"/>
          <cell r="D2282"/>
        </row>
        <row r="2283">
          <cell r="B2283"/>
          <cell r="D2283"/>
        </row>
        <row r="2284">
          <cell r="B2284"/>
          <cell r="D2284"/>
        </row>
        <row r="2285">
          <cell r="B2285"/>
          <cell r="D2285"/>
        </row>
        <row r="2286">
          <cell r="B2286"/>
          <cell r="D2286"/>
        </row>
        <row r="2287">
          <cell r="B2287"/>
          <cell r="D2287"/>
        </row>
        <row r="2288">
          <cell r="B2288"/>
          <cell r="D2288"/>
        </row>
        <row r="2289">
          <cell r="B2289"/>
          <cell r="D2289"/>
        </row>
        <row r="2290">
          <cell r="B2290"/>
          <cell r="D2290"/>
        </row>
        <row r="2291">
          <cell r="B2291"/>
          <cell r="D2291"/>
        </row>
        <row r="2292">
          <cell r="B2292"/>
          <cell r="D2292"/>
        </row>
        <row r="2293">
          <cell r="B2293"/>
          <cell r="D2293"/>
        </row>
        <row r="2294">
          <cell r="B2294"/>
          <cell r="D2294"/>
        </row>
        <row r="2295">
          <cell r="B2295"/>
          <cell r="D2295"/>
        </row>
        <row r="2296">
          <cell r="B2296"/>
          <cell r="D2296"/>
        </row>
        <row r="2297">
          <cell r="B2297"/>
          <cell r="D2297"/>
        </row>
        <row r="2298">
          <cell r="B2298"/>
          <cell r="D2298"/>
        </row>
        <row r="2299">
          <cell r="B2299"/>
          <cell r="D2299"/>
        </row>
        <row r="2300">
          <cell r="B2300"/>
          <cell r="D2300"/>
        </row>
        <row r="2301">
          <cell r="B2301"/>
          <cell r="D2301"/>
        </row>
        <row r="2302">
          <cell r="B2302"/>
          <cell r="D2302"/>
        </row>
        <row r="2303">
          <cell r="B2303"/>
          <cell r="D2303"/>
        </row>
        <row r="2304">
          <cell r="B2304"/>
          <cell r="D2304"/>
        </row>
        <row r="2305">
          <cell r="B2305"/>
          <cell r="D2305"/>
        </row>
        <row r="2306">
          <cell r="B2306"/>
          <cell r="D2306"/>
        </row>
        <row r="2307">
          <cell r="B2307"/>
          <cell r="D2307"/>
        </row>
        <row r="2308">
          <cell r="B2308"/>
          <cell r="D2308"/>
        </row>
        <row r="2309">
          <cell r="B2309"/>
          <cell r="D2309"/>
        </row>
        <row r="2310">
          <cell r="B2310"/>
          <cell r="D2310"/>
        </row>
        <row r="2311">
          <cell r="B2311"/>
          <cell r="D2311"/>
        </row>
        <row r="2312">
          <cell r="B2312"/>
          <cell r="D2312"/>
        </row>
        <row r="2313">
          <cell r="B2313"/>
          <cell r="D2313"/>
        </row>
        <row r="2314">
          <cell r="B2314"/>
          <cell r="D2314"/>
        </row>
        <row r="2315">
          <cell r="B2315"/>
          <cell r="D2315"/>
        </row>
        <row r="2316">
          <cell r="B2316"/>
          <cell r="D2316"/>
        </row>
        <row r="2317">
          <cell r="B2317"/>
          <cell r="D2317"/>
        </row>
        <row r="2318">
          <cell r="B2318"/>
          <cell r="D2318"/>
        </row>
        <row r="2319">
          <cell r="B2319"/>
          <cell r="D2319"/>
        </row>
        <row r="2320">
          <cell r="B2320"/>
          <cell r="D2320"/>
        </row>
        <row r="2321">
          <cell r="B2321"/>
          <cell r="D2321"/>
        </row>
        <row r="2322">
          <cell r="B2322"/>
          <cell r="D2322"/>
        </row>
        <row r="2323">
          <cell r="B2323"/>
          <cell r="D2323"/>
        </row>
        <row r="2324">
          <cell r="B2324"/>
          <cell r="D2324"/>
        </row>
        <row r="2325">
          <cell r="B2325"/>
          <cell r="D2325"/>
        </row>
        <row r="2326">
          <cell r="B2326"/>
          <cell r="D2326"/>
        </row>
        <row r="2327">
          <cell r="B2327"/>
          <cell r="D2327"/>
        </row>
        <row r="2328">
          <cell r="B2328"/>
          <cell r="D2328"/>
        </row>
        <row r="2329">
          <cell r="B2329"/>
          <cell r="D2329"/>
        </row>
        <row r="2330">
          <cell r="B2330"/>
          <cell r="D2330"/>
        </row>
        <row r="2331">
          <cell r="B2331"/>
          <cell r="D2331"/>
        </row>
        <row r="2332">
          <cell r="B2332"/>
          <cell r="D2332"/>
        </row>
        <row r="2333">
          <cell r="B2333"/>
          <cell r="D2333"/>
        </row>
        <row r="2334">
          <cell r="B2334"/>
          <cell r="D2334"/>
        </row>
        <row r="2335">
          <cell r="B2335"/>
          <cell r="D2335"/>
        </row>
        <row r="2336">
          <cell r="B2336"/>
          <cell r="D2336"/>
        </row>
        <row r="2337">
          <cell r="B2337"/>
          <cell r="D2337"/>
        </row>
        <row r="2338">
          <cell r="B2338"/>
          <cell r="D2338"/>
        </row>
        <row r="2339">
          <cell r="B2339"/>
          <cell r="D2339"/>
        </row>
        <row r="2340">
          <cell r="B2340"/>
          <cell r="D2340"/>
        </row>
        <row r="2341">
          <cell r="B2341"/>
          <cell r="D2341"/>
        </row>
        <row r="2342">
          <cell r="B2342"/>
          <cell r="D2342"/>
        </row>
        <row r="2343">
          <cell r="B2343"/>
          <cell r="D2343"/>
        </row>
        <row r="2344">
          <cell r="B2344"/>
          <cell r="D2344"/>
        </row>
        <row r="2345">
          <cell r="B2345"/>
          <cell r="D2345"/>
        </row>
        <row r="2346">
          <cell r="B2346"/>
          <cell r="D2346"/>
        </row>
        <row r="2347">
          <cell r="B2347"/>
          <cell r="D2347"/>
        </row>
        <row r="2348">
          <cell r="B2348"/>
          <cell r="D2348"/>
        </row>
        <row r="2349">
          <cell r="B2349"/>
          <cell r="D2349"/>
        </row>
        <row r="2350">
          <cell r="B2350"/>
          <cell r="D2350"/>
        </row>
        <row r="2351">
          <cell r="B2351"/>
          <cell r="D2351"/>
        </row>
        <row r="2352">
          <cell r="B2352"/>
          <cell r="D2352"/>
        </row>
        <row r="2353">
          <cell r="B2353"/>
          <cell r="D2353"/>
        </row>
        <row r="2354">
          <cell r="B2354"/>
          <cell r="D2354"/>
        </row>
        <row r="2355">
          <cell r="B2355"/>
          <cell r="D2355"/>
        </row>
        <row r="2356">
          <cell r="B2356"/>
          <cell r="D2356"/>
        </row>
        <row r="2357">
          <cell r="B2357"/>
          <cell r="D2357"/>
        </row>
        <row r="2358">
          <cell r="B2358"/>
          <cell r="D2358"/>
        </row>
        <row r="2359">
          <cell r="B2359"/>
          <cell r="D2359"/>
        </row>
        <row r="2360">
          <cell r="B2360"/>
          <cell r="D2360"/>
        </row>
        <row r="2361">
          <cell r="B2361"/>
          <cell r="D2361"/>
        </row>
        <row r="2362">
          <cell r="B2362"/>
          <cell r="D2362"/>
        </row>
        <row r="2363">
          <cell r="B2363"/>
          <cell r="D2363"/>
        </row>
        <row r="2364">
          <cell r="B2364"/>
          <cell r="D2364"/>
        </row>
        <row r="2365">
          <cell r="B2365"/>
          <cell r="D2365"/>
        </row>
        <row r="2366">
          <cell r="B2366"/>
          <cell r="D2366"/>
        </row>
        <row r="2367">
          <cell r="B2367"/>
          <cell r="D2367"/>
        </row>
        <row r="2368">
          <cell r="B2368"/>
          <cell r="D2368"/>
        </row>
        <row r="2369">
          <cell r="B2369"/>
          <cell r="D2369"/>
        </row>
        <row r="2370">
          <cell r="B2370"/>
          <cell r="D2370"/>
        </row>
        <row r="2371">
          <cell r="B2371"/>
          <cell r="D2371"/>
        </row>
        <row r="2372">
          <cell r="B2372"/>
          <cell r="D2372"/>
        </row>
        <row r="2373">
          <cell r="B2373"/>
          <cell r="D2373"/>
        </row>
        <row r="2374">
          <cell r="B2374"/>
          <cell r="D2374"/>
        </row>
        <row r="2375">
          <cell r="B2375"/>
          <cell r="D2375"/>
        </row>
        <row r="2376">
          <cell r="B2376"/>
          <cell r="D2376"/>
        </row>
        <row r="2377">
          <cell r="B2377"/>
          <cell r="D2377"/>
        </row>
        <row r="2378">
          <cell r="B2378"/>
          <cell r="D2378"/>
        </row>
        <row r="2379">
          <cell r="B2379"/>
          <cell r="D2379"/>
        </row>
        <row r="2380">
          <cell r="B2380"/>
          <cell r="D2380"/>
        </row>
        <row r="2381">
          <cell r="B2381"/>
          <cell r="D2381"/>
        </row>
        <row r="2382">
          <cell r="B2382"/>
          <cell r="D2382"/>
        </row>
        <row r="2383">
          <cell r="B2383"/>
          <cell r="D2383"/>
        </row>
        <row r="2384">
          <cell r="B2384"/>
          <cell r="D2384"/>
        </row>
        <row r="2385">
          <cell r="B2385"/>
          <cell r="D2385"/>
        </row>
        <row r="2386">
          <cell r="B2386"/>
          <cell r="D2386"/>
        </row>
        <row r="2387">
          <cell r="B2387"/>
          <cell r="D2387"/>
        </row>
        <row r="2388">
          <cell r="B2388"/>
          <cell r="D2388"/>
        </row>
        <row r="2389">
          <cell r="B2389"/>
          <cell r="D2389"/>
        </row>
        <row r="2390">
          <cell r="B2390"/>
          <cell r="D2390"/>
        </row>
        <row r="2391">
          <cell r="B2391"/>
          <cell r="D2391"/>
        </row>
        <row r="2392">
          <cell r="B2392"/>
          <cell r="D2392"/>
        </row>
        <row r="2393">
          <cell r="B2393"/>
          <cell r="D2393"/>
        </row>
        <row r="2394">
          <cell r="B2394"/>
          <cell r="D2394"/>
        </row>
        <row r="2395">
          <cell r="B2395"/>
          <cell r="D2395"/>
        </row>
        <row r="2396">
          <cell r="B2396"/>
          <cell r="D2396"/>
        </row>
        <row r="2397">
          <cell r="B2397"/>
          <cell r="D2397"/>
        </row>
        <row r="2398">
          <cell r="B2398"/>
          <cell r="D2398"/>
        </row>
        <row r="2399">
          <cell r="B2399"/>
          <cell r="D2399"/>
        </row>
        <row r="2400">
          <cell r="B2400"/>
          <cell r="D2400"/>
        </row>
        <row r="2401">
          <cell r="B2401"/>
          <cell r="D2401"/>
        </row>
        <row r="2402">
          <cell r="B2402"/>
          <cell r="D2402"/>
        </row>
        <row r="2403">
          <cell r="B2403"/>
          <cell r="D2403"/>
        </row>
        <row r="2404">
          <cell r="B2404"/>
          <cell r="D2404"/>
        </row>
        <row r="2405">
          <cell r="B2405"/>
          <cell r="D2405"/>
        </row>
        <row r="2406">
          <cell r="B2406"/>
          <cell r="D2406"/>
        </row>
        <row r="2407">
          <cell r="B2407"/>
          <cell r="D2407"/>
        </row>
        <row r="2408">
          <cell r="B2408"/>
          <cell r="D2408"/>
        </row>
        <row r="2409">
          <cell r="B2409"/>
          <cell r="D2409"/>
        </row>
        <row r="2410">
          <cell r="B2410"/>
          <cell r="D2410"/>
        </row>
        <row r="2411">
          <cell r="B2411"/>
          <cell r="D2411"/>
        </row>
        <row r="2412">
          <cell r="B2412"/>
          <cell r="D2412"/>
        </row>
        <row r="2413">
          <cell r="B2413"/>
          <cell r="D2413"/>
        </row>
        <row r="2414">
          <cell r="B2414"/>
          <cell r="D2414"/>
        </row>
        <row r="2415">
          <cell r="B2415"/>
          <cell r="D2415"/>
        </row>
        <row r="2416">
          <cell r="B2416"/>
          <cell r="D2416"/>
        </row>
        <row r="2417">
          <cell r="B2417"/>
          <cell r="D2417"/>
        </row>
        <row r="2418">
          <cell r="B2418"/>
          <cell r="D2418"/>
        </row>
        <row r="2419">
          <cell r="B2419"/>
          <cell r="D2419"/>
        </row>
        <row r="2420">
          <cell r="B2420"/>
          <cell r="D2420"/>
        </row>
        <row r="2421">
          <cell r="B2421"/>
          <cell r="D2421"/>
        </row>
        <row r="2422">
          <cell r="B2422"/>
          <cell r="D2422"/>
        </row>
        <row r="2423">
          <cell r="B2423"/>
          <cell r="D2423"/>
        </row>
        <row r="2424">
          <cell r="B2424"/>
          <cell r="D2424"/>
        </row>
        <row r="2425">
          <cell r="B2425"/>
          <cell r="D2425"/>
        </row>
        <row r="2426">
          <cell r="B2426"/>
          <cell r="D2426"/>
        </row>
        <row r="2427">
          <cell r="B2427"/>
          <cell r="D2427"/>
        </row>
        <row r="2428">
          <cell r="B2428"/>
          <cell r="D2428"/>
        </row>
        <row r="2429">
          <cell r="B2429"/>
          <cell r="D2429"/>
        </row>
        <row r="2430">
          <cell r="B2430"/>
          <cell r="D2430"/>
        </row>
        <row r="2431">
          <cell r="B2431"/>
          <cell r="D2431"/>
        </row>
        <row r="2432">
          <cell r="B2432"/>
          <cell r="D2432"/>
        </row>
        <row r="2433">
          <cell r="B2433"/>
          <cell r="D2433"/>
        </row>
        <row r="2434">
          <cell r="B2434"/>
          <cell r="D2434"/>
        </row>
        <row r="2435">
          <cell r="B2435"/>
          <cell r="D2435"/>
        </row>
        <row r="2436">
          <cell r="B2436"/>
          <cell r="D2436"/>
        </row>
        <row r="2437">
          <cell r="B2437"/>
          <cell r="D2437"/>
        </row>
        <row r="2438">
          <cell r="B2438"/>
          <cell r="D2438"/>
        </row>
        <row r="2439">
          <cell r="B2439"/>
          <cell r="D2439"/>
        </row>
        <row r="2440">
          <cell r="B2440"/>
          <cell r="D2440"/>
        </row>
        <row r="2441">
          <cell r="B2441"/>
          <cell r="D2441"/>
        </row>
        <row r="2442">
          <cell r="B2442"/>
          <cell r="D2442"/>
        </row>
        <row r="2443">
          <cell r="B2443"/>
          <cell r="D2443"/>
        </row>
        <row r="2444">
          <cell r="B2444"/>
          <cell r="D2444"/>
        </row>
        <row r="2445">
          <cell r="B2445"/>
          <cell r="D2445"/>
        </row>
        <row r="2446">
          <cell r="B2446"/>
          <cell r="D2446"/>
        </row>
        <row r="2447">
          <cell r="B2447"/>
          <cell r="D2447"/>
        </row>
        <row r="2448">
          <cell r="B2448"/>
          <cell r="D2448"/>
        </row>
        <row r="2449">
          <cell r="B2449"/>
          <cell r="D2449"/>
        </row>
        <row r="2450">
          <cell r="B2450"/>
          <cell r="D2450"/>
        </row>
        <row r="2451">
          <cell r="B2451"/>
          <cell r="D2451"/>
        </row>
        <row r="2452">
          <cell r="B2452"/>
          <cell r="D2452"/>
        </row>
        <row r="2453">
          <cell r="B2453"/>
          <cell r="D2453"/>
        </row>
        <row r="2454">
          <cell r="B2454"/>
          <cell r="D2454"/>
        </row>
        <row r="2455">
          <cell r="B2455"/>
          <cell r="D2455"/>
        </row>
        <row r="2456">
          <cell r="B2456"/>
          <cell r="D2456"/>
        </row>
        <row r="2457">
          <cell r="B2457"/>
          <cell r="D2457"/>
        </row>
        <row r="2458">
          <cell r="B2458"/>
          <cell r="D2458"/>
        </row>
        <row r="2459">
          <cell r="B2459"/>
          <cell r="D2459"/>
        </row>
        <row r="2460">
          <cell r="B2460"/>
          <cell r="D2460"/>
        </row>
        <row r="2461">
          <cell r="B2461"/>
          <cell r="D2461"/>
        </row>
        <row r="2462">
          <cell r="B2462"/>
          <cell r="D2462"/>
        </row>
        <row r="2463">
          <cell r="B2463"/>
          <cell r="D2463"/>
        </row>
        <row r="2464">
          <cell r="B2464"/>
          <cell r="D2464"/>
        </row>
        <row r="2465">
          <cell r="B2465"/>
          <cell r="D2465"/>
        </row>
        <row r="2466">
          <cell r="B2466"/>
          <cell r="D2466"/>
        </row>
        <row r="2467">
          <cell r="B2467"/>
          <cell r="D2467"/>
        </row>
        <row r="2468">
          <cell r="B2468"/>
          <cell r="D2468"/>
        </row>
        <row r="2469">
          <cell r="B2469"/>
          <cell r="D2469"/>
        </row>
        <row r="2470">
          <cell r="B2470"/>
          <cell r="D2470"/>
        </row>
        <row r="2471">
          <cell r="B2471"/>
          <cell r="D2471"/>
        </row>
        <row r="2472">
          <cell r="B2472"/>
          <cell r="D2472"/>
        </row>
        <row r="2473">
          <cell r="B2473"/>
          <cell r="D2473"/>
        </row>
        <row r="2474">
          <cell r="B2474"/>
          <cell r="D2474"/>
        </row>
        <row r="2475">
          <cell r="B2475"/>
          <cell r="D2475"/>
        </row>
        <row r="2476">
          <cell r="B2476"/>
          <cell r="D2476"/>
        </row>
        <row r="2477">
          <cell r="B2477"/>
          <cell r="D2477"/>
        </row>
        <row r="2478">
          <cell r="B2478"/>
          <cell r="D2478"/>
        </row>
        <row r="2479">
          <cell r="B2479"/>
          <cell r="D2479"/>
        </row>
        <row r="2480">
          <cell r="B2480"/>
          <cell r="D2480"/>
        </row>
        <row r="2481">
          <cell r="B2481"/>
          <cell r="D2481"/>
        </row>
        <row r="2482">
          <cell r="B2482"/>
          <cell r="D2482"/>
        </row>
        <row r="2483">
          <cell r="B2483"/>
          <cell r="D2483"/>
        </row>
        <row r="2484">
          <cell r="B2484"/>
          <cell r="D2484"/>
        </row>
        <row r="2485">
          <cell r="B2485"/>
          <cell r="D2485"/>
        </row>
        <row r="2486">
          <cell r="B2486"/>
          <cell r="D2486"/>
        </row>
        <row r="2487">
          <cell r="B2487"/>
          <cell r="D2487"/>
        </row>
        <row r="2488">
          <cell r="B2488"/>
          <cell r="D2488"/>
        </row>
        <row r="2489">
          <cell r="B2489"/>
          <cell r="D2489"/>
        </row>
        <row r="2490">
          <cell r="B2490"/>
          <cell r="D2490"/>
        </row>
        <row r="2491">
          <cell r="B2491"/>
          <cell r="D2491"/>
        </row>
        <row r="2492">
          <cell r="B2492"/>
          <cell r="D2492"/>
        </row>
        <row r="2493">
          <cell r="B2493"/>
          <cell r="D2493"/>
        </row>
        <row r="2494">
          <cell r="B2494"/>
          <cell r="D2494"/>
        </row>
        <row r="2495">
          <cell r="B2495"/>
          <cell r="D2495"/>
        </row>
        <row r="2496">
          <cell r="B2496"/>
          <cell r="D2496"/>
        </row>
        <row r="2497">
          <cell r="B2497"/>
          <cell r="D2497"/>
        </row>
        <row r="2498">
          <cell r="B2498"/>
          <cell r="D2498"/>
        </row>
        <row r="2499">
          <cell r="B2499"/>
          <cell r="D2499"/>
        </row>
        <row r="2500">
          <cell r="B2500"/>
          <cell r="D2500"/>
        </row>
        <row r="2501">
          <cell r="B2501"/>
          <cell r="D2501"/>
        </row>
        <row r="2502">
          <cell r="B2502"/>
          <cell r="D2502"/>
        </row>
        <row r="2503">
          <cell r="B2503"/>
          <cell r="D2503"/>
        </row>
        <row r="2504">
          <cell r="B2504"/>
          <cell r="D2504"/>
        </row>
        <row r="2505">
          <cell r="B2505"/>
          <cell r="D2505"/>
        </row>
        <row r="2506">
          <cell r="B2506"/>
          <cell r="D2506"/>
        </row>
        <row r="2507">
          <cell r="B2507"/>
          <cell r="D2507"/>
        </row>
        <row r="2508">
          <cell r="B2508"/>
          <cell r="D2508"/>
        </row>
        <row r="2509">
          <cell r="B2509"/>
          <cell r="D2509"/>
        </row>
        <row r="2510">
          <cell r="B2510"/>
          <cell r="D2510"/>
        </row>
        <row r="2511">
          <cell r="B2511"/>
          <cell r="D2511"/>
        </row>
        <row r="2512">
          <cell r="B2512"/>
          <cell r="D2512"/>
        </row>
        <row r="2513">
          <cell r="B2513"/>
          <cell r="D2513"/>
        </row>
        <row r="2514">
          <cell r="B2514"/>
          <cell r="D2514"/>
        </row>
        <row r="2515">
          <cell r="B2515"/>
          <cell r="D2515"/>
        </row>
        <row r="2516">
          <cell r="B2516"/>
          <cell r="D2516"/>
        </row>
        <row r="2517">
          <cell r="B2517"/>
          <cell r="D2517"/>
        </row>
        <row r="2518">
          <cell r="B2518"/>
          <cell r="D2518"/>
        </row>
        <row r="2519">
          <cell r="B2519"/>
          <cell r="D2519"/>
        </row>
        <row r="2520">
          <cell r="B2520"/>
          <cell r="D2520"/>
        </row>
        <row r="2521">
          <cell r="B2521"/>
          <cell r="D2521"/>
        </row>
        <row r="2522">
          <cell r="B2522"/>
          <cell r="D2522"/>
        </row>
        <row r="2523">
          <cell r="B2523"/>
          <cell r="D2523"/>
        </row>
        <row r="2524">
          <cell r="B2524"/>
          <cell r="D2524"/>
        </row>
        <row r="2525">
          <cell r="B2525"/>
          <cell r="D2525"/>
        </row>
        <row r="2526">
          <cell r="B2526"/>
          <cell r="D2526"/>
        </row>
        <row r="2527">
          <cell r="B2527"/>
          <cell r="D2527"/>
        </row>
        <row r="2528">
          <cell r="B2528"/>
          <cell r="D2528"/>
        </row>
        <row r="2529">
          <cell r="B2529"/>
          <cell r="D2529"/>
        </row>
        <row r="2530">
          <cell r="B2530"/>
          <cell r="D2530"/>
        </row>
        <row r="2531">
          <cell r="B2531"/>
          <cell r="D2531"/>
        </row>
        <row r="2532">
          <cell r="B2532"/>
          <cell r="D2532"/>
        </row>
        <row r="2533">
          <cell r="B2533"/>
          <cell r="D2533"/>
        </row>
        <row r="2534">
          <cell r="B2534"/>
          <cell r="D2534"/>
        </row>
        <row r="2535">
          <cell r="B2535"/>
          <cell r="D2535"/>
        </row>
        <row r="2536">
          <cell r="B2536"/>
          <cell r="D2536"/>
        </row>
        <row r="2537">
          <cell r="B2537"/>
          <cell r="D2537"/>
        </row>
        <row r="2538">
          <cell r="B2538"/>
          <cell r="D2538"/>
        </row>
        <row r="2539">
          <cell r="B2539"/>
          <cell r="D2539"/>
        </row>
        <row r="2540">
          <cell r="B2540"/>
          <cell r="D2540"/>
        </row>
        <row r="2541">
          <cell r="B2541"/>
          <cell r="D2541"/>
        </row>
        <row r="2542">
          <cell r="B2542"/>
          <cell r="D2542"/>
        </row>
        <row r="2543">
          <cell r="B2543"/>
          <cell r="D2543"/>
        </row>
        <row r="2544">
          <cell r="B2544"/>
          <cell r="D2544"/>
        </row>
        <row r="2545">
          <cell r="B2545"/>
          <cell r="D2545"/>
        </row>
        <row r="2546">
          <cell r="B2546"/>
          <cell r="D2546"/>
        </row>
        <row r="2547">
          <cell r="B2547"/>
          <cell r="D2547"/>
        </row>
        <row r="2548">
          <cell r="B2548"/>
          <cell r="D2548"/>
        </row>
        <row r="2549">
          <cell r="B2549"/>
          <cell r="D2549"/>
        </row>
        <row r="2550">
          <cell r="B2550"/>
          <cell r="D2550"/>
        </row>
        <row r="2551">
          <cell r="B2551"/>
          <cell r="D2551"/>
        </row>
        <row r="2552">
          <cell r="B2552"/>
          <cell r="D2552"/>
        </row>
        <row r="2553">
          <cell r="B2553"/>
          <cell r="D2553"/>
        </row>
        <row r="2554">
          <cell r="B2554"/>
          <cell r="D2554"/>
        </row>
        <row r="2555">
          <cell r="B2555"/>
          <cell r="D2555"/>
        </row>
        <row r="2556">
          <cell r="B2556"/>
          <cell r="D2556"/>
        </row>
        <row r="2557">
          <cell r="B2557"/>
          <cell r="D2557"/>
        </row>
        <row r="2558">
          <cell r="B2558"/>
          <cell r="D2558"/>
        </row>
        <row r="2559">
          <cell r="B2559"/>
          <cell r="D2559"/>
        </row>
        <row r="2560">
          <cell r="B2560"/>
          <cell r="D2560"/>
        </row>
        <row r="2561">
          <cell r="B2561"/>
          <cell r="D2561"/>
        </row>
        <row r="2562">
          <cell r="B2562"/>
          <cell r="D2562"/>
        </row>
        <row r="2563">
          <cell r="B2563"/>
          <cell r="D2563"/>
        </row>
        <row r="2564">
          <cell r="B2564"/>
          <cell r="D2564"/>
        </row>
        <row r="2565">
          <cell r="B2565"/>
          <cell r="D2565"/>
        </row>
        <row r="2566">
          <cell r="B2566"/>
          <cell r="D2566"/>
        </row>
        <row r="2567">
          <cell r="B2567"/>
          <cell r="D2567"/>
        </row>
        <row r="2568">
          <cell r="B2568"/>
          <cell r="D2568"/>
        </row>
        <row r="2569">
          <cell r="B2569"/>
          <cell r="D2569"/>
        </row>
        <row r="2570">
          <cell r="B2570"/>
          <cell r="D2570"/>
        </row>
        <row r="2571">
          <cell r="B2571"/>
          <cell r="D2571"/>
        </row>
        <row r="2572">
          <cell r="B2572"/>
          <cell r="D2572"/>
        </row>
        <row r="2573">
          <cell r="B2573"/>
          <cell r="D2573"/>
        </row>
        <row r="2574">
          <cell r="B2574"/>
          <cell r="D2574"/>
        </row>
        <row r="2575">
          <cell r="B2575"/>
          <cell r="D2575"/>
        </row>
        <row r="2576">
          <cell r="B2576"/>
          <cell r="D2576"/>
        </row>
        <row r="2577">
          <cell r="B2577"/>
          <cell r="D2577"/>
        </row>
        <row r="2578">
          <cell r="B2578"/>
          <cell r="D2578"/>
        </row>
        <row r="2579">
          <cell r="B2579"/>
          <cell r="D2579"/>
        </row>
        <row r="2580">
          <cell r="B2580"/>
          <cell r="D2580"/>
        </row>
        <row r="2581">
          <cell r="B2581"/>
          <cell r="D2581"/>
        </row>
        <row r="2582">
          <cell r="B2582"/>
          <cell r="D2582"/>
        </row>
        <row r="2583">
          <cell r="B2583"/>
          <cell r="D2583"/>
        </row>
        <row r="2584">
          <cell r="B2584"/>
          <cell r="D2584"/>
        </row>
        <row r="2585">
          <cell r="B2585"/>
          <cell r="D2585"/>
        </row>
        <row r="2586">
          <cell r="B2586"/>
          <cell r="D2586"/>
        </row>
        <row r="2587">
          <cell r="B2587"/>
          <cell r="D2587"/>
        </row>
        <row r="2588">
          <cell r="B2588"/>
          <cell r="D2588"/>
        </row>
        <row r="2589">
          <cell r="B2589"/>
          <cell r="D2589"/>
        </row>
        <row r="2590">
          <cell r="B2590"/>
          <cell r="D2590"/>
        </row>
        <row r="2591">
          <cell r="B2591"/>
          <cell r="D2591"/>
        </row>
        <row r="2592">
          <cell r="B2592"/>
          <cell r="D2592"/>
        </row>
        <row r="2593">
          <cell r="B2593"/>
          <cell r="D2593"/>
        </row>
        <row r="2594">
          <cell r="B2594"/>
          <cell r="D2594"/>
        </row>
        <row r="2595">
          <cell r="B2595"/>
          <cell r="D2595"/>
        </row>
        <row r="2596">
          <cell r="B2596"/>
          <cell r="D2596"/>
        </row>
        <row r="2597">
          <cell r="B2597"/>
          <cell r="D2597"/>
        </row>
        <row r="2598">
          <cell r="B2598"/>
          <cell r="D2598"/>
        </row>
        <row r="2599">
          <cell r="B2599"/>
          <cell r="D2599"/>
        </row>
        <row r="2600">
          <cell r="B2600"/>
          <cell r="D2600"/>
        </row>
        <row r="2601">
          <cell r="B2601"/>
          <cell r="D2601"/>
        </row>
        <row r="2602">
          <cell r="B2602"/>
          <cell r="D2602"/>
        </row>
        <row r="2603">
          <cell r="B2603"/>
          <cell r="D2603"/>
        </row>
        <row r="2604">
          <cell r="B2604"/>
          <cell r="D2604"/>
        </row>
        <row r="2605">
          <cell r="B2605"/>
          <cell r="D2605"/>
        </row>
        <row r="2606">
          <cell r="B2606"/>
          <cell r="D2606"/>
        </row>
        <row r="2607">
          <cell r="B2607"/>
          <cell r="D2607"/>
        </row>
        <row r="2608">
          <cell r="B2608"/>
          <cell r="D2608"/>
        </row>
        <row r="2609">
          <cell r="B2609"/>
          <cell r="D2609"/>
        </row>
        <row r="2610">
          <cell r="B2610"/>
          <cell r="D2610"/>
        </row>
        <row r="2611">
          <cell r="B2611"/>
          <cell r="D2611"/>
        </row>
        <row r="2612">
          <cell r="B2612"/>
          <cell r="D2612"/>
        </row>
        <row r="2613">
          <cell r="B2613"/>
          <cell r="D2613"/>
        </row>
        <row r="2614">
          <cell r="B2614"/>
          <cell r="D2614"/>
        </row>
        <row r="2615">
          <cell r="B2615"/>
          <cell r="D2615"/>
        </row>
        <row r="2616">
          <cell r="B2616"/>
          <cell r="D2616"/>
        </row>
        <row r="2617">
          <cell r="B2617"/>
          <cell r="D2617"/>
        </row>
        <row r="2618">
          <cell r="B2618"/>
          <cell r="D2618"/>
        </row>
        <row r="2619">
          <cell r="B2619"/>
          <cell r="D2619"/>
        </row>
        <row r="2620">
          <cell r="B2620"/>
          <cell r="D2620"/>
        </row>
        <row r="2621">
          <cell r="B2621"/>
          <cell r="D2621"/>
        </row>
        <row r="2622">
          <cell r="B2622"/>
          <cell r="D2622"/>
        </row>
        <row r="2623">
          <cell r="B2623"/>
          <cell r="D2623"/>
        </row>
        <row r="2624">
          <cell r="B2624"/>
          <cell r="D2624"/>
        </row>
        <row r="2625">
          <cell r="B2625"/>
          <cell r="D2625"/>
        </row>
        <row r="2626">
          <cell r="B2626"/>
          <cell r="D2626"/>
        </row>
        <row r="2627">
          <cell r="B2627"/>
          <cell r="D2627"/>
        </row>
        <row r="2628">
          <cell r="B2628"/>
          <cell r="D2628"/>
        </row>
        <row r="2629">
          <cell r="B2629"/>
          <cell r="D2629"/>
        </row>
        <row r="2630">
          <cell r="B2630"/>
          <cell r="D2630"/>
        </row>
        <row r="2631">
          <cell r="B2631"/>
          <cell r="D2631"/>
        </row>
        <row r="2632">
          <cell r="B2632"/>
          <cell r="D2632"/>
        </row>
        <row r="2633">
          <cell r="B2633"/>
          <cell r="D2633"/>
        </row>
        <row r="2634">
          <cell r="B2634"/>
          <cell r="D2634"/>
        </row>
        <row r="2635">
          <cell r="B2635"/>
          <cell r="D2635"/>
        </row>
        <row r="2636">
          <cell r="B2636"/>
          <cell r="D2636"/>
        </row>
        <row r="2637">
          <cell r="B2637"/>
          <cell r="D2637"/>
        </row>
        <row r="2638">
          <cell r="B2638"/>
          <cell r="D2638"/>
        </row>
        <row r="2639">
          <cell r="B2639"/>
          <cell r="D2639"/>
        </row>
        <row r="2640">
          <cell r="B2640"/>
          <cell r="D2640"/>
        </row>
        <row r="2641">
          <cell r="B2641"/>
          <cell r="D2641"/>
        </row>
        <row r="2642">
          <cell r="B2642"/>
          <cell r="D2642"/>
        </row>
        <row r="2643">
          <cell r="B2643"/>
          <cell r="D2643"/>
        </row>
        <row r="2644">
          <cell r="B2644"/>
          <cell r="D2644"/>
        </row>
        <row r="2645">
          <cell r="B2645"/>
          <cell r="D2645"/>
        </row>
        <row r="2646">
          <cell r="B2646"/>
          <cell r="D2646"/>
        </row>
        <row r="2647">
          <cell r="B2647"/>
          <cell r="D2647"/>
        </row>
        <row r="2648">
          <cell r="B2648"/>
          <cell r="D2648"/>
        </row>
        <row r="2649">
          <cell r="B2649"/>
          <cell r="D2649"/>
        </row>
        <row r="2650">
          <cell r="B2650"/>
          <cell r="D2650"/>
        </row>
        <row r="2651">
          <cell r="B2651"/>
          <cell r="D2651"/>
        </row>
        <row r="2652">
          <cell r="B2652"/>
          <cell r="D2652"/>
        </row>
        <row r="2653">
          <cell r="B2653"/>
          <cell r="D2653"/>
        </row>
        <row r="2654">
          <cell r="B2654"/>
          <cell r="D2654"/>
        </row>
        <row r="2655">
          <cell r="B2655"/>
          <cell r="D2655"/>
        </row>
        <row r="2656">
          <cell r="B2656"/>
          <cell r="D2656"/>
        </row>
        <row r="2657">
          <cell r="B2657"/>
          <cell r="D2657"/>
        </row>
        <row r="2658">
          <cell r="B2658"/>
          <cell r="D2658"/>
        </row>
        <row r="2659">
          <cell r="B2659"/>
          <cell r="D2659"/>
        </row>
        <row r="2660">
          <cell r="B2660"/>
          <cell r="D2660"/>
        </row>
        <row r="2661">
          <cell r="B2661"/>
          <cell r="D2661"/>
        </row>
        <row r="2662">
          <cell r="B2662"/>
          <cell r="D2662"/>
        </row>
        <row r="2663">
          <cell r="B2663"/>
          <cell r="D2663"/>
        </row>
        <row r="2664">
          <cell r="B2664"/>
          <cell r="D2664"/>
        </row>
        <row r="2665">
          <cell r="B2665"/>
          <cell r="D2665"/>
        </row>
        <row r="2666">
          <cell r="B2666"/>
          <cell r="D2666"/>
        </row>
        <row r="2667">
          <cell r="B2667"/>
          <cell r="D2667"/>
        </row>
        <row r="2668">
          <cell r="B2668"/>
          <cell r="D2668"/>
        </row>
        <row r="2669">
          <cell r="B2669"/>
          <cell r="D2669"/>
        </row>
        <row r="2670">
          <cell r="B2670"/>
          <cell r="D2670"/>
        </row>
        <row r="2671">
          <cell r="B2671"/>
          <cell r="D2671"/>
        </row>
        <row r="2672">
          <cell r="B2672"/>
          <cell r="D2672"/>
        </row>
        <row r="2673">
          <cell r="B2673"/>
          <cell r="D2673"/>
        </row>
        <row r="2674">
          <cell r="B2674"/>
          <cell r="D2674"/>
        </row>
        <row r="2675">
          <cell r="B2675"/>
          <cell r="D2675"/>
        </row>
        <row r="2676">
          <cell r="B2676"/>
          <cell r="D2676"/>
        </row>
        <row r="2677">
          <cell r="B2677"/>
          <cell r="D2677"/>
        </row>
        <row r="2678">
          <cell r="B2678"/>
          <cell r="D2678"/>
        </row>
        <row r="2679">
          <cell r="B2679"/>
          <cell r="D2679"/>
        </row>
        <row r="2680">
          <cell r="B2680"/>
          <cell r="D2680"/>
        </row>
        <row r="2681">
          <cell r="B2681"/>
          <cell r="D2681"/>
        </row>
        <row r="2682">
          <cell r="B2682"/>
          <cell r="D2682"/>
        </row>
        <row r="2683">
          <cell r="B2683"/>
          <cell r="D2683"/>
        </row>
        <row r="2684">
          <cell r="B2684"/>
          <cell r="D2684"/>
        </row>
        <row r="2685">
          <cell r="B2685"/>
          <cell r="D2685"/>
        </row>
        <row r="2686">
          <cell r="B2686"/>
          <cell r="D2686"/>
        </row>
        <row r="2687">
          <cell r="B2687"/>
          <cell r="D2687"/>
        </row>
        <row r="2688">
          <cell r="B2688"/>
          <cell r="D2688"/>
        </row>
        <row r="2689">
          <cell r="B2689"/>
          <cell r="D2689"/>
        </row>
        <row r="2690">
          <cell r="B2690"/>
          <cell r="D2690"/>
        </row>
        <row r="2691">
          <cell r="B2691"/>
          <cell r="D2691"/>
        </row>
        <row r="2692">
          <cell r="B2692"/>
          <cell r="D2692"/>
        </row>
        <row r="2693">
          <cell r="B2693"/>
          <cell r="D2693"/>
        </row>
        <row r="2694">
          <cell r="B2694"/>
          <cell r="D2694"/>
        </row>
        <row r="2695">
          <cell r="B2695"/>
          <cell r="D2695"/>
        </row>
        <row r="2696">
          <cell r="B2696"/>
          <cell r="D2696"/>
        </row>
        <row r="2697">
          <cell r="B2697"/>
          <cell r="D2697"/>
        </row>
        <row r="2698">
          <cell r="B2698"/>
          <cell r="D2698"/>
        </row>
        <row r="2699">
          <cell r="B2699"/>
          <cell r="D2699"/>
        </row>
        <row r="2700">
          <cell r="B2700"/>
          <cell r="D2700"/>
        </row>
        <row r="2701">
          <cell r="B2701"/>
          <cell r="D2701"/>
        </row>
        <row r="2702">
          <cell r="B2702"/>
          <cell r="D2702"/>
        </row>
        <row r="2703">
          <cell r="B2703"/>
          <cell r="D2703"/>
        </row>
        <row r="2704">
          <cell r="B2704"/>
          <cell r="D2704"/>
        </row>
        <row r="2705">
          <cell r="B2705"/>
          <cell r="D2705"/>
        </row>
        <row r="2706">
          <cell r="B2706"/>
          <cell r="D2706"/>
        </row>
        <row r="2707">
          <cell r="B2707"/>
          <cell r="D2707"/>
        </row>
        <row r="2708">
          <cell r="B2708"/>
          <cell r="D2708"/>
        </row>
        <row r="2709">
          <cell r="B2709"/>
          <cell r="D2709"/>
        </row>
        <row r="2710">
          <cell r="B2710"/>
          <cell r="D2710"/>
        </row>
        <row r="2711">
          <cell r="B2711"/>
          <cell r="D2711"/>
        </row>
        <row r="2712">
          <cell r="B2712"/>
          <cell r="D2712"/>
        </row>
        <row r="2713">
          <cell r="B2713"/>
          <cell r="D2713"/>
        </row>
        <row r="2714">
          <cell r="B2714"/>
          <cell r="D2714"/>
        </row>
        <row r="2715">
          <cell r="B2715"/>
          <cell r="D2715"/>
        </row>
        <row r="2716">
          <cell r="B2716"/>
          <cell r="D2716"/>
        </row>
        <row r="2717">
          <cell r="B2717"/>
          <cell r="D2717"/>
        </row>
        <row r="2718">
          <cell r="B2718"/>
          <cell r="D2718"/>
        </row>
        <row r="2719">
          <cell r="B2719"/>
          <cell r="D2719"/>
        </row>
        <row r="2720">
          <cell r="B2720"/>
          <cell r="D2720"/>
        </row>
        <row r="2721">
          <cell r="B2721"/>
          <cell r="D2721"/>
        </row>
        <row r="2722">
          <cell r="B2722"/>
          <cell r="D2722"/>
        </row>
        <row r="2723">
          <cell r="B2723"/>
          <cell r="D2723"/>
        </row>
        <row r="2724">
          <cell r="B2724"/>
          <cell r="D2724"/>
        </row>
        <row r="2725">
          <cell r="B2725"/>
          <cell r="D2725"/>
        </row>
        <row r="2726">
          <cell r="B2726"/>
          <cell r="D2726"/>
        </row>
        <row r="2727">
          <cell r="B2727"/>
          <cell r="D2727"/>
        </row>
        <row r="2728">
          <cell r="B2728"/>
          <cell r="D2728"/>
        </row>
        <row r="2729">
          <cell r="B2729"/>
          <cell r="D2729"/>
        </row>
        <row r="2730">
          <cell r="B2730"/>
          <cell r="D2730"/>
        </row>
        <row r="2731">
          <cell r="B2731"/>
          <cell r="D2731"/>
        </row>
        <row r="2732">
          <cell r="B2732"/>
          <cell r="D2732"/>
        </row>
        <row r="2733">
          <cell r="B2733"/>
          <cell r="D2733"/>
        </row>
        <row r="2734">
          <cell r="B2734"/>
          <cell r="D2734"/>
        </row>
        <row r="2735">
          <cell r="B2735"/>
          <cell r="D2735"/>
        </row>
        <row r="2736">
          <cell r="B2736"/>
          <cell r="D2736"/>
        </row>
        <row r="2737">
          <cell r="B2737"/>
          <cell r="D2737"/>
        </row>
        <row r="2738">
          <cell r="B2738"/>
          <cell r="D2738"/>
        </row>
        <row r="2739">
          <cell r="B2739"/>
          <cell r="D2739"/>
        </row>
        <row r="2740">
          <cell r="B2740"/>
          <cell r="D2740"/>
        </row>
        <row r="2741">
          <cell r="B2741"/>
          <cell r="D2741"/>
        </row>
        <row r="2742">
          <cell r="B2742"/>
          <cell r="D2742"/>
        </row>
        <row r="2743">
          <cell r="B2743"/>
          <cell r="D2743"/>
        </row>
        <row r="2744">
          <cell r="B2744"/>
          <cell r="D2744"/>
        </row>
        <row r="2745">
          <cell r="B2745"/>
          <cell r="D2745"/>
        </row>
        <row r="2746">
          <cell r="B2746"/>
          <cell r="D2746"/>
        </row>
        <row r="2747">
          <cell r="B2747"/>
          <cell r="D2747"/>
        </row>
        <row r="2748">
          <cell r="B2748"/>
          <cell r="D2748"/>
        </row>
        <row r="2749">
          <cell r="B2749"/>
          <cell r="D2749"/>
        </row>
        <row r="2750">
          <cell r="B2750"/>
          <cell r="D2750"/>
        </row>
        <row r="2751">
          <cell r="B2751"/>
          <cell r="D2751"/>
        </row>
        <row r="2752">
          <cell r="B2752"/>
          <cell r="D2752"/>
        </row>
        <row r="2753">
          <cell r="B2753"/>
          <cell r="D2753"/>
        </row>
        <row r="2754">
          <cell r="B2754"/>
          <cell r="D2754"/>
        </row>
        <row r="2755">
          <cell r="B2755"/>
          <cell r="D2755"/>
        </row>
        <row r="2756">
          <cell r="B2756"/>
          <cell r="D2756"/>
        </row>
        <row r="2757">
          <cell r="B2757"/>
          <cell r="D2757"/>
        </row>
        <row r="2758">
          <cell r="B2758"/>
          <cell r="D2758"/>
        </row>
        <row r="2759">
          <cell r="B2759"/>
          <cell r="D2759"/>
        </row>
        <row r="2760">
          <cell r="B2760"/>
          <cell r="D2760"/>
        </row>
        <row r="2761">
          <cell r="B2761"/>
          <cell r="D2761"/>
        </row>
        <row r="2762">
          <cell r="B2762"/>
          <cell r="D2762"/>
        </row>
        <row r="2763">
          <cell r="B2763"/>
          <cell r="D2763"/>
        </row>
        <row r="2764">
          <cell r="B2764"/>
          <cell r="D2764"/>
        </row>
        <row r="2765">
          <cell r="B2765"/>
          <cell r="D2765"/>
        </row>
        <row r="2766">
          <cell r="B2766"/>
          <cell r="D2766"/>
        </row>
        <row r="2767">
          <cell r="B2767"/>
          <cell r="D2767"/>
        </row>
        <row r="2768">
          <cell r="B2768"/>
          <cell r="D2768"/>
        </row>
        <row r="2769">
          <cell r="B2769"/>
          <cell r="D2769"/>
        </row>
        <row r="2770">
          <cell r="B2770"/>
          <cell r="D2770"/>
        </row>
        <row r="2771">
          <cell r="B2771"/>
          <cell r="D2771"/>
        </row>
        <row r="2772">
          <cell r="B2772"/>
          <cell r="D2772"/>
        </row>
        <row r="2773">
          <cell r="B2773"/>
          <cell r="D2773"/>
        </row>
        <row r="2774">
          <cell r="B2774"/>
          <cell r="D2774"/>
        </row>
        <row r="2775">
          <cell r="B2775"/>
          <cell r="D2775"/>
        </row>
        <row r="2776">
          <cell r="B2776"/>
          <cell r="D2776"/>
        </row>
        <row r="2777">
          <cell r="B2777"/>
          <cell r="D2777"/>
        </row>
        <row r="2778">
          <cell r="B2778"/>
          <cell r="D2778"/>
        </row>
        <row r="2779">
          <cell r="B2779"/>
          <cell r="D2779"/>
        </row>
        <row r="2780">
          <cell r="B2780"/>
          <cell r="D2780"/>
        </row>
        <row r="2781">
          <cell r="B2781"/>
          <cell r="D2781"/>
        </row>
        <row r="2782">
          <cell r="B2782"/>
          <cell r="D2782"/>
        </row>
        <row r="2783">
          <cell r="B2783"/>
          <cell r="D2783"/>
        </row>
        <row r="2784">
          <cell r="B2784"/>
          <cell r="D2784"/>
        </row>
        <row r="2785">
          <cell r="B2785"/>
          <cell r="D2785"/>
        </row>
        <row r="2786">
          <cell r="B2786"/>
          <cell r="D2786"/>
        </row>
        <row r="2787">
          <cell r="B2787"/>
          <cell r="D2787"/>
        </row>
        <row r="2788">
          <cell r="B2788"/>
          <cell r="D2788"/>
        </row>
        <row r="2789">
          <cell r="B2789"/>
          <cell r="D2789"/>
        </row>
        <row r="2790">
          <cell r="B2790"/>
          <cell r="D2790"/>
        </row>
        <row r="2791">
          <cell r="B2791"/>
          <cell r="D2791"/>
        </row>
        <row r="2792">
          <cell r="B2792"/>
          <cell r="D2792"/>
        </row>
        <row r="2793">
          <cell r="B2793"/>
          <cell r="D2793"/>
        </row>
        <row r="2794">
          <cell r="B2794"/>
          <cell r="D2794"/>
        </row>
        <row r="2795">
          <cell r="B2795"/>
          <cell r="D2795"/>
        </row>
        <row r="2796">
          <cell r="B2796"/>
          <cell r="D2796"/>
        </row>
        <row r="2797">
          <cell r="B2797"/>
          <cell r="D2797"/>
        </row>
        <row r="2798">
          <cell r="B2798"/>
          <cell r="D2798"/>
        </row>
        <row r="2799">
          <cell r="B2799"/>
          <cell r="D2799"/>
        </row>
        <row r="2800">
          <cell r="B2800"/>
          <cell r="D2800"/>
        </row>
        <row r="2801">
          <cell r="B2801"/>
          <cell r="D2801"/>
        </row>
        <row r="2802">
          <cell r="B2802"/>
          <cell r="D2802"/>
        </row>
        <row r="2803">
          <cell r="B2803"/>
          <cell r="D2803"/>
        </row>
        <row r="2804">
          <cell r="B2804"/>
          <cell r="D2804"/>
        </row>
        <row r="2805">
          <cell r="B2805"/>
          <cell r="D2805"/>
        </row>
        <row r="2806">
          <cell r="B2806"/>
          <cell r="D2806"/>
        </row>
        <row r="2807">
          <cell r="B2807"/>
          <cell r="D2807"/>
        </row>
        <row r="2808">
          <cell r="B2808"/>
          <cell r="D2808"/>
        </row>
        <row r="2809">
          <cell r="B2809"/>
          <cell r="D2809"/>
        </row>
        <row r="2810">
          <cell r="B2810"/>
          <cell r="D2810"/>
        </row>
        <row r="2811">
          <cell r="B2811"/>
          <cell r="D2811"/>
        </row>
        <row r="2812">
          <cell r="B2812"/>
          <cell r="D2812"/>
        </row>
        <row r="2813">
          <cell r="B2813"/>
          <cell r="D2813"/>
        </row>
        <row r="2814">
          <cell r="B2814"/>
          <cell r="D2814"/>
        </row>
        <row r="2815">
          <cell r="B2815"/>
          <cell r="D2815"/>
        </row>
        <row r="2816">
          <cell r="B2816"/>
          <cell r="D2816"/>
        </row>
        <row r="2817">
          <cell r="B2817"/>
          <cell r="D2817"/>
        </row>
        <row r="2818">
          <cell r="B2818"/>
          <cell r="D2818"/>
        </row>
        <row r="2819">
          <cell r="B2819"/>
          <cell r="D2819"/>
        </row>
        <row r="2820">
          <cell r="B2820"/>
          <cell r="D2820"/>
        </row>
        <row r="2821">
          <cell r="B2821"/>
          <cell r="D2821"/>
        </row>
        <row r="2822">
          <cell r="B2822"/>
          <cell r="D2822"/>
        </row>
      </sheetData>
      <sheetData sheetId="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20lac_stats@worldbank.org?subject=[SIMULATIONS%20-%20CONTACT]:%20" TargetMode="External"/><Relationship Id="rId1" Type="http://schemas.openxmlformats.org/officeDocument/2006/relationships/printerSettings" Target="../printerSettings/printerSettings3.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ar_stats@worldbank.org?subject=[SIMULATION]%20CHANGE%20IN%20GDP%20REQUIRED" TargetMode="Externa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drawing" Target="../drawings/drawing6.xml"/><Relationship Id="rId7" Type="http://schemas.openxmlformats.org/officeDocument/2006/relationships/ctrlProp" Target="../ctrlProps/ctrlProp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hyperlink" Target="mailto:lac_stats@worldbank.org?subject=[SIMULATION]%20CHANGE%20IN%20PUBLIC%20TRANSFERS%20REQUIRED" TargetMode="External"/><Relationship Id="rId7" Type="http://schemas.openxmlformats.org/officeDocument/2006/relationships/ctrlProp" Target="../ctrlProps/ctrlProp12.xml"/><Relationship Id="rId2" Type="http://schemas.openxmlformats.org/officeDocument/2006/relationships/hyperlink" Target="mailto:lac_stats@worldbank.org?subject=[SIMULATION]%20CHANGE%20IN%20REMITTANCES%20REQUIRED" TargetMode="External"/><Relationship Id="rId1" Type="http://schemas.openxmlformats.org/officeDocument/2006/relationships/printerSettings" Target="../printerSettings/printerSettings15.bin"/><Relationship Id="rId6" Type="http://schemas.openxmlformats.org/officeDocument/2006/relationships/vmlDrawing" Target="../drawings/vmlDrawing6.vml"/><Relationship Id="rId5" Type="http://schemas.openxmlformats.org/officeDocument/2006/relationships/drawing" Target="../drawings/drawing7.xml"/><Relationship Id="rId4"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trlProp" Target="../ctrlProps/ctrlProp15.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4.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hyperlink" Target="mailto:lac_stats@worldbank.org?subject=[SIMULATIONS%20-%20CONTACT]:%20" TargetMode="External"/><Relationship Id="rId7" Type="http://schemas.openxmlformats.org/officeDocument/2006/relationships/control" Target="../activeX/activeX1.xml"/><Relationship Id="rId2" Type="http://schemas.openxmlformats.org/officeDocument/2006/relationships/hyperlink" Target="mailto:csilveirabraga@worldbank.org?subject=[SIMULATIONS%20-%20CONTACT]:%20" TargetMode="External"/><Relationship Id="rId1" Type="http://schemas.openxmlformats.org/officeDocument/2006/relationships/printerSettings" Target="../printerSettings/printerSettings18.bin"/><Relationship Id="rId6" Type="http://schemas.openxmlformats.org/officeDocument/2006/relationships/vmlDrawing" Target="../drawings/vmlDrawing8.vml"/><Relationship Id="rId5" Type="http://schemas.openxmlformats.org/officeDocument/2006/relationships/drawing" Target="../drawings/drawing9.xml"/><Relationship Id="rId4"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78" customWidth="1"/>
    <col min="2" max="2" width="20.85546875" style="78" bestFit="1" customWidth="1"/>
    <col min="3" max="3" width="32" style="78" bestFit="1" customWidth="1"/>
    <col min="4" max="4" width="138.5703125" style="78" bestFit="1" customWidth="1"/>
    <col min="5" max="5" width="8.5703125" style="78" customWidth="1"/>
    <col min="6" max="16384" width="9.140625" style="78" hidden="1"/>
  </cols>
  <sheetData>
    <row r="1" spans="1:5" x14ac:dyDescent="0.2">
      <c r="A1" s="291"/>
      <c r="B1" s="93"/>
      <c r="C1" s="93"/>
      <c r="D1" s="93"/>
      <c r="E1" s="291"/>
    </row>
    <row r="2" spans="1:5" ht="20.25" x14ac:dyDescent="0.3">
      <c r="A2" s="291"/>
      <c r="B2" s="513" t="s">
        <v>0</v>
      </c>
      <c r="C2" s="513"/>
      <c r="D2" s="513"/>
      <c r="E2" s="291"/>
    </row>
    <row r="3" spans="1:5" x14ac:dyDescent="0.2">
      <c r="A3" s="291"/>
      <c r="B3" s="514" t="s">
        <v>1</v>
      </c>
      <c r="C3" s="514"/>
      <c r="D3" s="514"/>
      <c r="E3" s="291"/>
    </row>
    <row r="4" spans="1:5" x14ac:dyDescent="0.2">
      <c r="A4" s="291"/>
      <c r="B4" s="514"/>
      <c r="C4" s="514"/>
      <c r="D4" s="514"/>
      <c r="E4" s="291"/>
    </row>
    <row r="5" spans="1:5" ht="15" x14ac:dyDescent="0.25">
      <c r="A5" s="291"/>
      <c r="B5" s="509" t="s">
        <v>2</v>
      </c>
      <c r="C5" s="509"/>
      <c r="D5" s="110" t="s">
        <v>3</v>
      </c>
      <c r="E5" s="291"/>
    </row>
    <row r="6" spans="1:5" ht="15" x14ac:dyDescent="0.25">
      <c r="A6" s="291"/>
      <c r="B6" s="512" t="s">
        <v>4</v>
      </c>
      <c r="C6" s="512"/>
      <c r="D6" s="512"/>
      <c r="E6" s="291"/>
    </row>
    <row r="7" spans="1:5" x14ac:dyDescent="0.2">
      <c r="A7" s="291"/>
      <c r="B7" s="510" t="s">
        <v>5</v>
      </c>
      <c r="C7" s="510"/>
      <c r="D7" s="105" t="s">
        <v>6</v>
      </c>
      <c r="E7" s="291"/>
    </row>
    <row r="8" spans="1:5" x14ac:dyDescent="0.2">
      <c r="A8" s="291"/>
      <c r="B8" s="510" t="s">
        <v>7</v>
      </c>
      <c r="C8" s="510"/>
      <c r="D8" s="105" t="s">
        <v>8</v>
      </c>
      <c r="E8" s="291"/>
    </row>
    <row r="9" spans="1:5" x14ac:dyDescent="0.2">
      <c r="A9" s="291"/>
      <c r="B9" s="510" t="s">
        <v>9</v>
      </c>
      <c r="C9" s="510"/>
      <c r="D9" s="105" t="s">
        <v>10</v>
      </c>
      <c r="E9" s="291"/>
    </row>
    <row r="10" spans="1:5" x14ac:dyDescent="0.2">
      <c r="A10" s="291"/>
      <c r="B10" s="511" t="s">
        <v>11</v>
      </c>
      <c r="C10" s="511"/>
      <c r="D10" s="105" t="s">
        <v>12</v>
      </c>
      <c r="E10" s="291"/>
    </row>
    <row r="11" spans="1:5" x14ac:dyDescent="0.2">
      <c r="A11" s="291"/>
      <c r="B11" s="511" t="s">
        <v>13</v>
      </c>
      <c r="C11" s="511"/>
      <c r="D11" s="105" t="s">
        <v>14</v>
      </c>
      <c r="E11" s="291"/>
    </row>
    <row r="12" spans="1:5" ht="15" x14ac:dyDescent="0.25">
      <c r="A12" s="291"/>
      <c r="B12" s="512" t="s">
        <v>15</v>
      </c>
      <c r="C12" s="512"/>
      <c r="D12" s="512"/>
      <c r="E12" s="291"/>
    </row>
    <row r="13" spans="1:5" x14ac:dyDescent="0.2">
      <c r="A13" s="291"/>
      <c r="B13" s="508" t="s">
        <v>16</v>
      </c>
      <c r="C13" s="508"/>
      <c r="D13" s="106" t="s">
        <v>10</v>
      </c>
      <c r="E13" s="291"/>
    </row>
    <row r="14" spans="1:5" x14ac:dyDescent="0.2">
      <c r="A14" s="291"/>
      <c r="B14" s="508" t="s">
        <v>17</v>
      </c>
      <c r="C14" s="508"/>
      <c r="D14" s="106" t="s">
        <v>18</v>
      </c>
      <c r="E14" s="291"/>
    </row>
    <row r="15" spans="1:5" x14ac:dyDescent="0.2">
      <c r="A15" s="291"/>
      <c r="B15" s="508" t="s">
        <v>19</v>
      </c>
      <c r="C15" s="508"/>
      <c r="D15" s="106" t="s">
        <v>20</v>
      </c>
      <c r="E15" s="291"/>
    </row>
    <row r="16" spans="1:5" x14ac:dyDescent="0.2">
      <c r="A16" s="291"/>
      <c r="B16" s="508" t="s">
        <v>21</v>
      </c>
      <c r="C16" s="508"/>
      <c r="D16" s="106" t="s">
        <v>22</v>
      </c>
      <c r="E16" s="291"/>
    </row>
    <row r="17" spans="1:5" x14ac:dyDescent="0.2">
      <c r="A17" s="291"/>
      <c r="B17" s="508" t="s">
        <v>23</v>
      </c>
      <c r="C17" s="508"/>
      <c r="D17" s="106" t="s">
        <v>24</v>
      </c>
      <c r="E17" s="291"/>
    </row>
    <row r="18" spans="1:5" ht="25.5" x14ac:dyDescent="0.2">
      <c r="A18" s="291"/>
      <c r="B18" s="508" t="s">
        <v>25</v>
      </c>
      <c r="C18" s="508"/>
      <c r="D18" s="106" t="s">
        <v>26</v>
      </c>
      <c r="E18" s="291"/>
    </row>
    <row r="19" spans="1:5" x14ac:dyDescent="0.2">
      <c r="A19" s="291"/>
      <c r="B19" s="508" t="s">
        <v>27</v>
      </c>
      <c r="C19" s="508"/>
      <c r="D19" s="106" t="s">
        <v>28</v>
      </c>
      <c r="E19" s="291"/>
    </row>
    <row r="20" spans="1:5" x14ac:dyDescent="0.2">
      <c r="A20" s="291"/>
      <c r="B20" s="508" t="s">
        <v>29</v>
      </c>
      <c r="C20" s="508"/>
      <c r="D20" s="106" t="s">
        <v>30</v>
      </c>
      <c r="E20" s="291"/>
    </row>
    <row r="21" spans="1:5" x14ac:dyDescent="0.2">
      <c r="A21" s="291"/>
      <c r="B21" s="508" t="s">
        <v>31</v>
      </c>
      <c r="C21" s="508"/>
      <c r="D21" s="106" t="s">
        <v>32</v>
      </c>
      <c r="E21" s="291"/>
    </row>
    <row r="22" spans="1:5" x14ac:dyDescent="0.2">
      <c r="A22" s="291"/>
      <c r="B22" s="508" t="s">
        <v>33</v>
      </c>
      <c r="C22" s="508"/>
      <c r="D22" s="106" t="s">
        <v>34</v>
      </c>
      <c r="E22" s="291"/>
    </row>
    <row r="23" spans="1:5" x14ac:dyDescent="0.2">
      <c r="A23" s="291"/>
      <c r="B23" s="508" t="s">
        <v>35</v>
      </c>
      <c r="C23" s="508"/>
      <c r="D23" s="107" t="s">
        <v>36</v>
      </c>
      <c r="E23" s="291"/>
    </row>
    <row r="24" spans="1:5" ht="25.5" x14ac:dyDescent="0.2">
      <c r="A24" s="291"/>
      <c r="B24" s="508"/>
      <c r="C24" s="508"/>
      <c r="D24" s="107" t="s">
        <v>37</v>
      </c>
      <c r="E24" s="291"/>
    </row>
    <row r="25" spans="1:5" ht="25.5" x14ac:dyDescent="0.2">
      <c r="A25" s="291"/>
      <c r="B25" s="508"/>
      <c r="C25" s="508"/>
      <c r="D25" s="107" t="s">
        <v>38</v>
      </c>
      <c r="E25" s="291"/>
    </row>
    <row r="26" spans="1:5" x14ac:dyDescent="0.2">
      <c r="A26" s="291"/>
      <c r="B26" s="508" t="s">
        <v>39</v>
      </c>
      <c r="C26" s="508"/>
      <c r="D26" s="105" t="s">
        <v>40</v>
      </c>
      <c r="E26" s="291"/>
    </row>
    <row r="27" spans="1:5" x14ac:dyDescent="0.2">
      <c r="A27" s="291"/>
      <c r="B27" s="508" t="s">
        <v>41</v>
      </c>
      <c r="C27" s="508"/>
      <c r="D27" s="105" t="s">
        <v>42</v>
      </c>
      <c r="E27" s="291"/>
    </row>
    <row r="28" spans="1:5" x14ac:dyDescent="0.2">
      <c r="A28" s="291"/>
      <c r="B28" s="508" t="s">
        <v>43</v>
      </c>
      <c r="C28" s="508"/>
      <c r="D28" s="105" t="s">
        <v>44</v>
      </c>
      <c r="E28" s="291"/>
    </row>
    <row r="29" spans="1:5" x14ac:dyDescent="0.2">
      <c r="A29" s="291"/>
      <c r="B29" s="508" t="s">
        <v>45</v>
      </c>
      <c r="C29" s="508"/>
      <c r="D29" s="105" t="s">
        <v>46</v>
      </c>
      <c r="E29" s="291"/>
    </row>
    <row r="30" spans="1:5" x14ac:dyDescent="0.2">
      <c r="A30" s="291"/>
      <c r="B30" s="508" t="s">
        <v>47</v>
      </c>
      <c r="C30" s="508"/>
      <c r="D30" s="105" t="s">
        <v>46</v>
      </c>
      <c r="E30" s="291"/>
    </row>
    <row r="31" spans="1:5" x14ac:dyDescent="0.2">
      <c r="A31" s="291"/>
      <c r="B31" s="508" t="s">
        <v>48</v>
      </c>
      <c r="C31" s="508"/>
      <c r="D31" s="105" t="s">
        <v>49</v>
      </c>
      <c r="E31" s="291"/>
    </row>
    <row r="32" spans="1:5" ht="15" x14ac:dyDescent="0.25">
      <c r="A32" s="291"/>
      <c r="B32" s="512" t="s">
        <v>50</v>
      </c>
      <c r="C32" s="512"/>
      <c r="D32" s="512"/>
      <c r="E32" s="291"/>
    </row>
    <row r="33" spans="1:5" x14ac:dyDescent="0.2">
      <c r="A33" s="291"/>
      <c r="B33" s="508" t="s">
        <v>51</v>
      </c>
      <c r="C33" s="508"/>
      <c r="D33" s="108" t="s">
        <v>52</v>
      </c>
      <c r="E33" s="291"/>
    </row>
    <row r="34" spans="1:5" ht="25.5" x14ac:dyDescent="0.2">
      <c r="A34" s="291"/>
      <c r="B34" s="508" t="s">
        <v>53</v>
      </c>
      <c r="C34" s="508"/>
      <c r="D34" s="105" t="s">
        <v>54</v>
      </c>
      <c r="E34" s="291"/>
    </row>
    <row r="35" spans="1:5" x14ac:dyDescent="0.2">
      <c r="A35" s="291"/>
      <c r="B35" s="508" t="s">
        <v>55</v>
      </c>
      <c r="C35" s="508"/>
      <c r="D35" s="108" t="s">
        <v>56</v>
      </c>
      <c r="E35" s="291"/>
    </row>
    <row r="36" spans="1:5" ht="15" x14ac:dyDescent="0.25">
      <c r="A36" s="291"/>
      <c r="B36" s="512" t="s">
        <v>57</v>
      </c>
      <c r="C36" s="512"/>
      <c r="D36" s="512"/>
      <c r="E36" s="291"/>
    </row>
    <row r="37" spans="1:5" x14ac:dyDescent="0.2">
      <c r="A37" s="291"/>
      <c r="B37" s="508" t="s">
        <v>58</v>
      </c>
      <c r="C37" s="108" t="s">
        <v>59</v>
      </c>
      <c r="D37" s="105" t="s">
        <v>60</v>
      </c>
      <c r="E37" s="291"/>
    </row>
    <row r="38" spans="1:5" x14ac:dyDescent="0.2">
      <c r="A38" s="291"/>
      <c r="B38" s="508"/>
      <c r="C38" s="108" t="s">
        <v>61</v>
      </c>
      <c r="D38" s="105" t="s">
        <v>62</v>
      </c>
      <c r="E38" s="291"/>
    </row>
    <row r="39" spans="1:5" x14ac:dyDescent="0.2">
      <c r="A39" s="291"/>
      <c r="B39" s="508"/>
      <c r="C39" s="108" t="s">
        <v>63</v>
      </c>
      <c r="D39" s="105" t="s">
        <v>64</v>
      </c>
      <c r="E39" s="291"/>
    </row>
    <row r="40" spans="1:5" ht="25.5" x14ac:dyDescent="0.2">
      <c r="A40" s="291"/>
      <c r="B40" s="508" t="s">
        <v>65</v>
      </c>
      <c r="C40" s="109" t="s">
        <v>66</v>
      </c>
      <c r="D40" s="105" t="s">
        <v>67</v>
      </c>
      <c r="E40" s="291"/>
    </row>
    <row r="41" spans="1:5" x14ac:dyDescent="0.2">
      <c r="A41" s="291"/>
      <c r="B41" s="508"/>
      <c r="C41" s="109" t="s">
        <v>68</v>
      </c>
      <c r="D41" s="105" t="s">
        <v>69</v>
      </c>
      <c r="E41" s="291"/>
    </row>
    <row r="42" spans="1:5" x14ac:dyDescent="0.2">
      <c r="A42" s="291"/>
      <c r="B42" s="508"/>
      <c r="C42" s="109" t="s">
        <v>70</v>
      </c>
      <c r="D42" s="105" t="s">
        <v>71</v>
      </c>
      <c r="E42" s="291"/>
    </row>
    <row r="43" spans="1:5" x14ac:dyDescent="0.2">
      <c r="A43" s="291"/>
      <c r="B43" s="508"/>
      <c r="C43" s="105" t="s">
        <v>72</v>
      </c>
      <c r="D43" s="105" t="s">
        <v>73</v>
      </c>
      <c r="E43" s="291"/>
    </row>
    <row r="44" spans="1:5" ht="15" x14ac:dyDescent="0.25">
      <c r="A44" s="291"/>
      <c r="B44" s="512" t="s">
        <v>74</v>
      </c>
      <c r="C44" s="512"/>
      <c r="D44" s="512"/>
      <c r="E44" s="291"/>
    </row>
    <row r="45" spans="1:5" x14ac:dyDescent="0.2">
      <c r="A45" s="291"/>
      <c r="B45" s="510" t="s">
        <v>75</v>
      </c>
      <c r="C45" s="510"/>
      <c r="D45" s="108" t="s">
        <v>76</v>
      </c>
      <c r="E45" s="291"/>
    </row>
    <row r="46" spans="1:5" x14ac:dyDescent="0.2">
      <c r="A46" s="291"/>
      <c r="B46" s="510" t="s">
        <v>77</v>
      </c>
      <c r="C46" s="510"/>
      <c r="D46" s="108" t="s">
        <v>78</v>
      </c>
      <c r="E46" s="291"/>
    </row>
    <row r="47" spans="1:5" x14ac:dyDescent="0.2">
      <c r="A47" s="291"/>
      <c r="B47" s="510" t="s">
        <v>79</v>
      </c>
      <c r="C47" s="510"/>
      <c r="D47" s="108" t="s">
        <v>80</v>
      </c>
      <c r="E47" s="291"/>
    </row>
    <row r="48" spans="1:5" ht="15" x14ac:dyDescent="0.25">
      <c r="A48" s="291"/>
      <c r="B48" s="512" t="s">
        <v>74</v>
      </c>
      <c r="C48" s="512"/>
      <c r="D48" s="512"/>
      <c r="E48" s="291"/>
    </row>
    <row r="49" spans="1:5" x14ac:dyDescent="0.2">
      <c r="A49" s="291"/>
      <c r="B49" s="510" t="s">
        <v>81</v>
      </c>
      <c r="C49" s="510"/>
      <c r="D49" s="108" t="s">
        <v>82</v>
      </c>
      <c r="E49" s="291"/>
    </row>
    <row r="50" spans="1:5" x14ac:dyDescent="0.2">
      <c r="A50" s="291"/>
      <c r="B50" s="93"/>
      <c r="C50" s="93"/>
      <c r="D50" s="93"/>
      <c r="E50" s="291"/>
    </row>
  </sheetData>
  <sheetProtection algorithmName="SHA-512" hashValue="1uIHnh3lVK+8Q7hnLArJIGPeFhqUQz6/3Jbou3qf7hsuR6C2dhT0nKAH6yEgAF9E6b1zGKEvuHNsTVyPQ3iNwg==" saltValue="ZtrImjPEJSk+KLcWFN3cGg==" spinCount="100000" sheet="1" objects="1" scenarios="1"/>
  <customSheetViews>
    <customSheetView guid="{5EB6DE45-64D9-4581-AE55-A519683B64F2}" scale="80" hiddenRows="1" hiddenColumns="1">
      <selection activeCell="D31" sqref="D31"/>
      <pageMargins left="0.7" right="0.7" top="0.75" bottom="0.75" header="0.3" footer="0.3"/>
      <pageSetup orientation="portrait" r:id="rId1"/>
    </customSheetView>
  </customSheetViews>
  <mergeCells count="40">
    <mergeCell ref="B45:C45"/>
    <mergeCell ref="B29:C29"/>
    <mergeCell ref="B28:C28"/>
    <mergeCell ref="B30:C30"/>
    <mergeCell ref="B31:C31"/>
    <mergeCell ref="B34:C34"/>
    <mergeCell ref="B35:C35"/>
    <mergeCell ref="B32:D32"/>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E4" sqref="E4"/>
    </sheetView>
  </sheetViews>
  <sheetFormatPr defaultColWidth="0" defaultRowHeight="14.25" x14ac:dyDescent="0.2"/>
  <cols>
    <col min="1" max="1" width="2.85546875" style="62" customWidth="1"/>
    <col min="2" max="3" width="15.7109375" style="62" customWidth="1"/>
    <col min="4" max="4" width="28.5703125" style="62" customWidth="1"/>
    <col min="5" max="5" width="18" style="62" bestFit="1" customWidth="1"/>
    <col min="6" max="7" width="15.7109375" style="62" customWidth="1"/>
    <col min="8" max="8" width="9.140625" style="62" customWidth="1"/>
    <col min="9" max="13" width="9.140625" style="62" hidden="1" customWidth="1"/>
    <col min="14" max="14" width="28.42578125" style="62" hidden="1" customWidth="1"/>
    <col min="15" max="23" width="9.140625" style="111" hidden="1" customWidth="1"/>
    <col min="24" max="38" width="0" style="111" hidden="1" customWidth="1"/>
    <col min="39" max="40" width="0" style="62" hidden="1" customWidth="1"/>
    <col min="41" max="16384" width="9.140625" style="62" hidden="1"/>
  </cols>
  <sheetData>
    <row r="1" spans="1:28" x14ac:dyDescent="0.2">
      <c r="A1" s="93"/>
      <c r="B1" s="93"/>
      <c r="C1" s="93"/>
      <c r="D1" s="93"/>
      <c r="E1" s="93"/>
      <c r="F1" s="93"/>
      <c r="G1" s="93"/>
      <c r="H1" s="93"/>
    </row>
    <row r="2" spans="1:28" ht="16.5" x14ac:dyDescent="0.25">
      <c r="A2" s="93"/>
      <c r="B2" s="93"/>
      <c r="C2" s="286"/>
      <c r="D2" s="518" t="s">
        <v>83</v>
      </c>
      <c r="E2" s="518"/>
      <c r="F2" s="119"/>
      <c r="G2" s="93"/>
      <c r="H2" s="93"/>
      <c r="AA2" s="111" t="s">
        <v>84</v>
      </c>
      <c r="AB2" s="61" t="s">
        <v>85</v>
      </c>
    </row>
    <row r="3" spans="1:28" ht="15" x14ac:dyDescent="0.25">
      <c r="A3" s="93"/>
      <c r="B3" s="93"/>
      <c r="C3" s="286"/>
      <c r="D3" s="180" t="s">
        <v>384</v>
      </c>
      <c r="E3" s="178" t="s">
        <v>383</v>
      </c>
      <c r="F3" s="288"/>
      <c r="G3" s="93"/>
      <c r="H3" s="93"/>
      <c r="AB3" s="61"/>
    </row>
    <row r="4" spans="1:28" ht="15" x14ac:dyDescent="0.25">
      <c r="A4" s="93"/>
      <c r="B4" s="93"/>
      <c r="C4" s="286"/>
      <c r="D4" s="180" t="s">
        <v>86</v>
      </c>
      <c r="E4" s="179">
        <v>2022</v>
      </c>
      <c r="F4" s="289"/>
      <c r="G4" s="93"/>
      <c r="H4" s="93"/>
      <c r="AB4" s="61"/>
    </row>
    <row r="5" spans="1:28" x14ac:dyDescent="0.2">
      <c r="A5" s="93"/>
      <c r="B5" s="93"/>
      <c r="C5" s="93"/>
      <c r="D5" s="287" t="s">
        <v>87</v>
      </c>
      <c r="E5" s="93"/>
      <c r="F5" s="93"/>
      <c r="G5" s="93"/>
      <c r="H5" s="93"/>
      <c r="AB5" s="61"/>
    </row>
    <row r="6" spans="1:28" x14ac:dyDescent="0.2">
      <c r="A6" s="93"/>
      <c r="B6" s="93"/>
      <c r="C6" s="93"/>
      <c r="D6" s="93"/>
      <c r="E6" s="93"/>
      <c r="F6" s="93"/>
      <c r="G6" s="93"/>
      <c r="H6" s="93"/>
      <c r="AB6" s="61"/>
    </row>
    <row r="7" spans="1:28" ht="15" x14ac:dyDescent="0.25">
      <c r="A7" s="93"/>
      <c r="B7" s="112"/>
      <c r="C7" s="112"/>
      <c r="D7" s="520" t="s">
        <v>88</v>
      </c>
      <c r="E7" s="520"/>
      <c r="F7" s="120"/>
      <c r="G7" s="112"/>
      <c r="H7" s="93"/>
      <c r="AB7" s="61"/>
    </row>
    <row r="8" spans="1:28" ht="15" customHeight="1" x14ac:dyDescent="0.2">
      <c r="A8" s="93"/>
      <c r="B8" s="118"/>
      <c r="C8" s="118"/>
      <c r="D8" s="525" t="s">
        <v>465</v>
      </c>
      <c r="E8" s="525"/>
      <c r="F8" s="121"/>
      <c r="G8" s="118"/>
      <c r="H8" s="93"/>
      <c r="AB8" s="61"/>
    </row>
    <row r="9" spans="1:28" ht="15" customHeight="1" x14ac:dyDescent="0.2">
      <c r="A9" s="93"/>
      <c r="B9" s="118"/>
      <c r="C9" s="118"/>
      <c r="D9" s="526" t="s">
        <v>90</v>
      </c>
      <c r="E9" s="526"/>
      <c r="F9" s="121"/>
      <c r="G9" s="118"/>
      <c r="H9" s="93"/>
      <c r="AB9" s="61"/>
    </row>
    <row r="10" spans="1:28" ht="15" customHeight="1" x14ac:dyDescent="0.2">
      <c r="A10" s="93"/>
      <c r="B10" s="118"/>
      <c r="C10" s="118"/>
      <c r="D10" s="527" t="str">
        <f>+" + Elasticities"</f>
        <v xml:space="preserve"> + Elasticities</v>
      </c>
      <c r="E10" s="527"/>
      <c r="F10" s="121"/>
      <c r="G10" s="118"/>
      <c r="H10" s="93"/>
      <c r="AB10" s="61"/>
    </row>
    <row r="11" spans="1:28" ht="15" customHeight="1" x14ac:dyDescent="0.2">
      <c r="A11" s="93"/>
      <c r="B11" s="118"/>
      <c r="C11" s="118"/>
      <c r="D11" s="527" t="str">
        <f>+" + Growth Rates"</f>
        <v xml:space="preserve"> + Growth Rates</v>
      </c>
      <c r="E11" s="527"/>
      <c r="F11" s="121"/>
      <c r="G11" s="118"/>
      <c r="H11" s="93"/>
      <c r="AB11" s="61"/>
    </row>
    <row r="12" spans="1:28" x14ac:dyDescent="0.2">
      <c r="A12" s="93"/>
      <c r="B12" s="118"/>
      <c r="C12" s="118"/>
      <c r="D12" s="521" t="s">
        <v>91</v>
      </c>
      <c r="E12" s="521"/>
      <c r="F12" s="121"/>
      <c r="G12" s="118"/>
      <c r="H12" s="93"/>
      <c r="AB12" s="61"/>
    </row>
    <row r="13" spans="1:28" ht="17.25" customHeight="1" x14ac:dyDescent="0.2">
      <c r="A13" s="93"/>
      <c r="B13" s="118"/>
      <c r="C13" s="118"/>
      <c r="D13" s="522" t="s">
        <v>92</v>
      </c>
      <c r="E13" s="522"/>
      <c r="F13" s="121"/>
      <c r="G13" s="118"/>
      <c r="H13" s="93"/>
      <c r="AB13" s="61"/>
    </row>
    <row r="14" spans="1:28" ht="17.25" customHeight="1" x14ac:dyDescent="0.2">
      <c r="A14" s="93"/>
      <c r="B14" s="118"/>
      <c r="C14" s="118"/>
      <c r="D14" s="407"/>
      <c r="E14" s="407"/>
      <c r="F14" s="121"/>
      <c r="G14" s="118"/>
      <c r="H14" s="93"/>
      <c r="AB14" s="61"/>
    </row>
    <row r="15" spans="1:28" ht="17.25" customHeight="1" x14ac:dyDescent="0.2">
      <c r="A15" s="93"/>
      <c r="B15" s="118"/>
      <c r="C15" s="118"/>
      <c r="D15" s="523" t="s">
        <v>93</v>
      </c>
      <c r="E15" s="523"/>
      <c r="F15" s="121"/>
      <c r="G15" s="118"/>
      <c r="H15" s="93"/>
      <c r="AB15" s="61"/>
    </row>
    <row r="16" spans="1:28" ht="17.25" customHeight="1" x14ac:dyDescent="0.2">
      <c r="A16" s="93"/>
      <c r="B16" s="290"/>
      <c r="C16" s="290"/>
      <c r="D16" s="290"/>
      <c r="E16" s="290"/>
      <c r="F16" s="290"/>
      <c r="G16" s="290"/>
      <c r="H16" s="93"/>
      <c r="AB16" s="61"/>
    </row>
    <row r="17" spans="1:28" ht="11.25" customHeight="1" x14ac:dyDescent="0.2">
      <c r="A17" s="93"/>
      <c r="B17" s="524" t="s">
        <v>94</v>
      </c>
      <c r="C17" s="524"/>
      <c r="D17" s="524"/>
      <c r="E17" s="524"/>
      <c r="F17" s="524"/>
      <c r="G17" s="524"/>
      <c r="H17" s="93"/>
      <c r="AB17" s="61"/>
    </row>
    <row r="18" spans="1:28" ht="11.25" customHeight="1" x14ac:dyDescent="0.2">
      <c r="A18" s="93"/>
      <c r="B18" s="524"/>
      <c r="C18" s="524"/>
      <c r="D18" s="524"/>
      <c r="E18" s="524"/>
      <c r="F18" s="524"/>
      <c r="G18" s="524"/>
      <c r="H18" s="93"/>
      <c r="AB18" s="61"/>
    </row>
    <row r="19" spans="1:28" x14ac:dyDescent="0.2">
      <c r="A19" s="93"/>
      <c r="B19" s="519" t="s">
        <v>95</v>
      </c>
      <c r="C19" s="519"/>
      <c r="D19" s="519"/>
      <c r="E19" s="519"/>
      <c r="F19" s="519"/>
      <c r="G19" s="519"/>
      <c r="H19" s="93"/>
      <c r="AB19" s="61"/>
    </row>
    <row r="20" spans="1:28" x14ac:dyDescent="0.2">
      <c r="A20" s="93"/>
      <c r="B20" s="519"/>
      <c r="C20" s="519"/>
      <c r="D20" s="519"/>
      <c r="E20" s="519"/>
      <c r="F20" s="519"/>
      <c r="G20" s="519"/>
      <c r="H20" s="93"/>
      <c r="AB20" s="61"/>
    </row>
    <row r="21" spans="1:28" ht="17.25" customHeight="1" x14ac:dyDescent="0.2">
      <c r="A21" s="93"/>
      <c r="B21" s="290"/>
      <c r="C21" s="290"/>
      <c r="D21" s="290"/>
      <c r="E21" s="290"/>
      <c r="F21" s="290"/>
      <c r="G21" s="290"/>
      <c r="H21" s="93"/>
      <c r="AB21" s="61"/>
    </row>
    <row r="22" spans="1:28" ht="17.25" customHeight="1" x14ac:dyDescent="0.25">
      <c r="A22" s="93"/>
      <c r="B22" s="520" t="s">
        <v>96</v>
      </c>
      <c r="C22" s="520"/>
      <c r="D22" s="520"/>
      <c r="E22" s="520"/>
      <c r="F22" s="520"/>
      <c r="G22" s="520"/>
      <c r="H22" s="93"/>
      <c r="AB22" s="61"/>
    </row>
    <row r="23" spans="1:28" x14ac:dyDescent="0.2">
      <c r="A23" s="93"/>
      <c r="B23" s="290"/>
      <c r="C23" s="290"/>
      <c r="D23" s="290"/>
      <c r="E23" s="290"/>
      <c r="F23" s="290"/>
      <c r="G23" s="290"/>
      <c r="H23" s="93"/>
      <c r="AB23" s="61"/>
    </row>
    <row r="24" spans="1:28" x14ac:dyDescent="0.2">
      <c r="A24" s="93"/>
      <c r="B24" s="290"/>
      <c r="C24" s="290"/>
      <c r="D24" s="290"/>
      <c r="E24" s="290"/>
      <c r="F24" s="290"/>
      <c r="G24" s="290"/>
      <c r="H24" s="93"/>
      <c r="AB24" s="61"/>
    </row>
    <row r="25" spans="1:28" x14ac:dyDescent="0.2">
      <c r="A25" s="93"/>
      <c r="B25" s="290"/>
      <c r="C25" s="290"/>
      <c r="D25" s="290"/>
      <c r="E25" s="290"/>
      <c r="F25" s="290"/>
      <c r="G25" s="290"/>
      <c r="H25" s="93"/>
      <c r="AB25" s="61"/>
    </row>
    <row r="26" spans="1:28" x14ac:dyDescent="0.2">
      <c r="A26" s="93"/>
      <c r="B26" s="290"/>
      <c r="C26" s="290"/>
      <c r="D26" s="290"/>
      <c r="E26" s="290"/>
      <c r="F26" s="290"/>
      <c r="G26" s="290"/>
      <c r="H26" s="93"/>
      <c r="AB26" s="61"/>
    </row>
    <row r="27" spans="1:28" x14ac:dyDescent="0.2">
      <c r="A27" s="93"/>
      <c r="B27" s="290"/>
      <c r="C27" s="290"/>
      <c r="D27" s="290"/>
      <c r="E27" s="290"/>
      <c r="F27" s="290"/>
      <c r="G27" s="290"/>
      <c r="H27" s="93"/>
      <c r="AB27" s="61"/>
    </row>
    <row r="28" spans="1:28" x14ac:dyDescent="0.2">
      <c r="A28" s="93"/>
      <c r="B28" s="290"/>
      <c r="C28" s="290"/>
      <c r="D28" s="290"/>
      <c r="E28" s="290"/>
      <c r="F28" s="290"/>
      <c r="G28" s="290"/>
      <c r="H28" s="93"/>
      <c r="AB28" s="61"/>
    </row>
    <row r="29" spans="1:28" x14ac:dyDescent="0.2">
      <c r="A29" s="93"/>
      <c r="B29" s="290"/>
      <c r="C29" s="290"/>
      <c r="D29" s="290"/>
      <c r="E29" s="290"/>
      <c r="F29" s="290"/>
      <c r="G29" s="290"/>
      <c r="H29" s="93"/>
      <c r="AB29" s="61"/>
    </row>
    <row r="30" spans="1:28" x14ac:dyDescent="0.2">
      <c r="A30" s="93"/>
      <c r="B30" s="290"/>
      <c r="C30" s="290"/>
      <c r="D30" s="290"/>
      <c r="E30" s="290"/>
      <c r="F30" s="290"/>
      <c r="G30" s="290"/>
      <c r="H30" s="93"/>
      <c r="AB30" s="61"/>
    </row>
    <row r="31" spans="1:28" x14ac:dyDescent="0.2">
      <c r="A31" s="93"/>
      <c r="B31" s="290"/>
      <c r="C31" s="290"/>
      <c r="D31" s="290"/>
      <c r="E31" s="290"/>
      <c r="F31" s="290"/>
      <c r="G31" s="290"/>
      <c r="H31" s="93"/>
      <c r="AB31" s="61"/>
    </row>
    <row r="32" spans="1:28" x14ac:dyDescent="0.2">
      <c r="A32" s="93"/>
      <c r="B32" s="290"/>
      <c r="C32" s="290"/>
      <c r="D32" s="290"/>
      <c r="E32" s="290"/>
      <c r="F32" s="290"/>
      <c r="G32" s="290"/>
      <c r="H32" s="93"/>
      <c r="AB32" s="61"/>
    </row>
    <row r="33" spans="1:28" x14ac:dyDescent="0.2">
      <c r="A33" s="93"/>
      <c r="B33" s="290"/>
      <c r="C33" s="290"/>
      <c r="D33" s="290"/>
      <c r="E33" s="290"/>
      <c r="F33" s="290"/>
      <c r="G33" s="290"/>
      <c r="H33" s="93"/>
      <c r="AB33" s="61"/>
    </row>
    <row r="34" spans="1:28" x14ac:dyDescent="0.2">
      <c r="A34" s="93"/>
      <c r="B34" s="290"/>
      <c r="C34" s="290"/>
      <c r="D34" s="290"/>
      <c r="E34" s="290"/>
      <c r="F34" s="290"/>
      <c r="G34" s="290"/>
      <c r="H34" s="93"/>
      <c r="AB34" s="61"/>
    </row>
    <row r="35" spans="1:28" x14ac:dyDescent="0.2">
      <c r="A35" s="93"/>
      <c r="B35" s="290"/>
      <c r="C35" s="290"/>
      <c r="D35" s="290"/>
      <c r="E35" s="290"/>
      <c r="F35" s="290"/>
      <c r="G35" s="290"/>
      <c r="H35" s="93"/>
      <c r="AB35" s="61"/>
    </row>
    <row r="36" spans="1:28" x14ac:dyDescent="0.2">
      <c r="A36" s="93"/>
      <c r="B36" s="290"/>
      <c r="C36" s="290"/>
      <c r="D36" s="290"/>
      <c r="E36" s="290"/>
      <c r="F36" s="290"/>
      <c r="G36" s="290"/>
      <c r="H36" s="93"/>
      <c r="AB36" s="61"/>
    </row>
    <row r="37" spans="1:28" x14ac:dyDescent="0.2">
      <c r="A37" s="93"/>
      <c r="B37" s="290"/>
      <c r="C37" s="290"/>
      <c r="D37" s="290"/>
      <c r="E37" s="290"/>
      <c r="F37" s="290"/>
      <c r="G37" s="290"/>
      <c r="H37" s="93"/>
      <c r="AB37" s="61"/>
    </row>
    <row r="38" spans="1:28" x14ac:dyDescent="0.2">
      <c r="A38" s="93"/>
      <c r="B38" s="290"/>
      <c r="C38" s="290"/>
      <c r="D38" s="290"/>
      <c r="E38" s="290"/>
      <c r="F38" s="290"/>
      <c r="G38" s="290"/>
      <c r="H38" s="93"/>
      <c r="AB38" s="61"/>
    </row>
    <row r="39" spans="1:28" x14ac:dyDescent="0.2">
      <c r="A39" s="93"/>
      <c r="B39" s="290"/>
      <c r="C39" s="290"/>
      <c r="D39" s="290"/>
      <c r="E39" s="290"/>
      <c r="F39" s="290"/>
      <c r="G39" s="290"/>
      <c r="H39" s="93"/>
      <c r="AB39" s="61"/>
    </row>
    <row r="40" spans="1:28" x14ac:dyDescent="0.2">
      <c r="A40" s="93"/>
      <c r="B40" s="290"/>
      <c r="C40" s="290"/>
      <c r="D40" s="290"/>
      <c r="E40" s="290"/>
      <c r="F40" s="290"/>
      <c r="G40" s="290"/>
      <c r="H40" s="93"/>
      <c r="AB40" s="61"/>
    </row>
    <row r="41" spans="1:28" x14ac:dyDescent="0.2">
      <c r="A41" s="93"/>
      <c r="B41" s="290"/>
      <c r="C41" s="290"/>
      <c r="D41" s="290"/>
      <c r="E41" s="290"/>
      <c r="F41" s="290"/>
      <c r="G41" s="290"/>
      <c r="H41" s="93"/>
      <c r="AB41" s="61"/>
    </row>
    <row r="42" spans="1:28" x14ac:dyDescent="0.2">
      <c r="A42" s="93"/>
      <c r="B42" s="290"/>
      <c r="C42" s="290"/>
      <c r="D42" s="290"/>
      <c r="E42" s="290"/>
      <c r="F42" s="290"/>
      <c r="G42" s="290"/>
      <c r="H42" s="93"/>
      <c r="AB42" s="61"/>
    </row>
    <row r="43" spans="1:28" x14ac:dyDescent="0.2">
      <c r="A43" s="93"/>
      <c r="B43" s="290"/>
      <c r="C43" s="290"/>
      <c r="D43" s="290"/>
      <c r="E43" s="290"/>
      <c r="F43" s="290"/>
      <c r="G43" s="290"/>
      <c r="H43" s="93"/>
      <c r="AB43" s="61"/>
    </row>
    <row r="44" spans="1:28" x14ac:dyDescent="0.2">
      <c r="A44" s="93"/>
      <c r="B44" s="93"/>
      <c r="C44" s="93"/>
      <c r="D44" s="93"/>
      <c r="E44" s="93"/>
      <c r="F44" s="93"/>
      <c r="G44" s="93"/>
      <c r="H44" s="93"/>
      <c r="AB44" s="61"/>
    </row>
    <row r="45" spans="1:28" ht="15" x14ac:dyDescent="0.25">
      <c r="A45" s="93"/>
      <c r="B45" s="520" t="s">
        <v>97</v>
      </c>
      <c r="C45" s="520"/>
      <c r="D45" s="520"/>
      <c r="E45" s="520"/>
      <c r="F45" s="520"/>
      <c r="G45" s="520"/>
      <c r="H45" s="93"/>
      <c r="AB45" s="61"/>
    </row>
    <row r="46" spans="1:28" ht="30" customHeight="1" x14ac:dyDescent="0.2">
      <c r="A46" s="93"/>
      <c r="B46" s="519" t="s">
        <v>98</v>
      </c>
      <c r="C46" s="519"/>
      <c r="D46" s="519"/>
      <c r="E46" s="519"/>
      <c r="F46" s="519"/>
      <c r="G46" s="519"/>
      <c r="H46" s="93"/>
      <c r="AB46" s="61"/>
    </row>
    <row r="47" spans="1:28" x14ac:dyDescent="0.2">
      <c r="A47" s="93"/>
      <c r="B47" s="93"/>
      <c r="C47" s="93"/>
      <c r="D47" s="93"/>
      <c r="E47" s="93"/>
      <c r="F47" s="93"/>
      <c r="G47" s="93"/>
      <c r="H47" s="93"/>
      <c r="AB47" s="61"/>
    </row>
    <row r="48" spans="1:28" ht="15" x14ac:dyDescent="0.25">
      <c r="A48" s="112"/>
      <c r="B48" s="517" t="s">
        <v>99</v>
      </c>
      <c r="C48" s="517"/>
      <c r="D48" s="517"/>
      <c r="E48" s="517"/>
      <c r="F48" s="517"/>
      <c r="G48" s="517"/>
      <c r="H48" s="112"/>
      <c r="AB48" s="61"/>
    </row>
    <row r="49" spans="1:28" ht="45" customHeight="1" x14ac:dyDescent="0.2">
      <c r="A49" s="113"/>
      <c r="B49" s="515" t="s">
        <v>100</v>
      </c>
      <c r="C49" s="515"/>
      <c r="D49" s="515"/>
      <c r="E49" s="515"/>
      <c r="F49" s="515"/>
      <c r="G49" s="515"/>
      <c r="H49" s="114"/>
      <c r="AB49" s="61"/>
    </row>
    <row r="50" spans="1:28" ht="15" customHeight="1" x14ac:dyDescent="0.2">
      <c r="A50" s="115"/>
      <c r="B50" s="515" t="s">
        <v>101</v>
      </c>
      <c r="C50" s="515"/>
      <c r="D50" s="515"/>
      <c r="E50" s="515"/>
      <c r="F50" s="515"/>
      <c r="G50" s="515"/>
      <c r="H50" s="93"/>
      <c r="AB50" s="61"/>
    </row>
    <row r="51" spans="1:28" ht="15" x14ac:dyDescent="0.25">
      <c r="A51" s="112"/>
      <c r="B51" s="517" t="s">
        <v>102</v>
      </c>
      <c r="C51" s="517"/>
      <c r="D51" s="517"/>
      <c r="E51" s="517"/>
      <c r="F51" s="517"/>
      <c r="G51" s="517"/>
      <c r="H51" s="112"/>
      <c r="AB51" s="61"/>
    </row>
    <row r="52" spans="1:28" ht="15" x14ac:dyDescent="0.25">
      <c r="A52" s="112"/>
      <c r="B52" s="517" t="s">
        <v>103</v>
      </c>
      <c r="C52" s="517"/>
      <c r="D52" s="517"/>
      <c r="E52" s="517"/>
      <c r="F52" s="517"/>
      <c r="G52" s="517"/>
      <c r="H52" s="112"/>
      <c r="AB52" s="61"/>
    </row>
    <row r="53" spans="1:28" ht="75" customHeight="1" x14ac:dyDescent="0.2">
      <c r="A53" s="113"/>
      <c r="B53" s="515" t="s">
        <v>104</v>
      </c>
      <c r="C53" s="515"/>
      <c r="D53" s="515"/>
      <c r="E53" s="515"/>
      <c r="F53" s="515"/>
      <c r="G53" s="515"/>
      <c r="H53" s="114"/>
      <c r="AB53" s="61"/>
    </row>
    <row r="54" spans="1:28" ht="15" customHeight="1" x14ac:dyDescent="0.2">
      <c r="A54" s="115"/>
      <c r="B54" s="515" t="s">
        <v>105</v>
      </c>
      <c r="C54" s="515"/>
      <c r="D54" s="515"/>
      <c r="E54" s="515"/>
      <c r="F54" s="515"/>
      <c r="G54" s="515"/>
      <c r="H54" s="93"/>
      <c r="AB54" s="61"/>
    </row>
    <row r="55" spans="1:28" ht="15" x14ac:dyDescent="0.25">
      <c r="A55" s="112"/>
      <c r="B55" s="517" t="s">
        <v>106</v>
      </c>
      <c r="C55" s="517"/>
      <c r="D55" s="517"/>
      <c r="E55" s="517"/>
      <c r="F55" s="517"/>
      <c r="G55" s="517"/>
      <c r="H55" s="112"/>
      <c r="AB55" s="61"/>
    </row>
    <row r="56" spans="1:28" ht="75" customHeight="1" x14ac:dyDescent="0.2">
      <c r="A56" s="113"/>
      <c r="B56" s="515" t="s">
        <v>107</v>
      </c>
      <c r="C56" s="515"/>
      <c r="D56" s="515"/>
      <c r="E56" s="515"/>
      <c r="F56" s="515"/>
      <c r="G56" s="515"/>
      <c r="H56" s="114"/>
      <c r="AB56" s="61"/>
    </row>
    <row r="57" spans="1:28" ht="15" customHeight="1" x14ac:dyDescent="0.2">
      <c r="A57" s="115"/>
      <c r="B57" s="515" t="s">
        <v>108</v>
      </c>
      <c r="C57" s="515"/>
      <c r="D57" s="515"/>
      <c r="E57" s="515"/>
      <c r="F57" s="515"/>
      <c r="G57" s="515"/>
      <c r="H57" s="93"/>
      <c r="AB57" s="61"/>
    </row>
    <row r="58" spans="1:28" ht="15" x14ac:dyDescent="0.25">
      <c r="A58" s="112"/>
      <c r="B58" s="517" t="s">
        <v>109</v>
      </c>
      <c r="C58" s="517"/>
      <c r="D58" s="517"/>
      <c r="E58" s="517"/>
      <c r="F58" s="517"/>
      <c r="G58" s="517"/>
      <c r="H58" s="112"/>
      <c r="AB58" s="61"/>
    </row>
    <row r="59" spans="1:28" ht="90" customHeight="1" x14ac:dyDescent="0.2">
      <c r="A59" s="113"/>
      <c r="B59" s="515" t="s">
        <v>110</v>
      </c>
      <c r="C59" s="515"/>
      <c r="D59" s="515"/>
      <c r="E59" s="515"/>
      <c r="F59" s="515"/>
      <c r="G59" s="515"/>
      <c r="H59" s="114"/>
      <c r="AB59" s="61"/>
    </row>
    <row r="60" spans="1:28" ht="15" customHeight="1" x14ac:dyDescent="0.2">
      <c r="A60" s="115"/>
      <c r="B60" s="515" t="s">
        <v>111</v>
      </c>
      <c r="C60" s="515"/>
      <c r="D60" s="515"/>
      <c r="E60" s="515"/>
      <c r="F60" s="515"/>
      <c r="G60" s="515"/>
      <c r="H60" s="93"/>
      <c r="AB60" s="61"/>
    </row>
    <row r="61" spans="1:28" ht="15" x14ac:dyDescent="0.25">
      <c r="A61" s="112"/>
      <c r="B61" s="517" t="s">
        <v>112</v>
      </c>
      <c r="C61" s="517"/>
      <c r="D61" s="517"/>
      <c r="E61" s="517"/>
      <c r="F61" s="517"/>
      <c r="G61" s="517"/>
      <c r="H61" s="112"/>
      <c r="AB61" s="61"/>
    </row>
    <row r="62" spans="1:28" ht="45" customHeight="1" x14ac:dyDescent="0.2">
      <c r="A62" s="113"/>
      <c r="B62" s="515" t="s">
        <v>113</v>
      </c>
      <c r="C62" s="515"/>
      <c r="D62" s="515"/>
      <c r="E62" s="515"/>
      <c r="F62" s="515"/>
      <c r="G62" s="515"/>
      <c r="H62" s="114"/>
      <c r="AB62" s="61"/>
    </row>
    <row r="63" spans="1:28" ht="15" customHeight="1" x14ac:dyDescent="0.2">
      <c r="A63" s="115"/>
      <c r="B63" s="515" t="s">
        <v>114</v>
      </c>
      <c r="C63" s="515"/>
      <c r="D63" s="515"/>
      <c r="E63" s="515"/>
      <c r="F63" s="515"/>
      <c r="G63" s="515"/>
      <c r="H63" s="93"/>
    </row>
    <row r="64" spans="1:28" ht="15" x14ac:dyDescent="0.25">
      <c r="A64" s="112"/>
      <c r="B64" s="517" t="s">
        <v>115</v>
      </c>
      <c r="C64" s="517"/>
      <c r="D64" s="517"/>
      <c r="E64" s="517"/>
      <c r="F64" s="517"/>
      <c r="G64" s="517"/>
      <c r="H64" s="112"/>
    </row>
    <row r="65" spans="1:8" ht="105" customHeight="1" x14ac:dyDescent="0.2">
      <c r="A65" s="113"/>
      <c r="B65" s="515" t="s">
        <v>116</v>
      </c>
      <c r="C65" s="515"/>
      <c r="D65" s="515"/>
      <c r="E65" s="515"/>
      <c r="F65" s="515"/>
      <c r="G65" s="515"/>
      <c r="H65" s="114"/>
    </row>
    <row r="66" spans="1:8" ht="30" customHeight="1" x14ac:dyDescent="0.2">
      <c r="A66" s="116"/>
      <c r="B66" s="515" t="s">
        <v>117</v>
      </c>
      <c r="C66" s="515"/>
      <c r="D66" s="515"/>
      <c r="E66" s="515"/>
      <c r="F66" s="515"/>
      <c r="G66" s="515"/>
      <c r="H66" s="117"/>
    </row>
    <row r="67" spans="1:8" ht="15" x14ac:dyDescent="0.25">
      <c r="A67" s="112"/>
      <c r="B67" s="517" t="s">
        <v>118</v>
      </c>
      <c r="C67" s="517"/>
      <c r="D67" s="517"/>
      <c r="E67" s="517"/>
      <c r="F67" s="517"/>
      <c r="G67" s="517"/>
      <c r="H67" s="112"/>
    </row>
    <row r="68" spans="1:8" ht="60" customHeight="1" x14ac:dyDescent="0.2">
      <c r="A68" s="113"/>
      <c r="B68" s="515" t="s">
        <v>119</v>
      </c>
      <c r="C68" s="515"/>
      <c r="D68" s="515"/>
      <c r="E68" s="515"/>
      <c r="F68" s="515"/>
      <c r="G68" s="515"/>
      <c r="H68" s="114"/>
    </row>
    <row r="69" spans="1:8" ht="15" customHeight="1" x14ac:dyDescent="0.2">
      <c r="A69" s="113"/>
      <c r="B69" s="515" t="s">
        <v>120</v>
      </c>
      <c r="C69" s="515"/>
      <c r="D69" s="515"/>
      <c r="E69" s="515"/>
      <c r="F69" s="515"/>
      <c r="G69" s="515"/>
      <c r="H69" s="114"/>
    </row>
    <row r="70" spans="1:8" x14ac:dyDescent="0.2">
      <c r="A70" s="115"/>
      <c r="B70" s="516"/>
      <c r="C70" s="516"/>
      <c r="D70" s="516"/>
      <c r="E70" s="516"/>
      <c r="F70" s="516"/>
      <c r="G70" s="516"/>
      <c r="H70" s="93"/>
    </row>
  </sheetData>
  <customSheetViews>
    <customSheetView guid="{5EB6DE45-64D9-4581-AE55-A519683B64F2}" hiddenColumns="1">
      <selection activeCell="E4" sqref="E4"/>
      <pageMargins left="0.7" right="0.7" top="0.75" bottom="0.75" header="0.3" footer="0.3"/>
      <pageSetup paperSize="9" orientation="portrait" r:id="rId1"/>
    </customSheetView>
  </customSheetViews>
  <mergeCells count="37">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 ref="B48:G48"/>
    <mergeCell ref="B51:G51"/>
    <mergeCell ref="B52:G52"/>
    <mergeCell ref="B55:G55"/>
    <mergeCell ref="B58:G58"/>
    <mergeCell ref="B49:G49"/>
    <mergeCell ref="B53:G53"/>
    <mergeCell ref="B56:G56"/>
    <mergeCell ref="B59:G59"/>
    <mergeCell ref="B62:G62"/>
    <mergeCell ref="B57:G57"/>
    <mergeCell ref="B54:G54"/>
    <mergeCell ref="B50:G50"/>
    <mergeCell ref="B61:G61"/>
    <mergeCell ref="B68:G68"/>
    <mergeCell ref="B70:G70"/>
    <mergeCell ref="B66:G66"/>
    <mergeCell ref="B63:G63"/>
    <mergeCell ref="B60:G60"/>
    <mergeCell ref="B69:G69"/>
    <mergeCell ref="B64:G64"/>
    <mergeCell ref="B67:G67"/>
    <mergeCell ref="B65:G65"/>
  </mergeCells>
  <conditionalFormatting sqref="E4:F4">
    <cfRule type="expression" dxfId="38" priority="47">
      <formula>$W$20="Base Year"</formula>
    </cfRule>
  </conditionalFormatting>
  <conditionalFormatting sqref="E4:F4">
    <cfRule type="expression" dxfId="37"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2"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9"/>
  <sheetViews>
    <sheetView topLeftCell="A32" zoomScale="115" zoomScaleNormal="115" workbookViewId="0">
      <selection activeCell="Z47" sqref="Z47"/>
    </sheetView>
  </sheetViews>
  <sheetFormatPr defaultColWidth="0" defaultRowHeight="0" customHeight="1" zeroHeight="1" x14ac:dyDescent="0.2"/>
  <cols>
    <col min="1" max="1" width="17" style="65" customWidth="1"/>
    <col min="2" max="2" width="7.85546875" style="65" customWidth="1"/>
    <col min="3" max="6" width="11.140625" style="65" customWidth="1"/>
    <col min="7" max="7" width="9.140625" style="62" customWidth="1"/>
    <col min="8" max="8" width="26" style="62" bestFit="1" customWidth="1"/>
    <col min="9" max="9" width="11.140625" style="62" customWidth="1"/>
    <col min="10" max="10" width="12.28515625" style="62" hidden="1" customWidth="1"/>
    <col min="11" max="21" width="11.140625" style="62" hidden="1" customWidth="1"/>
    <col min="22" max="22" width="13.42578125" style="62" hidden="1" customWidth="1"/>
    <col min="23" max="24" width="11.140625" style="62" hidden="1" customWidth="1"/>
    <col min="25" max="29" width="11.140625" style="62" bestFit="1" customWidth="1"/>
    <col min="30" max="30" width="8.5703125" style="93" customWidth="1"/>
    <col min="31" max="35" width="13.5703125" style="93" hidden="1" customWidth="1"/>
    <col min="36" max="36" width="9.140625" style="93" hidden="1" customWidth="1"/>
    <col min="37" max="38" width="12.140625" style="62" hidden="1" customWidth="1"/>
    <col min="39" max="16384" width="0" style="62" hidden="1"/>
  </cols>
  <sheetData>
    <row r="1" spans="1:37" s="93" customFormat="1" ht="14.25" x14ac:dyDescent="0.2">
      <c r="A1" s="115"/>
      <c r="B1" s="115"/>
      <c r="C1" s="115"/>
      <c r="D1" s="115"/>
      <c r="E1" s="115"/>
      <c r="F1" s="115"/>
    </row>
    <row r="2" spans="1:37" ht="18" x14ac:dyDescent="0.25">
      <c r="A2" s="37"/>
      <c r="B2" s="115"/>
      <c r="C2" s="528" t="s">
        <v>461</v>
      </c>
      <c r="D2" s="528"/>
      <c r="E2" s="528"/>
      <c r="F2" s="528"/>
      <c r="G2" s="31"/>
      <c r="H2" s="534" t="s">
        <v>449</v>
      </c>
      <c r="I2" s="534"/>
      <c r="J2" s="534"/>
      <c r="K2" s="534"/>
      <c r="L2" s="534"/>
      <c r="M2" s="534"/>
      <c r="N2" s="534"/>
      <c r="O2" s="534"/>
      <c r="P2" s="534"/>
      <c r="Q2" s="534"/>
      <c r="R2" s="534"/>
      <c r="S2" s="534"/>
      <c r="T2" s="534"/>
      <c r="U2" s="534"/>
      <c r="V2" s="534"/>
      <c r="W2" s="534"/>
      <c r="X2" s="534"/>
      <c r="Y2" s="534"/>
      <c r="Z2" s="534"/>
      <c r="AA2" s="534"/>
      <c r="AB2" s="534"/>
      <c r="AC2" s="534"/>
      <c r="AD2" s="94"/>
      <c r="AE2" s="94"/>
      <c r="AF2" s="94"/>
      <c r="AG2" s="94"/>
      <c r="AH2" s="94"/>
      <c r="AI2" s="94"/>
      <c r="AK2" s="31"/>
    </row>
    <row r="3" spans="1:37" ht="14.25" x14ac:dyDescent="0.2">
      <c r="A3" s="37"/>
      <c r="B3" s="115"/>
      <c r="C3" s="93"/>
      <c r="D3" s="93"/>
      <c r="E3" s="93"/>
      <c r="F3" s="93"/>
      <c r="G3" s="93"/>
      <c r="H3" s="93"/>
      <c r="I3" s="93"/>
      <c r="J3" s="93"/>
      <c r="K3" s="93"/>
      <c r="L3" s="93"/>
      <c r="M3" s="93"/>
      <c r="N3" s="93"/>
      <c r="O3" s="93"/>
      <c r="P3" s="93"/>
      <c r="Q3" s="93"/>
      <c r="R3" s="93"/>
      <c r="S3" s="93"/>
      <c r="T3" s="93"/>
      <c r="U3" s="93"/>
      <c r="V3" s="93"/>
      <c r="W3" s="93"/>
      <c r="X3" s="93"/>
      <c r="Y3" s="93"/>
      <c r="Z3" s="93"/>
      <c r="AA3" s="93"/>
      <c r="AB3" s="93"/>
      <c r="AC3" s="93"/>
      <c r="AK3" s="31"/>
    </row>
    <row r="4" spans="1:37" ht="15" x14ac:dyDescent="0.25">
      <c r="A4" s="37"/>
      <c r="B4" s="115"/>
      <c r="C4" s="93"/>
      <c r="D4" s="93"/>
      <c r="E4" s="93"/>
      <c r="F4" s="93"/>
      <c r="G4" s="93"/>
      <c r="H4" s="535" t="s">
        <v>463</v>
      </c>
      <c r="I4" s="535"/>
      <c r="J4" s="535"/>
      <c r="K4" s="535"/>
      <c r="L4" s="535"/>
      <c r="M4" s="535"/>
      <c r="N4" s="535"/>
      <c r="O4" s="535"/>
      <c r="P4" s="535"/>
      <c r="Q4" s="535"/>
      <c r="R4" s="535"/>
      <c r="S4" s="535"/>
      <c r="T4" s="535"/>
      <c r="U4" s="535"/>
      <c r="V4" s="535"/>
      <c r="W4" s="535"/>
      <c r="X4" s="535"/>
      <c r="Y4" s="535"/>
      <c r="Z4" s="535"/>
      <c r="AA4" s="535"/>
      <c r="AB4" s="535"/>
      <c r="AC4" s="535"/>
      <c r="AD4" s="95"/>
      <c r="AE4" s="95"/>
      <c r="AF4" s="95"/>
      <c r="AG4" s="95"/>
      <c r="AH4" s="95"/>
      <c r="AI4" s="95"/>
      <c r="AK4" s="31"/>
    </row>
    <row r="5" spans="1:37" ht="14.25" x14ac:dyDescent="0.2">
      <c r="A5" s="88"/>
      <c r="B5" s="292"/>
      <c r="C5" s="529" t="s">
        <v>462</v>
      </c>
      <c r="D5" s="529"/>
      <c r="E5" s="529"/>
      <c r="F5" s="530"/>
      <c r="G5" s="93"/>
      <c r="H5" s="294"/>
      <c r="I5" s="294"/>
      <c r="J5" s="294"/>
      <c r="K5" s="294"/>
      <c r="L5" s="294"/>
      <c r="M5" s="294"/>
      <c r="N5" s="294"/>
      <c r="O5" s="294"/>
      <c r="P5" s="294"/>
      <c r="Q5" s="294"/>
      <c r="R5" s="294"/>
      <c r="S5" s="294"/>
      <c r="T5" s="294"/>
      <c r="U5" s="294"/>
      <c r="V5" s="294"/>
      <c r="W5" s="294"/>
      <c r="X5" s="294"/>
      <c r="Y5" s="294"/>
      <c r="Z5" s="294"/>
      <c r="AA5" s="294"/>
      <c r="AB5" s="294"/>
      <c r="AC5" s="294"/>
      <c r="AK5" s="31"/>
    </row>
    <row r="6" spans="1:37" ht="14.45" customHeight="1" x14ac:dyDescent="0.2">
      <c r="A6" s="88"/>
      <c r="B6" s="292"/>
      <c r="C6" s="529"/>
      <c r="D6" s="529"/>
      <c r="E6" s="529"/>
      <c r="F6" s="530"/>
      <c r="G6" s="93"/>
      <c r="H6" s="135"/>
      <c r="I6" s="135"/>
      <c r="J6" s="135"/>
      <c r="K6" s="135"/>
      <c r="L6" s="135"/>
      <c r="M6" s="135"/>
      <c r="N6" s="135"/>
      <c r="O6" s="135"/>
      <c r="P6" s="135"/>
      <c r="Q6" s="135"/>
      <c r="R6" s="135"/>
      <c r="S6" s="135"/>
      <c r="T6" s="136"/>
      <c r="U6" s="536" t="s">
        <v>121</v>
      </c>
      <c r="V6" s="536"/>
      <c r="W6" s="536"/>
      <c r="X6" s="536"/>
      <c r="Y6" s="536"/>
      <c r="Z6" s="405"/>
      <c r="AA6" s="537" t="s">
        <v>7</v>
      </c>
      <c r="AB6" s="537"/>
      <c r="AC6" s="537"/>
      <c r="AD6" s="96"/>
      <c r="AE6" s="96"/>
      <c r="AG6" s="97"/>
      <c r="AH6" s="97"/>
      <c r="AI6" s="97"/>
      <c r="AK6" s="31"/>
    </row>
    <row r="7" spans="1:37" ht="15" customHeight="1" x14ac:dyDescent="0.2">
      <c r="A7" s="88"/>
      <c r="B7" s="292"/>
      <c r="C7" s="529"/>
      <c r="D7" s="529"/>
      <c r="E7" s="529"/>
      <c r="F7" s="530"/>
      <c r="G7" s="93"/>
      <c r="H7" s="137"/>
      <c r="I7" s="137">
        <v>2006</v>
      </c>
      <c r="J7" s="137">
        <v>2007</v>
      </c>
      <c r="K7" s="137">
        <v>2008</v>
      </c>
      <c r="L7" s="137">
        <v>2009</v>
      </c>
      <c r="M7" s="137">
        <v>2010</v>
      </c>
      <c r="N7" s="137">
        <v>2011</v>
      </c>
      <c r="O7" s="137">
        <v>2012</v>
      </c>
      <c r="P7" s="137">
        <v>2013</v>
      </c>
      <c r="Q7" s="137">
        <v>2014</v>
      </c>
      <c r="R7" s="137">
        <v>2015</v>
      </c>
      <c r="S7" s="137">
        <v>2016</v>
      </c>
      <c r="T7" s="137">
        <v>2017</v>
      </c>
      <c r="U7" s="137">
        <v>2018</v>
      </c>
      <c r="V7" s="138">
        <v>2019</v>
      </c>
      <c r="W7" s="138">
        <v>2020</v>
      </c>
      <c r="X7" s="138">
        <v>2021</v>
      </c>
      <c r="Y7" s="138">
        <v>2022</v>
      </c>
      <c r="Z7" s="138">
        <v>2023</v>
      </c>
      <c r="AA7" s="138">
        <v>2024</v>
      </c>
      <c r="AB7" s="138">
        <v>2025</v>
      </c>
      <c r="AC7" s="138">
        <v>2026</v>
      </c>
    </row>
    <row r="8" spans="1:37" ht="14.45" customHeight="1" x14ac:dyDescent="0.25">
      <c r="A8" s="89" t="s">
        <v>438</v>
      </c>
      <c r="B8" s="293"/>
      <c r="C8" s="529"/>
      <c r="D8" s="529"/>
      <c r="E8" s="529"/>
      <c r="F8" s="530"/>
      <c r="G8" s="93"/>
      <c r="H8" s="415" t="s">
        <v>123</v>
      </c>
      <c r="I8" s="416" t="e" cm="1">
        <f t="array" ref="I8">_xlfn.XLOOKUP(1, ('0. GUIDELINES'!$E$3='[1]input-mpo'!$A:$A) * (I$7='[1]input-mpo'!$B:$B) * ($A8='[1]input-mpo'!$C:$C), '[1]input-mpo'!$D:$D)</f>
        <v>#N/A</v>
      </c>
      <c r="J8" s="416" cm="1">
        <f t="array" ref="J8">_xlfn.XLOOKUP(1, ('0. GUIDELINES'!$E$3='[1]input-mpo'!$A:$A) * (J$7='[1]input-mpo'!$B:$B) * ($A8='[1]input-mpo'!$C:$C), '[1]input-mpo'!$D:$D)</f>
        <v>12132113</v>
      </c>
      <c r="K8" s="416" cm="1">
        <f t="array" ref="K8">_xlfn.XLOOKUP(1, ('0. GUIDELINES'!$E$3='[1]input-mpo'!$A:$A) * (K$7='[1]input-mpo'!$B:$B) * ($A8='[1]input-mpo'!$C:$C), '[1]input-mpo'!$D:$D)</f>
        <v>12861713</v>
      </c>
      <c r="L8" s="416" cm="1">
        <f t="array" ref="L8">_xlfn.XLOOKUP(1, ('0. GUIDELINES'!$E$3='[1]input-mpo'!$A:$A) * (L$7='[1]input-mpo'!$B:$B) * ($A8='[1]input-mpo'!$C:$C), '[1]input-mpo'!$D:$D)</f>
        <v>13510602</v>
      </c>
      <c r="M8" s="416" cm="1">
        <f t="array" ref="M8">_xlfn.XLOOKUP(1, ('0. GUIDELINES'!$E$3='[1]input-mpo'!$A:$A) * (M$7='[1]input-mpo'!$B:$B) * ($A8='[1]input-mpo'!$C:$C), '[1]input-mpo'!$D:$D)</f>
        <v>14263386</v>
      </c>
      <c r="N8" s="416" cm="1">
        <f t="array" ref="N8">_xlfn.XLOOKUP(1, ('0. GUIDELINES'!$E$3='[1]input-mpo'!$A:$A) * (N$7='[1]input-mpo'!$B:$B) * ($A8='[1]input-mpo'!$C:$C), '[1]input-mpo'!$D:$D)</f>
        <v>15185426</v>
      </c>
      <c r="O8" s="416" cm="1">
        <f t="array" ref="O8">_xlfn.XLOOKUP(1, ('0. GUIDELINES'!$E$3='[1]input-mpo'!$A:$A) * (O$7='[1]input-mpo'!$B:$B) * ($A8='[1]input-mpo'!$C:$C), '[1]input-mpo'!$D:$D)</f>
        <v>16175734</v>
      </c>
      <c r="P8" s="416" cm="1">
        <f t="array" ref="P8">_xlfn.XLOOKUP(1, ('0. GUIDELINES'!$E$3='[1]input-mpo'!$A:$A) * (P$7='[1]input-mpo'!$B:$B) * ($A8='[1]input-mpo'!$C:$C), '[1]input-mpo'!$D:$D)</f>
        <v>17148478</v>
      </c>
      <c r="Q8" s="416" cm="1">
        <f t="array" ref="Q8">_xlfn.XLOOKUP(1, ('0. GUIDELINES'!$E$3='[1]input-mpo'!$A:$A) * (Q$7='[1]input-mpo'!$B:$B) * ($A8='[1]input-mpo'!$C:$C), '[1]input-mpo'!$D:$D)</f>
        <v>18187862</v>
      </c>
      <c r="R8" s="416" cm="1">
        <f t="array" ref="R8">_xlfn.XLOOKUP(1, ('0. GUIDELINES'!$E$3='[1]input-mpo'!$A:$A) * (R$7='[1]input-mpo'!$B:$B) * ($A8='[1]input-mpo'!$C:$C), '[1]input-mpo'!$D:$D)</f>
        <v>19379648</v>
      </c>
      <c r="S8" s="416" cm="1">
        <f t="array" ref="S8">_xlfn.XLOOKUP(1, ('0. GUIDELINES'!$E$3='[1]input-mpo'!$A:$A) * (S$7='[1]input-mpo'!$B:$B) * ($A8='[1]input-mpo'!$C:$C), '[1]input-mpo'!$D:$D)</f>
        <v>20758214</v>
      </c>
      <c r="T8" s="416" cm="1">
        <f t="array" ref="T8">_xlfn.XLOOKUP(1, ('0. GUIDELINES'!$E$3='[1]input-mpo'!$A:$A) * (T$7='[1]input-mpo'!$B:$B) * ($A8='[1]input-mpo'!$C:$C), '[1]input-mpo'!$D:$D)</f>
        <v>22126230</v>
      </c>
      <c r="U8" s="416" cm="1">
        <f t="array" ref="U8">_xlfn.XLOOKUP(1, ('0. GUIDELINES'!$E$3='[1]input-mpo'!$A:$A) * (U$7='[1]input-mpo'!$B:$B) * ($A8='[1]input-mpo'!$C:$C), '[1]input-mpo'!$D:$D)</f>
        <v>23745740</v>
      </c>
      <c r="V8" s="416" cm="1">
        <f t="array" ref="V8">_xlfn.XLOOKUP(1, ('0. GUIDELINES'!$E$3='[1]input-mpo'!$A:$A) * (V$7='[1]input-mpo'!$B:$B) * ($A8='[1]input-mpo'!$C:$C), '[1]input-mpo'!$D:$D)</f>
        <v>25617356</v>
      </c>
      <c r="W8" s="416" cm="1">
        <f t="array" ref="W8">_xlfn.XLOOKUP(1, ('0. GUIDELINES'!$E$3='[1]input-mpo'!$A:$A) * (W$7='[1]input-mpo'!$B:$B) * ($A8='[1]input-mpo'!$C:$C), '[1]input-mpo'!$D:$D)</f>
        <v>26500650</v>
      </c>
      <c r="X8" s="416" cm="1">
        <f t="array" ref="X8">_xlfn.XLOOKUP(1, ('0. GUIDELINES'!$E$3='[1]input-mpo'!$A:$A) * (X$7='[1]input-mpo'!$B:$B) * ($A8='[1]input-mpo'!$C:$C), '[1]input-mpo'!$D:$D)</f>
        <v>28339444</v>
      </c>
      <c r="Y8" s="416" cm="1">
        <f t="array" ref="Y8">_xlfn.XLOOKUP(1, ('0. GUIDELINES'!$E$3='[1]input-mpo'!$A:$A) * (Y$7='[1]input-mpo'!$B:$B) * ($A8='[1]input-mpo'!$C:$C), '[1]input-mpo'!$D:$D)</f>
        <v>30351496</v>
      </c>
      <c r="Z8" s="417" cm="1">
        <f t="array" ref="Z8">_xlfn.XLOOKUP(1, ('0. GUIDELINES'!$E$3='[1]input-mpo'!$A:$A) * (Z$7='[1]input-mpo'!$B:$B) * ($A8='[1]input-mpo'!$C:$C), '[1]input-mpo'!$D:$D)</f>
        <v>32104328</v>
      </c>
      <c r="AA8" s="417">
        <v>33779452.740000002</v>
      </c>
      <c r="AB8" s="417">
        <v>35114213.409999996</v>
      </c>
      <c r="AC8" s="417">
        <v>37034853.340000004</v>
      </c>
    </row>
    <row r="9" spans="1:37" ht="14.45" customHeight="1" x14ac:dyDescent="0.25">
      <c r="A9" s="89" t="s">
        <v>439</v>
      </c>
      <c r="B9" s="293"/>
      <c r="C9" s="529"/>
      <c r="D9" s="529"/>
      <c r="E9" s="529"/>
      <c r="F9" s="530"/>
      <c r="G9" s="93"/>
      <c r="H9" s="412" t="s">
        <v>29</v>
      </c>
      <c r="I9" s="413" t="e" cm="1">
        <f t="array" ref="I9">_xlfn.XLOOKUP(1, ('0. GUIDELINES'!$E$3='[1]input-mpo'!$A:$A) * (I$7='[1]input-mpo'!$B:$B) * ($A9='[1]input-mpo'!$C:$C), '[1]input-mpo'!$D:$D)</f>
        <v>#N/A</v>
      </c>
      <c r="J9" s="413" cm="1">
        <f t="array" ref="J9">_xlfn.XLOOKUP(1, ('0. GUIDELINES'!$E$3='[1]input-mpo'!$A:$A) * (J$7='[1]input-mpo'!$B:$B) * ($A9='[1]input-mpo'!$C:$C), '[1]input-mpo'!$D:$D)</f>
        <v>2174364.75</v>
      </c>
      <c r="K9" s="413" cm="1">
        <f t="array" ref="K9">_xlfn.XLOOKUP(1, ('0. GUIDELINES'!$E$3='[1]input-mpo'!$A:$A) * (K$7='[1]input-mpo'!$B:$B) * ($A9='[1]input-mpo'!$C:$C), '[1]input-mpo'!$D:$D)</f>
        <v>2272078</v>
      </c>
      <c r="L9" s="413" cm="1">
        <f t="array" ref="L9">_xlfn.XLOOKUP(1, ('0. GUIDELINES'!$E$3='[1]input-mpo'!$A:$A) * (L$7='[1]input-mpo'!$B:$B) * ($A9='[1]input-mpo'!$C:$C), '[1]input-mpo'!$D:$D)</f>
        <v>2350830.25</v>
      </c>
      <c r="M9" s="413" cm="1">
        <f t="array" ref="M9">_xlfn.XLOOKUP(1, ('0. GUIDELINES'!$E$3='[1]input-mpo'!$A:$A) * (M$7='[1]input-mpo'!$B:$B) * ($A9='[1]input-mpo'!$C:$C), '[1]input-mpo'!$D:$D)</f>
        <v>2495452</v>
      </c>
      <c r="N9" s="413" cm="1">
        <f t="array" ref="N9">_xlfn.XLOOKUP(1, ('0. GUIDELINES'!$E$3='[1]input-mpo'!$A:$A) * (N$7='[1]input-mpo'!$B:$B) * ($A9='[1]input-mpo'!$C:$C), '[1]input-mpo'!$D:$D)</f>
        <v>2606658.5</v>
      </c>
      <c r="O9" s="413" cm="1">
        <f t="array" ref="O9">_xlfn.XLOOKUP(1, ('0. GUIDELINES'!$E$3='[1]input-mpo'!$A:$A) * (O$7='[1]input-mpo'!$B:$B) * ($A9='[1]input-mpo'!$C:$C), '[1]input-mpo'!$D:$D)</f>
        <v>2685230.25</v>
      </c>
      <c r="P9" s="413" cm="1">
        <f t="array" ref="P9">_xlfn.XLOOKUP(1, ('0. GUIDELINES'!$E$3='[1]input-mpo'!$A:$A) * (P$7='[1]input-mpo'!$B:$B) * ($A9='[1]input-mpo'!$C:$C), '[1]input-mpo'!$D:$D)</f>
        <v>2751418.25</v>
      </c>
      <c r="Q9" s="413" cm="1">
        <f t="array" ref="Q9">_xlfn.XLOOKUP(1, ('0. GUIDELINES'!$E$3='[1]input-mpo'!$A:$A) * (Q$7='[1]input-mpo'!$B:$B) * ($A9='[1]input-mpo'!$C:$C), '[1]input-mpo'!$D:$D)</f>
        <v>2871706.5</v>
      </c>
      <c r="R9" s="413" cm="1">
        <f t="array" ref="R9">_xlfn.XLOOKUP(1, ('0. GUIDELINES'!$E$3='[1]input-mpo'!$A:$A) * (R$7='[1]input-mpo'!$B:$B) * ($A9='[1]input-mpo'!$C:$C), '[1]input-mpo'!$D:$D)</f>
        <v>2967288</v>
      </c>
      <c r="S9" s="413" cm="1">
        <f t="array" ref="S9">_xlfn.XLOOKUP(1, ('0. GUIDELINES'!$E$3='[1]input-mpo'!$A:$A) * (S$7='[1]input-mpo'!$B:$B) * ($A9='[1]input-mpo'!$C:$C), '[1]input-mpo'!$D:$D)</f>
        <v>2795050</v>
      </c>
      <c r="T9" s="413" cm="1">
        <f t="array" ref="T9">_xlfn.XLOOKUP(1, ('0. GUIDELINES'!$E$3='[1]input-mpo'!$A:$A) * (T$7='[1]input-mpo'!$B:$B) * ($A9='[1]input-mpo'!$C:$C), '[1]input-mpo'!$D:$D)</f>
        <v>2884380</v>
      </c>
      <c r="U9" s="413" cm="1">
        <f t="array" ref="U9">_xlfn.XLOOKUP(1, ('0. GUIDELINES'!$E$3='[1]input-mpo'!$A:$A) * (U$7='[1]input-mpo'!$B:$B) * ($A9='[1]input-mpo'!$C:$C), '[1]input-mpo'!$D:$D)</f>
        <v>2986618</v>
      </c>
      <c r="V9" s="413" cm="1">
        <f t="array" ref="V9">_xlfn.XLOOKUP(1, ('0. GUIDELINES'!$E$3='[1]input-mpo'!$A:$A) * (V$7='[1]input-mpo'!$B:$B) * ($A9='[1]input-mpo'!$C:$C), '[1]input-mpo'!$D:$D)</f>
        <v>3083999</v>
      </c>
      <c r="W9" s="413" cm="1">
        <f t="array" ref="W9">_xlfn.XLOOKUP(1, ('0. GUIDELINES'!$E$3='[1]input-mpo'!$A:$A) * (W$7='[1]input-mpo'!$B:$B) * ($A9='[1]input-mpo'!$C:$C), '[1]input-mpo'!$D:$D)</f>
        <v>3189501</v>
      </c>
      <c r="X9" s="413" cm="1">
        <f t="array" ref="X9">_xlfn.XLOOKUP(1, ('0. GUIDELINES'!$E$3='[1]input-mpo'!$A:$A) * (X$7='[1]input-mpo'!$B:$B) * ($A9='[1]input-mpo'!$C:$C), '[1]input-mpo'!$D:$D)</f>
        <v>3290753</v>
      </c>
      <c r="Y9" s="413" cm="1">
        <f t="array" ref="Y9">_xlfn.XLOOKUP(1, ('0. GUIDELINES'!$E$3='[1]input-mpo'!$A:$A) * (Y$7='[1]input-mpo'!$B:$B) * ($A9='[1]input-mpo'!$C:$C), '[1]input-mpo'!$D:$D)</f>
        <v>3391252</v>
      </c>
      <c r="Z9" s="414" cm="1">
        <f t="array" ref="Z9">_xlfn.XLOOKUP(1, ('0. GUIDELINES'!$E$3='[1]input-mpo'!$A:$A) * (Z$7='[1]input-mpo'!$B:$B) * ($A9='[1]input-mpo'!$C:$C), '[1]input-mpo'!$D:$D)</f>
        <v>3505586</v>
      </c>
      <c r="AA9" s="414" cm="1">
        <f t="array" ref="AA9">_xlfn.XLOOKUP(1, ('0. GUIDELINES'!$E$3='[1]input-mpo'!$A:$A) * (AA$7='[1]input-mpo'!$B:$B) * ($A9='[1]input-mpo'!$C:$C), '[1]input-mpo'!$D:$D)</f>
        <v>3614259.25</v>
      </c>
      <c r="AB9" s="414" cm="1">
        <f t="array" ref="AB9">_xlfn.XLOOKUP(1, ('0. GUIDELINES'!$E$3='[1]input-mpo'!$A:$A) * (AB$7='[1]input-mpo'!$B:$B) * ($A9='[1]input-mpo'!$C:$C), '[1]input-mpo'!$D:$D)</f>
        <v>3726301.25</v>
      </c>
      <c r="AC9" s="414" cm="1">
        <f t="array" ref="AC9">_xlfn.XLOOKUP(1, ('0. GUIDELINES'!$E$3='[1]input-mpo'!$A:$A) * (AC$7='[1]input-mpo'!$B:$B) * ($A9='[1]input-mpo'!$C:$C), '[1]input-mpo'!$D:$D)</f>
        <v>3845542.75</v>
      </c>
    </row>
    <row r="10" spans="1:37" ht="14.45" customHeight="1" x14ac:dyDescent="0.25">
      <c r="A10" s="89" t="s">
        <v>440</v>
      </c>
      <c r="B10" s="293"/>
      <c r="C10" s="93"/>
      <c r="D10" s="93"/>
      <c r="E10" s="93"/>
      <c r="F10" s="93"/>
      <c r="G10" s="93"/>
      <c r="H10" s="412" t="s">
        <v>31</v>
      </c>
      <c r="I10" s="413" t="e" cm="1">
        <f t="array" ref="I10">_xlfn.XLOOKUP(1, ('0. GUIDELINES'!$E$3='[1]input-mpo'!$A:$A) * (I$7='[1]input-mpo'!$B:$B) * ($A10='[1]input-mpo'!$C:$C), '[1]input-mpo'!$D:$D)</f>
        <v>#N/A</v>
      </c>
      <c r="J10" s="413" cm="1">
        <f t="array" ref="J10">_xlfn.XLOOKUP(1, ('0. GUIDELINES'!$E$3='[1]input-mpo'!$A:$A) * (J$7='[1]input-mpo'!$B:$B) * ($A10='[1]input-mpo'!$C:$C), '[1]input-mpo'!$D:$D)</f>
        <v>2968767.25</v>
      </c>
      <c r="K10" s="413" cm="1">
        <f t="array" ref="K10">_xlfn.XLOOKUP(1, ('0. GUIDELINES'!$E$3='[1]input-mpo'!$A:$A) * (K$7='[1]input-mpo'!$B:$B) * ($A10='[1]input-mpo'!$C:$C), '[1]input-mpo'!$D:$D)</f>
        <v>3177576.5</v>
      </c>
      <c r="L10" s="413" cm="1">
        <f t="array" ref="L10">_xlfn.XLOOKUP(1, ('0. GUIDELINES'!$E$3='[1]input-mpo'!$A:$A) * (L$7='[1]input-mpo'!$B:$B) * ($A10='[1]input-mpo'!$C:$C), '[1]input-mpo'!$D:$D)</f>
        <v>3397247.75</v>
      </c>
      <c r="M10" s="413" cm="1">
        <f t="array" ref="M10">_xlfn.XLOOKUP(1, ('0. GUIDELINES'!$E$3='[1]input-mpo'!$A:$A) * (M$7='[1]input-mpo'!$B:$B) * ($A10='[1]input-mpo'!$C:$C), '[1]input-mpo'!$D:$D)</f>
        <v>3636149.25</v>
      </c>
      <c r="N10" s="413" cm="1">
        <f t="array" ref="N10">_xlfn.XLOOKUP(1, ('0. GUIDELINES'!$E$3='[1]input-mpo'!$A:$A) * (N$7='[1]input-mpo'!$B:$B) * ($A10='[1]input-mpo'!$C:$C), '[1]input-mpo'!$D:$D)</f>
        <v>3964098.25</v>
      </c>
      <c r="O10" s="413" cm="1">
        <f t="array" ref="O10">_xlfn.XLOOKUP(1, ('0. GUIDELINES'!$E$3='[1]input-mpo'!$A:$A) * (O$7='[1]input-mpo'!$B:$B) * ($A10='[1]input-mpo'!$C:$C), '[1]input-mpo'!$D:$D)</f>
        <v>4338134.5</v>
      </c>
      <c r="P10" s="413" cm="1">
        <f t="array" ref="P10">_xlfn.XLOOKUP(1, ('0. GUIDELINES'!$E$3='[1]input-mpo'!$A:$A) * (P$7='[1]input-mpo'!$B:$B) * ($A10='[1]input-mpo'!$C:$C), '[1]input-mpo'!$D:$D)</f>
        <v>4756303</v>
      </c>
      <c r="Q10" s="413" cm="1">
        <f t="array" ref="Q10">_xlfn.XLOOKUP(1, ('0. GUIDELINES'!$E$3='[1]input-mpo'!$A:$A) * (Q$7='[1]input-mpo'!$B:$B) * ($A10='[1]input-mpo'!$C:$C), '[1]input-mpo'!$D:$D)</f>
        <v>5144418</v>
      </c>
      <c r="R10" s="413" cm="1">
        <f t="array" ref="R10">_xlfn.XLOOKUP(1, ('0. GUIDELINES'!$E$3='[1]input-mpo'!$A:$A) * (R$7='[1]input-mpo'!$B:$B) * ($A10='[1]input-mpo'!$C:$C), '[1]input-mpo'!$D:$D)</f>
        <v>5641724</v>
      </c>
      <c r="S10" s="413" cm="1">
        <f t="array" ref="S10">_xlfn.XLOOKUP(1, ('0. GUIDELINES'!$E$3='[1]input-mpo'!$A:$A) * (S$7='[1]input-mpo'!$B:$B) * ($A10='[1]input-mpo'!$C:$C), '[1]input-mpo'!$D:$D)</f>
        <v>6449400</v>
      </c>
      <c r="T10" s="413" cm="1">
        <f t="array" ref="T10">_xlfn.XLOOKUP(1, ('0. GUIDELINES'!$E$3='[1]input-mpo'!$A:$A) * (T$7='[1]input-mpo'!$B:$B) * ($A10='[1]input-mpo'!$C:$C), '[1]input-mpo'!$D:$D)</f>
        <v>6982905</v>
      </c>
      <c r="U10" s="413" cm="1">
        <f t="array" ref="U10">_xlfn.XLOOKUP(1, ('0. GUIDELINES'!$E$3='[1]input-mpo'!$A:$A) * (U$7='[1]input-mpo'!$B:$B) * ($A10='[1]input-mpo'!$C:$C), '[1]input-mpo'!$D:$D)</f>
        <v>7694869</v>
      </c>
      <c r="V10" s="413" cm="1">
        <f t="array" ref="V10">_xlfn.XLOOKUP(1, ('0. GUIDELINES'!$E$3='[1]input-mpo'!$A:$A) * (V$7='[1]input-mpo'!$B:$B) * ($A10='[1]input-mpo'!$C:$C), '[1]input-mpo'!$D:$D)</f>
        <v>8590038</v>
      </c>
      <c r="W10" s="413" cm="1">
        <f t="array" ref="W10">_xlfn.XLOOKUP(1, ('0. GUIDELINES'!$E$3='[1]input-mpo'!$A:$A) * (W$7='[1]input-mpo'!$B:$B) * ($A10='[1]input-mpo'!$C:$C), '[1]input-mpo'!$D:$D)</f>
        <v>8900232</v>
      </c>
      <c r="X10" s="413" cm="1">
        <f t="array" ref="X10">_xlfn.XLOOKUP(1, ('0. GUIDELINES'!$E$3='[1]input-mpo'!$A:$A) * (X$7='[1]input-mpo'!$B:$B) * ($A10='[1]input-mpo'!$C:$C), '[1]input-mpo'!$D:$D)</f>
        <v>9815808</v>
      </c>
      <c r="Y10" s="413" cm="1">
        <f t="array" ref="Y10">_xlfn.XLOOKUP(1, ('0. GUIDELINES'!$E$3='[1]input-mpo'!$A:$A) * (Y$7='[1]input-mpo'!$B:$B) * ($A10='[1]input-mpo'!$C:$C), '[1]input-mpo'!$D:$D)</f>
        <v>10783223</v>
      </c>
      <c r="Z10" s="414" cm="1">
        <f t="array" ref="Z10">_xlfn.XLOOKUP(1, ('0. GUIDELINES'!$E$3='[1]input-mpo'!$A:$A) * (Z$7='[1]input-mpo'!$B:$B) * ($A10='[1]input-mpo'!$C:$C), '[1]input-mpo'!$D:$D)</f>
        <v>11685491</v>
      </c>
      <c r="AA10" s="414" cm="1">
        <f t="array" ref="AA10">_xlfn.XLOOKUP(1, ('0. GUIDELINES'!$E$3='[1]input-mpo'!$A:$A) * (AA$7='[1]input-mpo'!$B:$B) * ($A10='[1]input-mpo'!$C:$C), '[1]input-mpo'!$D:$D)</f>
        <v>12456733</v>
      </c>
      <c r="AB10" s="414" cm="1">
        <f t="array" ref="AB10">_xlfn.XLOOKUP(1, ('0. GUIDELINES'!$E$3='[1]input-mpo'!$A:$A) * (AB$7='[1]input-mpo'!$B:$B) * ($A10='[1]input-mpo'!$C:$C), '[1]input-mpo'!$D:$D)</f>
        <v>13353618</v>
      </c>
      <c r="AC10" s="414" cm="1">
        <f t="array" ref="AC10">_xlfn.XLOOKUP(1, ('0. GUIDELINES'!$E$3='[1]input-mpo'!$A:$A) * (AC$7='[1]input-mpo'!$B:$B) * ($A10='[1]input-mpo'!$C:$C), '[1]input-mpo'!$D:$D)</f>
        <v>14261664</v>
      </c>
    </row>
    <row r="11" spans="1:37" ht="14.45" customHeight="1" x14ac:dyDescent="0.25">
      <c r="A11" s="89" t="s">
        <v>441</v>
      </c>
      <c r="B11" s="293"/>
      <c r="C11" s="93"/>
      <c r="D11" s="93"/>
      <c r="E11" s="93"/>
      <c r="F11" s="93"/>
      <c r="G11" s="93"/>
      <c r="H11" s="412" t="s">
        <v>33</v>
      </c>
      <c r="I11" s="413" t="e" cm="1">
        <f t="array" ref="I11">_xlfn.XLOOKUP(1, ('0. GUIDELINES'!$E$3='[1]input-mpo'!$A:$A) * (I$7='[1]input-mpo'!$B:$B) * ($A11='[1]input-mpo'!$C:$C), '[1]input-mpo'!$D:$D)</f>
        <v>#N/A</v>
      </c>
      <c r="J11" s="413" cm="1">
        <f t="array" ref="J11">_xlfn.XLOOKUP(1, ('0. GUIDELINES'!$E$3='[1]input-mpo'!$A:$A) * (J$7='[1]input-mpo'!$B:$B) * ($A11='[1]input-mpo'!$C:$C), '[1]input-mpo'!$D:$D)</f>
        <v>6347065</v>
      </c>
      <c r="K11" s="413" cm="1">
        <f t="array" ref="K11">_xlfn.XLOOKUP(1, ('0. GUIDELINES'!$E$3='[1]input-mpo'!$A:$A) * (K$7='[1]input-mpo'!$B:$B) * ($A11='[1]input-mpo'!$C:$C), '[1]input-mpo'!$D:$D)</f>
        <v>6712807.5</v>
      </c>
      <c r="L11" s="413" cm="1">
        <f t="array" ref="L11">_xlfn.XLOOKUP(1, ('0. GUIDELINES'!$E$3='[1]input-mpo'!$A:$A) * (L$7='[1]input-mpo'!$B:$B) * ($A11='[1]input-mpo'!$C:$C), '[1]input-mpo'!$D:$D)</f>
        <v>7053816</v>
      </c>
      <c r="M11" s="413" cm="1">
        <f t="array" ref="M11">_xlfn.XLOOKUP(1, ('0. GUIDELINES'!$E$3='[1]input-mpo'!$A:$A) * (M$7='[1]input-mpo'!$B:$B) * ($A11='[1]input-mpo'!$C:$C), '[1]input-mpo'!$D:$D)</f>
        <v>7443809.5</v>
      </c>
      <c r="N11" s="413" cm="1">
        <f t="array" ref="N11">_xlfn.XLOOKUP(1, ('0. GUIDELINES'!$E$3='[1]input-mpo'!$A:$A) * (N$7='[1]input-mpo'!$B:$B) * ($A11='[1]input-mpo'!$C:$C), '[1]input-mpo'!$D:$D)</f>
        <v>7906563</v>
      </c>
      <c r="O11" s="413" cm="1">
        <f t="array" ref="O11">_xlfn.XLOOKUP(1, ('0. GUIDELINES'!$E$3='[1]input-mpo'!$A:$A) * (O$7='[1]input-mpo'!$B:$B) * ($A11='[1]input-mpo'!$C:$C), '[1]input-mpo'!$D:$D)</f>
        <v>8426503</v>
      </c>
      <c r="P11" s="413" cm="1">
        <f t="array" ref="P11">_xlfn.XLOOKUP(1, ('0. GUIDELINES'!$E$3='[1]input-mpo'!$A:$A) * (P$7='[1]input-mpo'!$B:$B) * ($A11='[1]input-mpo'!$C:$C), '[1]input-mpo'!$D:$D)</f>
        <v>8891154</v>
      </c>
      <c r="Q11" s="413" cm="1">
        <f t="array" ref="Q11">_xlfn.XLOOKUP(1, ('0. GUIDELINES'!$E$3='[1]input-mpo'!$A:$A) * (Q$7='[1]input-mpo'!$B:$B) * ($A11='[1]input-mpo'!$C:$C), '[1]input-mpo'!$D:$D)</f>
        <v>9391224</v>
      </c>
      <c r="R11" s="413" cm="1">
        <f t="array" ref="R11">_xlfn.XLOOKUP(1, ('0. GUIDELINES'!$E$3='[1]input-mpo'!$A:$A) * (R$7='[1]input-mpo'!$B:$B) * ($A11='[1]input-mpo'!$C:$C), '[1]input-mpo'!$D:$D)</f>
        <v>9936015</v>
      </c>
      <c r="S11" s="413" cm="1">
        <f t="array" ref="S11">_xlfn.XLOOKUP(1, ('0. GUIDELINES'!$E$3='[1]input-mpo'!$A:$A) * (S$7='[1]input-mpo'!$B:$B) * ($A11='[1]input-mpo'!$C:$C), '[1]input-mpo'!$D:$D)</f>
        <v>10629824</v>
      </c>
      <c r="T11" s="413" cm="1">
        <f t="array" ref="T11">_xlfn.XLOOKUP(1, ('0. GUIDELINES'!$E$3='[1]input-mpo'!$A:$A) * (T$7='[1]input-mpo'!$B:$B) * ($A11='[1]input-mpo'!$C:$C), '[1]input-mpo'!$D:$D)</f>
        <v>11307474</v>
      </c>
      <c r="U11" s="413" cm="1">
        <f t="array" ref="U11">_xlfn.XLOOKUP(1, ('0. GUIDELINES'!$E$3='[1]input-mpo'!$A:$A) * (U$7='[1]input-mpo'!$B:$B) * ($A11='[1]input-mpo'!$C:$C), '[1]input-mpo'!$D:$D)</f>
        <v>12048523</v>
      </c>
      <c r="V11" s="413" cm="1">
        <f t="array" ref="V11">_xlfn.XLOOKUP(1, ('0. GUIDELINES'!$E$3='[1]input-mpo'!$A:$A) * (V$7='[1]input-mpo'!$B:$B) * ($A11='[1]input-mpo'!$C:$C), '[1]input-mpo'!$D:$D)</f>
        <v>12877439</v>
      </c>
      <c r="W11" s="413" cm="1">
        <f t="array" ref="W11">_xlfn.XLOOKUP(1, ('0. GUIDELINES'!$E$3='[1]input-mpo'!$A:$A) * (W$7='[1]input-mpo'!$B:$B) * ($A11='[1]input-mpo'!$C:$C), '[1]input-mpo'!$D:$D)</f>
        <v>13383891</v>
      </c>
      <c r="X11" s="413" cm="1">
        <f t="array" ref="X11">_xlfn.XLOOKUP(1, ('0. GUIDELINES'!$E$3='[1]input-mpo'!$A:$A) * (X$7='[1]input-mpo'!$B:$B) * ($A11='[1]input-mpo'!$C:$C), '[1]input-mpo'!$D:$D)</f>
        <v>14151078</v>
      </c>
      <c r="Y11" s="413" cm="1">
        <f t="array" ref="Y11">_xlfn.XLOOKUP(1, ('0. GUIDELINES'!$E$3='[1]input-mpo'!$A:$A) * (Y$7='[1]input-mpo'!$B:$B) * ($A11='[1]input-mpo'!$C:$C), '[1]input-mpo'!$D:$D)</f>
        <v>15036465</v>
      </c>
      <c r="Z11" s="414" cm="1">
        <f t="array" ref="Z11">_xlfn.XLOOKUP(1, ('0. GUIDELINES'!$E$3='[1]input-mpo'!$A:$A) * (Z$7='[1]input-mpo'!$B:$B) * ($A11='[1]input-mpo'!$C:$C), '[1]input-mpo'!$D:$D)</f>
        <v>15844110</v>
      </c>
      <c r="AA11" s="414" cm="1">
        <f t="array" ref="AA11">_xlfn.XLOOKUP(1, ('0. GUIDELINES'!$E$3='[1]input-mpo'!$A:$A) * (AA$7='[1]input-mpo'!$B:$B) * ($A11='[1]input-mpo'!$C:$C), '[1]input-mpo'!$D:$D)</f>
        <v>16737511</v>
      </c>
      <c r="AB11" s="414" cm="1">
        <f t="array" ref="AB11">_xlfn.XLOOKUP(1, ('0. GUIDELINES'!$E$3='[1]input-mpo'!$A:$A) * (AB$7='[1]input-mpo'!$B:$B) * ($A11='[1]input-mpo'!$C:$C), '[1]input-mpo'!$D:$D)</f>
        <v>17592770</v>
      </c>
      <c r="AC11" s="414" cm="1">
        <f t="array" ref="AC11">_xlfn.XLOOKUP(1, ('0. GUIDELINES'!$E$3='[1]input-mpo'!$A:$A) * (AC$7='[1]input-mpo'!$B:$B) * ($A11='[1]input-mpo'!$C:$C), '[1]input-mpo'!$D:$D)</f>
        <v>18616922</v>
      </c>
    </row>
    <row r="12" spans="1:37" ht="14.45" customHeight="1" x14ac:dyDescent="0.25">
      <c r="A12" s="89"/>
      <c r="B12" s="293"/>
      <c r="C12" s="93"/>
      <c r="D12" s="93"/>
      <c r="E12" s="93"/>
      <c r="F12" s="93"/>
      <c r="G12" s="93"/>
      <c r="H12" s="418" t="s">
        <v>451</v>
      </c>
      <c r="I12" s="431"/>
      <c r="J12" s="431">
        <f>(J8*10^6)/J27</f>
        <v>84171.324331445809</v>
      </c>
      <c r="K12" s="432">
        <f t="shared" ref="K12:AC12" si="0">(K8*10^6)/K27</f>
        <v>88444.485628883194</v>
      </c>
      <c r="L12" s="432">
        <f t="shared" si="0"/>
        <v>92092.529976042628</v>
      </c>
      <c r="M12" s="432">
        <f t="shared" si="0"/>
        <v>96120.197168482511</v>
      </c>
      <c r="N12" s="432">
        <f t="shared" si="0"/>
        <v>101093.96880446085</v>
      </c>
      <c r="O12" s="432">
        <f t="shared" si="0"/>
        <v>106355.87222321378</v>
      </c>
      <c r="P12" s="432">
        <f t="shared" si="0"/>
        <v>111331.96680376747</v>
      </c>
      <c r="Q12" s="432">
        <f t="shared" si="0"/>
        <v>116617.78638186962</v>
      </c>
      <c r="R12" s="432">
        <f t="shared" si="0"/>
        <v>122788.11236880347</v>
      </c>
      <c r="S12" s="432">
        <f t="shared" si="0"/>
        <v>129913.76544554955</v>
      </c>
      <c r="T12" s="432">
        <f t="shared" si="0"/>
        <v>136755.59904629953</v>
      </c>
      <c r="U12" s="432">
        <f t="shared" si="0"/>
        <v>145070.65937106375</v>
      </c>
      <c r="V12" s="432">
        <f t="shared" si="0"/>
        <v>154772.48082176613</v>
      </c>
      <c r="W12" s="432">
        <f t="shared" si="0"/>
        <v>158287.54355934996</v>
      </c>
      <c r="X12" s="432">
        <f t="shared" si="0"/>
        <v>167336.27787973455</v>
      </c>
      <c r="Y12" s="432">
        <f t="shared" si="0"/>
        <v>177300.89054031289</v>
      </c>
      <c r="Z12" s="433">
        <f t="shared" si="0"/>
        <v>185623.16855499212</v>
      </c>
      <c r="AA12" s="433">
        <f t="shared" si="0"/>
        <v>193355.56554282352</v>
      </c>
      <c r="AB12" s="433">
        <f t="shared" si="0"/>
        <v>199035.89789601069</v>
      </c>
      <c r="AC12" s="433">
        <f t="shared" si="0"/>
        <v>207936.98247332245</v>
      </c>
    </row>
    <row r="13" spans="1:37" ht="14.45" customHeight="1" x14ac:dyDescent="0.25">
      <c r="A13" s="449" t="s">
        <v>619</v>
      </c>
      <c r="B13" s="293"/>
      <c r="C13" s="93"/>
      <c r="D13" s="93"/>
      <c r="E13" s="93"/>
      <c r="F13" s="93"/>
      <c r="G13" s="93"/>
      <c r="H13" s="408"/>
      <c r="I13" s="303"/>
      <c r="J13" s="303"/>
      <c r="K13" s="303"/>
      <c r="L13" s="303"/>
      <c r="M13" s="303"/>
      <c r="N13" s="303"/>
      <c r="O13" s="303"/>
      <c r="P13" s="303"/>
      <c r="Q13" s="303"/>
      <c r="R13" s="303"/>
      <c r="S13" s="303"/>
      <c r="T13" s="303"/>
      <c r="U13" s="303"/>
      <c r="V13" s="303"/>
      <c r="W13" s="303"/>
      <c r="X13" s="303"/>
      <c r="Y13" s="303"/>
      <c r="Z13" s="142"/>
      <c r="AA13" s="142"/>
      <c r="AB13" s="142"/>
      <c r="AC13" s="142"/>
    </row>
    <row r="14" spans="1:37" ht="14.45" customHeight="1" x14ac:dyDescent="0.25">
      <c r="A14" s="89" t="s">
        <v>442</v>
      </c>
      <c r="B14" s="293"/>
      <c r="C14" s="93"/>
      <c r="D14" s="93"/>
      <c r="E14" s="93"/>
      <c r="F14" s="93"/>
      <c r="G14" s="93"/>
      <c r="H14" s="418" t="s">
        <v>123</v>
      </c>
      <c r="I14" s="416" cm="1">
        <f t="array" ref="I14">_xlfn.XLOOKUP(1, ('0. GUIDELINES'!$E$3='[1]input-mpo'!$A:$A) * (I$7='[1]input-mpo'!$B:$B) * ($A14='[1]input-mpo'!$C:$C), '[1]input-mpo'!$D:$D)</f>
        <v>11332213.177438729</v>
      </c>
      <c r="J14" s="416" cm="1">
        <f t="array" ref="J14">_xlfn.XLOOKUP(1, ('0. GUIDELINES'!$E$3='[1]input-mpo'!$A:$A) * (J$7='[1]input-mpo'!$B:$B) * ($A14='[1]input-mpo'!$C:$C), '[1]input-mpo'!$D:$D)</f>
        <v>12132112.879730467</v>
      </c>
      <c r="K14" s="416" cm="1">
        <f t="array" ref="K14">_xlfn.XLOOKUP(1, ('0. GUIDELINES'!$E$3='[1]input-mpo'!$A:$A) * (K$7='[1]input-mpo'!$B:$B) * ($A14='[1]input-mpo'!$C:$C), '[1]input-mpo'!$D:$D)</f>
        <v>12861712.641670294</v>
      </c>
      <c r="L14" s="416" cm="1">
        <f t="array" ref="L14">_xlfn.XLOOKUP(1, ('0. GUIDELINES'!$E$3='[1]input-mpo'!$A:$A) * (L$7='[1]input-mpo'!$B:$B) * ($A14='[1]input-mpo'!$C:$C), '[1]input-mpo'!$D:$D)</f>
        <v>13510602.095111048</v>
      </c>
      <c r="M14" s="416" cm="1">
        <f t="array" ref="M14">_xlfn.XLOOKUP(1, ('0. GUIDELINES'!$E$3='[1]input-mpo'!$A:$A) * (M$7='[1]input-mpo'!$B:$B) * ($A14='[1]input-mpo'!$C:$C), '[1]input-mpo'!$D:$D)</f>
        <v>14263386.129873302</v>
      </c>
      <c r="N14" s="416" cm="1">
        <f t="array" ref="N14">_xlfn.XLOOKUP(1, ('0. GUIDELINES'!$E$3='[1]input-mpo'!$A:$A) * (N$7='[1]input-mpo'!$B:$B) * ($A14='[1]input-mpo'!$C:$C), '[1]input-mpo'!$D:$D)</f>
        <v>15185426.163662763</v>
      </c>
      <c r="O14" s="416" cm="1">
        <f t="array" ref="O14">_xlfn.XLOOKUP(1, ('0. GUIDELINES'!$E$3='[1]input-mpo'!$A:$A) * (O$7='[1]input-mpo'!$B:$B) * ($A14='[1]input-mpo'!$C:$C), '[1]input-mpo'!$D:$D)</f>
        <v>16175733.872300345</v>
      </c>
      <c r="P14" s="416" cm="1">
        <f t="array" ref="P14">_xlfn.XLOOKUP(1, ('0. GUIDELINES'!$E$3='[1]input-mpo'!$A:$A) * (P$7='[1]input-mpo'!$B:$B) * ($A14='[1]input-mpo'!$C:$C), '[1]input-mpo'!$D:$D)</f>
        <v>17148477.168329448</v>
      </c>
      <c r="Q14" s="416" cm="1">
        <f t="array" ref="Q14">_xlfn.XLOOKUP(1, ('0. GUIDELINES'!$E$3='[1]input-mpo'!$A:$A) * (Q$7='[1]input-mpo'!$B:$B) * ($A14='[1]input-mpo'!$C:$C), '[1]input-mpo'!$D:$D)</f>
        <v>18187862.326803636</v>
      </c>
      <c r="R14" s="416" cm="1">
        <f t="array" ref="R14">_xlfn.XLOOKUP(1, ('0. GUIDELINES'!$E$3='[1]input-mpo'!$A:$A) * (R$7='[1]input-mpo'!$B:$B) * ($A14='[1]input-mpo'!$C:$C), '[1]input-mpo'!$D:$D)</f>
        <v>19379648.602542982</v>
      </c>
      <c r="S14" s="416" cm="1">
        <f t="array" ref="S14">_xlfn.XLOOKUP(1, ('0. GUIDELINES'!$E$3='[1]input-mpo'!$A:$A) * (S$7='[1]input-mpo'!$B:$B) * ($A14='[1]input-mpo'!$C:$C), '[1]input-mpo'!$D:$D)</f>
        <v>20758213.000000007</v>
      </c>
      <c r="T14" s="416" cm="1">
        <f t="array" ref="T14">_xlfn.XLOOKUP(1, ('0. GUIDELINES'!$E$3='[1]input-mpo'!$A:$A) * (T$7='[1]input-mpo'!$B:$B) * ($A14='[1]input-mpo'!$C:$C), '[1]input-mpo'!$D:$D)</f>
        <v>22126230.000000007</v>
      </c>
      <c r="U14" s="416" cm="1">
        <f t="array" ref="U14">_xlfn.XLOOKUP(1, ('0. GUIDELINES'!$E$3='[1]input-mpo'!$A:$A) * (U$7='[1]input-mpo'!$B:$B) * ($A14='[1]input-mpo'!$C:$C), '[1]input-mpo'!$D:$D)</f>
        <v>23745739</v>
      </c>
      <c r="V14" s="416" cm="1">
        <f t="array" ref="V14">_xlfn.XLOOKUP(1, ('0. GUIDELINES'!$E$3='[1]input-mpo'!$A:$A) * (V$7='[1]input-mpo'!$B:$B) * ($A14='[1]input-mpo'!$C:$C), '[1]input-mpo'!$D:$D)</f>
        <v>25617356</v>
      </c>
      <c r="W14" s="416" cm="1">
        <f t="array" ref="W14">_xlfn.XLOOKUP(1, ('0. GUIDELINES'!$E$3='[1]input-mpo'!$A:$A) * (W$7='[1]input-mpo'!$B:$B) * ($A14='[1]input-mpo'!$C:$C), '[1]input-mpo'!$D:$D)</f>
        <v>26500650.999999993</v>
      </c>
      <c r="X14" s="416" cm="1">
        <f t="array" ref="X14">_xlfn.XLOOKUP(1, ('0. GUIDELINES'!$E$3='[1]input-mpo'!$A:$A) * (X$7='[1]input-mpo'!$B:$B) * ($A14='[1]input-mpo'!$C:$C), '[1]input-mpo'!$D:$D)</f>
        <v>28339444</v>
      </c>
      <c r="Y14" s="416" cm="1">
        <f t="array" ref="Y14">_xlfn.XLOOKUP(1, ('0. GUIDELINES'!$E$3='[1]input-mpo'!$A:$A) * (Y$7='[1]input-mpo'!$B:$B) * ($A14='[1]input-mpo'!$C:$C), '[1]input-mpo'!$D:$D)</f>
        <v>30351494.999999993</v>
      </c>
      <c r="Z14" s="417" cm="1">
        <f t="array" ref="Z14">_xlfn.XLOOKUP(1, ('0. GUIDELINES'!$E$3='[1]input-mpo'!$A:$A) * (Z$7='[1]input-mpo'!$B:$B) * ($A14='[1]input-mpo'!$C:$C), '[1]input-mpo'!$D:$D)</f>
        <v>32104328.999999993</v>
      </c>
      <c r="AA14" s="417">
        <v>33779452.740000002</v>
      </c>
      <c r="AB14" s="417">
        <v>35114213.409999996</v>
      </c>
      <c r="AC14" s="417">
        <v>37034853.340000004</v>
      </c>
    </row>
    <row r="15" spans="1:37" ht="14.45" customHeight="1" x14ac:dyDescent="0.25">
      <c r="A15" s="89"/>
      <c r="B15" s="293"/>
      <c r="C15" s="93"/>
      <c r="D15" s="93"/>
      <c r="E15" s="93"/>
      <c r="F15" s="93"/>
      <c r="G15" s="93"/>
      <c r="H15" s="450" t="s">
        <v>503</v>
      </c>
      <c r="I15" s="451">
        <f>(I14-I16)/I14</f>
        <v>0.82016103221505421</v>
      </c>
      <c r="J15" s="451">
        <f t="shared" ref="J15:AC15" si="1">(J14-J16)/J14</f>
        <v>0.82077608046414152</v>
      </c>
      <c r="K15" s="451">
        <f t="shared" si="1"/>
        <v>0.82334561746542112</v>
      </c>
      <c r="L15" s="451">
        <f t="shared" si="1"/>
        <v>0.8260010828159392</v>
      </c>
      <c r="M15" s="451">
        <f t="shared" si="1"/>
        <v>0.82504491294377624</v>
      </c>
      <c r="N15" s="451">
        <f t="shared" si="1"/>
        <v>0.82834472464005449</v>
      </c>
      <c r="O15" s="451">
        <f t="shared" si="1"/>
        <v>0.83399638662926912</v>
      </c>
      <c r="P15" s="451">
        <f t="shared" si="1"/>
        <v>0.83955320632705843</v>
      </c>
      <c r="Q15" s="451">
        <f t="shared" si="1"/>
        <v>0.84210862421425925</v>
      </c>
      <c r="R15" s="451">
        <f t="shared" si="1"/>
        <v>0.84688639071128602</v>
      </c>
      <c r="S15" s="451">
        <f t="shared" si="1"/>
        <v>0.86535208979693967</v>
      </c>
      <c r="T15" s="451">
        <f t="shared" si="1"/>
        <v>0.86963978951678622</v>
      </c>
      <c r="U15" s="451">
        <f t="shared" si="1"/>
        <v>0.87422509781649649</v>
      </c>
      <c r="V15" s="451">
        <f t="shared" si="1"/>
        <v>0.87961290774894962</v>
      </c>
      <c r="W15" s="451">
        <f t="shared" si="1"/>
        <v>0.87964442835762802</v>
      </c>
      <c r="X15" s="451">
        <f t="shared" si="1"/>
        <v>0.88388081996245238</v>
      </c>
      <c r="Y15" s="451">
        <f t="shared" si="1"/>
        <v>3.757821484575942E-2</v>
      </c>
      <c r="Z15" s="452">
        <f t="shared" si="1"/>
        <v>3.3302113244603249E-2</v>
      </c>
      <c r="AA15" s="452">
        <f t="shared" si="1"/>
        <v>3.278563150576385E-2</v>
      </c>
      <c r="AB15" s="452">
        <f t="shared" si="1"/>
        <v>3.2670365603954955E-2</v>
      </c>
      <c r="AC15" s="452">
        <f t="shared" si="1"/>
        <v>3.2637059985182168E-2</v>
      </c>
    </row>
    <row r="16" spans="1:37" ht="14.45" customHeight="1" x14ac:dyDescent="0.25">
      <c r="A16" s="89"/>
      <c r="B16" s="293"/>
      <c r="C16" s="93"/>
      <c r="D16" s="93"/>
      <c r="E16" s="93"/>
      <c r="F16" s="93"/>
      <c r="G16" s="93"/>
      <c r="H16" s="418" t="s">
        <v>502</v>
      </c>
      <c r="I16" s="416">
        <f>I17+I18+I21</f>
        <v>2037973.5205495418</v>
      </c>
      <c r="J16" s="416">
        <f t="shared" ref="J16:Z16" si="2">J17+J18+J21</f>
        <v>2174364.8225567653</v>
      </c>
      <c r="K16" s="416">
        <f t="shared" si="2"/>
        <v>2272077.905051453</v>
      </c>
      <c r="L16" s="416">
        <f t="shared" si="2"/>
        <v>2350830.1350540253</v>
      </c>
      <c r="M16" s="416">
        <f t="shared" si="2"/>
        <v>2495451.9620685186</v>
      </c>
      <c r="N16" s="416">
        <f t="shared" si="2"/>
        <v>2606658.5095816543</v>
      </c>
      <c r="O16" s="416">
        <f t="shared" si="2"/>
        <v>2685230.2717251824</v>
      </c>
      <c r="P16" s="416">
        <f t="shared" si="2"/>
        <v>2751418.1780321049</v>
      </c>
      <c r="Q16" s="416">
        <f t="shared" si="2"/>
        <v>2871706.6053806697</v>
      </c>
      <c r="R16" s="416">
        <f t="shared" si="2"/>
        <v>2967287.9442823385</v>
      </c>
      <c r="S16" s="416">
        <f t="shared" si="2"/>
        <v>2795050.0000000014</v>
      </c>
      <c r="T16" s="416">
        <f t="shared" si="2"/>
        <v>2884379.9999999995</v>
      </c>
      <c r="U16" s="416">
        <f t="shared" si="2"/>
        <v>2986618.0000000023</v>
      </c>
      <c r="V16" s="416">
        <f t="shared" si="2"/>
        <v>3083999.0000000019</v>
      </c>
      <c r="W16" s="416">
        <f t="shared" si="2"/>
        <v>3189500.9999999977</v>
      </c>
      <c r="X16" s="416">
        <f t="shared" si="2"/>
        <v>3290752.9999999981</v>
      </c>
      <c r="Y16" s="416">
        <f t="shared" si="2"/>
        <v>29210940</v>
      </c>
      <c r="Z16" s="417">
        <f t="shared" si="2"/>
        <v>31035186.999999993</v>
      </c>
      <c r="AA16" s="417">
        <f>AA17+AA18+AA21</f>
        <v>32671972.049999997</v>
      </c>
      <c r="AB16" s="417">
        <f>AB17+AB18+AB21</f>
        <v>33967019.219999999</v>
      </c>
      <c r="AC16" s="417">
        <f>AC17+AC18+AC21</f>
        <v>35826144.609999999</v>
      </c>
    </row>
    <row r="17" spans="1:29" ht="14.45" customHeight="1" x14ac:dyDescent="0.25">
      <c r="A17" s="89" t="s">
        <v>443</v>
      </c>
      <c r="B17" s="293"/>
      <c r="C17" s="93"/>
      <c r="D17" s="93"/>
      <c r="E17" s="93"/>
      <c r="F17" s="93"/>
      <c r="G17" s="93"/>
      <c r="H17" s="419" t="s">
        <v>29</v>
      </c>
      <c r="I17" s="420" cm="1">
        <f t="array" ref="I17">_xlfn.XLOOKUP(1, ('0. GUIDELINES'!$E$3='[1]input-mpo'!$A:$A) * (I$7='[1]input-mpo'!$B:$B) * ($A17='[1]input-mpo'!$C:$C), '[1]input-mpo'!$D:$D)</f>
        <v>2037973.5205495418</v>
      </c>
      <c r="J17" s="420" cm="1">
        <f t="array" ref="J17">_xlfn.XLOOKUP(1, ('0. GUIDELINES'!$E$3='[1]input-mpo'!$A:$A) * (J$7='[1]input-mpo'!$B:$B) * ($A17='[1]input-mpo'!$C:$C), '[1]input-mpo'!$D:$D)</f>
        <v>2174364.8225567653</v>
      </c>
      <c r="K17" s="420" cm="1">
        <f t="array" ref="K17">_xlfn.XLOOKUP(1, ('0. GUIDELINES'!$E$3='[1]input-mpo'!$A:$A) * (K$7='[1]input-mpo'!$B:$B) * ($A17='[1]input-mpo'!$C:$C), '[1]input-mpo'!$D:$D)</f>
        <v>2272077.905051453</v>
      </c>
      <c r="L17" s="420" cm="1">
        <f t="array" ref="L17">_xlfn.XLOOKUP(1, ('0. GUIDELINES'!$E$3='[1]input-mpo'!$A:$A) * (L$7='[1]input-mpo'!$B:$B) * ($A17='[1]input-mpo'!$C:$C), '[1]input-mpo'!$D:$D)</f>
        <v>2350830.1350540253</v>
      </c>
      <c r="M17" s="420" cm="1">
        <f t="array" ref="M17">_xlfn.XLOOKUP(1, ('0. GUIDELINES'!$E$3='[1]input-mpo'!$A:$A) * (M$7='[1]input-mpo'!$B:$B) * ($A17='[1]input-mpo'!$C:$C), '[1]input-mpo'!$D:$D)</f>
        <v>2495451.9620685186</v>
      </c>
      <c r="N17" s="420" cm="1">
        <f t="array" ref="N17">_xlfn.XLOOKUP(1, ('0. GUIDELINES'!$E$3='[1]input-mpo'!$A:$A) * (N$7='[1]input-mpo'!$B:$B) * ($A17='[1]input-mpo'!$C:$C), '[1]input-mpo'!$D:$D)</f>
        <v>2606658.5095816543</v>
      </c>
      <c r="O17" s="420" cm="1">
        <f t="array" ref="O17">_xlfn.XLOOKUP(1, ('0. GUIDELINES'!$E$3='[1]input-mpo'!$A:$A) * (O$7='[1]input-mpo'!$B:$B) * ($A17='[1]input-mpo'!$C:$C), '[1]input-mpo'!$D:$D)</f>
        <v>2685230.2717251824</v>
      </c>
      <c r="P17" s="420" cm="1">
        <f t="array" ref="P17">_xlfn.XLOOKUP(1, ('0. GUIDELINES'!$E$3='[1]input-mpo'!$A:$A) * (P$7='[1]input-mpo'!$B:$B) * ($A17='[1]input-mpo'!$C:$C), '[1]input-mpo'!$D:$D)</f>
        <v>2751418.1780321049</v>
      </c>
      <c r="Q17" s="420" cm="1">
        <f t="array" ref="Q17">_xlfn.XLOOKUP(1, ('0. GUIDELINES'!$E$3='[1]input-mpo'!$A:$A) * (Q$7='[1]input-mpo'!$B:$B) * ($A17='[1]input-mpo'!$C:$C), '[1]input-mpo'!$D:$D)</f>
        <v>2871706.6053806697</v>
      </c>
      <c r="R17" s="420" cm="1">
        <f t="array" ref="R17">_xlfn.XLOOKUP(1, ('0. GUIDELINES'!$E$3='[1]input-mpo'!$A:$A) * (R$7='[1]input-mpo'!$B:$B) * ($A17='[1]input-mpo'!$C:$C), '[1]input-mpo'!$D:$D)</f>
        <v>2967287.9442823385</v>
      </c>
      <c r="S17" s="420" cm="1">
        <f t="array" ref="S17">_xlfn.XLOOKUP(1, ('0. GUIDELINES'!$E$3='[1]input-mpo'!$A:$A) * (S$7='[1]input-mpo'!$B:$B) * ($A17='[1]input-mpo'!$C:$C), '[1]input-mpo'!$D:$D)</f>
        <v>2795050.0000000014</v>
      </c>
      <c r="T17" s="420" cm="1">
        <f t="array" ref="T17">_xlfn.XLOOKUP(1, ('0. GUIDELINES'!$E$3='[1]input-mpo'!$A:$A) * (T$7='[1]input-mpo'!$B:$B) * ($A17='[1]input-mpo'!$C:$C), '[1]input-mpo'!$D:$D)</f>
        <v>2884379.9999999995</v>
      </c>
      <c r="U17" s="420" cm="1">
        <f t="array" ref="U17">_xlfn.XLOOKUP(1, ('0. GUIDELINES'!$E$3='[1]input-mpo'!$A:$A) * (U$7='[1]input-mpo'!$B:$B) * ($A17='[1]input-mpo'!$C:$C), '[1]input-mpo'!$D:$D)</f>
        <v>2986618.0000000023</v>
      </c>
      <c r="V17" s="420" cm="1">
        <f t="array" ref="V17">_xlfn.XLOOKUP(1, ('0. GUIDELINES'!$E$3='[1]input-mpo'!$A:$A) * (V$7='[1]input-mpo'!$B:$B) * ($A17='[1]input-mpo'!$C:$C), '[1]input-mpo'!$D:$D)</f>
        <v>3083999.0000000019</v>
      </c>
      <c r="W17" s="420" cm="1">
        <f t="array" ref="W17">_xlfn.XLOOKUP(1, ('0. GUIDELINES'!$E$3='[1]input-mpo'!$A:$A) * (W$7='[1]input-mpo'!$B:$B) * ($A17='[1]input-mpo'!$C:$C), '[1]input-mpo'!$D:$D)</f>
        <v>3189500.9999999977</v>
      </c>
      <c r="X17" s="420" cm="1">
        <f t="array" ref="X17">_xlfn.XLOOKUP(1, ('0. GUIDELINES'!$E$3='[1]input-mpo'!$A:$A) * (X$7='[1]input-mpo'!$B:$B) * ($A17='[1]input-mpo'!$C:$C), '[1]input-mpo'!$D:$D)</f>
        <v>3290752.9999999981</v>
      </c>
      <c r="Y17" s="420" cm="1">
        <f t="array" ref="Y17">_xlfn.XLOOKUP(1, ('0. GUIDELINES'!$E$3='[1]input-mpo'!$A:$A) * (Y$7='[1]input-mpo'!$B:$B) * ($A17='[1]input-mpo'!$C:$C), '[1]input-mpo'!$D:$D)</f>
        <v>3391251.9999999977</v>
      </c>
      <c r="Z17" s="421" cm="1">
        <f t="array" ref="Z17">_xlfn.XLOOKUP(1, ('0. GUIDELINES'!$E$3='[1]input-mpo'!$A:$A) * (Z$7='[1]input-mpo'!$B:$B) * ($A17='[1]input-mpo'!$C:$C), '[1]input-mpo'!$D:$D)</f>
        <v>3505585.9999999907</v>
      </c>
      <c r="AA17" s="421">
        <v>3621270.34</v>
      </c>
      <c r="AB17" s="421">
        <v>3729908.45</v>
      </c>
      <c r="AC17" s="421">
        <v>3845535.61</v>
      </c>
    </row>
    <row r="18" spans="1:29" ht="14.45" customHeight="1" x14ac:dyDescent="0.25">
      <c r="A18" s="89"/>
      <c r="B18" s="293"/>
      <c r="C18" s="93"/>
      <c r="D18" s="93"/>
      <c r="E18" s="93"/>
      <c r="F18" s="93"/>
      <c r="G18" s="93"/>
      <c r="H18" s="419" t="s">
        <v>31</v>
      </c>
      <c r="I18" s="420">
        <f t="shared" ref="I18" si="3">SUM(I19:I20)</f>
        <v>0</v>
      </c>
      <c r="J18" s="420">
        <f t="shared" ref="J18" si="4">SUM(J19:J20)</f>
        <v>0</v>
      </c>
      <c r="K18" s="420">
        <f t="shared" ref="K18" si="5">SUM(K19:K20)</f>
        <v>0</v>
      </c>
      <c r="L18" s="420">
        <f t="shared" ref="L18" si="6">SUM(L19:L20)</f>
        <v>0</v>
      </c>
      <c r="M18" s="420">
        <f t="shared" ref="M18" si="7">SUM(M19:M20)</f>
        <v>0</v>
      </c>
      <c r="N18" s="420">
        <f t="shared" ref="N18" si="8">SUM(N19:N20)</f>
        <v>0</v>
      </c>
      <c r="O18" s="420">
        <f t="shared" ref="O18" si="9">SUM(O19:O20)</f>
        <v>0</v>
      </c>
      <c r="P18" s="420">
        <f t="shared" ref="P18" si="10">SUM(P19:P20)</f>
        <v>0</v>
      </c>
      <c r="Q18" s="420">
        <f t="shared" ref="Q18" si="11">SUM(Q19:Q20)</f>
        <v>0</v>
      </c>
      <c r="R18" s="420">
        <f t="shared" ref="R18" si="12">SUM(R19:R20)</f>
        <v>0</v>
      </c>
      <c r="S18" s="420">
        <f t="shared" ref="S18" si="13">SUM(S19:S20)</f>
        <v>0</v>
      </c>
      <c r="T18" s="420">
        <f t="shared" ref="T18" si="14">SUM(T19:T20)</f>
        <v>0</v>
      </c>
      <c r="U18" s="420">
        <f t="shared" ref="U18" si="15">SUM(U19:U20)</f>
        <v>0</v>
      </c>
      <c r="V18" s="420">
        <f t="shared" ref="V18:X18" si="16">SUM(V19:V20)</f>
        <v>0</v>
      </c>
      <c r="W18" s="420">
        <f t="shared" si="16"/>
        <v>0</v>
      </c>
      <c r="X18" s="420">
        <f t="shared" si="16"/>
        <v>0</v>
      </c>
      <c r="Y18" s="420">
        <v>10783223</v>
      </c>
      <c r="Z18" s="421">
        <v>11685492</v>
      </c>
      <c r="AA18" s="421">
        <v>12363250.539999999</v>
      </c>
      <c r="AB18" s="421">
        <v>12771237.800000001</v>
      </c>
      <c r="AC18" s="421">
        <v>13460884.65</v>
      </c>
    </row>
    <row r="19" spans="1:29" ht="14.45" customHeight="1" x14ac:dyDescent="0.25">
      <c r="A19" s="89" t="s">
        <v>444</v>
      </c>
      <c r="B19" s="293"/>
      <c r="C19" s="93"/>
      <c r="D19" s="93"/>
      <c r="E19" s="93"/>
      <c r="F19" s="93"/>
      <c r="G19" s="93"/>
      <c r="H19" s="408"/>
      <c r="I19" s="303"/>
      <c r="J19" s="303"/>
      <c r="K19" s="303"/>
      <c r="L19" s="303"/>
      <c r="M19" s="303"/>
      <c r="N19" s="303"/>
      <c r="O19" s="303"/>
      <c r="P19" s="303"/>
      <c r="Q19" s="303"/>
      <c r="R19" s="303"/>
      <c r="S19" s="303"/>
      <c r="T19" s="303"/>
      <c r="U19" s="303"/>
      <c r="V19" s="303"/>
      <c r="W19" s="303"/>
      <c r="X19" s="303"/>
      <c r="Y19" s="303"/>
      <c r="Z19" s="142"/>
      <c r="AA19" s="142"/>
      <c r="AB19" s="142"/>
      <c r="AC19" s="142"/>
    </row>
    <row r="20" spans="1:29" ht="14.45" customHeight="1" x14ac:dyDescent="0.25">
      <c r="A20" s="89" t="s">
        <v>445</v>
      </c>
      <c r="B20" s="293"/>
      <c r="C20" s="93"/>
      <c r="D20" s="93"/>
      <c r="E20" s="93"/>
      <c r="F20" s="93"/>
      <c r="G20" s="93"/>
      <c r="H20" s="408"/>
      <c r="I20" s="303"/>
      <c r="J20" s="303"/>
      <c r="K20" s="303"/>
      <c r="L20" s="303"/>
      <c r="M20" s="303"/>
      <c r="N20" s="303"/>
      <c r="O20" s="303"/>
      <c r="P20" s="303"/>
      <c r="Q20" s="303"/>
      <c r="R20" s="303"/>
      <c r="S20" s="303"/>
      <c r="T20" s="303"/>
      <c r="U20" s="303"/>
      <c r="V20" s="303"/>
      <c r="W20" s="303"/>
      <c r="X20" s="303"/>
      <c r="Y20" s="303"/>
      <c r="Z20" s="142"/>
      <c r="AA20" s="142"/>
      <c r="AB20" s="142"/>
      <c r="AC20" s="142"/>
    </row>
    <row r="21" spans="1:29" ht="14.45" customHeight="1" x14ac:dyDescent="0.25">
      <c r="A21" s="89"/>
      <c r="B21" s="293"/>
      <c r="C21" s="93"/>
      <c r="D21" s="93"/>
      <c r="E21" s="93"/>
      <c r="F21" s="93"/>
      <c r="G21" s="93"/>
      <c r="H21" s="419" t="s">
        <v>33</v>
      </c>
      <c r="I21" s="420">
        <f t="shared" ref="I21" si="17">SUM(I22:I24)</f>
        <v>0</v>
      </c>
      <c r="J21" s="420">
        <f>SUM(J22:J24)</f>
        <v>0</v>
      </c>
      <c r="K21" s="420">
        <f t="shared" ref="K21:X21" si="18">SUM(K22:K24)</f>
        <v>0</v>
      </c>
      <c r="L21" s="420">
        <f t="shared" si="18"/>
        <v>0</v>
      </c>
      <c r="M21" s="420">
        <f t="shared" si="18"/>
        <v>0</v>
      </c>
      <c r="N21" s="420">
        <f t="shared" si="18"/>
        <v>0</v>
      </c>
      <c r="O21" s="420">
        <f t="shared" si="18"/>
        <v>0</v>
      </c>
      <c r="P21" s="420">
        <f t="shared" si="18"/>
        <v>0</v>
      </c>
      <c r="Q21" s="420">
        <f t="shared" si="18"/>
        <v>0</v>
      </c>
      <c r="R21" s="420">
        <f t="shared" si="18"/>
        <v>0</v>
      </c>
      <c r="S21" s="420">
        <f t="shared" si="18"/>
        <v>0</v>
      </c>
      <c r="T21" s="420">
        <f t="shared" si="18"/>
        <v>0</v>
      </c>
      <c r="U21" s="420">
        <f t="shared" si="18"/>
        <v>0</v>
      </c>
      <c r="V21" s="420">
        <f t="shared" si="18"/>
        <v>0</v>
      </c>
      <c r="W21" s="420">
        <f t="shared" si="18"/>
        <v>0</v>
      </c>
      <c r="X21" s="420">
        <f t="shared" si="18"/>
        <v>0</v>
      </c>
      <c r="Y21" s="420">
        <v>15036465</v>
      </c>
      <c r="Z21" s="421">
        <v>15844109</v>
      </c>
      <c r="AA21" s="421">
        <v>16687451.17</v>
      </c>
      <c r="AB21" s="421">
        <v>17465872.969999999</v>
      </c>
      <c r="AC21" s="421">
        <v>18519724.350000001</v>
      </c>
    </row>
    <row r="22" spans="1:29" ht="14.45" customHeight="1" x14ac:dyDescent="0.25">
      <c r="A22" s="89" t="s">
        <v>446</v>
      </c>
      <c r="B22" s="293"/>
      <c r="C22" s="93"/>
      <c r="D22" s="93"/>
      <c r="E22" s="93"/>
      <c r="F22" s="93"/>
      <c r="G22" s="93"/>
      <c r="H22" s="408"/>
      <c r="I22" s="303"/>
      <c r="J22" s="303"/>
      <c r="K22" s="303"/>
      <c r="L22" s="303"/>
      <c r="M22" s="303"/>
      <c r="N22" s="303"/>
      <c r="O22" s="303"/>
      <c r="P22" s="303"/>
      <c r="Q22" s="303"/>
      <c r="R22" s="303"/>
      <c r="S22" s="303"/>
      <c r="T22" s="303"/>
      <c r="U22" s="303"/>
      <c r="V22" s="303"/>
      <c r="W22" s="303"/>
      <c r="X22" s="303"/>
      <c r="Y22" s="303"/>
      <c r="Z22" s="142"/>
      <c r="AA22" s="142"/>
      <c r="AB22" s="142"/>
      <c r="AC22" s="142"/>
    </row>
    <row r="23" spans="1:29" ht="14.45" customHeight="1" x14ac:dyDescent="0.25">
      <c r="A23" s="89" t="s">
        <v>447</v>
      </c>
      <c r="B23" s="293"/>
      <c r="C23" s="93"/>
      <c r="D23" s="93"/>
      <c r="E23" s="93"/>
      <c r="F23" s="93"/>
      <c r="G23" s="93"/>
      <c r="H23" s="408"/>
      <c r="I23" s="303"/>
      <c r="J23" s="303"/>
      <c r="K23" s="303"/>
      <c r="L23" s="303"/>
      <c r="M23" s="303"/>
      <c r="N23" s="303"/>
      <c r="O23" s="303"/>
      <c r="P23" s="303"/>
      <c r="Q23" s="303"/>
      <c r="R23" s="303"/>
      <c r="S23" s="303"/>
      <c r="T23" s="303"/>
      <c r="U23" s="303"/>
      <c r="V23" s="303"/>
      <c r="W23" s="303"/>
      <c r="X23" s="303"/>
      <c r="Y23" s="303"/>
      <c r="Z23" s="142"/>
      <c r="AA23" s="142"/>
      <c r="AB23" s="142"/>
      <c r="AC23" s="142"/>
    </row>
    <row r="24" spans="1:29" ht="14.45" customHeight="1" x14ac:dyDescent="0.25">
      <c r="A24" s="89" t="s">
        <v>448</v>
      </c>
      <c r="B24" s="293"/>
      <c r="C24" s="93"/>
      <c r="D24" s="93"/>
      <c r="E24" s="93"/>
      <c r="F24" s="93"/>
      <c r="G24" s="93"/>
      <c r="H24" s="408"/>
      <c r="I24" s="303"/>
      <c r="J24" s="303"/>
      <c r="K24" s="303"/>
      <c r="L24" s="303"/>
      <c r="M24" s="303"/>
      <c r="N24" s="303"/>
      <c r="O24" s="303"/>
      <c r="P24" s="303"/>
      <c r="Q24" s="303"/>
      <c r="R24" s="303"/>
      <c r="S24" s="303"/>
      <c r="T24" s="303"/>
      <c r="U24" s="303"/>
      <c r="V24" s="303"/>
      <c r="W24" s="303"/>
      <c r="X24" s="303"/>
      <c r="Y24" s="303"/>
      <c r="Z24" s="142"/>
      <c r="AA24" s="142"/>
      <c r="AB24" s="142"/>
      <c r="AC24" s="142"/>
    </row>
    <row r="25" spans="1:29" ht="14.45" customHeight="1" x14ac:dyDescent="0.25">
      <c r="A25" s="89" t="s">
        <v>454</v>
      </c>
      <c r="B25" s="293"/>
      <c r="C25" s="93"/>
      <c r="D25" s="93"/>
      <c r="E25" s="93"/>
      <c r="F25" s="93"/>
      <c r="G25" s="93"/>
      <c r="H25" s="418" t="s">
        <v>451</v>
      </c>
      <c r="I25" s="431" cm="1">
        <f t="array" ref="I25">_xlfn.XLOOKUP(1, ('0. GUIDELINES'!$E$3='[1]input-mpo'!$A:$A) * (I$7='[1]input-mpo'!$B:$B) * ($A25='[1]input-mpo'!$C:$C), '[1]input-mpo'!$D:$D)</f>
        <v>80415.361638355738</v>
      </c>
      <c r="J25" s="431" cm="1">
        <f t="array" ref="J25">_xlfn.XLOOKUP(1, ('0. GUIDELINES'!$E$3='[1]input-mpo'!$A:$A) * (J$7='[1]input-mpo'!$B:$B) * ($A25='[1]input-mpo'!$C:$C), '[1]input-mpo'!$D:$D)</f>
        <v>85042.148322798734</v>
      </c>
      <c r="K25" s="432" cm="1">
        <f t="array" ref="K25">_xlfn.XLOOKUP(1, ('0. GUIDELINES'!$E$3='[1]input-mpo'!$A:$A) * (K$7='[1]input-mpo'!$B:$B) * ($A25='[1]input-mpo'!$C:$C), '[1]input-mpo'!$D:$D)</f>
        <v>89129.287072224572</v>
      </c>
      <c r="L25" s="432" cm="1">
        <f t="array" ref="L25">_xlfn.XLOOKUP(1, ('0. GUIDELINES'!$E$3='[1]input-mpo'!$A:$A) * (L$7='[1]input-mpo'!$B:$B) * ($A25='[1]input-mpo'!$C:$C), '[1]input-mpo'!$D:$D)</f>
        <v>92585.931780784973</v>
      </c>
      <c r="M25" s="432" cm="1">
        <f t="array" ref="M25">_xlfn.XLOOKUP(1, ('0. GUIDELINES'!$E$3='[1]input-mpo'!$A:$A) * (M$7='[1]input-mpo'!$B:$B) * ($A25='[1]input-mpo'!$C:$C), '[1]input-mpo'!$D:$D)</f>
        <v>96651.777942560075</v>
      </c>
      <c r="N25" s="432" cm="1">
        <f t="array" ref="N25">_xlfn.XLOOKUP(1, ('0. GUIDELINES'!$E$3='[1]input-mpo'!$A:$A) * (N$7='[1]input-mpo'!$B:$B) * ($A25='[1]input-mpo'!$C:$C), '[1]input-mpo'!$D:$D)</f>
        <v>101729.22205397335</v>
      </c>
      <c r="O25" s="432" cm="1">
        <f t="array" ref="O25">_xlfn.XLOOKUP(1, ('0. GUIDELINES'!$E$3='[1]input-mpo'!$A:$A) * (O$7='[1]input-mpo'!$B:$B) * ($A25='[1]input-mpo'!$C:$C), '[1]input-mpo'!$D:$D)</f>
        <v>107119.8089632223</v>
      </c>
      <c r="P25" s="432" cm="1">
        <f t="array" ref="P25">_xlfn.XLOOKUP(1, ('0. GUIDELINES'!$E$3='[1]input-mpo'!$A:$A) * (P$7='[1]input-mpo'!$B:$B) * ($A25='[1]input-mpo'!$C:$C), '[1]input-mpo'!$D:$D)</f>
        <v>111331.95859154221</v>
      </c>
      <c r="Q25" s="432" cm="1">
        <f t="array" ref="Q25">_xlfn.XLOOKUP(1, ('0. GUIDELINES'!$E$3='[1]input-mpo'!$A:$A) * (Q$7='[1]input-mpo'!$B:$B) * ($A25='[1]input-mpo'!$C:$C), '[1]input-mpo'!$D:$D)</f>
        <v>116617.79199981937</v>
      </c>
      <c r="R25" s="432" cm="1">
        <f t="array" ref="R25">_xlfn.XLOOKUP(1, ('0. GUIDELINES'!$E$3='[1]input-mpo'!$A:$A) * (R$7='[1]input-mpo'!$B:$B) * ($A25='[1]input-mpo'!$C:$C), '[1]input-mpo'!$D:$D)</f>
        <v>122788.11761099272</v>
      </c>
      <c r="S25" s="432" cm="1">
        <f t="array" ref="S25">_xlfn.XLOOKUP(1, ('0. GUIDELINES'!$E$3='[1]input-mpo'!$A:$A) * (S$7='[1]input-mpo'!$B:$B) * ($A25='[1]input-mpo'!$C:$C), '[1]input-mpo'!$D:$D)</f>
        <v>129913.75281051081</v>
      </c>
      <c r="T25" s="432" cm="1">
        <f t="array" ref="T25">_xlfn.XLOOKUP(1, ('0. GUIDELINES'!$E$3='[1]input-mpo'!$A:$A) * (T$7='[1]input-mpo'!$B:$B) * ($A25='[1]input-mpo'!$C:$C), '[1]input-mpo'!$D:$D)</f>
        <v>136755.59614819754</v>
      </c>
      <c r="U25" s="432" cm="1">
        <f t="array" ref="U25">_xlfn.XLOOKUP(1, ('0. GUIDELINES'!$E$3='[1]input-mpo'!$A:$A) * (U$7='[1]input-mpo'!$B:$B) * ($A25='[1]input-mpo'!$C:$C), '[1]input-mpo'!$D:$D)</f>
        <v>145070.65499967933</v>
      </c>
      <c r="V25" s="432" cm="1">
        <f t="array" ref="V25">_xlfn.XLOOKUP(1, ('0. GUIDELINES'!$E$3='[1]input-mpo'!$A:$A) * (V$7='[1]input-mpo'!$B:$B) * ($A25='[1]input-mpo'!$C:$C), '[1]input-mpo'!$D:$D)</f>
        <v>154772.47903833861</v>
      </c>
      <c r="W25" s="432" cm="1">
        <f t="array" ref="W25">_xlfn.XLOOKUP(1, ('0. GUIDELINES'!$E$3='[1]input-mpo'!$A:$A) * (W$7='[1]input-mpo'!$B:$B) * ($A25='[1]input-mpo'!$C:$C), '[1]input-mpo'!$D:$D)</f>
        <v>158287.54311639283</v>
      </c>
      <c r="X25" s="432" cm="1">
        <f t="array" ref="X25">_xlfn.XLOOKUP(1, ('0. GUIDELINES'!$E$3='[1]input-mpo'!$A:$A) * (X$7='[1]input-mpo'!$B:$B) * ($A25='[1]input-mpo'!$C:$C), '[1]input-mpo'!$D:$D)</f>
        <v>167336.27387630352</v>
      </c>
      <c r="Y25" s="432" cm="1">
        <f t="array" ref="Y25">_xlfn.XLOOKUP(1, ('0. GUIDELINES'!$E$3='[1]input-mpo'!$A:$A) * (Y$7='[1]input-mpo'!$B:$B) * ($A25='[1]input-mpo'!$C:$C), '[1]input-mpo'!$D:$D)</f>
        <v>177300.88247152706</v>
      </c>
      <c r="Z25" s="433" cm="1">
        <f t="array" ref="Z25">_xlfn.XLOOKUP(1, ('0. GUIDELINES'!$E$3='[1]input-mpo'!$A:$A) * (Z$7='[1]input-mpo'!$B:$B) * ($A25='[1]input-mpo'!$C:$C), '[1]input-mpo'!$D:$D)</f>
        <v>185623.17024300501</v>
      </c>
      <c r="AA25" s="433" t="e" cm="1">
        <f t="array" ref="AA25">_xlfn.XLOOKUP(1, ('0. GUIDELINES'!$E$3='[1]input-mpo'!$A:$A) * (AA$7='[1]input-mpo'!$B:$B) * ($A25='[1]input-mpo'!$C:$C)* ($A$13='[1]input-mpo'!$F:$F), '[1]input-mpo'!$D:$D)</f>
        <v>#N/A</v>
      </c>
      <c r="AB25" s="433" t="e" cm="1">
        <f t="array" ref="AB25">_xlfn.XLOOKUP(1, ('0. GUIDELINES'!$E$3='[1]input-mpo'!$A:$A) * (AB$7='[1]input-mpo'!$B:$B) * ($A25='[1]input-mpo'!$C:$C)* ($A$13='[1]input-mpo'!$F:$F), '[1]input-mpo'!$D:$D)</f>
        <v>#N/A</v>
      </c>
      <c r="AC25" s="433" t="e" cm="1">
        <f t="array" ref="AC25">_xlfn.XLOOKUP(1, ('0. GUIDELINES'!$E$3='[1]input-mpo'!$A:$A) * (AC$7='[1]input-mpo'!$B:$B) * ($A25='[1]input-mpo'!$C:$C)* ($A$13='[1]input-mpo'!$F:$F), '[1]input-mpo'!$D:$D)</f>
        <v>#N/A</v>
      </c>
    </row>
    <row r="26" spans="1:29" ht="14.45" customHeight="1" x14ac:dyDescent="0.25">
      <c r="A26" s="89"/>
      <c r="B26" s="293"/>
      <c r="C26" s="93"/>
      <c r="D26" s="93"/>
      <c r="E26" s="93"/>
      <c r="F26" s="93"/>
      <c r="G26" s="93"/>
      <c r="H26" s="426"/>
      <c r="I26" s="429"/>
      <c r="J26" s="429"/>
      <c r="K26" s="429"/>
      <c r="L26" s="429"/>
      <c r="M26" s="429"/>
      <c r="N26" s="429"/>
      <c r="O26" s="429"/>
      <c r="P26" s="429"/>
      <c r="Q26" s="429"/>
      <c r="R26" s="429"/>
      <c r="S26" s="429"/>
      <c r="T26" s="429"/>
      <c r="U26" s="429"/>
      <c r="V26" s="429"/>
      <c r="W26" s="429"/>
      <c r="X26" s="429"/>
      <c r="Y26" s="429"/>
      <c r="Z26" s="430"/>
      <c r="AA26" s="430"/>
      <c r="AB26" s="430"/>
      <c r="AC26" s="430"/>
    </row>
    <row r="27" spans="1:29" ht="14.45" customHeight="1" x14ac:dyDescent="0.25">
      <c r="A27" s="89" t="s">
        <v>450</v>
      </c>
      <c r="B27" s="293"/>
      <c r="C27" s="93"/>
      <c r="D27" s="93"/>
      <c r="E27" s="93"/>
      <c r="F27" s="93"/>
      <c r="G27" s="93"/>
      <c r="H27" s="418" t="s">
        <v>456</v>
      </c>
      <c r="I27" s="427" t="e" cm="1">
        <f t="array" ref="I27">_xlfn.XLOOKUP(1, ('0. GUIDELINES'!$E$3='[1]input-mpo'!$A:$A) * (I$7='[1]input-mpo'!$B:$B) * ($A27='[1]input-mpo'!$C:$C), '[1]input-mpo'!$D:$D)</f>
        <v>#N/A</v>
      </c>
      <c r="J27" s="427" cm="1">
        <f t="array" ref="J27">_xlfn.XLOOKUP(1, ('0. GUIDELINES'!$E$3='[1]input-mpo'!$A:$A) * (J$7='[1]input-mpo'!$B:$B) * ($A27='[1]input-mpo'!$C:$C), '[1]input-mpo'!$D:$D)</f>
        <v>144135940.55175781</v>
      </c>
      <c r="K27" s="427" cm="1">
        <f t="array" ref="K27">_xlfn.XLOOKUP(1, ('0. GUIDELINES'!$E$3='[1]input-mpo'!$A:$A) * (K$7='[1]input-mpo'!$B:$B) * ($A27='[1]input-mpo'!$C:$C), '[1]input-mpo'!$D:$D)</f>
        <v>145421310.42480469</v>
      </c>
      <c r="L27" s="427" cm="1">
        <f t="array" ref="L27">_xlfn.XLOOKUP(1, ('0. GUIDELINES'!$E$3='[1]input-mpo'!$A:$A) * (L$7='[1]input-mpo'!$B:$B) * ($A27='[1]input-mpo'!$C:$C), '[1]input-mpo'!$D:$D)</f>
        <v>146706817.62695313</v>
      </c>
      <c r="M27" s="427" cm="1">
        <f t="array" ref="M27">_xlfn.XLOOKUP(1, ('0. GUIDELINES'!$E$3='[1]input-mpo'!$A:$A) * (M$7='[1]input-mpo'!$B:$B) * ($A27='[1]input-mpo'!$C:$C), '[1]input-mpo'!$D:$D)</f>
        <v>148391143.79882813</v>
      </c>
      <c r="N27" s="427" cm="1">
        <f t="array" ref="N27">_xlfn.XLOOKUP(1, ('0. GUIDELINES'!$E$3='[1]input-mpo'!$A:$A) * (N$7='[1]input-mpo'!$B:$B) * ($A27='[1]input-mpo'!$C:$C), '[1]input-mpo'!$D:$D)</f>
        <v>150210998.53515625</v>
      </c>
      <c r="O27" s="427" cm="1">
        <f t="array" ref="O27">_xlfn.XLOOKUP(1, ('0. GUIDELINES'!$E$3='[1]input-mpo'!$A:$A) * (O$7='[1]input-mpo'!$B:$B) * ($A27='[1]input-mpo'!$C:$C), '[1]input-mpo'!$D:$D)</f>
        <v>152090652.46582031</v>
      </c>
      <c r="P27" s="427" cm="1">
        <f t="array" ref="P27">_xlfn.XLOOKUP(1, ('0. GUIDELINES'!$E$3='[1]input-mpo'!$A:$A) * (P$7='[1]input-mpo'!$B:$B) * ($A27='[1]input-mpo'!$C:$C), '[1]input-mpo'!$D:$D)</f>
        <v>154030136.10839844</v>
      </c>
      <c r="Q27" s="427" cm="1">
        <f t="array" ref="Q27">_xlfn.XLOOKUP(1, ('0. GUIDELINES'!$E$3='[1]input-mpo'!$A:$A) * (Q$7='[1]input-mpo'!$B:$B) * ($A27='[1]input-mpo'!$C:$C), '[1]input-mpo'!$D:$D)</f>
        <v>155961303.7109375</v>
      </c>
      <c r="R27" s="427" cm="1">
        <f t="array" ref="R27">_xlfn.XLOOKUP(1, ('0. GUIDELINES'!$E$3='[1]input-mpo'!$A:$A) * (R$7='[1]input-mpo'!$B:$B) * ($A27='[1]input-mpo'!$C:$C), '[1]input-mpo'!$D:$D)</f>
        <v>157830001.83105469</v>
      </c>
      <c r="S27" s="427" cm="1">
        <f t="array" ref="S27">_xlfn.XLOOKUP(1, ('0. GUIDELINES'!$E$3='[1]input-mpo'!$A:$A) * (S$7='[1]input-mpo'!$B:$B) * ($A27='[1]input-mpo'!$C:$C), '[1]input-mpo'!$D:$D)</f>
        <v>159784561.15722656</v>
      </c>
      <c r="T27" s="427" cm="1">
        <f t="array" ref="T27">_xlfn.XLOOKUP(1, ('0. GUIDELINES'!$E$3='[1]input-mpo'!$A:$A) * (T$7='[1]input-mpo'!$B:$B) * ($A27='[1]input-mpo'!$C:$C), '[1]input-mpo'!$D:$D)</f>
        <v>161793960.57128906</v>
      </c>
      <c r="U27" s="427" cm="1">
        <f t="array" ref="U27">_xlfn.XLOOKUP(1, ('0. GUIDELINES'!$E$3='[1]input-mpo'!$A:$A) * (U$7='[1]input-mpo'!$B:$B) * ($A27='[1]input-mpo'!$C:$C), '[1]input-mpo'!$D:$D)</f>
        <v>163683959.9609375</v>
      </c>
      <c r="V27" s="427" cm="1">
        <f t="array" ref="V27">_xlfn.XLOOKUP(1, ('0. GUIDELINES'!$E$3='[1]input-mpo'!$A:$A) * (V$7='[1]input-mpo'!$B:$B) * ($A27='[1]input-mpo'!$C:$C), '[1]input-mpo'!$D:$D)</f>
        <v>165516220.09277344</v>
      </c>
      <c r="W27" s="427" cm="1">
        <f t="array" ref="W27">_xlfn.XLOOKUP(1, ('0. GUIDELINES'!$E$3='[1]input-mpo'!$A:$A) * (W$7='[1]input-mpo'!$B:$B) * ($A27='[1]input-mpo'!$C:$C), '[1]input-mpo'!$D:$D)</f>
        <v>167420944.21386719</v>
      </c>
      <c r="X27" s="427" cm="1">
        <f t="array" ref="X27">_xlfn.XLOOKUP(1, ('0. GUIDELINES'!$E$3='[1]input-mpo'!$A:$A) * (X$7='[1]input-mpo'!$B:$B) * ($A27='[1]input-mpo'!$C:$C), '[1]input-mpo'!$D:$D)</f>
        <v>169356246.94824219</v>
      </c>
      <c r="Y27" s="427" cm="1">
        <f t="array" ref="Y27">_xlfn.XLOOKUP(1, ('0. GUIDELINES'!$E$3='[1]input-mpo'!$A:$A) * (Y$7='[1]input-mpo'!$B:$B) * ($A27='[1]input-mpo'!$C:$C), '[1]input-mpo'!$D:$D)</f>
        <v>171186370.84960938</v>
      </c>
      <c r="Z27" s="428" cm="1">
        <f t="array" ref="Z27">_xlfn.XLOOKUP(1, ('0. GUIDELINES'!$E$3='[1]input-mpo'!$A:$A) * (Z$7='[1]input-mpo'!$B:$B) * ($A27='[1]input-mpo'!$C:$C), '[1]input-mpo'!$D:$D)</f>
        <v>172954315.18554688</v>
      </c>
      <c r="AA27" s="428" cm="1">
        <f t="array" ref="AA27">_xlfn.XLOOKUP(1, ('0. GUIDELINES'!$E$3='[1]input-mpo'!$A:$A) * (AA$7='[1]input-mpo'!$B:$B) * ($A27='[1]input-mpo'!$C:$C), '[1]input-mpo'!$D:$D)</f>
        <v>174701217.65136719</v>
      </c>
      <c r="AB27" s="428" cm="1">
        <f t="array" ref="AB27">_xlfn.XLOOKUP(1, ('0. GUIDELINES'!$E$3='[1]input-mpo'!$A:$A) * (AB$7='[1]input-mpo'!$B:$B) * ($A27='[1]input-mpo'!$C:$C), '[1]input-mpo'!$D:$D)</f>
        <v>176421508.7890625</v>
      </c>
      <c r="AC27" s="428" cm="1">
        <f t="array" ref="AC27">_xlfn.XLOOKUP(1, ('0. GUIDELINES'!$E$3='[1]input-mpo'!$A:$A) * (AC$7='[1]input-mpo'!$B:$B) * ($A27='[1]input-mpo'!$C:$C), '[1]input-mpo'!$D:$D)</f>
        <v>178106140.13671875</v>
      </c>
    </row>
    <row r="28" spans="1:29" ht="14.45" customHeight="1" x14ac:dyDescent="0.25">
      <c r="A28" s="89" t="s">
        <v>452</v>
      </c>
      <c r="B28" s="293"/>
      <c r="C28" s="93"/>
      <c r="D28" s="93"/>
      <c r="E28" s="93"/>
      <c r="F28" s="93"/>
      <c r="G28" s="93"/>
      <c r="H28" s="418" t="s">
        <v>457</v>
      </c>
      <c r="I28" s="427" cm="1">
        <f t="array" ref="I28">_xlfn.XLOOKUP(1, ('0. GUIDELINES'!$E$3='[1]input-mpo'!$A:$A) * (I$7='[1]input-mpo'!$B:$B) * ($A28='[1]input-mpo'!$C:$C), '[1]input-mpo'!$D:$D)</f>
        <v>140921000</v>
      </c>
      <c r="J28" s="427" cm="1">
        <f t="array" ref="J28">_xlfn.XLOOKUP(1, ('0. GUIDELINES'!$E$3='[1]input-mpo'!$A:$A) * (J$7='[1]input-mpo'!$B:$B) * ($A28='[1]input-mpo'!$C:$C), '[1]input-mpo'!$D:$D)</f>
        <v>142660000</v>
      </c>
      <c r="K28" s="427" cm="1">
        <f t="array" ref="K28">_xlfn.XLOOKUP(1, ('0. GUIDELINES'!$E$3='[1]input-mpo'!$A:$A) * (K$7='[1]input-mpo'!$B:$B) * ($A28='[1]input-mpo'!$C:$C), '[1]input-mpo'!$D:$D)</f>
        <v>144304000</v>
      </c>
      <c r="L28" s="427" cm="1">
        <f t="array" ref="L28">_xlfn.XLOOKUP(1, ('0. GUIDELINES'!$E$3='[1]input-mpo'!$A:$A) * (L$7='[1]input-mpo'!$B:$B) * ($A28='[1]input-mpo'!$C:$C), '[1]input-mpo'!$D:$D)</f>
        <v>145925000</v>
      </c>
      <c r="M28" s="427" cm="1">
        <f t="array" ref="M28">_xlfn.XLOOKUP(1, ('0. GUIDELINES'!$E$3='[1]input-mpo'!$A:$A) * (M$7='[1]input-mpo'!$B:$B) * ($A28='[1]input-mpo'!$C:$C), '[1]input-mpo'!$D:$D)</f>
        <v>147575000</v>
      </c>
      <c r="N28" s="427" cm="1">
        <f t="array" ref="N28">_xlfn.XLOOKUP(1, ('0. GUIDELINES'!$E$3='[1]input-mpo'!$A:$A) * (N$7='[1]input-mpo'!$B:$B) * ($A28='[1]input-mpo'!$C:$C), '[1]input-mpo'!$D:$D)</f>
        <v>149273000</v>
      </c>
      <c r="O28" s="427" cm="1">
        <f t="array" ref="O28">_xlfn.XLOOKUP(1, ('0. GUIDELINES'!$E$3='[1]input-mpo'!$A:$A) * (O$7='[1]input-mpo'!$B:$B) * ($A28='[1]input-mpo'!$C:$C), '[1]input-mpo'!$D:$D)</f>
        <v>151006000</v>
      </c>
      <c r="P28" s="427" cm="1">
        <f t="array" ref="P28">_xlfn.XLOOKUP(1, ('0. GUIDELINES'!$E$3='[1]input-mpo'!$A:$A) * (P$7='[1]input-mpo'!$B:$B) * ($A28='[1]input-mpo'!$C:$C), '[1]input-mpo'!$D:$D)</f>
        <v>154030140</v>
      </c>
      <c r="Q28" s="427" cm="1">
        <f t="array" ref="Q28">_xlfn.XLOOKUP(1, ('0. GUIDELINES'!$E$3='[1]input-mpo'!$A:$A) * (Q$7='[1]input-mpo'!$B:$B) * ($A28='[1]input-mpo'!$C:$C), '[1]input-mpo'!$D:$D)</f>
        <v>155961299</v>
      </c>
      <c r="R28" s="427" cm="1">
        <f t="array" ref="R28">_xlfn.XLOOKUP(1, ('0. GUIDELINES'!$E$3='[1]input-mpo'!$A:$A) * (R$7='[1]input-mpo'!$B:$B) * ($A28='[1]input-mpo'!$C:$C), '[1]input-mpo'!$D:$D)</f>
        <v>157830000</v>
      </c>
      <c r="S28" s="427" cm="1">
        <f t="array" ref="S28">_xlfn.XLOOKUP(1, ('0. GUIDELINES'!$E$3='[1]input-mpo'!$A:$A) * (S$7='[1]input-mpo'!$B:$B) * ($A28='[1]input-mpo'!$C:$C), '[1]input-mpo'!$D:$D)</f>
        <v>159784569</v>
      </c>
      <c r="T28" s="427" cm="1">
        <f t="array" ref="T28">_xlfn.XLOOKUP(1, ('0. GUIDELINES'!$E$3='[1]input-mpo'!$A:$A) * (T$7='[1]input-mpo'!$B:$B) * ($A28='[1]input-mpo'!$C:$C), '[1]input-mpo'!$D:$D)</f>
        <v>161793963.99999997</v>
      </c>
      <c r="U28" s="427" cm="1">
        <f t="array" ref="U28">_xlfn.XLOOKUP(1, ('0. GUIDELINES'!$E$3='[1]input-mpo'!$A:$A) * (U$7='[1]input-mpo'!$B:$B) * ($A28='[1]input-mpo'!$C:$C), '[1]input-mpo'!$D:$D)</f>
        <v>163683958</v>
      </c>
      <c r="V28" s="427" cm="1">
        <f t="array" ref="V28">_xlfn.XLOOKUP(1, ('0. GUIDELINES'!$E$3='[1]input-mpo'!$A:$A) * (V$7='[1]input-mpo'!$B:$B) * ($A28='[1]input-mpo'!$C:$C), '[1]input-mpo'!$D:$D)</f>
        <v>165516222</v>
      </c>
      <c r="W28" s="427" cm="1">
        <f t="array" ref="W28">_xlfn.XLOOKUP(1, ('0. GUIDELINES'!$E$3='[1]input-mpo'!$A:$A) * (W$7='[1]input-mpo'!$B:$B) * ($A28='[1]input-mpo'!$C:$C), '[1]input-mpo'!$D:$D)</f>
        <v>167420951</v>
      </c>
      <c r="X28" s="427" cm="1">
        <f t="array" ref="X28">_xlfn.XLOOKUP(1, ('0. GUIDELINES'!$E$3='[1]input-mpo'!$A:$A) * (X$7='[1]input-mpo'!$B:$B) * ($A28='[1]input-mpo'!$C:$C), '[1]input-mpo'!$D:$D)</f>
        <v>169356251</v>
      </c>
      <c r="Y28" s="427" cm="1">
        <f t="array" ref="Y28">_xlfn.XLOOKUP(1, ('0. GUIDELINES'!$E$3='[1]input-mpo'!$A:$A) * (Y$7='[1]input-mpo'!$B:$B) * ($A28='[1]input-mpo'!$C:$C), '[1]input-mpo'!$D:$D)</f>
        <v>171186373</v>
      </c>
      <c r="Z28" s="428" cm="1">
        <f t="array" ref="Z28">_xlfn.XLOOKUP(1, ('0. GUIDELINES'!$E$3='[1]input-mpo'!$A:$A) * (Z$7='[1]input-mpo'!$B:$B) * ($A28='[1]input-mpo'!$C:$C), '[1]input-mpo'!$D:$D)</f>
        <v>172954318.99999997</v>
      </c>
      <c r="AA28" s="428" cm="1">
        <f t="array" ref="AA28">_xlfn.XLOOKUP(1, ('0. GUIDELINES'!$E$3='[1]input-mpo'!$A:$A) * (AA$7='[1]input-mpo'!$B:$B) * ($A28='[1]input-mpo'!$C:$C), '[1]input-mpo'!$D:$D)</f>
        <v>174701211</v>
      </c>
      <c r="AB28" s="428" cm="1">
        <f t="array" ref="AB28">_xlfn.XLOOKUP(1, ('0. GUIDELINES'!$E$3='[1]input-mpo'!$A:$A) * (AB$7='[1]input-mpo'!$B:$B) * ($A28='[1]input-mpo'!$C:$C), '[1]input-mpo'!$D:$D)</f>
        <v>176421510.00000003</v>
      </c>
      <c r="AC28" s="428" cm="1">
        <f t="array" ref="AC28">_xlfn.XLOOKUP(1, ('0. GUIDELINES'!$E$3='[1]input-mpo'!$A:$A) * (AC$7='[1]input-mpo'!$B:$B) * ($A28='[1]input-mpo'!$C:$C), '[1]input-mpo'!$D:$D)</f>
        <v>178106136</v>
      </c>
    </row>
    <row r="29" spans="1:29" ht="14.45" customHeight="1" x14ac:dyDescent="0.25">
      <c r="A29" s="89" t="s">
        <v>460</v>
      </c>
      <c r="B29" s="293"/>
      <c r="C29" s="93"/>
      <c r="D29" s="93"/>
      <c r="E29" s="93"/>
      <c r="F29" s="93"/>
      <c r="G29" s="93"/>
      <c r="H29" s="418" t="s">
        <v>458</v>
      </c>
      <c r="I29" s="427" cm="1">
        <f t="array" ref="I29">_xlfn.XLOOKUP(1, ('0. GUIDELINES'!$E$3='[1]input-mpo'!$A:$A) * (I$7='[1]input-mpo'!$B:$B) * ($A29='[1]input-mpo'!$C:$C), '[1]input-mpo'!$D:$D)</f>
        <v>142628831</v>
      </c>
      <c r="J29" s="427" cm="1">
        <f t="array" ref="J29">_xlfn.XLOOKUP(1, ('0. GUIDELINES'!$E$3='[1]input-mpo'!$A:$A) * (J$7='[1]input-mpo'!$B:$B) * ($A29='[1]input-mpo'!$C:$C), '[1]input-mpo'!$D:$D)</f>
        <v>144135934</v>
      </c>
      <c r="K29" s="427" cm="1">
        <f t="array" ref="K29">_xlfn.XLOOKUP(1, ('0. GUIDELINES'!$E$3='[1]input-mpo'!$A:$A) * (K$7='[1]input-mpo'!$B:$B) * ($A29='[1]input-mpo'!$C:$C), '[1]input-mpo'!$D:$D)</f>
        <v>145421318</v>
      </c>
      <c r="L29" s="427" cm="1">
        <f t="array" ref="L29">_xlfn.XLOOKUP(1, ('0. GUIDELINES'!$E$3='[1]input-mpo'!$A:$A) * (L$7='[1]input-mpo'!$B:$B) * ($A29='[1]input-mpo'!$C:$C), '[1]input-mpo'!$D:$D)</f>
        <v>146706810</v>
      </c>
      <c r="M29" s="427" cm="1">
        <f t="array" ref="M29">_xlfn.XLOOKUP(1, ('0. GUIDELINES'!$E$3='[1]input-mpo'!$A:$A) * (M$7='[1]input-mpo'!$B:$B) * ($A29='[1]input-mpo'!$C:$C), '[1]input-mpo'!$D:$D)</f>
        <v>148391139</v>
      </c>
      <c r="N29" s="427" cm="1">
        <f t="array" ref="N29">_xlfn.XLOOKUP(1, ('0. GUIDELINES'!$E$3='[1]input-mpo'!$A:$A) * (N$7='[1]input-mpo'!$B:$B) * ($A29='[1]input-mpo'!$C:$C), '[1]input-mpo'!$D:$D)</f>
        <v>150211005</v>
      </c>
      <c r="O29" s="427" cm="1">
        <f t="array" ref="O29">_xlfn.XLOOKUP(1, ('0. GUIDELINES'!$E$3='[1]input-mpo'!$A:$A) * (O$7='[1]input-mpo'!$B:$B) * ($A29='[1]input-mpo'!$C:$C), '[1]input-mpo'!$D:$D)</f>
        <v>152090649</v>
      </c>
      <c r="P29" s="427" cm="1">
        <f t="array" ref="P29">_xlfn.XLOOKUP(1, ('0. GUIDELINES'!$E$3='[1]input-mpo'!$A:$A) * (P$7='[1]input-mpo'!$B:$B) * ($A29='[1]input-mpo'!$C:$C), '[1]input-mpo'!$D:$D)</f>
        <v>154030139</v>
      </c>
      <c r="Q29" s="427" cm="1">
        <f t="array" ref="Q29">_xlfn.XLOOKUP(1, ('0. GUIDELINES'!$E$3='[1]input-mpo'!$A:$A) * (Q$7='[1]input-mpo'!$B:$B) * ($A29='[1]input-mpo'!$C:$C), '[1]input-mpo'!$D:$D)</f>
        <v>155961299</v>
      </c>
      <c r="R29" s="427" cm="1">
        <f t="array" ref="R29">_xlfn.XLOOKUP(1, ('0. GUIDELINES'!$E$3='[1]input-mpo'!$A:$A) * (R$7='[1]input-mpo'!$B:$B) * ($A29='[1]input-mpo'!$C:$C), '[1]input-mpo'!$D:$D)</f>
        <v>157830000</v>
      </c>
      <c r="S29" s="427" cm="1">
        <f t="array" ref="S29">_xlfn.XLOOKUP(1, ('0. GUIDELINES'!$E$3='[1]input-mpo'!$A:$A) * (S$7='[1]input-mpo'!$B:$B) * ($A29='[1]input-mpo'!$C:$C), '[1]input-mpo'!$D:$D)</f>
        <v>159784568</v>
      </c>
      <c r="T29" s="427" cm="1">
        <f t="array" ref="T29">_xlfn.XLOOKUP(1, ('0. GUIDELINES'!$E$3='[1]input-mpo'!$A:$A) * (T$7='[1]input-mpo'!$B:$B) * ($A29='[1]input-mpo'!$C:$C), '[1]input-mpo'!$D:$D)</f>
        <v>161793964</v>
      </c>
      <c r="U29" s="427" cm="1">
        <f t="array" ref="U29">_xlfn.XLOOKUP(1, ('0. GUIDELINES'!$E$3='[1]input-mpo'!$A:$A) * (U$7='[1]input-mpo'!$B:$B) * ($A29='[1]input-mpo'!$C:$C), '[1]input-mpo'!$D:$D)</f>
        <v>163683958</v>
      </c>
      <c r="V29" s="427" cm="1">
        <f t="array" ref="V29">_xlfn.XLOOKUP(1, ('0. GUIDELINES'!$E$3='[1]input-mpo'!$A:$A) * (V$7='[1]input-mpo'!$B:$B) * ($A29='[1]input-mpo'!$C:$C), '[1]input-mpo'!$D:$D)</f>
        <v>165516222</v>
      </c>
      <c r="W29" s="427" cm="1">
        <f t="array" ref="W29">_xlfn.XLOOKUP(1, ('0. GUIDELINES'!$E$3='[1]input-mpo'!$A:$A) * (W$7='[1]input-mpo'!$B:$B) * ($A29='[1]input-mpo'!$C:$C), '[1]input-mpo'!$D:$D)</f>
        <v>167420951</v>
      </c>
      <c r="X29" s="427" cm="1">
        <f t="array" ref="X29">_xlfn.XLOOKUP(1, ('0. GUIDELINES'!$E$3='[1]input-mpo'!$A:$A) * (X$7='[1]input-mpo'!$B:$B) * ($A29='[1]input-mpo'!$C:$C), '[1]input-mpo'!$D:$D)</f>
        <v>169356251</v>
      </c>
      <c r="Y29" s="427" cm="1">
        <f t="array" ref="Y29">_xlfn.XLOOKUP(1, ('0. GUIDELINES'!$E$3='[1]input-mpo'!$A:$A) * (Y$7='[1]input-mpo'!$B:$B) * ($A29='[1]input-mpo'!$C:$C), '[1]input-mpo'!$D:$D)</f>
        <v>171186372</v>
      </c>
      <c r="Z29" s="428" cm="1">
        <f t="array" ref="Z29">_xlfn.XLOOKUP(1, ('0. GUIDELINES'!$E$3='[1]input-mpo'!$A:$A) * (Z$7='[1]input-mpo'!$B:$B) * ($A29='[1]input-mpo'!$C:$C), '[1]input-mpo'!$D:$D)</f>
        <v>172954319</v>
      </c>
      <c r="AA29" s="428" cm="1">
        <f t="array" ref="AA29">_xlfn.XLOOKUP(1, ('0. GUIDELINES'!$E$3='[1]input-mpo'!$A:$A) * (AA$7='[1]input-mpo'!$B:$B) * ($A29='[1]input-mpo'!$C:$C), '[1]input-mpo'!$D:$D)</f>
        <v>174701211</v>
      </c>
      <c r="AB29" s="428" cm="1">
        <f t="array" ref="AB29">_xlfn.XLOOKUP(1, ('0. GUIDELINES'!$E$3='[1]input-mpo'!$A:$A) * (AB$7='[1]input-mpo'!$B:$B) * ($A29='[1]input-mpo'!$C:$C), '[1]input-mpo'!$D:$D)</f>
        <v>176421509</v>
      </c>
      <c r="AC29" s="428" cm="1">
        <f t="array" ref="AC29">_xlfn.XLOOKUP(1, ('0. GUIDELINES'!$E$3='[1]input-mpo'!$A:$A) * (AC$7='[1]input-mpo'!$B:$B) * ($A29='[1]input-mpo'!$C:$C), '[1]input-mpo'!$D:$D)</f>
        <v>178106136</v>
      </c>
    </row>
    <row r="30" spans="1:29" ht="14.45" customHeight="1" x14ac:dyDescent="0.25">
      <c r="A30" s="89" t="s">
        <v>455</v>
      </c>
      <c r="B30" s="293"/>
      <c r="C30" s="93"/>
      <c r="D30" s="93"/>
      <c r="E30" s="93"/>
      <c r="F30" s="93"/>
      <c r="G30" s="93"/>
      <c r="H30" s="418" t="s">
        <v>459</v>
      </c>
      <c r="I30" s="427" cm="1">
        <f t="array" ref="I30">_xlfn.XLOOKUP(1, ('0. GUIDELINES'!$E$3='[1]input-mpo'!$A:$A) * (I$7='[1]input-mpo'!$B:$B) * ($A30='[1]input-mpo'!$C:$C), '[1]input-mpo'!$D:$D)</f>
        <v>146405973.5</v>
      </c>
      <c r="J30" s="427" cm="1">
        <f t="array" ref="J30">_xlfn.XLOOKUP(1, ('0. GUIDELINES'!$E$3='[1]input-mpo'!$A:$A) * (J$7='[1]input-mpo'!$B:$B) * ($A30='[1]input-mpo'!$C:$C), '[1]input-mpo'!$D:$D)</f>
        <v>147989278</v>
      </c>
      <c r="K30" s="427" cm="1">
        <f t="array" ref="K30">_xlfn.XLOOKUP(1, ('0. GUIDELINES'!$E$3='[1]input-mpo'!$A:$A) * (K$7='[1]input-mpo'!$B:$B) * ($A30='[1]input-mpo'!$C:$C), '[1]input-mpo'!$D:$D)</f>
        <v>149474263.5</v>
      </c>
      <c r="L30" s="427" cm="1">
        <f t="array" ref="L30">_xlfn.XLOOKUP(1, ('0. GUIDELINES'!$E$3='[1]input-mpo'!$A:$A) * (L$7='[1]input-mpo'!$B:$B) * ($A30='[1]input-mpo'!$C:$C), '[1]input-mpo'!$D:$D)</f>
        <v>150873714</v>
      </c>
      <c r="M30" s="427" cm="1">
        <f t="array" ref="M30">_xlfn.XLOOKUP(1, ('0. GUIDELINES'!$E$3='[1]input-mpo'!$A:$A) * (M$7='[1]input-mpo'!$B:$B) * ($A30='[1]input-mpo'!$C:$C), '[1]input-mpo'!$D:$D)</f>
        <v>152201981.5</v>
      </c>
      <c r="N30" s="427" cm="1">
        <f t="array" ref="N30">_xlfn.XLOOKUP(1, ('0. GUIDELINES'!$E$3='[1]input-mpo'!$A:$A) * (N$7='[1]input-mpo'!$B:$B) * ($A30='[1]input-mpo'!$C:$C), '[1]input-mpo'!$D:$D)</f>
        <v>153591075.5</v>
      </c>
      <c r="O30" s="427" cm="1">
        <f t="array" ref="O30">_xlfn.XLOOKUP(1, ('0. GUIDELINES'!$E$3='[1]input-mpo'!$A:$A) * (O$7='[1]input-mpo'!$B:$B) * ($A30='[1]input-mpo'!$C:$C), '[1]input-mpo'!$D:$D)</f>
        <v>155070101.5</v>
      </c>
      <c r="P30" s="427" cm="1">
        <f t="array" ref="P30">_xlfn.XLOOKUP(1, ('0. GUIDELINES'!$E$3='[1]input-mpo'!$A:$A) * (P$7='[1]input-mpo'!$B:$B) * ($A30='[1]input-mpo'!$C:$C), '[1]input-mpo'!$D:$D)</f>
        <v>156532140.5</v>
      </c>
      <c r="Q30" s="427" cm="1">
        <f t="array" ref="Q30">_xlfn.XLOOKUP(1, ('0. GUIDELINES'!$E$3='[1]input-mpo'!$A:$A) * (Q$7='[1]input-mpo'!$B:$B) * ($A30='[1]input-mpo'!$C:$C), '[1]input-mpo'!$D:$D)</f>
        <v>157964928.5</v>
      </c>
      <c r="R30" s="427" cm="1">
        <f t="array" ref="R30">_xlfn.XLOOKUP(1, ('0. GUIDELINES'!$E$3='[1]input-mpo'!$A:$A) * (R$7='[1]input-mpo'!$B:$B) * ($A30='[1]input-mpo'!$C:$C), '[1]input-mpo'!$D:$D)</f>
        <v>159383179</v>
      </c>
      <c r="S30" s="427" cm="1">
        <f t="array" ref="S30">_xlfn.XLOOKUP(1, ('0. GUIDELINES'!$E$3='[1]input-mpo'!$A:$A) * (S$7='[1]input-mpo'!$B:$B) * ($A30='[1]input-mpo'!$C:$C), '[1]input-mpo'!$D:$D)</f>
        <v>160811932.5</v>
      </c>
      <c r="T30" s="427" cm="1">
        <f t="array" ref="T30">_xlfn.XLOOKUP(1, ('0. GUIDELINES'!$E$3='[1]input-mpo'!$A:$A) * (T$7='[1]input-mpo'!$B:$B) * ($A30='[1]input-mpo'!$C:$C), '[1]input-mpo'!$D:$D)</f>
        <v>162186146.5</v>
      </c>
      <c r="U30" s="427" cm="1">
        <f t="array" ref="U30">_xlfn.XLOOKUP(1, ('0. GUIDELINES'!$E$3='[1]input-mpo'!$A:$A) * (U$7='[1]input-mpo'!$B:$B) * ($A30='[1]input-mpo'!$C:$C), '[1]input-mpo'!$D:$D)</f>
        <v>163523103.5</v>
      </c>
      <c r="V30" s="427" cm="1">
        <f t="array" ref="V30">_xlfn.XLOOKUP(1, ('0. GUIDELINES'!$E$3='[1]input-mpo'!$A:$A) * (V$7='[1]input-mpo'!$B:$B) * ($A30='[1]input-mpo'!$C:$C), '[1]input-mpo'!$D:$D)</f>
        <v>164913055</v>
      </c>
      <c r="W30" s="427" cm="1">
        <f t="array" ref="W30">_xlfn.XLOOKUP(1, ('0. GUIDELINES'!$E$3='[1]input-mpo'!$A:$A) * (W$7='[1]input-mpo'!$B:$B) * ($A30='[1]input-mpo'!$C:$C), '[1]input-mpo'!$D:$D)</f>
        <v>166298024</v>
      </c>
      <c r="X30" s="427" cm="1">
        <f t="array" ref="X30">_xlfn.XLOOKUP(1, ('0. GUIDELINES'!$E$3='[1]input-mpo'!$A:$A) * (X$7='[1]input-mpo'!$B:$B) * ($A30='[1]input-mpo'!$C:$C), '[1]input-mpo'!$D:$D)</f>
        <v>167658854.5</v>
      </c>
      <c r="Y30" s="427" cm="1">
        <f t="array" ref="Y30">_xlfn.XLOOKUP(1, ('0. GUIDELINES'!$E$3='[1]input-mpo'!$A:$A) * (Y$7='[1]input-mpo'!$B:$B) * ($A30='[1]input-mpo'!$C:$C), '[1]input-mpo'!$D:$D)</f>
        <v>169384897.5</v>
      </c>
      <c r="Z30" s="428" cm="1">
        <f t="array" ref="Z30">_xlfn.XLOOKUP(1, ('0. GUIDELINES'!$E$3='[1]input-mpo'!$A:$A) * (Z$7='[1]input-mpo'!$B:$B) * ($A30='[1]input-mpo'!$C:$C), '[1]input-mpo'!$D:$D)</f>
        <v>171466990</v>
      </c>
      <c r="AA30" s="428" cm="1">
        <f t="array" ref="AA30">_xlfn.XLOOKUP(1, ('0. GUIDELINES'!$E$3='[1]input-mpo'!$A:$A) * (AA$7='[1]input-mpo'!$B:$B) * ($A30='[1]input-mpo'!$C:$C), '[1]input-mpo'!$D:$D)</f>
        <v>173562364</v>
      </c>
      <c r="AB30" s="428" cm="1">
        <f t="array" ref="AB30">_xlfn.XLOOKUP(1, ('0. GUIDELINES'!$E$3='[1]input-mpo'!$A:$A) * (AB$7='[1]input-mpo'!$B:$B) * ($A30='[1]input-mpo'!$C:$C), '[1]input-mpo'!$D:$D)</f>
        <v>175686899.5</v>
      </c>
      <c r="AC30" s="428" cm="1">
        <f t="array" ref="AC30">_xlfn.XLOOKUP(1, ('0. GUIDELINES'!$E$3='[1]input-mpo'!$A:$A) * (AC$7='[1]input-mpo'!$B:$B) * ($A30='[1]input-mpo'!$C:$C), '[1]input-mpo'!$D:$D)</f>
        <v>177818044.5</v>
      </c>
    </row>
    <row r="31" spans="1:29" ht="14.45" customHeight="1" x14ac:dyDescent="0.25">
      <c r="A31" s="89"/>
      <c r="B31" s="293"/>
      <c r="C31" s="93"/>
      <c r="D31" s="93"/>
      <c r="E31" s="93"/>
      <c r="F31" s="93"/>
      <c r="G31" s="93"/>
      <c r="H31" s="418"/>
      <c r="I31" s="427"/>
      <c r="J31" s="427"/>
      <c r="K31" s="427"/>
      <c r="L31" s="427"/>
      <c r="M31" s="427"/>
      <c r="N31" s="427"/>
      <c r="O31" s="427"/>
      <c r="P31" s="427"/>
      <c r="Q31" s="427"/>
      <c r="R31" s="427"/>
      <c r="S31" s="427"/>
      <c r="T31" s="427"/>
      <c r="U31" s="427"/>
      <c r="V31" s="427"/>
      <c r="W31" s="427"/>
      <c r="X31" s="427"/>
      <c r="Y31" s="427"/>
      <c r="Z31" s="428"/>
      <c r="AA31" s="428"/>
      <c r="AB31" s="428"/>
      <c r="AC31" s="428"/>
    </row>
    <row r="32" spans="1:29" ht="14.45" customHeight="1" x14ac:dyDescent="0.25">
      <c r="A32" s="89" t="s">
        <v>616</v>
      </c>
      <c r="B32" s="293"/>
      <c r="C32" s="93"/>
      <c r="D32" s="93"/>
      <c r="E32" s="93"/>
      <c r="F32" s="93"/>
      <c r="G32" s="93"/>
      <c r="H32" s="418" t="s">
        <v>617</v>
      </c>
      <c r="I32" s="427" t="e" cm="1">
        <f t="array" ref="I32">_xlfn.XLOOKUP(1, ('0. GUIDELINES'!$E$3='[1]input-mpo'!$A:$A) * (I$7='[1]input-mpo'!$B:$B) * ($A32='[1]input-mpo'!$C:$C), '[1]input-mpo'!$D:$D)</f>
        <v>#N/A</v>
      </c>
      <c r="J32" s="427" cm="1">
        <f t="array" ref="J32">_xlfn.XLOOKUP(1, ('0. GUIDELINES'!$E$3='[1]input-mpo'!$A:$A) * (J$7='[1]input-mpo'!$B:$B) * ($A32='[1]input-mpo'!$C:$C), '[1]input-mpo'!$D:$D)</f>
        <v>94343178.288407549</v>
      </c>
      <c r="K32" s="427" cm="1">
        <f t="array" ref="K32">_xlfn.XLOOKUP(1, ('0. GUIDELINES'!$E$3='[1]input-mpo'!$A:$A) * (K$7='[1]input-mpo'!$B:$B) * ($A32='[1]input-mpo'!$C:$C), '[1]input-mpo'!$D:$D)</f>
        <v>95622876.018873364</v>
      </c>
      <c r="L32" s="427" cm="1">
        <f t="array" ref="L32">_xlfn.XLOOKUP(1, ('0. GUIDELINES'!$E$3='[1]input-mpo'!$A:$A) * (L$7='[1]input-mpo'!$B:$B) * ($A32='[1]input-mpo'!$C:$C), '[1]input-mpo'!$D:$D)</f>
        <v>97003697.043001145</v>
      </c>
      <c r="M32" s="427" cm="1">
        <f t="array" ref="M32">_xlfn.XLOOKUP(1, ('0. GUIDELINES'!$E$3='[1]input-mpo'!$A:$A) * (M$7='[1]input-mpo'!$B:$B) * ($A32='[1]input-mpo'!$C:$C), '[1]input-mpo'!$D:$D)</f>
        <v>98855177.196882188</v>
      </c>
      <c r="N32" s="427" cm="1">
        <f t="array" ref="N32">_xlfn.XLOOKUP(1, ('0. GUIDELINES'!$E$3='[1]input-mpo'!$A:$A) * (N$7='[1]input-mpo'!$B:$B) * ($A32='[1]input-mpo'!$C:$C), '[1]input-mpo'!$D:$D)</f>
        <v>100910465.6569732</v>
      </c>
      <c r="O32" s="427" cm="1">
        <f t="array" ref="O32">_xlfn.XLOOKUP(1, ('0. GUIDELINES'!$E$3='[1]input-mpo'!$A:$A) * (O$7='[1]input-mpo'!$B:$B) * ($A32='[1]input-mpo'!$C:$C), '[1]input-mpo'!$D:$D)</f>
        <v>103124575.34998825</v>
      </c>
      <c r="P32" s="427" cm="1">
        <f t="array" ref="P32">_xlfn.XLOOKUP(1, ('0. GUIDELINES'!$E$3='[1]input-mpo'!$A:$A) * (P$7='[1]input-mpo'!$B:$B) * ($A32='[1]input-mpo'!$C:$C), '[1]input-mpo'!$D:$D)</f>
        <v>105461266.0201799</v>
      </c>
      <c r="Q32" s="427" cm="1">
        <f t="array" ref="Q32">_xlfn.XLOOKUP(1, ('0. GUIDELINES'!$E$3='[1]input-mpo'!$A:$A) * (Q$7='[1]input-mpo'!$B:$B) * ($A32='[1]input-mpo'!$C:$C), '[1]input-mpo'!$D:$D)</f>
        <v>107817822.25672464</v>
      </c>
      <c r="R32" s="427" cm="1">
        <f t="array" ref="R32">_xlfn.XLOOKUP(1, ('0. GUIDELINES'!$E$3='[1]input-mpo'!$A:$A) * (R$7='[1]input-mpo'!$B:$B) * ($A32='[1]input-mpo'!$C:$C), '[1]input-mpo'!$D:$D)</f>
        <v>110163382.27805345</v>
      </c>
      <c r="S32" s="427" cm="1">
        <f t="array" ref="S32">_xlfn.XLOOKUP(1, ('0. GUIDELINES'!$E$3='[1]input-mpo'!$A:$A) * (S$7='[1]input-mpo'!$B:$B) * ($A32='[1]input-mpo'!$C:$C), '[1]input-mpo'!$D:$D)</f>
        <v>112615929.1772231</v>
      </c>
      <c r="T32" s="427" cm="1">
        <f t="array" ref="T32">_xlfn.XLOOKUP(1, ('0. GUIDELINES'!$E$3='[1]input-mpo'!$A:$A) * (T$7='[1]input-mpo'!$B:$B) * ($A32='[1]input-mpo'!$C:$C), '[1]input-mpo'!$D:$D)</f>
        <v>115146128.55984223</v>
      </c>
      <c r="U32" s="427" cm="1">
        <f t="array" ref="U32">_xlfn.XLOOKUP(1, ('0. GUIDELINES'!$E$3='[1]input-mpo'!$A:$A) * (U$7='[1]input-mpo'!$B:$B) * ($A32='[1]input-mpo'!$C:$C), '[1]input-mpo'!$D:$D)</f>
        <v>117572757.40852427</v>
      </c>
      <c r="V32" s="427" cm="1">
        <f t="array" ref="V32">_xlfn.XLOOKUP(1, ('0. GUIDELINES'!$E$3='[1]input-mpo'!$A:$A) * (V$7='[1]input-mpo'!$B:$B) * ($A32='[1]input-mpo'!$C:$C), '[1]input-mpo'!$D:$D)</f>
        <v>119905206.6183445</v>
      </c>
      <c r="W32" s="427" cm="1">
        <f t="array" ref="W32">_xlfn.XLOOKUP(1, ('0. GUIDELINES'!$E$3='[1]input-mpo'!$A:$A) * (W$7='[1]input-mpo'!$B:$B) * ($A32='[1]input-mpo'!$C:$C), '[1]input-mpo'!$D:$D)</f>
        <v>122247126.04491366</v>
      </c>
      <c r="X32" s="427" cm="1">
        <f t="array" ref="X32">_xlfn.XLOOKUP(1, ('0. GUIDELINES'!$E$3='[1]input-mpo'!$A:$A) * (X$7='[1]input-mpo'!$B:$B) * ($A32='[1]input-mpo'!$C:$C), '[1]input-mpo'!$D:$D)</f>
        <v>124556466.02005304</v>
      </c>
      <c r="Y32" s="427" cm="1">
        <f t="array" ref="Y32">_xlfn.XLOOKUP(1, ('0. GUIDELINES'!$E$3='[1]input-mpo'!$A:$A) * (Y$7='[1]input-mpo'!$B:$B) * ($A32='[1]input-mpo'!$C:$C), '[1]input-mpo'!$D:$D)</f>
        <v>126730710.14835614</v>
      </c>
      <c r="Z32" s="428" cm="1">
        <f t="array" ref="Z32">_xlfn.XLOOKUP(1, ('0. GUIDELINES'!$E$3='[1]input-mpo'!$A:$A) * (Z$7='[1]input-mpo'!$B:$B) * ($A32='[1]input-mpo'!$C:$C), '[1]input-mpo'!$D:$D)</f>
        <v>128801640.15932027</v>
      </c>
      <c r="AA32" s="428" cm="1">
        <f t="array" ref="AA32">_xlfn.XLOOKUP(1, ('0. GUIDELINES'!$E$3='[1]input-mpo'!$A:$A) * (AA$7='[1]input-mpo'!$B:$B) * ($A32='[1]input-mpo'!$C:$C), '[1]input-mpo'!$D:$D)</f>
        <v>130782304.97925054</v>
      </c>
      <c r="AB32" s="428" cm="1">
        <f t="array" ref="AB32">_xlfn.XLOOKUP(1, ('0. GUIDELINES'!$E$3='[1]input-mpo'!$A:$A) * (AB$7='[1]input-mpo'!$B:$B) * ($A32='[1]input-mpo'!$C:$C), '[1]input-mpo'!$D:$D)</f>
        <v>132666244.84137824</v>
      </c>
      <c r="AC32" s="428" cm="1">
        <f t="array" ref="AC32">_xlfn.XLOOKUP(1, ('0. GUIDELINES'!$E$3='[1]input-mpo'!$A:$A) * (AC$7='[1]input-mpo'!$B:$B) * ($A32='[1]input-mpo'!$C:$C), '[1]input-mpo'!$D:$D)</f>
        <v>134457507.12292933</v>
      </c>
    </row>
    <row r="33" spans="1:37" ht="14.45" customHeight="1" x14ac:dyDescent="0.25">
      <c r="A33" s="89" t="s">
        <v>614</v>
      </c>
      <c r="B33" s="293"/>
      <c r="C33" s="93"/>
      <c r="D33" s="93"/>
      <c r="E33" s="93"/>
      <c r="F33" s="93"/>
      <c r="G33" s="93"/>
      <c r="H33" s="418" t="s">
        <v>615</v>
      </c>
      <c r="I33" s="427" cm="1">
        <f t="array" ref="I33">_xlfn.XLOOKUP(1, ('0. GUIDELINES'!$E$3='[1]input-mpo'!$A:$A) * (I$7='[1]input-mpo'!$B:$B) * ($A33='[1]input-mpo'!$C:$C), '[1]input-mpo'!$D:$D)</f>
        <v>94553611</v>
      </c>
      <c r="J33" s="427" cm="1">
        <f t="array" ref="J33">_xlfn.XLOOKUP(1, ('0. GUIDELINES'!$E$3='[1]input-mpo'!$A:$A) * (J$7='[1]input-mpo'!$B:$B) * ($A33='[1]input-mpo'!$C:$C), '[1]input-mpo'!$D:$D)</f>
        <v>96038569</v>
      </c>
      <c r="K33" s="427" cm="1">
        <f t="array" ref="K33">_xlfn.XLOOKUP(1, ('0. GUIDELINES'!$E$3='[1]input-mpo'!$A:$A) * (K$7='[1]input-mpo'!$B:$B) * ($A33='[1]input-mpo'!$C:$C), '[1]input-mpo'!$D:$D)</f>
        <v>97467268.5</v>
      </c>
      <c r="L33" s="427" cm="1">
        <f t="array" ref="L33">_xlfn.XLOOKUP(1, ('0. GUIDELINES'!$E$3='[1]input-mpo'!$A:$A) * (L$7='[1]input-mpo'!$B:$B) * ($A33='[1]input-mpo'!$C:$C), '[1]input-mpo'!$D:$D)</f>
        <v>98900605.5</v>
      </c>
      <c r="M33" s="427" cm="1">
        <f t="array" ref="M33">_xlfn.XLOOKUP(1, ('0. GUIDELINES'!$E$3='[1]input-mpo'!$A:$A) * (M$7='[1]input-mpo'!$B:$B) * ($A33='[1]input-mpo'!$C:$C), '[1]input-mpo'!$D:$D)</f>
        <v>100376575.5</v>
      </c>
      <c r="N33" s="427" cm="1">
        <f t="array" ref="N33">_xlfn.XLOOKUP(1, ('0. GUIDELINES'!$E$3='[1]input-mpo'!$A:$A) * (N$7='[1]input-mpo'!$B:$B) * ($A33='[1]input-mpo'!$C:$C), '[1]input-mpo'!$D:$D)</f>
        <v>102011826</v>
      </c>
      <c r="O33" s="427" cm="1">
        <f t="array" ref="O33">_xlfn.XLOOKUP(1, ('0. GUIDELINES'!$E$3='[1]input-mpo'!$A:$A) * (O$7='[1]input-mpo'!$B:$B) * ($A33='[1]input-mpo'!$C:$C), '[1]input-mpo'!$D:$D)</f>
        <v>103855872</v>
      </c>
      <c r="P33" s="427" cm="1">
        <f t="array" ref="P33">_xlfn.XLOOKUP(1, ('0. GUIDELINES'!$E$3='[1]input-mpo'!$A:$A) * (P$7='[1]input-mpo'!$B:$B) * ($A33='[1]input-mpo'!$C:$C), '[1]input-mpo'!$D:$D)</f>
        <v>105778629</v>
      </c>
      <c r="Q33" s="427" cm="1">
        <f t="array" ref="Q33">_xlfn.XLOOKUP(1, ('0. GUIDELINES'!$E$3='[1]input-mpo'!$A:$A) * (Q$7='[1]input-mpo'!$B:$B) * ($A33='[1]input-mpo'!$C:$C), '[1]input-mpo'!$D:$D)</f>
        <v>107722118</v>
      </c>
      <c r="R33" s="427" cm="1">
        <f t="array" ref="R33">_xlfn.XLOOKUP(1, ('0. GUIDELINES'!$E$3='[1]input-mpo'!$A:$A) * (R$7='[1]input-mpo'!$B:$B) * ($A33='[1]input-mpo'!$C:$C), '[1]input-mpo'!$D:$D)</f>
        <v>109683773</v>
      </c>
      <c r="S33" s="427" cm="1">
        <f t="array" ref="S33">_xlfn.XLOOKUP(1, ('0. GUIDELINES'!$E$3='[1]input-mpo'!$A:$A) * (S$7='[1]input-mpo'!$B:$B) * ($A33='[1]input-mpo'!$C:$C), '[1]input-mpo'!$D:$D)</f>
        <v>111658077</v>
      </c>
      <c r="T33" s="427" cm="1">
        <f t="array" ref="T33">_xlfn.XLOOKUP(1, ('0. GUIDELINES'!$E$3='[1]input-mpo'!$A:$A) * (T$7='[1]input-mpo'!$B:$B) * ($A33='[1]input-mpo'!$C:$C), '[1]input-mpo'!$D:$D)</f>
        <v>113406537</v>
      </c>
      <c r="U33" s="427" cm="1">
        <f t="array" ref="U33">_xlfn.XLOOKUP(1, ('0. GUIDELINES'!$E$3='[1]input-mpo'!$A:$A) * (U$7='[1]input-mpo'!$B:$B) * ($A33='[1]input-mpo'!$C:$C), '[1]input-mpo'!$D:$D)</f>
        <v>114883911.5</v>
      </c>
      <c r="V33" s="427" cm="1">
        <f t="array" ref="V33">_xlfn.XLOOKUP(1, ('0. GUIDELINES'!$E$3='[1]input-mpo'!$A:$A) * (V$7='[1]input-mpo'!$B:$B) * ($A33='[1]input-mpo'!$C:$C), '[1]input-mpo'!$D:$D)</f>
        <v>116303016</v>
      </c>
      <c r="W33" s="427" cm="1">
        <f t="array" ref="W33">_xlfn.XLOOKUP(1, ('0. GUIDELINES'!$E$3='[1]input-mpo'!$A:$A) * (W$7='[1]input-mpo'!$B:$B) * ($A33='[1]input-mpo'!$C:$C), '[1]input-mpo'!$D:$D)</f>
        <v>117641792</v>
      </c>
      <c r="X33" s="427" cm="1">
        <f t="array" ref="X33">_xlfn.XLOOKUP(1, ('0. GUIDELINES'!$E$3='[1]input-mpo'!$A:$A) * (X$7='[1]input-mpo'!$B:$B) * ($A33='[1]input-mpo'!$C:$C), '[1]input-mpo'!$D:$D)</f>
        <v>118912879.5</v>
      </c>
      <c r="Y33" s="427" cm="1">
        <f t="array" ref="Y33">_xlfn.XLOOKUP(1, ('0. GUIDELINES'!$E$3='[1]input-mpo'!$A:$A) * (Y$7='[1]input-mpo'!$B:$B) * ($A33='[1]input-mpo'!$C:$C), '[1]input-mpo'!$D:$D)</f>
        <v>120652710</v>
      </c>
      <c r="Z33" s="428" cm="1">
        <f t="array" ref="Z33">_xlfn.XLOOKUP(1, ('0. GUIDELINES'!$E$3='[1]input-mpo'!$A:$A) * (Z$7='[1]input-mpo'!$B:$B) * ($A33='[1]input-mpo'!$C:$C), '[1]input-mpo'!$D:$D)</f>
        <v>122837439</v>
      </c>
      <c r="AA33" s="428" cm="1">
        <f t="array" ref="AA33">_xlfn.XLOOKUP(1, ('0. GUIDELINES'!$E$3='[1]input-mpo'!$A:$A) * (AA$7='[1]input-mpo'!$B:$B) * ($A33='[1]input-mpo'!$C:$C), '[1]input-mpo'!$D:$D)</f>
        <v>124984114.5</v>
      </c>
      <c r="AB33" s="428" cm="1">
        <f t="array" ref="AB33">_xlfn.XLOOKUP(1, ('0. GUIDELINES'!$E$3='[1]input-mpo'!$A:$A) * (AB$7='[1]input-mpo'!$B:$B) * ($A33='[1]input-mpo'!$C:$C), '[1]input-mpo'!$D:$D)</f>
        <v>127116950.5</v>
      </c>
      <c r="AC33" s="428" cm="1">
        <f t="array" ref="AC33">_xlfn.XLOOKUP(1, ('0. GUIDELINES'!$E$3='[1]input-mpo'!$A:$A) * (AC$7='[1]input-mpo'!$B:$B) * ($A33='[1]input-mpo'!$C:$C), '[1]input-mpo'!$D:$D)</f>
        <v>129224384</v>
      </c>
    </row>
    <row r="34" spans="1:37" ht="15" x14ac:dyDescent="0.25">
      <c r="A34" s="89"/>
      <c r="B34" s="293"/>
      <c r="C34" s="531" t="s">
        <v>124</v>
      </c>
      <c r="D34" s="531"/>
      <c r="E34" s="531"/>
      <c r="F34" s="531"/>
      <c r="G34" s="93"/>
      <c r="H34" s="409"/>
      <c r="I34" s="304"/>
      <c r="J34" s="304"/>
      <c r="K34" s="304"/>
      <c r="L34" s="304"/>
      <c r="M34" s="304"/>
      <c r="N34" s="304"/>
      <c r="O34" s="304"/>
      <c r="P34" s="304"/>
      <c r="Q34" s="304"/>
      <c r="R34" s="304"/>
      <c r="S34" s="304"/>
      <c r="T34" s="304"/>
      <c r="U34" s="304"/>
      <c r="V34" s="304"/>
      <c r="W34" s="304"/>
      <c r="X34" s="304"/>
      <c r="Y34" s="304"/>
      <c r="Z34" s="143"/>
      <c r="AA34" s="143"/>
      <c r="AB34" s="143"/>
      <c r="AC34" s="143"/>
    </row>
    <row r="35" spans="1:37" ht="14.25" x14ac:dyDescent="0.2">
      <c r="A35" s="31"/>
      <c r="B35" s="93"/>
      <c r="C35" s="531"/>
      <c r="D35" s="531"/>
      <c r="E35" s="531"/>
      <c r="F35" s="531"/>
      <c r="G35" s="93"/>
      <c r="H35" s="295"/>
      <c r="I35" s="295"/>
      <c r="J35" s="295"/>
      <c r="K35" s="295"/>
      <c r="L35" s="295"/>
      <c r="M35" s="295"/>
      <c r="N35" s="295"/>
      <c r="O35" s="295"/>
      <c r="P35" s="295"/>
      <c r="Q35" s="295"/>
      <c r="R35" s="295"/>
      <c r="S35" s="295"/>
      <c r="T35" s="296"/>
      <c r="U35" s="296"/>
      <c r="V35" s="296"/>
      <c r="W35" s="296"/>
      <c r="X35" s="296"/>
      <c r="Y35" s="296"/>
      <c r="Z35" s="296"/>
      <c r="AA35" s="296"/>
      <c r="AB35" s="296"/>
      <c r="AC35" s="297"/>
      <c r="AD35" s="122"/>
      <c r="AE35" s="98"/>
      <c r="AF35" s="98"/>
      <c r="AG35" s="98"/>
      <c r="AH35" s="98"/>
      <c r="AI35" s="98"/>
      <c r="AK35" s="31"/>
    </row>
    <row r="36" spans="1:37" ht="15" x14ac:dyDescent="0.25">
      <c r="A36" s="31"/>
      <c r="B36" s="93"/>
      <c r="C36" s="532" t="s">
        <v>125</v>
      </c>
      <c r="D36" s="532"/>
      <c r="E36" s="532"/>
      <c r="F36" s="532"/>
      <c r="G36" s="93"/>
      <c r="H36" s="535" t="s">
        <v>453</v>
      </c>
      <c r="I36" s="535"/>
      <c r="J36" s="535"/>
      <c r="K36" s="535"/>
      <c r="L36" s="535"/>
      <c r="M36" s="535"/>
      <c r="N36" s="535"/>
      <c r="O36" s="535"/>
      <c r="P36" s="535"/>
      <c r="Q36" s="535"/>
      <c r="R36" s="535"/>
      <c r="S36" s="535"/>
      <c r="T36" s="535"/>
      <c r="U36" s="535"/>
      <c r="V36" s="535"/>
      <c r="W36" s="535"/>
      <c r="X36" s="535"/>
      <c r="Y36" s="535"/>
      <c r="Z36" s="535"/>
      <c r="AA36" s="535"/>
      <c r="AB36" s="535"/>
      <c r="AC36" s="535"/>
      <c r="AD36" s="95"/>
      <c r="AE36" s="95"/>
      <c r="AF36" s="95"/>
      <c r="AG36" s="95"/>
      <c r="AH36" s="95"/>
      <c r="AI36" s="95"/>
      <c r="AK36" s="31"/>
    </row>
    <row r="37" spans="1:37" ht="15" x14ac:dyDescent="0.25">
      <c r="A37" s="89"/>
      <c r="B37" s="93"/>
      <c r="C37" s="115"/>
      <c r="D37" s="115"/>
      <c r="E37" s="115"/>
      <c r="F37" s="115"/>
      <c r="G37" s="93"/>
      <c r="H37" s="294"/>
      <c r="I37" s="294"/>
      <c r="J37" s="294"/>
      <c r="K37" s="294"/>
      <c r="L37" s="294"/>
      <c r="M37" s="294"/>
      <c r="N37" s="294"/>
      <c r="O37" s="294"/>
      <c r="P37" s="294"/>
      <c r="Q37" s="294"/>
      <c r="R37" s="294"/>
      <c r="S37" s="294"/>
      <c r="T37" s="294"/>
      <c r="U37" s="294"/>
      <c r="V37" s="294"/>
      <c r="W37" s="294"/>
      <c r="X37" s="294"/>
      <c r="Y37" s="294"/>
      <c r="Z37" s="294"/>
      <c r="AA37" s="294"/>
      <c r="AB37" s="294"/>
      <c r="AC37" s="294"/>
      <c r="AK37" s="31"/>
    </row>
    <row r="38" spans="1:37" ht="15.75" customHeight="1" x14ac:dyDescent="0.25">
      <c r="A38" s="89"/>
      <c r="B38" s="93"/>
      <c r="C38" s="115"/>
      <c r="D38" s="115"/>
      <c r="E38" s="115"/>
      <c r="F38" s="115"/>
      <c r="G38" s="93"/>
      <c r="H38" s="139"/>
      <c r="I38" s="140"/>
      <c r="J38" s="140"/>
      <c r="K38" s="140"/>
      <c r="L38" s="140"/>
      <c r="M38" s="140"/>
      <c r="N38" s="140"/>
      <c r="O38" s="140"/>
      <c r="P38" s="140"/>
      <c r="Q38" s="140"/>
      <c r="R38" s="140"/>
      <c r="S38" s="140"/>
      <c r="T38" s="140"/>
      <c r="U38" s="536" t="s">
        <v>121</v>
      </c>
      <c r="V38" s="536"/>
      <c r="W38" s="536"/>
      <c r="X38" s="536"/>
      <c r="Y38" s="536"/>
      <c r="Z38" s="405"/>
      <c r="AA38" s="537" t="s">
        <v>7</v>
      </c>
      <c r="AB38" s="537"/>
      <c r="AC38" s="537"/>
      <c r="AD38" s="99"/>
      <c r="AE38" s="99"/>
      <c r="AF38" s="104"/>
      <c r="AG38" s="104"/>
      <c r="AH38" s="104"/>
      <c r="AI38" s="104"/>
      <c r="AK38" s="31"/>
    </row>
    <row r="39" spans="1:37" ht="15" x14ac:dyDescent="0.25">
      <c r="A39" s="89"/>
      <c r="B39" s="93"/>
      <c r="C39" s="115"/>
      <c r="D39" s="115"/>
      <c r="E39" s="115"/>
      <c r="F39" s="115"/>
      <c r="G39" s="93"/>
      <c r="H39" s="137"/>
      <c r="I39" s="137">
        <v>2006</v>
      </c>
      <c r="J39" s="137">
        <v>2007</v>
      </c>
      <c r="K39" s="137">
        <v>2008</v>
      </c>
      <c r="L39" s="137">
        <v>2009</v>
      </c>
      <c r="M39" s="137">
        <v>2010</v>
      </c>
      <c r="N39" s="137">
        <v>2011</v>
      </c>
      <c r="O39" s="137">
        <v>2012</v>
      </c>
      <c r="P39" s="137">
        <v>2013</v>
      </c>
      <c r="Q39" s="137">
        <v>2014</v>
      </c>
      <c r="R39" s="137">
        <v>2015</v>
      </c>
      <c r="S39" s="137">
        <v>2016</v>
      </c>
      <c r="T39" s="137">
        <v>2017</v>
      </c>
      <c r="U39" s="137">
        <v>2018</v>
      </c>
      <c r="V39" s="138">
        <v>2019</v>
      </c>
      <c r="W39" s="138">
        <v>2020</v>
      </c>
      <c r="X39" s="138">
        <v>2021</v>
      </c>
      <c r="Y39" s="138">
        <v>2022</v>
      </c>
      <c r="Z39" s="138">
        <v>2023</v>
      </c>
      <c r="AA39" s="138">
        <v>2024</v>
      </c>
      <c r="AB39" s="138">
        <v>2025</v>
      </c>
      <c r="AC39" s="138">
        <v>2026</v>
      </c>
    </row>
    <row r="40" spans="1:37" ht="15" x14ac:dyDescent="0.25">
      <c r="A40" s="89"/>
      <c r="B40" s="293"/>
      <c r="C40" s="115"/>
      <c r="D40" s="115"/>
      <c r="E40" s="115"/>
      <c r="F40" s="115"/>
      <c r="G40" s="93"/>
      <c r="H40" s="415" t="s">
        <v>123</v>
      </c>
      <c r="I40" s="422"/>
      <c r="J40" s="422"/>
      <c r="K40" s="422">
        <f t="shared" ref="K40:AC40" si="19">+(K8/J8-1)*100</f>
        <v>6.013791661848189</v>
      </c>
      <c r="L40" s="422">
        <f t="shared" si="19"/>
        <v>5.0451211281109964</v>
      </c>
      <c r="M40" s="422">
        <f t="shared" si="19"/>
        <v>5.5718020558965575</v>
      </c>
      <c r="N40" s="422">
        <f t="shared" si="19"/>
        <v>6.464383702439247</v>
      </c>
      <c r="O40" s="422">
        <f t="shared" si="19"/>
        <v>6.5214370673565503</v>
      </c>
      <c r="P40" s="422">
        <f t="shared" si="19"/>
        <v>6.0136003720140385</v>
      </c>
      <c r="Q40" s="422">
        <f t="shared" si="19"/>
        <v>6.0610860042506376</v>
      </c>
      <c r="R40" s="422">
        <f t="shared" si="19"/>
        <v>6.5526448353302902</v>
      </c>
      <c r="S40" s="422">
        <f t="shared" si="19"/>
        <v>7.1134728556473181</v>
      </c>
      <c r="T40" s="422">
        <f t="shared" si="19"/>
        <v>6.5902394107701268</v>
      </c>
      <c r="U40" s="422">
        <f t="shared" si="19"/>
        <v>7.3194122993388344</v>
      </c>
      <c r="V40" s="422">
        <f t="shared" si="19"/>
        <v>7.8819021854025229</v>
      </c>
      <c r="W40" s="422">
        <f t="shared" si="19"/>
        <v>3.4480295312287579</v>
      </c>
      <c r="X40" s="422">
        <f t="shared" si="19"/>
        <v>6.938675089101598</v>
      </c>
      <c r="Y40" s="422">
        <f t="shared" si="19"/>
        <v>7.099828775751571</v>
      </c>
      <c r="Z40" s="423">
        <f t="shared" si="19"/>
        <v>5.7751090753483725</v>
      </c>
      <c r="AA40" s="423">
        <f>+(AA8/Z8-1)*100</f>
        <v>5.2177536312238093</v>
      </c>
      <c r="AB40" s="423">
        <f t="shared" si="19"/>
        <v>3.9513981480802318</v>
      </c>
      <c r="AC40" s="423">
        <f t="shared" si="19"/>
        <v>5.4696937322054273</v>
      </c>
    </row>
    <row r="41" spans="1:37" ht="15" x14ac:dyDescent="0.25">
      <c r="A41" s="89"/>
      <c r="B41" s="293"/>
      <c r="C41" s="115"/>
      <c r="D41" s="115"/>
      <c r="E41" s="115"/>
      <c r="F41" s="115"/>
      <c r="G41" s="93"/>
      <c r="H41" s="412" t="s">
        <v>29</v>
      </c>
      <c r="I41" s="424"/>
      <c r="J41" s="424"/>
      <c r="K41" s="424">
        <f t="shared" ref="K41:Z41" si="20">+(K9/J9-1)*100</f>
        <v>4.4938757400293516</v>
      </c>
      <c r="L41" s="424">
        <f t="shared" si="20"/>
        <v>3.4660891923604664</v>
      </c>
      <c r="M41" s="424">
        <f t="shared" si="20"/>
        <v>6.1519435527086719</v>
      </c>
      <c r="N41" s="424">
        <f t="shared" si="20"/>
        <v>4.4563670228880303</v>
      </c>
      <c r="O41" s="424">
        <f t="shared" si="20"/>
        <v>3.0142709526391753</v>
      </c>
      <c r="P41" s="424">
        <f t="shared" si="20"/>
        <v>2.4648910461216422</v>
      </c>
      <c r="Q41" s="424">
        <f t="shared" si="20"/>
        <v>4.3718634925824063</v>
      </c>
      <c r="R41" s="424">
        <f t="shared" si="20"/>
        <v>3.3283867971883652</v>
      </c>
      <c r="S41" s="424">
        <f t="shared" si="20"/>
        <v>-5.8045595843746911</v>
      </c>
      <c r="T41" s="424">
        <f t="shared" si="20"/>
        <v>3.1960072270621254</v>
      </c>
      <c r="U41" s="424">
        <f t="shared" si="20"/>
        <v>3.5445399011226009</v>
      </c>
      <c r="V41" s="424">
        <f t="shared" si="20"/>
        <v>3.2605776835202827</v>
      </c>
      <c r="W41" s="424">
        <f t="shared" si="20"/>
        <v>3.4209479315654878</v>
      </c>
      <c r="X41" s="424">
        <f t="shared" si="20"/>
        <v>3.17454046886958</v>
      </c>
      <c r="Y41" s="424">
        <f t="shared" si="20"/>
        <v>3.0539818698030574</v>
      </c>
      <c r="Z41" s="425">
        <f t="shared" si="20"/>
        <v>3.371439220677197</v>
      </c>
      <c r="AA41" s="425">
        <f>+(AA17/Z17-1)*100</f>
        <v>3.300000057052066</v>
      </c>
      <c r="AB41" s="425">
        <f t="shared" ref="AB41:AC41" si="21">+(AB17/AA17-1)*100</f>
        <v>2.9999999944770872</v>
      </c>
      <c r="AC41" s="425">
        <f t="shared" si="21"/>
        <v>3.0999999477198781</v>
      </c>
    </row>
    <row r="42" spans="1:37" ht="15" x14ac:dyDescent="0.25">
      <c r="A42" s="89"/>
      <c r="B42" s="293"/>
      <c r="C42" s="115"/>
      <c r="D42" s="115"/>
      <c r="E42" s="115"/>
      <c r="F42" s="115"/>
      <c r="G42" s="93"/>
      <c r="H42" s="412" t="s">
        <v>31</v>
      </c>
      <c r="I42" s="424"/>
      <c r="J42" s="424"/>
      <c r="K42" s="424">
        <f t="shared" ref="K42:Z42" si="22">+(K10/J10-1)*100</f>
        <v>7.0335338683084725</v>
      </c>
      <c r="L42" s="424">
        <f t="shared" si="22"/>
        <v>6.9131695177126362</v>
      </c>
      <c r="M42" s="424">
        <f t="shared" si="22"/>
        <v>7.0322071741750314</v>
      </c>
      <c r="N42" s="424">
        <f t="shared" si="22"/>
        <v>9.0191292340379157</v>
      </c>
      <c r="O42" s="424">
        <f t="shared" si="22"/>
        <v>9.4355948417776947</v>
      </c>
      <c r="P42" s="424">
        <f t="shared" si="22"/>
        <v>9.6393622650473354</v>
      </c>
      <c r="Q42" s="424">
        <f t="shared" si="22"/>
        <v>8.160014195899624</v>
      </c>
      <c r="R42" s="424">
        <f t="shared" si="22"/>
        <v>9.6669049832264875</v>
      </c>
      <c r="S42" s="424">
        <f t="shared" si="22"/>
        <v>14.316120391568244</v>
      </c>
      <c r="T42" s="424">
        <f t="shared" si="22"/>
        <v>8.272164852544428</v>
      </c>
      <c r="U42" s="424">
        <f t="shared" si="22"/>
        <v>10.195813919851403</v>
      </c>
      <c r="V42" s="424">
        <f t="shared" si="22"/>
        <v>11.633323452290089</v>
      </c>
      <c r="W42" s="424">
        <f t="shared" si="22"/>
        <v>3.6110899625822368</v>
      </c>
      <c r="X42" s="424">
        <f t="shared" si="22"/>
        <v>10.287102628335987</v>
      </c>
      <c r="Y42" s="424">
        <f t="shared" si="22"/>
        <v>9.8556838112562986</v>
      </c>
      <c r="Z42" s="425">
        <f t="shared" si="22"/>
        <v>8.367331362803121</v>
      </c>
      <c r="AA42" s="425">
        <f>+(AA18/Z18-1)*100</f>
        <v>5.8000000342304681</v>
      </c>
      <c r="AB42" s="425">
        <f t="shared" ref="AB42:AC42" si="23">+(AB18/AA18-1)*100</f>
        <v>3.2999999367480326</v>
      </c>
      <c r="AC42" s="425">
        <f t="shared" si="23"/>
        <v>5.40000006890482</v>
      </c>
    </row>
    <row r="43" spans="1:37" ht="15" x14ac:dyDescent="0.25">
      <c r="A43" s="89"/>
      <c r="B43" s="293"/>
      <c r="C43" s="115"/>
      <c r="D43" s="115"/>
      <c r="E43" s="115"/>
      <c r="F43" s="115"/>
      <c r="G43" s="93"/>
      <c r="H43" s="412" t="s">
        <v>33</v>
      </c>
      <c r="I43" s="424"/>
      <c r="J43" s="424"/>
      <c r="K43" s="424">
        <f t="shared" ref="K43:Z43" si="24">+(K11/J11-1)*100</f>
        <v>5.7623878123195471</v>
      </c>
      <c r="L43" s="424">
        <f t="shared" si="24"/>
        <v>5.0799684036820558</v>
      </c>
      <c r="M43" s="424">
        <f t="shared" si="24"/>
        <v>5.5288300687174052</v>
      </c>
      <c r="N43" s="424">
        <f t="shared" si="24"/>
        <v>6.2166220132312544</v>
      </c>
      <c r="O43" s="424">
        <f t="shared" si="24"/>
        <v>6.5760558664997637</v>
      </c>
      <c r="P43" s="424">
        <f t="shared" si="24"/>
        <v>5.5141616872384613</v>
      </c>
      <c r="Q43" s="424">
        <f t="shared" si="24"/>
        <v>5.6243542739221386</v>
      </c>
      <c r="R43" s="424">
        <f t="shared" si="24"/>
        <v>5.8010649091108979</v>
      </c>
      <c r="S43" s="424">
        <f t="shared" si="24"/>
        <v>6.9827692490399773</v>
      </c>
      <c r="T43" s="424">
        <f t="shared" si="24"/>
        <v>6.3749879584083402</v>
      </c>
      <c r="U43" s="424">
        <f t="shared" si="24"/>
        <v>6.5536210828342378</v>
      </c>
      <c r="V43" s="424">
        <f t="shared" si="24"/>
        <v>6.8798142311717436</v>
      </c>
      <c r="W43" s="424">
        <f t="shared" si="24"/>
        <v>3.9328627376918668</v>
      </c>
      <c r="X43" s="424">
        <f t="shared" si="24"/>
        <v>5.7321671253897755</v>
      </c>
      <c r="Y43" s="424">
        <f t="shared" si="24"/>
        <v>6.2566752865046649</v>
      </c>
      <c r="Z43" s="425">
        <f t="shared" si="24"/>
        <v>5.3712425094595062</v>
      </c>
      <c r="AA43" s="425">
        <f>+(AA21/Z21-1)*100</f>
        <v>5.3227491050459097</v>
      </c>
      <c r="AB43" s="425">
        <f t="shared" ref="AB43:AC43" si="25">+(AB21/AA21-1)*100</f>
        <v>4.6647135747094337</v>
      </c>
      <c r="AC43" s="425">
        <f t="shared" si="25"/>
        <v>6.0337744458014431</v>
      </c>
    </row>
    <row r="44" spans="1:37" ht="15" x14ac:dyDescent="0.25">
      <c r="A44" s="89"/>
      <c r="B44" s="293"/>
      <c r="C44" s="115"/>
      <c r="D44" s="115"/>
      <c r="E44" s="115"/>
      <c r="F44" s="115"/>
      <c r="G44" s="93"/>
      <c r="H44" s="434" t="s">
        <v>451</v>
      </c>
      <c r="I44" s="435"/>
      <c r="J44" s="435"/>
      <c r="K44" s="436">
        <f t="shared" ref="K44:Z44" si="26">+(K12/J12-1)*100</f>
        <v>5.076742383915378</v>
      </c>
      <c r="L44" s="436">
        <f t="shared" si="26"/>
        <v>4.1246713361721365</v>
      </c>
      <c r="M44" s="436">
        <f t="shared" si="26"/>
        <v>4.3735004277628775</v>
      </c>
      <c r="N44" s="436">
        <f t="shared" si="26"/>
        <v>5.174533326497599</v>
      </c>
      <c r="O44" s="436">
        <f t="shared" si="26"/>
        <v>5.2049627499842988</v>
      </c>
      <c r="P44" s="436">
        <f t="shared" si="26"/>
        <v>4.678721048998713</v>
      </c>
      <c r="Q44" s="436">
        <f t="shared" si="26"/>
        <v>4.7478004115555361</v>
      </c>
      <c r="R44" s="436">
        <f t="shared" si="26"/>
        <v>5.2910676650377075</v>
      </c>
      <c r="S44" s="436">
        <f t="shared" si="26"/>
        <v>5.8032108640481805</v>
      </c>
      <c r="T44" s="436">
        <f t="shared" si="26"/>
        <v>5.2664423799012816</v>
      </c>
      <c r="U44" s="436">
        <f t="shared" si="26"/>
        <v>6.0802339229629077</v>
      </c>
      <c r="V44" s="436">
        <f t="shared" si="26"/>
        <v>6.6876524121165959</v>
      </c>
      <c r="W44" s="436">
        <f t="shared" si="26"/>
        <v>2.2711161046980344</v>
      </c>
      <c r="X44" s="436">
        <f t="shared" si="26"/>
        <v>5.7166433421792062</v>
      </c>
      <c r="Y44" s="436">
        <f t="shared" si="26"/>
        <v>5.9548430184038992</v>
      </c>
      <c r="Z44" s="437">
        <f t="shared" si="26"/>
        <v>4.6938726530462604</v>
      </c>
      <c r="AA44" s="437" t="e">
        <f>+(AA25/Z25-1)*100</f>
        <v>#N/A</v>
      </c>
      <c r="AB44" s="437" t="e">
        <f t="shared" ref="AB44:AC44" si="27">+(AB25/AA25-1)*100</f>
        <v>#N/A</v>
      </c>
      <c r="AC44" s="437" t="e">
        <f t="shared" si="27"/>
        <v>#N/A</v>
      </c>
    </row>
    <row r="45" spans="1:37" ht="15" x14ac:dyDescent="0.25">
      <c r="A45" s="89"/>
      <c r="B45" s="293"/>
      <c r="C45" s="115"/>
      <c r="D45" s="115"/>
      <c r="E45" s="115"/>
      <c r="F45" s="115"/>
      <c r="G45" s="93"/>
      <c r="H45" s="408"/>
      <c r="I45" s="424"/>
      <c r="J45" s="424"/>
      <c r="K45" s="424"/>
      <c r="L45" s="424"/>
      <c r="M45" s="424"/>
      <c r="N45" s="424"/>
      <c r="O45" s="424"/>
      <c r="P45" s="424"/>
      <c r="Q45" s="424"/>
      <c r="R45" s="424"/>
      <c r="S45" s="424"/>
      <c r="T45" s="424"/>
      <c r="U45" s="424"/>
      <c r="V45" s="424"/>
      <c r="W45" s="424"/>
      <c r="X45" s="424"/>
      <c r="Y45" s="424"/>
      <c r="Z45" s="425"/>
      <c r="AA45" s="425"/>
      <c r="AB45" s="425"/>
      <c r="AC45" s="425"/>
    </row>
    <row r="46" spans="1:37" ht="15" x14ac:dyDescent="0.25">
      <c r="A46" s="89"/>
      <c r="B46" s="293"/>
      <c r="C46" s="115"/>
      <c r="D46" s="115"/>
      <c r="E46" s="115"/>
      <c r="F46" s="115"/>
      <c r="G46" s="93"/>
      <c r="H46" s="418" t="s">
        <v>123</v>
      </c>
      <c r="I46" s="422"/>
      <c r="J46" s="422">
        <f>+(J14/I14-1)*100</f>
        <v>7.0586362060701013</v>
      </c>
      <c r="K46" s="422">
        <f t="shared" ref="K46:AC46" si="28">+(K14/J14-1)*100</f>
        <v>6.0137897592330791</v>
      </c>
      <c r="L46" s="422">
        <f t="shared" si="28"/>
        <v>5.0451247941773802</v>
      </c>
      <c r="M46" s="422">
        <f t="shared" si="28"/>
        <v>5.5718022739686512</v>
      </c>
      <c r="N46" s="422">
        <f t="shared" si="28"/>
        <v>6.4643838804751663</v>
      </c>
      <c r="O46" s="422">
        <f t="shared" si="28"/>
        <v>6.5214350783733055</v>
      </c>
      <c r="P46" s="422">
        <f t="shared" si="28"/>
        <v>6.0135960674702282</v>
      </c>
      <c r="Q46" s="422">
        <f t="shared" si="28"/>
        <v>6.0610930537538854</v>
      </c>
      <c r="R46" s="422">
        <f t="shared" si="28"/>
        <v>6.5526462336533031</v>
      </c>
      <c r="S46" s="422">
        <f t="shared" si="28"/>
        <v>7.1134643652730256</v>
      </c>
      <c r="T46" s="422">
        <f t="shared" si="28"/>
        <v>6.5902445456167191</v>
      </c>
      <c r="U46" s="422">
        <f t="shared" si="28"/>
        <v>7.3194077798160562</v>
      </c>
      <c r="V46" s="422">
        <f t="shared" si="28"/>
        <v>7.8819067286135081</v>
      </c>
      <c r="W46" s="422">
        <f t="shared" si="28"/>
        <v>3.4480334348321984</v>
      </c>
      <c r="X46" s="422">
        <f t="shared" si="28"/>
        <v>6.9386710537790552</v>
      </c>
      <c r="Y46" s="422">
        <f t="shared" si="28"/>
        <v>7.0998252471007994</v>
      </c>
      <c r="Z46" s="423">
        <f t="shared" si="28"/>
        <v>5.775115855083901</v>
      </c>
      <c r="AA46" s="423">
        <f t="shared" si="28"/>
        <v>5.2177503538541892</v>
      </c>
      <c r="AB46" s="423">
        <f t="shared" si="28"/>
        <v>3.9513981480802318</v>
      </c>
      <c r="AC46" s="423">
        <f t="shared" si="28"/>
        <v>5.4696937322054273</v>
      </c>
    </row>
    <row r="47" spans="1:37" ht="15" x14ac:dyDescent="0.25">
      <c r="A47" s="89"/>
      <c r="B47" s="293"/>
      <c r="C47" s="115"/>
      <c r="D47" s="115"/>
      <c r="E47" s="115"/>
      <c r="F47" s="115"/>
      <c r="G47" s="93"/>
      <c r="H47" s="419" t="s">
        <v>29</v>
      </c>
      <c r="I47" s="424"/>
      <c r="J47" s="424">
        <f t="shared" ref="J47:J60" si="29">+(J17/I17-1)*100</f>
        <v>6.6924962778930119</v>
      </c>
      <c r="K47" s="424">
        <f t="shared" ref="K47:AC47" si="30">+(K17/J17-1)*100</f>
        <v>4.493867886429026</v>
      </c>
      <c r="L47" s="424">
        <f t="shared" si="30"/>
        <v>3.4660884570676176</v>
      </c>
      <c r="M47" s="424">
        <f t="shared" si="30"/>
        <v>6.1519471295687467</v>
      </c>
      <c r="N47" s="424">
        <f t="shared" si="30"/>
        <v>4.4563689946151008</v>
      </c>
      <c r="O47" s="424">
        <f t="shared" si="30"/>
        <v>3.0142714074249177</v>
      </c>
      <c r="P47" s="424">
        <f t="shared" si="30"/>
        <v>2.4648875369782886</v>
      </c>
      <c r="Q47" s="424">
        <f t="shared" si="30"/>
        <v>4.3718700526504062</v>
      </c>
      <c r="R47" s="424">
        <f t="shared" si="30"/>
        <v>3.3283810652028123</v>
      </c>
      <c r="S47" s="424">
        <f t="shared" si="30"/>
        <v>-5.8045578156384225</v>
      </c>
      <c r="T47" s="424">
        <f t="shared" si="30"/>
        <v>3.1960072270620588</v>
      </c>
      <c r="U47" s="424">
        <f t="shared" si="30"/>
        <v>3.5445399011226897</v>
      </c>
      <c r="V47" s="424">
        <f t="shared" si="30"/>
        <v>3.2605776835202605</v>
      </c>
      <c r="W47" s="424">
        <f t="shared" si="30"/>
        <v>3.4209479315653324</v>
      </c>
      <c r="X47" s="424">
        <f t="shared" si="30"/>
        <v>3.1745404688696022</v>
      </c>
      <c r="Y47" s="424">
        <f t="shared" si="30"/>
        <v>3.0539818698030352</v>
      </c>
      <c r="Z47" s="425">
        <f t="shared" si="30"/>
        <v>3.3714392206769972</v>
      </c>
      <c r="AA47" s="425">
        <f t="shared" si="30"/>
        <v>3.300000057052066</v>
      </c>
      <c r="AB47" s="425">
        <f t="shared" si="30"/>
        <v>2.9999999944770872</v>
      </c>
      <c r="AC47" s="425">
        <f t="shared" si="30"/>
        <v>3.0999999477198781</v>
      </c>
    </row>
    <row r="48" spans="1:37" ht="15" x14ac:dyDescent="0.25">
      <c r="A48" s="89"/>
      <c r="B48" s="293"/>
      <c r="C48" s="115"/>
      <c r="D48" s="115"/>
      <c r="E48" s="115"/>
      <c r="F48" s="115"/>
      <c r="G48" s="93"/>
      <c r="H48" s="419" t="s">
        <v>31</v>
      </c>
      <c r="I48" s="424"/>
      <c r="J48" s="424" t="e">
        <f t="shared" si="29"/>
        <v>#DIV/0!</v>
      </c>
      <c r="K48" s="424" t="e">
        <f t="shared" ref="K48:AC48" si="31">+(K18/J18-1)*100</f>
        <v>#DIV/0!</v>
      </c>
      <c r="L48" s="424" t="e">
        <f t="shared" si="31"/>
        <v>#DIV/0!</v>
      </c>
      <c r="M48" s="424" t="e">
        <f t="shared" si="31"/>
        <v>#DIV/0!</v>
      </c>
      <c r="N48" s="424" t="e">
        <f t="shared" si="31"/>
        <v>#DIV/0!</v>
      </c>
      <c r="O48" s="424" t="e">
        <f t="shared" si="31"/>
        <v>#DIV/0!</v>
      </c>
      <c r="P48" s="424" t="e">
        <f t="shared" si="31"/>
        <v>#DIV/0!</v>
      </c>
      <c r="Q48" s="424" t="e">
        <f t="shared" si="31"/>
        <v>#DIV/0!</v>
      </c>
      <c r="R48" s="424" t="e">
        <f t="shared" si="31"/>
        <v>#DIV/0!</v>
      </c>
      <c r="S48" s="424" t="e">
        <f t="shared" si="31"/>
        <v>#DIV/0!</v>
      </c>
      <c r="T48" s="424" t="e">
        <f t="shared" si="31"/>
        <v>#DIV/0!</v>
      </c>
      <c r="U48" s="424" t="e">
        <f t="shared" si="31"/>
        <v>#DIV/0!</v>
      </c>
      <c r="V48" s="424" t="e">
        <f t="shared" si="31"/>
        <v>#DIV/0!</v>
      </c>
      <c r="W48" s="424" t="e">
        <f t="shared" si="31"/>
        <v>#DIV/0!</v>
      </c>
      <c r="X48" s="424" t="e">
        <f t="shared" si="31"/>
        <v>#DIV/0!</v>
      </c>
      <c r="Y48" s="424" t="e">
        <f t="shared" si="31"/>
        <v>#DIV/0!</v>
      </c>
      <c r="Z48" s="425">
        <f t="shared" si="31"/>
        <v>8.3673406364683345</v>
      </c>
      <c r="AA48" s="425">
        <f t="shared" si="31"/>
        <v>5.8000000342304681</v>
      </c>
      <c r="AB48" s="425">
        <f t="shared" si="31"/>
        <v>3.2999999367480326</v>
      </c>
      <c r="AC48" s="425">
        <f t="shared" si="31"/>
        <v>5.40000006890482</v>
      </c>
    </row>
    <row r="49" spans="1:29" ht="15" x14ac:dyDescent="0.25">
      <c r="A49" s="89"/>
      <c r="B49" s="293"/>
      <c r="C49" s="115"/>
      <c r="D49" s="115"/>
      <c r="E49" s="115"/>
      <c r="F49" s="115"/>
      <c r="G49" s="93"/>
      <c r="H49" s="408"/>
      <c r="I49" s="424"/>
      <c r="J49" s="422"/>
      <c r="K49" s="422"/>
      <c r="L49" s="422"/>
      <c r="M49" s="422"/>
      <c r="N49" s="422"/>
      <c r="O49" s="422"/>
      <c r="P49" s="422"/>
      <c r="Q49" s="422"/>
      <c r="R49" s="422"/>
      <c r="S49" s="422"/>
      <c r="T49" s="422"/>
      <c r="U49" s="422"/>
      <c r="V49" s="422"/>
      <c r="W49" s="422"/>
      <c r="X49" s="422"/>
      <c r="Y49" s="422"/>
      <c r="Z49" s="423"/>
      <c r="AA49" s="423"/>
      <c r="AB49" s="423"/>
      <c r="AC49" s="423"/>
    </row>
    <row r="50" spans="1:29" ht="15" x14ac:dyDescent="0.25">
      <c r="A50" s="89"/>
      <c r="B50" s="293"/>
      <c r="C50" s="115"/>
      <c r="D50" s="115"/>
      <c r="E50" s="115"/>
      <c r="F50" s="115"/>
      <c r="G50" s="93"/>
      <c r="H50" s="408"/>
      <c r="I50" s="422"/>
      <c r="J50" s="422"/>
      <c r="K50" s="422"/>
      <c r="L50" s="422"/>
      <c r="M50" s="422"/>
      <c r="N50" s="422"/>
      <c r="O50" s="422"/>
      <c r="P50" s="422"/>
      <c r="Q50" s="422"/>
      <c r="R50" s="422"/>
      <c r="S50" s="422"/>
      <c r="T50" s="422"/>
      <c r="U50" s="422"/>
      <c r="V50" s="422"/>
      <c r="W50" s="422"/>
      <c r="X50" s="422"/>
      <c r="Y50" s="422"/>
      <c r="Z50" s="423"/>
      <c r="AA50" s="423"/>
      <c r="AB50" s="423"/>
      <c r="AC50" s="423"/>
    </row>
    <row r="51" spans="1:29" ht="15" x14ac:dyDescent="0.25">
      <c r="A51" s="89"/>
      <c r="B51" s="293"/>
      <c r="C51" s="115"/>
      <c r="D51" s="115"/>
      <c r="E51" s="115"/>
      <c r="F51" s="115"/>
      <c r="G51" s="93"/>
      <c r="H51" s="419" t="s">
        <v>33</v>
      </c>
      <c r="I51" s="298"/>
      <c r="J51" s="424" t="e">
        <f t="shared" si="29"/>
        <v>#DIV/0!</v>
      </c>
      <c r="K51" s="424" t="e">
        <f t="shared" ref="K51:AC51" si="32">+(K21/J21-1)*100</f>
        <v>#DIV/0!</v>
      </c>
      <c r="L51" s="424" t="e">
        <f t="shared" si="32"/>
        <v>#DIV/0!</v>
      </c>
      <c r="M51" s="424" t="e">
        <f t="shared" si="32"/>
        <v>#DIV/0!</v>
      </c>
      <c r="N51" s="424" t="e">
        <f t="shared" si="32"/>
        <v>#DIV/0!</v>
      </c>
      <c r="O51" s="424" t="e">
        <f t="shared" si="32"/>
        <v>#DIV/0!</v>
      </c>
      <c r="P51" s="424" t="e">
        <f t="shared" si="32"/>
        <v>#DIV/0!</v>
      </c>
      <c r="Q51" s="424" t="e">
        <f t="shared" si="32"/>
        <v>#DIV/0!</v>
      </c>
      <c r="R51" s="424" t="e">
        <f t="shared" si="32"/>
        <v>#DIV/0!</v>
      </c>
      <c r="S51" s="424" t="e">
        <f t="shared" si="32"/>
        <v>#DIV/0!</v>
      </c>
      <c r="T51" s="424" t="e">
        <f t="shared" si="32"/>
        <v>#DIV/0!</v>
      </c>
      <c r="U51" s="424" t="e">
        <f t="shared" si="32"/>
        <v>#DIV/0!</v>
      </c>
      <c r="V51" s="424" t="e">
        <f t="shared" si="32"/>
        <v>#DIV/0!</v>
      </c>
      <c r="W51" s="424" t="e">
        <f t="shared" si="32"/>
        <v>#DIV/0!</v>
      </c>
      <c r="X51" s="424" t="e">
        <f t="shared" si="32"/>
        <v>#DIV/0!</v>
      </c>
      <c r="Y51" s="424" t="e">
        <f t="shared" si="32"/>
        <v>#DIV/0!</v>
      </c>
      <c r="Z51" s="425">
        <f t="shared" si="32"/>
        <v>5.3712358589601994</v>
      </c>
      <c r="AA51" s="425">
        <f t="shared" si="32"/>
        <v>5.3227491050459097</v>
      </c>
      <c r="AB51" s="425">
        <f t="shared" si="32"/>
        <v>4.6647135747094337</v>
      </c>
      <c r="AC51" s="141">
        <f t="shared" si="32"/>
        <v>6.0337744458014431</v>
      </c>
    </row>
    <row r="52" spans="1:29" ht="15" x14ac:dyDescent="0.25">
      <c r="A52" s="89"/>
      <c r="B52" s="293"/>
      <c r="C52" s="115"/>
      <c r="D52" s="115"/>
      <c r="E52" s="115"/>
      <c r="F52" s="115"/>
      <c r="G52" s="93"/>
      <c r="H52" s="408"/>
      <c r="I52" s="422"/>
      <c r="J52" s="422"/>
      <c r="K52" s="422"/>
      <c r="L52" s="422"/>
      <c r="M52" s="422"/>
      <c r="N52" s="422"/>
      <c r="O52" s="422"/>
      <c r="P52" s="422"/>
      <c r="Q52" s="422"/>
      <c r="R52" s="422"/>
      <c r="S52" s="422"/>
      <c r="T52" s="422"/>
      <c r="U52" s="422"/>
      <c r="V52" s="422"/>
      <c r="W52" s="422"/>
      <c r="X52" s="422"/>
      <c r="Y52" s="422"/>
      <c r="Z52" s="423"/>
      <c r="AA52" s="423"/>
      <c r="AB52" s="423"/>
      <c r="AC52" s="423"/>
    </row>
    <row r="53" spans="1:29" ht="15" x14ac:dyDescent="0.25">
      <c r="A53" s="89"/>
      <c r="B53" s="293"/>
      <c r="C53" s="115"/>
      <c r="D53" s="115"/>
      <c r="E53" s="115"/>
      <c r="F53" s="115"/>
      <c r="G53" s="93"/>
      <c r="H53" s="408"/>
      <c r="I53" s="424"/>
      <c r="J53" s="422"/>
      <c r="K53" s="422"/>
      <c r="L53" s="422"/>
      <c r="M53" s="422"/>
      <c r="N53" s="422"/>
      <c r="O53" s="422"/>
      <c r="P53" s="422"/>
      <c r="Q53" s="422"/>
      <c r="R53" s="422"/>
      <c r="S53" s="422"/>
      <c r="T53" s="422"/>
      <c r="U53" s="422"/>
      <c r="V53" s="422"/>
      <c r="W53" s="422"/>
      <c r="X53" s="422"/>
      <c r="Y53" s="422"/>
      <c r="Z53" s="423"/>
      <c r="AA53" s="423"/>
      <c r="AB53" s="423"/>
      <c r="AC53" s="423"/>
    </row>
    <row r="54" spans="1:29" ht="15" x14ac:dyDescent="0.25">
      <c r="A54" s="89"/>
      <c r="B54" s="293"/>
      <c r="C54" s="115"/>
      <c r="D54" s="115"/>
      <c r="E54" s="115"/>
      <c r="F54" s="115"/>
      <c r="G54" s="93"/>
      <c r="H54" s="408"/>
      <c r="I54" s="424"/>
      <c r="J54" s="422"/>
      <c r="K54" s="422"/>
      <c r="L54" s="422"/>
      <c r="M54" s="422"/>
      <c r="N54" s="422"/>
      <c r="O54" s="422"/>
      <c r="P54" s="422"/>
      <c r="Q54" s="422"/>
      <c r="R54" s="422"/>
      <c r="S54" s="422"/>
      <c r="T54" s="422"/>
      <c r="U54" s="422"/>
      <c r="V54" s="422"/>
      <c r="W54" s="422"/>
      <c r="X54" s="422"/>
      <c r="Y54" s="422"/>
      <c r="Z54" s="423"/>
      <c r="AA54" s="423"/>
      <c r="AB54" s="423"/>
      <c r="AC54" s="423"/>
    </row>
    <row r="55" spans="1:29" ht="15" x14ac:dyDescent="0.25">
      <c r="A55" s="89"/>
      <c r="B55" s="293"/>
      <c r="C55" s="115"/>
      <c r="D55" s="115"/>
      <c r="E55" s="115"/>
      <c r="F55" s="115"/>
      <c r="G55" s="93"/>
      <c r="H55" s="418" t="s">
        <v>451</v>
      </c>
      <c r="I55" s="422"/>
      <c r="J55" s="422">
        <f>+(J25/I25-1)*100</f>
        <v>5.7536104920482778</v>
      </c>
      <c r="K55" s="422">
        <f t="shared" ref="K55:AC55" si="33">+(K25/J25-1)*100</f>
        <v>4.8060154053400472</v>
      </c>
      <c r="L55" s="422">
        <f t="shared" si="33"/>
        <v>3.8782366852764705</v>
      </c>
      <c r="M55" s="422">
        <f t="shared" si="33"/>
        <v>4.3914297599788377</v>
      </c>
      <c r="N55" s="422">
        <f t="shared" si="33"/>
        <v>5.253337516906087</v>
      </c>
      <c r="O55" s="422">
        <f t="shared" si="33"/>
        <v>5.2989561901779947</v>
      </c>
      <c r="P55" s="422">
        <f t="shared" si="33"/>
        <v>3.9321855304708997</v>
      </c>
      <c r="Q55" s="422">
        <f t="shared" si="33"/>
        <v>4.7478131842357829</v>
      </c>
      <c r="R55" s="422">
        <f t="shared" si="33"/>
        <v>5.2910670879302124</v>
      </c>
      <c r="S55" s="422">
        <f t="shared" si="33"/>
        <v>5.8031960568798224</v>
      </c>
      <c r="T55" s="422">
        <f t="shared" si="33"/>
        <v>5.2664503870241353</v>
      </c>
      <c r="U55" s="422">
        <f t="shared" si="33"/>
        <v>6.0802329745036854</v>
      </c>
      <c r="V55" s="422">
        <f t="shared" si="33"/>
        <v>6.6876543975628477</v>
      </c>
      <c r="W55" s="422">
        <f t="shared" si="33"/>
        <v>2.2711169969588108</v>
      </c>
      <c r="X55" s="422">
        <f t="shared" si="33"/>
        <v>5.7166411088059643</v>
      </c>
      <c r="Y55" s="422">
        <f t="shared" si="33"/>
        <v>5.9548407314181429</v>
      </c>
      <c r="Z55" s="423">
        <f t="shared" si="33"/>
        <v>4.6938783696208741</v>
      </c>
      <c r="AA55" s="423" t="e">
        <f t="shared" si="33"/>
        <v>#N/A</v>
      </c>
      <c r="AB55" s="423" t="e">
        <f t="shared" si="33"/>
        <v>#N/A</v>
      </c>
      <c r="AC55" s="423" t="e">
        <f t="shared" si="33"/>
        <v>#N/A</v>
      </c>
    </row>
    <row r="56" spans="1:29" ht="15" x14ac:dyDescent="0.25">
      <c r="A56" s="89"/>
      <c r="B56" s="293"/>
      <c r="C56" s="115"/>
      <c r="D56" s="115"/>
      <c r="E56" s="115"/>
      <c r="F56" s="115"/>
      <c r="G56" s="93"/>
      <c r="H56" s="426"/>
      <c r="I56" s="298"/>
      <c r="J56" s="298"/>
      <c r="K56" s="298"/>
      <c r="L56" s="298"/>
      <c r="M56" s="298"/>
      <c r="N56" s="298"/>
      <c r="O56" s="298"/>
      <c r="P56" s="298"/>
      <c r="Q56" s="298"/>
      <c r="R56" s="298"/>
      <c r="S56" s="298"/>
      <c r="T56" s="298"/>
      <c r="U56" s="298"/>
      <c r="V56" s="298"/>
      <c r="W56" s="298"/>
      <c r="X56" s="298"/>
      <c r="Y56" s="298"/>
      <c r="Z56" s="141"/>
      <c r="AA56" s="141"/>
      <c r="AB56" s="141"/>
      <c r="AC56" s="141"/>
    </row>
    <row r="57" spans="1:29" ht="15" x14ac:dyDescent="0.25">
      <c r="A57" s="89"/>
      <c r="B57" s="293"/>
      <c r="C57" s="115"/>
      <c r="D57" s="115"/>
      <c r="E57" s="115"/>
      <c r="F57" s="115"/>
      <c r="G57" s="93"/>
      <c r="H57" s="418" t="s">
        <v>456</v>
      </c>
      <c r="I57" s="424"/>
      <c r="J57" s="424"/>
      <c r="K57" s="424">
        <f t="shared" ref="K57:AC57" si="34">+(K27/J27-1)*100</f>
        <v>0.89177610256430118</v>
      </c>
      <c r="L57" s="424">
        <f t="shared" si="34"/>
        <v>0.88398818467061435</v>
      </c>
      <c r="M57" s="424">
        <f t="shared" si="34"/>
        <v>1.1480899109664433</v>
      </c>
      <c r="N57" s="424">
        <f t="shared" si="34"/>
        <v>1.2263903961784228</v>
      </c>
      <c r="O57" s="424">
        <f t="shared" si="34"/>
        <v>1.2513424110047078</v>
      </c>
      <c r="P57" s="424">
        <f t="shared" si="34"/>
        <v>1.2752155448961577</v>
      </c>
      <c r="Q57" s="424">
        <f t="shared" si="34"/>
        <v>1.2537595897337939</v>
      </c>
      <c r="R57" s="424">
        <f t="shared" si="34"/>
        <v>1.1981806227913339</v>
      </c>
      <c r="S57" s="424">
        <f t="shared" si="34"/>
        <v>1.2383953009543092</v>
      </c>
      <c r="T57" s="424">
        <f t="shared" si="34"/>
        <v>1.2575679399245976</v>
      </c>
      <c r="U57" s="298">
        <f t="shared" si="34"/>
        <v>1.1681520020740743</v>
      </c>
      <c r="V57" s="298">
        <f t="shared" si="34"/>
        <v>1.1193889323506179</v>
      </c>
      <c r="W57" s="298">
        <f t="shared" si="34"/>
        <v>1.1507779237745597</v>
      </c>
      <c r="X57" s="298">
        <f t="shared" si="34"/>
        <v>1.1559501969495622</v>
      </c>
      <c r="Y57" s="298">
        <f t="shared" si="34"/>
        <v>1.0806356035549802</v>
      </c>
      <c r="Z57" s="141">
        <f t="shared" si="34"/>
        <v>1.0327599838486412</v>
      </c>
      <c r="AA57" s="141">
        <f t="shared" si="34"/>
        <v>1.010036936023373</v>
      </c>
      <c r="AB57" s="141">
        <f t="shared" si="34"/>
        <v>0.98470472090717021</v>
      </c>
      <c r="AC57" s="141">
        <f t="shared" si="34"/>
        <v>0.95489000134925117</v>
      </c>
    </row>
    <row r="58" spans="1:29" ht="15" x14ac:dyDescent="0.25">
      <c r="A58" s="89"/>
      <c r="B58" s="293"/>
      <c r="C58" s="115"/>
      <c r="D58" s="115"/>
      <c r="E58" s="115"/>
      <c r="F58" s="115"/>
      <c r="G58" s="93"/>
      <c r="H58" s="418" t="s">
        <v>457</v>
      </c>
      <c r="I58" s="298"/>
      <c r="J58" s="298">
        <f t="shared" si="29"/>
        <v>1.23402473726415</v>
      </c>
      <c r="K58" s="298">
        <f t="shared" ref="K58:AC58" si="35">+(K28/J28-1)*100</f>
        <v>1.1523902986120937</v>
      </c>
      <c r="L58" s="298">
        <f t="shared" si="35"/>
        <v>1.1233229848098381</v>
      </c>
      <c r="M58" s="298">
        <f t="shared" si="35"/>
        <v>1.1307178345040247</v>
      </c>
      <c r="N58" s="298">
        <f t="shared" si="35"/>
        <v>1.1506013891241729</v>
      </c>
      <c r="O58" s="298">
        <f t="shared" si="35"/>
        <v>1.1609601200484931</v>
      </c>
      <c r="P58" s="298">
        <f t="shared" si="35"/>
        <v>2.0026621458749894</v>
      </c>
      <c r="Q58" s="298">
        <f t="shared" si="35"/>
        <v>1.253753973086047</v>
      </c>
      <c r="R58" s="298">
        <f t="shared" si="35"/>
        <v>1.1981825055201734</v>
      </c>
      <c r="S58" s="298">
        <f t="shared" si="35"/>
        <v>1.2384014445922853</v>
      </c>
      <c r="T58" s="298">
        <f t="shared" si="35"/>
        <v>1.2575651156902179</v>
      </c>
      <c r="U58" s="298">
        <f t="shared" si="35"/>
        <v>1.1681486461386337</v>
      </c>
      <c r="V58" s="298">
        <f t="shared" si="35"/>
        <v>1.1193913089516005</v>
      </c>
      <c r="W58" s="298">
        <f t="shared" si="35"/>
        <v>1.1507808582049472</v>
      </c>
      <c r="X58" s="298">
        <f t="shared" si="35"/>
        <v>1.155948516861538</v>
      </c>
      <c r="Y58" s="298">
        <f t="shared" si="35"/>
        <v>1.0806344549986635</v>
      </c>
      <c r="Z58" s="141">
        <f t="shared" si="35"/>
        <v>1.0327609429519047</v>
      </c>
      <c r="AA58" s="141">
        <f t="shared" si="35"/>
        <v>1.0100308625423882</v>
      </c>
      <c r="AB58" s="141">
        <f t="shared" si="35"/>
        <v>0.98470925882707672</v>
      </c>
      <c r="AC58" s="141">
        <f t="shared" si="35"/>
        <v>0.95488696361343273</v>
      </c>
    </row>
    <row r="59" spans="1:29" ht="15" x14ac:dyDescent="0.25">
      <c r="A59" s="89"/>
      <c r="B59" s="293"/>
      <c r="C59" s="115"/>
      <c r="D59" s="115"/>
      <c r="E59" s="115"/>
      <c r="F59" s="115"/>
      <c r="G59" s="93"/>
      <c r="H59" s="418" t="s">
        <v>458</v>
      </c>
      <c r="I59" s="298"/>
      <c r="J59" s="298">
        <f t="shared" si="29"/>
        <v>1.056660837387069</v>
      </c>
      <c r="K59" s="298">
        <f t="shared" ref="K59:AC59" si="36">+(K29/J29-1)*100</f>
        <v>0.89178594423233726</v>
      </c>
      <c r="L59" s="298">
        <f t="shared" si="36"/>
        <v>0.88397768475734217</v>
      </c>
      <c r="M59" s="298">
        <f t="shared" si="36"/>
        <v>1.1480918983924449</v>
      </c>
      <c r="N59" s="298">
        <f t="shared" si="36"/>
        <v>1.2263980263673258</v>
      </c>
      <c r="O59" s="298">
        <f t="shared" si="36"/>
        <v>1.2513357460060881</v>
      </c>
      <c r="P59" s="298">
        <f t="shared" si="36"/>
        <v>1.2752197539771082</v>
      </c>
      <c r="Q59" s="298">
        <f t="shared" si="36"/>
        <v>1.2537546304492997</v>
      </c>
      <c r="R59" s="298">
        <f t="shared" si="36"/>
        <v>1.1981825055201734</v>
      </c>
      <c r="S59" s="298">
        <f t="shared" si="36"/>
        <v>1.238400810999174</v>
      </c>
      <c r="T59" s="298">
        <f t="shared" si="36"/>
        <v>1.2575657494032777</v>
      </c>
      <c r="U59" s="298">
        <f t="shared" si="36"/>
        <v>1.1681486461386115</v>
      </c>
      <c r="V59" s="298">
        <f t="shared" si="36"/>
        <v>1.1193913089516005</v>
      </c>
      <c r="W59" s="298">
        <f t="shared" si="36"/>
        <v>1.1507808582049472</v>
      </c>
      <c r="X59" s="298">
        <f t="shared" si="36"/>
        <v>1.155948516861538</v>
      </c>
      <c r="Y59" s="298">
        <f t="shared" si="36"/>
        <v>1.0806338645273916</v>
      </c>
      <c r="Z59" s="141">
        <f t="shared" si="36"/>
        <v>1.0327615331435336</v>
      </c>
      <c r="AA59" s="141">
        <f t="shared" si="36"/>
        <v>1.0100308625423882</v>
      </c>
      <c r="AB59" s="141">
        <f t="shared" si="36"/>
        <v>0.98470868642117626</v>
      </c>
      <c r="AC59" s="141">
        <f t="shared" si="36"/>
        <v>0.95488753585029063</v>
      </c>
    </row>
    <row r="60" spans="1:29" ht="15" x14ac:dyDescent="0.25">
      <c r="A60" s="89"/>
      <c r="B60" s="293"/>
      <c r="C60" s="115"/>
      <c r="D60" s="115"/>
      <c r="E60" s="115"/>
      <c r="F60" s="115"/>
      <c r="G60" s="93"/>
      <c r="H60" s="418" t="s">
        <v>459</v>
      </c>
      <c r="I60" s="298"/>
      <c r="J60" s="298">
        <f t="shared" si="29"/>
        <v>1.0814480189225373</v>
      </c>
      <c r="K60" s="298">
        <f t="shared" ref="K60:AC60" si="37">+(K30/J30-1)*100</f>
        <v>1.0034412763335387</v>
      </c>
      <c r="L60" s="298">
        <f t="shared" si="37"/>
        <v>0.9362484666131099</v>
      </c>
      <c r="M60" s="298">
        <f t="shared" si="37"/>
        <v>0.88038364323688167</v>
      </c>
      <c r="N60" s="298">
        <f t="shared" si="37"/>
        <v>0.91266485909711204</v>
      </c>
      <c r="O60" s="298">
        <f t="shared" si="37"/>
        <v>0.96296350239437611</v>
      </c>
      <c r="P60" s="298">
        <f t="shared" si="37"/>
        <v>0.94282455860776881</v>
      </c>
      <c r="Q60" s="298">
        <f t="shared" si="37"/>
        <v>0.91533150663074547</v>
      </c>
      <c r="R60" s="298">
        <f t="shared" si="37"/>
        <v>0.89782619057747759</v>
      </c>
      <c r="S60" s="298">
        <f t="shared" si="37"/>
        <v>0.89642678039443258</v>
      </c>
      <c r="T60" s="298">
        <f t="shared" si="37"/>
        <v>0.85454728305065508</v>
      </c>
      <c r="U60" s="298">
        <f t="shared" si="37"/>
        <v>0.82433489471926968</v>
      </c>
      <c r="V60" s="298">
        <f t="shared" si="37"/>
        <v>0.85000313120890958</v>
      </c>
      <c r="W60" s="298">
        <f t="shared" si="37"/>
        <v>0.83981768453686989</v>
      </c>
      <c r="X60" s="298">
        <f t="shared" si="37"/>
        <v>0.81830828007913858</v>
      </c>
      <c r="Y60" s="298">
        <f t="shared" si="37"/>
        <v>1.0294970731772546</v>
      </c>
      <c r="Z60" s="141">
        <f t="shared" si="37"/>
        <v>1.2292078755132163</v>
      </c>
      <c r="AA60" s="141">
        <f t="shared" si="37"/>
        <v>1.2220276334237834</v>
      </c>
      <c r="AB60" s="141">
        <f t="shared" si="37"/>
        <v>1.2240761482137819</v>
      </c>
      <c r="AC60" s="141">
        <f t="shared" si="37"/>
        <v>1.2130358074877501</v>
      </c>
    </row>
    <row r="61" spans="1:29" ht="15" x14ac:dyDescent="0.25">
      <c r="A61" s="89"/>
      <c r="B61" s="293"/>
      <c r="C61" s="115"/>
      <c r="D61" s="115"/>
      <c r="E61" s="115"/>
      <c r="F61" s="115"/>
      <c r="G61" s="93"/>
      <c r="H61" s="426"/>
      <c r="I61" s="298"/>
      <c r="J61" s="298"/>
      <c r="K61" s="298"/>
      <c r="L61" s="298"/>
      <c r="M61" s="298"/>
      <c r="N61" s="298"/>
      <c r="O61" s="298"/>
      <c r="P61" s="298"/>
      <c r="Q61" s="298"/>
      <c r="R61" s="298"/>
      <c r="S61" s="298"/>
      <c r="T61" s="298"/>
      <c r="U61" s="298"/>
      <c r="V61" s="298"/>
      <c r="W61" s="298"/>
      <c r="X61" s="298"/>
      <c r="Y61" s="298"/>
      <c r="Z61" s="141"/>
      <c r="AA61" s="141"/>
      <c r="AB61" s="141"/>
      <c r="AC61" s="141"/>
    </row>
    <row r="62" spans="1:29" ht="15" x14ac:dyDescent="0.25">
      <c r="A62" s="89"/>
      <c r="B62" s="293"/>
      <c r="C62" s="115"/>
      <c r="D62" s="115"/>
      <c r="E62" s="115"/>
      <c r="F62" s="115"/>
      <c r="G62" s="93"/>
      <c r="H62" s="418" t="s">
        <v>617</v>
      </c>
      <c r="I62" s="298"/>
      <c r="J62" s="298" t="e">
        <f t="shared" ref="J62:J63" si="38">+(J32/I32-1)*100</f>
        <v>#N/A</v>
      </c>
      <c r="K62" s="298">
        <f t="shared" ref="K62:K63" si="39">+(K32/J32-1)*100</f>
        <v>1.3564284706985008</v>
      </c>
      <c r="L62" s="298">
        <f t="shared" ref="L62:L63" si="40">+(L32/K32-1)*100</f>
        <v>1.4440279163484337</v>
      </c>
      <c r="M62" s="298">
        <f t="shared" ref="M62:M63" si="41">+(M32/L32-1)*100</f>
        <v>1.9086696799404335</v>
      </c>
      <c r="N62" s="298">
        <f t="shared" ref="N62:N63" si="42">+(N32/M32-1)*100</f>
        <v>2.0790903606370037</v>
      </c>
      <c r="O62" s="298">
        <f t="shared" ref="O62:O63" si="43">+(O32/N32-1)*100</f>
        <v>2.1941328667945292</v>
      </c>
      <c r="P62" s="298">
        <f t="shared" ref="P62:P63" si="44">+(P32/O32-1)*100</f>
        <v>2.2658911925322212</v>
      </c>
      <c r="Q62" s="298">
        <f t="shared" ref="Q62:Q63" si="45">+(Q32/P32-1)*100</f>
        <v>2.2345229916866494</v>
      </c>
      <c r="R62" s="298">
        <f t="shared" ref="R62:R63" si="46">+(R32/Q32-1)*100</f>
        <v>2.1754845091786379</v>
      </c>
      <c r="S62" s="298">
        <f t="shared" ref="S62:S63" si="47">+(S32/R32-1)*100</f>
        <v>2.2262814089888838</v>
      </c>
      <c r="T62" s="298">
        <f t="shared" ref="T62:T63" si="48">+(T32/S32-1)*100</f>
        <v>2.24675088249493</v>
      </c>
      <c r="U62" s="298">
        <f t="shared" ref="U62:U63" si="49">+(U32/T32-1)*100</f>
        <v>2.1074341612978387</v>
      </c>
      <c r="V62" s="298">
        <f t="shared" ref="V62:V63" si="50">+(V32/U32-1)*100</f>
        <v>1.9838347430398251</v>
      </c>
      <c r="W62" s="298">
        <f t="shared" ref="W62:W63" si="51">+(W32/V32-1)*100</f>
        <v>1.9531423969131101</v>
      </c>
      <c r="X62" s="298">
        <f t="shared" ref="X62:X63" si="52">+(X32/W32-1)*100</f>
        <v>1.8890750644648513</v>
      </c>
      <c r="Y62" s="298">
        <f>+(Y32/X32-1)*100</f>
        <v>1.7455891273866486</v>
      </c>
      <c r="Z62" s="141">
        <f>+(Z32/Y32-1)*100</f>
        <v>1.6341185246573797</v>
      </c>
      <c r="AA62" s="141">
        <f t="shared" ref="AA62:AA63" si="53">+(AA32/Z32-1)*100</f>
        <v>1.5377636631647817</v>
      </c>
      <c r="AB62" s="141">
        <f t="shared" ref="AB62:AB63" si="54">+(AB32/AA32-1)*100</f>
        <v>1.4405158728671985</v>
      </c>
      <c r="AC62" s="141">
        <f t="shared" ref="AC62:AC63" si="55">+(AC32/AB32-1)*100</f>
        <v>1.3502019927471354</v>
      </c>
    </row>
    <row r="63" spans="1:29" ht="15" x14ac:dyDescent="0.25">
      <c r="A63" s="89"/>
      <c r="B63" s="293"/>
      <c r="C63" s="115"/>
      <c r="D63" s="115"/>
      <c r="E63" s="115"/>
      <c r="F63" s="115"/>
      <c r="G63" s="93"/>
      <c r="H63" s="418" t="s">
        <v>615</v>
      </c>
      <c r="I63" s="298"/>
      <c r="J63" s="298">
        <f t="shared" si="38"/>
        <v>1.5704931670986078</v>
      </c>
      <c r="K63" s="298">
        <f t="shared" si="39"/>
        <v>1.4876309745931238</v>
      </c>
      <c r="L63" s="298">
        <f t="shared" si="40"/>
        <v>1.4705829167665607</v>
      </c>
      <c r="M63" s="298">
        <f t="shared" si="41"/>
        <v>1.4923771118873441</v>
      </c>
      <c r="N63" s="298">
        <f t="shared" si="42"/>
        <v>1.6291156495969572</v>
      </c>
      <c r="O63" s="298">
        <f t="shared" si="43"/>
        <v>1.8076786509046538</v>
      </c>
      <c r="P63" s="298">
        <f t="shared" si="44"/>
        <v>1.851370522410134</v>
      </c>
      <c r="Q63" s="298">
        <f t="shared" si="45"/>
        <v>1.837317252429127</v>
      </c>
      <c r="R63" s="298">
        <f t="shared" si="46"/>
        <v>1.8210327056510378</v>
      </c>
      <c r="S63" s="298">
        <f t="shared" si="47"/>
        <v>1.7999964315596584</v>
      </c>
      <c r="T63" s="298">
        <f t="shared" si="48"/>
        <v>1.5659055278195444</v>
      </c>
      <c r="U63" s="298">
        <f t="shared" si="49"/>
        <v>1.3027242865197408</v>
      </c>
      <c r="V63" s="298">
        <f t="shared" si="50"/>
        <v>1.2352508558171715</v>
      </c>
      <c r="W63" s="298">
        <f t="shared" si="51"/>
        <v>1.1511103031068393</v>
      </c>
      <c r="X63" s="298">
        <f t="shared" si="52"/>
        <v>1.0804727456038776</v>
      </c>
      <c r="Y63" s="298">
        <f t="shared" ref="Y63" si="56">+(Y33/X33-1)*100</f>
        <v>1.4631135898109271</v>
      </c>
      <c r="Z63" s="141">
        <f t="shared" ref="Z63" si="57">+(Z33/Y33-1)*100</f>
        <v>1.8107583327386489</v>
      </c>
      <c r="AA63" s="141">
        <f t="shared" si="53"/>
        <v>1.7475742879986322</v>
      </c>
      <c r="AB63" s="141">
        <f t="shared" si="54"/>
        <v>1.7064856670245154</v>
      </c>
      <c r="AC63" s="141">
        <f t="shared" si="55"/>
        <v>1.6578697740235571</v>
      </c>
    </row>
    <row r="64" spans="1:29" ht="15" x14ac:dyDescent="0.25">
      <c r="A64" s="89"/>
      <c r="B64" s="293"/>
      <c r="C64" s="115"/>
      <c r="D64" s="115"/>
      <c r="E64" s="115"/>
      <c r="F64" s="115"/>
      <c r="G64" s="93"/>
      <c r="H64" s="409"/>
      <c r="I64" s="304"/>
      <c r="J64" s="410"/>
      <c r="K64" s="410"/>
      <c r="L64" s="410"/>
      <c r="M64" s="410"/>
      <c r="N64" s="410"/>
      <c r="O64" s="410"/>
      <c r="P64" s="410"/>
      <c r="Q64" s="410"/>
      <c r="R64" s="410"/>
      <c r="S64" s="410"/>
      <c r="T64" s="410"/>
      <c r="U64" s="410"/>
      <c r="V64" s="410"/>
      <c r="W64" s="410"/>
      <c r="X64" s="410"/>
      <c r="Y64" s="410"/>
      <c r="Z64" s="411"/>
      <c r="AA64" s="411"/>
      <c r="AB64" s="411"/>
      <c r="AC64" s="411"/>
    </row>
    <row r="65" spans="1:37" ht="14.25" x14ac:dyDescent="0.2">
      <c r="A65" s="37"/>
      <c r="B65" s="115"/>
      <c r="C65" s="115"/>
      <c r="D65" s="115"/>
      <c r="E65" s="115"/>
      <c r="F65" s="115"/>
      <c r="G65" s="93"/>
      <c r="H65" s="100"/>
      <c r="I65" s="100"/>
      <c r="J65" s="100"/>
      <c r="K65" s="100"/>
      <c r="L65" s="100"/>
      <c r="M65" s="100"/>
      <c r="N65" s="100"/>
      <c r="O65" s="100"/>
      <c r="P65" s="100"/>
      <c r="Q65" s="100"/>
      <c r="R65" s="100"/>
      <c r="S65" s="100"/>
      <c r="T65" s="122"/>
      <c r="U65" s="122"/>
      <c r="V65" s="122"/>
      <c r="W65" s="122"/>
      <c r="X65" s="122"/>
      <c r="Y65" s="122"/>
      <c r="Z65" s="122"/>
      <c r="AA65" s="122"/>
      <c r="AB65" s="122"/>
      <c r="AC65" s="299"/>
      <c r="AD65" s="122"/>
      <c r="AK65" s="31"/>
    </row>
    <row r="66" spans="1:37" ht="14.25" x14ac:dyDescent="0.2">
      <c r="A66" s="37"/>
      <c r="B66" s="115"/>
      <c r="C66" s="115"/>
      <c r="D66" s="115"/>
      <c r="E66" s="115"/>
      <c r="F66" s="115"/>
      <c r="G66" s="93"/>
      <c r="H66" s="533" t="s">
        <v>464</v>
      </c>
      <c r="I66" s="533"/>
      <c r="J66" s="533"/>
      <c r="K66" s="533"/>
      <c r="L66" s="533"/>
      <c r="M66" s="533"/>
      <c r="N66" s="533"/>
      <c r="O66" s="533"/>
      <c r="P66" s="533"/>
      <c r="Q66" s="533"/>
      <c r="R66" s="533"/>
      <c r="S66" s="533"/>
      <c r="T66" s="533"/>
      <c r="U66" s="533"/>
      <c r="V66" s="533"/>
      <c r="W66" s="533"/>
      <c r="X66" s="533"/>
      <c r="Y66" s="533"/>
      <c r="Z66" s="533"/>
      <c r="AA66" s="533"/>
      <c r="AB66" s="533"/>
      <c r="AC66" s="533"/>
      <c r="AD66" s="103"/>
      <c r="AE66" s="103"/>
      <c r="AF66" s="103"/>
      <c r="AG66" s="103"/>
      <c r="AH66" s="103"/>
      <c r="AI66" s="100"/>
      <c r="AK66" s="31"/>
    </row>
    <row r="67" spans="1:37" ht="14.25" x14ac:dyDescent="0.2">
      <c r="A67" s="37"/>
      <c r="B67" s="115"/>
      <c r="C67" s="115"/>
      <c r="D67" s="115"/>
      <c r="E67" s="115"/>
      <c r="F67" s="115"/>
      <c r="G67" s="93"/>
      <c r="H67" s="300" t="s">
        <v>126</v>
      </c>
      <c r="I67" s="301"/>
      <c r="J67" s="301" t="str">
        <f>'[1]input-mpo'!$E$2</f>
        <v>Population, 0-14 (WDI)</v>
      </c>
      <c r="K67" s="302"/>
      <c r="L67" s="302"/>
      <c r="M67" s="302"/>
      <c r="N67" s="302"/>
      <c r="O67" s="302"/>
      <c r="P67" s="302"/>
      <c r="Q67" s="302"/>
      <c r="R67" s="302"/>
      <c r="S67" s="302"/>
      <c r="T67" s="302"/>
      <c r="U67" s="300"/>
      <c r="V67" s="300" t="str">
        <f>'[1]input-mpo'!$E$2</f>
        <v>Population, 0-14 (WDI)</v>
      </c>
      <c r="W67" s="302"/>
      <c r="X67" s="302"/>
      <c r="Y67" s="302"/>
      <c r="Z67" s="302"/>
      <c r="AA67" s="302"/>
      <c r="AB67" s="302"/>
      <c r="AC67" s="302"/>
      <c r="AD67" s="101"/>
      <c r="AE67" s="101"/>
      <c r="AF67" s="101"/>
      <c r="AG67" s="101"/>
      <c r="AH67" s="101"/>
      <c r="AJ67" s="102"/>
      <c r="AK67" s="31"/>
    </row>
    <row r="68" spans="1:37" ht="14.25" x14ac:dyDescent="0.2">
      <c r="A68" s="37"/>
      <c r="B68" s="115"/>
      <c r="C68" s="115"/>
      <c r="D68" s="115"/>
      <c r="E68" s="115"/>
      <c r="F68" s="115"/>
      <c r="G68" s="93"/>
      <c r="H68" s="93"/>
      <c r="I68" s="93"/>
      <c r="J68" s="93"/>
      <c r="K68" s="93"/>
      <c r="L68" s="93"/>
      <c r="M68" s="93"/>
      <c r="N68" s="93"/>
      <c r="O68" s="93"/>
      <c r="P68" s="93"/>
      <c r="Q68" s="93"/>
      <c r="R68" s="93"/>
      <c r="S68" s="93"/>
      <c r="T68" s="93"/>
      <c r="U68" s="93"/>
      <c r="V68" s="93"/>
      <c r="W68" s="93"/>
      <c r="X68" s="93"/>
      <c r="Y68" s="93"/>
      <c r="Z68" s="93"/>
      <c r="AA68" s="93"/>
      <c r="AB68" s="93"/>
      <c r="AC68" s="93"/>
      <c r="AK68" s="31"/>
    </row>
    <row r="69" spans="1:37" ht="14.25" x14ac:dyDescent="0.2">
      <c r="A69" s="37"/>
      <c r="B69" s="115"/>
      <c r="C69" s="115"/>
      <c r="D69" s="115"/>
      <c r="E69" s="115"/>
      <c r="F69" s="115"/>
      <c r="G69" s="93"/>
      <c r="H69" s="93"/>
      <c r="I69" s="93"/>
      <c r="J69" s="93"/>
      <c r="K69" s="93"/>
      <c r="L69" s="93"/>
      <c r="M69" s="93"/>
      <c r="N69" s="93"/>
      <c r="O69" s="93"/>
      <c r="P69" s="93"/>
      <c r="Q69" s="93"/>
      <c r="R69" s="93"/>
      <c r="S69" s="93"/>
      <c r="T69" s="93"/>
      <c r="U69" s="93"/>
      <c r="V69" s="93"/>
      <c r="W69" s="93"/>
      <c r="X69" s="93"/>
      <c r="Y69" s="93"/>
      <c r="Z69" s="93"/>
      <c r="AA69" s="93"/>
      <c r="AB69" s="93"/>
      <c r="AC69" s="93"/>
      <c r="AK69" s="31"/>
    </row>
  </sheetData>
  <sheetProtection formatCells="0" formatColumns="0" formatRows="0"/>
  <protectedRanges>
    <protectedRange sqref="E5" name="Range1"/>
  </protectedRanges>
  <customSheetViews>
    <customSheetView guid="{5EB6DE45-64D9-4581-AE55-A519683B64F2}" hiddenRows="1" hiddenColumns="1">
      <selection activeCell="Z41" sqref="Z41"/>
      <pageMargins left="0.7" right="0.7" top="0.75" bottom="0.75" header="0.3" footer="0.3"/>
      <pageSetup paperSize="9" orientation="portrait" r:id="rId1"/>
    </customSheetView>
  </customSheetViews>
  <mergeCells count="13">
    <mergeCell ref="H66:AC66"/>
    <mergeCell ref="H2:AC2"/>
    <mergeCell ref="H36:AC36"/>
    <mergeCell ref="H4:AC4"/>
    <mergeCell ref="U6:Y6"/>
    <mergeCell ref="U38:Y38"/>
    <mergeCell ref="AA6:AC6"/>
    <mergeCell ref="AA38:AC38"/>
    <mergeCell ref="C2:F2"/>
    <mergeCell ref="C5:E9"/>
    <mergeCell ref="F5:F9"/>
    <mergeCell ref="C34:F35"/>
    <mergeCell ref="C36:F36"/>
  </mergeCells>
  <hyperlinks>
    <hyperlink ref="C36:F36" r:id="rId2" display="CONTACT US" xr:uid="{1A6FDD46-A821-440F-A3F8-42D6CB6880AE}"/>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7585" r:id="rId6"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4"/>
  <sheetViews>
    <sheetView topLeftCell="C27" zoomScale="110" zoomScaleNormal="110" workbookViewId="0">
      <selection activeCell="AD56" sqref="AD56"/>
    </sheetView>
  </sheetViews>
  <sheetFormatPr defaultColWidth="0" defaultRowHeight="14.25" zeroHeight="1" x14ac:dyDescent="0.2"/>
  <cols>
    <col min="1" max="1" width="20.5703125" style="87" customWidth="1"/>
    <col min="2" max="2" width="2.85546875" style="87" customWidth="1"/>
    <col min="3" max="3" width="45.42578125" style="66" customWidth="1"/>
    <col min="4" max="4" width="9.140625" style="66" customWidth="1"/>
    <col min="5" max="5" width="14.28515625" style="67" customWidth="1"/>
    <col min="6" max="6" width="9.140625" style="67" customWidth="1"/>
    <col min="7" max="7" width="30.42578125" style="67" customWidth="1"/>
    <col min="8" max="8" width="29.85546875" style="67" bestFit="1" customWidth="1"/>
    <col min="9" max="19" width="12.7109375" style="67" hidden="1" customWidth="1"/>
    <col min="20" max="20" width="12.7109375" style="67" customWidth="1"/>
    <col min="21" max="25" width="12.7109375" style="67" hidden="1" customWidth="1"/>
    <col min="26" max="30" width="12.7109375" style="67" customWidth="1"/>
    <col min="31" max="31" width="8.5703125" style="125" customWidth="1"/>
    <col min="32" max="34" width="10.5703125" style="67" hidden="1" customWidth="1"/>
    <col min="35" max="35" width="23" style="68" hidden="1" customWidth="1"/>
    <col min="36" max="37" width="9.140625" style="67" hidden="1" customWidth="1"/>
    <col min="38" max="40" width="20.5703125" style="67" hidden="1" customWidth="1"/>
    <col min="41" max="16384" width="9.140625" style="67" hidden="1"/>
  </cols>
  <sheetData>
    <row r="1" spans="1:35" s="125" customFormat="1" x14ac:dyDescent="0.2">
      <c r="A1" s="123"/>
      <c r="B1" s="123"/>
      <c r="C1" s="124"/>
      <c r="D1" s="124"/>
      <c r="AI1" s="126"/>
    </row>
    <row r="2" spans="1:35" ht="18" x14ac:dyDescent="0.2">
      <c r="B2" s="123"/>
      <c r="C2" s="543" t="s">
        <v>127</v>
      </c>
      <c r="D2" s="543"/>
      <c r="E2" s="543"/>
      <c r="G2" s="543" t="s">
        <v>127</v>
      </c>
      <c r="H2" s="543"/>
      <c r="I2" s="543"/>
      <c r="J2" s="543"/>
      <c r="K2" s="543"/>
      <c r="L2" s="543"/>
      <c r="M2" s="543"/>
      <c r="N2" s="543"/>
      <c r="O2" s="543"/>
      <c r="P2" s="543"/>
      <c r="Q2" s="543"/>
      <c r="R2" s="543"/>
      <c r="S2" s="543"/>
      <c r="T2" s="543"/>
      <c r="U2" s="543"/>
      <c r="V2" s="543"/>
      <c r="W2" s="543"/>
      <c r="X2" s="543"/>
      <c r="Y2" s="543"/>
      <c r="Z2" s="543"/>
      <c r="AA2" s="543"/>
      <c r="AB2" s="543"/>
      <c r="AC2" s="543"/>
      <c r="AD2" s="543"/>
    </row>
    <row r="3" spans="1:35" x14ac:dyDescent="0.2">
      <c r="B3" s="123"/>
      <c r="C3" s="124"/>
      <c r="D3" s="124"/>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row>
    <row r="4" spans="1:35" ht="18" x14ac:dyDescent="0.25">
      <c r="B4" s="123"/>
      <c r="C4" s="499" t="s">
        <v>609</v>
      </c>
      <c r="D4" s="500"/>
      <c r="E4" s="501">
        <v>3</v>
      </c>
      <c r="G4" s="544" t="s">
        <v>128</v>
      </c>
      <c r="H4" s="544"/>
      <c r="I4" s="544"/>
      <c r="J4" s="544"/>
      <c r="K4" s="544"/>
      <c r="L4" s="544"/>
      <c r="M4" s="544"/>
      <c r="N4" s="544"/>
      <c r="O4" s="544"/>
      <c r="P4" s="544"/>
      <c r="Q4" s="544"/>
      <c r="R4" s="544"/>
      <c r="S4" s="544"/>
      <c r="T4" s="544"/>
      <c r="U4" s="544"/>
      <c r="V4" s="544"/>
      <c r="W4" s="544"/>
      <c r="X4" s="544"/>
      <c r="Y4" s="544"/>
      <c r="Z4" s="544"/>
      <c r="AA4" s="544"/>
      <c r="AB4" s="544"/>
      <c r="AC4" s="544"/>
      <c r="AD4" s="544"/>
    </row>
    <row r="5" spans="1:35" ht="15" customHeight="1" x14ac:dyDescent="0.2">
      <c r="B5" s="123"/>
      <c r="C5" s="545" t="s">
        <v>129</v>
      </c>
      <c r="D5" s="545"/>
      <c r="E5" s="545"/>
      <c r="F5" s="125"/>
      <c r="G5" s="155"/>
      <c r="H5" s="155"/>
      <c r="I5" s="155"/>
      <c r="J5" s="155"/>
      <c r="K5" s="155"/>
      <c r="L5" s="155"/>
      <c r="M5" s="155"/>
      <c r="N5" s="155"/>
      <c r="O5" s="155"/>
      <c r="P5" s="155"/>
      <c r="Q5" s="155"/>
      <c r="R5" s="155"/>
      <c r="S5" s="155"/>
      <c r="T5" s="549"/>
      <c r="U5" s="549"/>
      <c r="V5" s="549"/>
      <c r="W5" s="549"/>
      <c r="X5" s="549"/>
      <c r="Y5" s="549"/>
      <c r="Z5" s="549"/>
      <c r="AA5" s="155"/>
      <c r="AB5" s="155"/>
      <c r="AC5" s="155"/>
      <c r="AD5" s="155"/>
    </row>
    <row r="6" spans="1:35" ht="14.45" customHeight="1" x14ac:dyDescent="0.2">
      <c r="B6" s="123"/>
      <c r="C6" s="545"/>
      <c r="D6" s="545"/>
      <c r="E6" s="545"/>
      <c r="F6" s="125"/>
      <c r="G6" s="546" t="s">
        <v>130</v>
      </c>
      <c r="H6" s="546" t="s">
        <v>131</v>
      </c>
      <c r="I6" s="547" t="s">
        <v>121</v>
      </c>
      <c r="J6" s="547"/>
      <c r="K6" s="547"/>
      <c r="L6" s="547"/>
      <c r="M6" s="547"/>
      <c r="N6" s="547"/>
      <c r="O6" s="547"/>
      <c r="P6" s="547"/>
      <c r="Q6" s="547"/>
      <c r="R6" s="150" t="s">
        <v>132</v>
      </c>
      <c r="S6" s="150" t="s">
        <v>132</v>
      </c>
      <c r="T6" s="150" t="s">
        <v>132</v>
      </c>
      <c r="U6" s="150" t="s">
        <v>132</v>
      </c>
      <c r="V6" s="150" t="s">
        <v>132</v>
      </c>
      <c r="W6" s="150" t="s">
        <v>132</v>
      </c>
      <c r="X6" s="150" t="s">
        <v>132</v>
      </c>
      <c r="Y6" s="150" t="s">
        <v>132</v>
      </c>
      <c r="Z6" s="150" t="s">
        <v>133</v>
      </c>
      <c r="AA6" s="548" t="s">
        <v>7</v>
      </c>
      <c r="AB6" s="548"/>
      <c r="AC6" s="548"/>
      <c r="AD6" s="548"/>
    </row>
    <row r="7" spans="1:35" ht="15" customHeight="1" x14ac:dyDescent="0.2">
      <c r="B7" s="292"/>
      <c r="C7" s="545"/>
      <c r="D7" s="545"/>
      <c r="E7" s="545"/>
      <c r="F7" s="125"/>
      <c r="G7" s="546"/>
      <c r="H7" s="546"/>
      <c r="I7" s="127">
        <v>2005</v>
      </c>
      <c r="J7" s="127">
        <v>2006</v>
      </c>
      <c r="K7" s="127">
        <v>2007</v>
      </c>
      <c r="L7" s="127">
        <v>2008</v>
      </c>
      <c r="M7" s="127">
        <v>2009</v>
      </c>
      <c r="N7" s="127">
        <v>2010</v>
      </c>
      <c r="O7" s="127">
        <v>2011</v>
      </c>
      <c r="P7" s="127">
        <v>2012</v>
      </c>
      <c r="Q7" s="127">
        <v>2013</v>
      </c>
      <c r="R7" s="127">
        <v>2014</v>
      </c>
      <c r="S7" s="127">
        <v>2015</v>
      </c>
      <c r="T7" s="127">
        <v>2016</v>
      </c>
      <c r="U7" s="127">
        <v>2017</v>
      </c>
      <c r="V7" s="127">
        <v>2018</v>
      </c>
      <c r="W7" s="127">
        <v>2019</v>
      </c>
      <c r="X7" s="127">
        <v>2020</v>
      </c>
      <c r="Y7" s="127">
        <v>2021</v>
      </c>
      <c r="Z7" s="281">
        <v>2022</v>
      </c>
      <c r="AA7" s="281">
        <v>2023</v>
      </c>
      <c r="AB7" s="127">
        <v>2024</v>
      </c>
      <c r="AC7" s="127">
        <v>2025</v>
      </c>
      <c r="AD7" s="127">
        <v>2026</v>
      </c>
    </row>
    <row r="8" spans="1:35" ht="15" customHeight="1" x14ac:dyDescent="0.2">
      <c r="A8" s="88" t="s">
        <v>505</v>
      </c>
      <c r="B8" s="292"/>
      <c r="C8" s="545"/>
      <c r="D8" s="545"/>
      <c r="E8" s="545"/>
      <c r="F8" s="125"/>
      <c r="G8" s="312" t="s">
        <v>504</v>
      </c>
      <c r="H8" s="313" t="s">
        <v>134</v>
      </c>
      <c r="I8" s="156" t="e" cm="1">
        <f t="array" ref="I8">_xlfn.XLOOKUP(1, ('0. GUIDELINES'!$E$3='[1]input-labor'!$A:$A) * (I$7='[1]input-labor'!$B:$B) * ($A8='[1]input-labor'!$C:$C) * ($E$4='[1]input-labor'!$G:$G), '[1]input-labor'!$D:$D)</f>
        <v>#N/A</v>
      </c>
      <c r="J8" s="156" t="e" cm="1">
        <f t="array" ref="J8">_xlfn.XLOOKUP(1, ('0. GUIDELINES'!$E$3='[1]input-labor'!$A:$A) * (J$7='[1]input-labor'!$B:$B) * ($A8='[1]input-labor'!$C:$C) * ($E$4='[1]input-labor'!$G:$G), '[1]input-labor'!$D:$D)</f>
        <v>#N/A</v>
      </c>
      <c r="K8" s="156" t="e" cm="1">
        <f t="array" ref="K8">_xlfn.XLOOKUP(1, ('0. GUIDELINES'!$E$3='[1]input-labor'!$A:$A) * (K$7='[1]input-labor'!$B:$B) * ($A8='[1]input-labor'!$C:$C) * ($E$4='[1]input-labor'!$G:$G), '[1]input-labor'!$D:$D)</f>
        <v>#N/A</v>
      </c>
      <c r="L8" s="156" t="e" cm="1">
        <f t="array" ref="L8">_xlfn.XLOOKUP(1, ('0. GUIDELINES'!$E$3='[1]input-labor'!$A:$A) * (L$7='[1]input-labor'!$B:$B) * ($A8='[1]input-labor'!$C:$C) * ($E$4='[1]input-labor'!$G:$G), '[1]input-labor'!$D:$D)</f>
        <v>#N/A</v>
      </c>
      <c r="M8" s="156" t="e" cm="1">
        <f t="array" ref="M8">_xlfn.XLOOKUP(1, ('0. GUIDELINES'!$E$3='[1]input-labor'!$A:$A) * (M$7='[1]input-labor'!$B:$B) * ($A8='[1]input-labor'!$C:$C) * ($E$4='[1]input-labor'!$G:$G), '[1]input-labor'!$D:$D)</f>
        <v>#N/A</v>
      </c>
      <c r="N8" s="156" t="e" cm="1">
        <f t="array" ref="N8">_xlfn.XLOOKUP(1, ('0. GUIDELINES'!$E$3='[1]input-labor'!$A:$A) * (N$7='[1]input-labor'!$B:$B) * ($A8='[1]input-labor'!$C:$C) * ($E$4='[1]input-labor'!$G:$G), '[1]input-labor'!$D:$D)</f>
        <v>#N/A</v>
      </c>
      <c r="O8" s="156" t="e" cm="1">
        <f t="array" ref="O8">_xlfn.XLOOKUP(1, ('0. GUIDELINES'!$E$3='[1]input-labor'!$A:$A) * (O$7='[1]input-labor'!$B:$B) * ($A8='[1]input-labor'!$C:$C) * ($E$4='[1]input-labor'!$G:$G), '[1]input-labor'!$D:$D)</f>
        <v>#N/A</v>
      </c>
      <c r="P8" s="156" t="e" cm="1">
        <f t="array" ref="P8">_xlfn.XLOOKUP(1, ('0. GUIDELINES'!$E$3='[1]input-labor'!$A:$A) * (P$7='[1]input-labor'!$B:$B) * ($A8='[1]input-labor'!$C:$C) * ($E$4='[1]input-labor'!$G:$G), '[1]input-labor'!$D:$D)</f>
        <v>#N/A</v>
      </c>
      <c r="Q8" s="156" t="e" cm="1">
        <f t="array" ref="Q8">_xlfn.XLOOKUP(1, ('0. GUIDELINES'!$E$3='[1]input-labor'!$A:$A) * (Q$7='[1]input-labor'!$B:$B) * ($A8='[1]input-labor'!$C:$C) * ($E$4='[1]input-labor'!$G:$G), '[1]input-labor'!$D:$D)</f>
        <v>#N/A</v>
      </c>
      <c r="R8" s="156" t="e" cm="1">
        <f t="array" ref="R8">_xlfn.XLOOKUP(1, ('0. GUIDELINES'!$E$3='[1]input-labor'!$A:$A) * (R$7='[1]input-labor'!$B:$B) * ($A8='[1]input-labor'!$C:$C) * ($E$4='[1]input-labor'!$G:$G), '[1]input-labor'!$D:$D)</f>
        <v>#N/A</v>
      </c>
      <c r="S8" s="156" t="e" cm="1">
        <f t="array" ref="S8">_xlfn.XLOOKUP(1, ('0. GUIDELINES'!$E$3='[1]input-labor'!$A:$A) * (S$7='[1]input-labor'!$B:$B) * ($A8='[1]input-labor'!$C:$C) * ($E$4='[1]input-labor'!$G:$G), '[1]input-labor'!$D:$D)</f>
        <v>#N/A</v>
      </c>
      <c r="T8" s="156" cm="1">
        <f t="array" ref="T8">_xlfn.XLOOKUP(1, ('0. GUIDELINES'!$E$3='[1]input-labor'!$A:$A) * (T$7='[1]input-labor'!$B:$B) * ($A8='[1]input-labor'!$C:$C) * ($E$4='[1]input-labor'!$G:$G), '[1]input-labor'!$D:$D)</f>
        <v>108098696</v>
      </c>
      <c r="U8" s="156" t="e" cm="1">
        <f t="array" ref="U8">_xlfn.XLOOKUP(1, ('0. GUIDELINES'!$E$3='[1]input-labor'!$A:$A) * (U$7='[1]input-labor'!$B:$B) * ($A8='[1]input-labor'!$C:$C) * ($E$4='[1]input-labor'!$G:$G), '[1]input-labor'!$D:$D)</f>
        <v>#N/A</v>
      </c>
      <c r="V8" s="156" t="e" cm="1">
        <f t="array" ref="V8">_xlfn.XLOOKUP(1, ('0. GUIDELINES'!$E$3='[1]input-labor'!$A:$A) * (V$7='[1]input-labor'!$B:$B) * ($A8='[1]input-labor'!$C:$C) * ($E$4='[1]input-labor'!$G:$G), '[1]input-labor'!$D:$D)</f>
        <v>#N/A</v>
      </c>
      <c r="W8" s="156" t="e" cm="1">
        <f t="array" ref="W8">_xlfn.XLOOKUP(1, ('0. GUIDELINES'!$E$3='[1]input-labor'!$A:$A) * (W$7='[1]input-labor'!$B:$B) * ($A8='[1]input-labor'!$C:$C) * ($E$4='[1]input-labor'!$G:$G), '[1]input-labor'!$D:$D)</f>
        <v>#N/A</v>
      </c>
      <c r="X8" s="156" t="e" cm="1">
        <f t="array" ref="X8">_xlfn.XLOOKUP(1, ('0. GUIDELINES'!$E$3='[1]input-labor'!$A:$A) * (X$7='[1]input-labor'!$B:$B) * ($A8='[1]input-labor'!$C:$C) * ($E$4='[1]input-labor'!$G:$G), '[1]input-labor'!$D:$D)</f>
        <v>#N/A</v>
      </c>
      <c r="Y8" s="156" t="e" cm="1">
        <f t="array" ref="Y8">_xlfn.XLOOKUP(1, ('0. GUIDELINES'!$E$3='[1]input-labor'!$A:$A) * (Y$7='[1]input-labor'!$B:$B) * ($A8='[1]input-labor'!$C:$C) * ($E$4='[1]input-labor'!$G:$G), '[1]input-labor'!$D:$D)</f>
        <v>#N/A</v>
      </c>
      <c r="Z8" s="156" cm="1">
        <f t="array" ref="Z8">_xlfn.XLOOKUP(1, ('0. GUIDELINES'!$E$3='[1]input-labor'!$A:$A) * (Z$7='[1]input-labor'!$B:$B) * ($A8='[1]input-labor'!$C:$C) * ($E$4='[1]input-labor'!$G:$G), '[1]input-labor'!$D:$D)</f>
        <v>119100760</v>
      </c>
      <c r="AA8" s="144">
        <f>Z8*(1+'1. GDP'!Z62/100)</f>
        <v>121047007.58216773</v>
      </c>
      <c r="AB8" s="144">
        <f>AA8*(1+'1. GDP'!AA62/100)</f>
        <v>122908424.48011462</v>
      </c>
      <c r="AC8" s="144">
        <f>AB8*(1+'1. GDP'!AB62/100)</f>
        <v>124678939.84384167</v>
      </c>
      <c r="AD8" s="144">
        <f>AC8*(1+'1. GDP'!AC62/100)</f>
        <v>126362357.37414922</v>
      </c>
    </row>
    <row r="9" spans="1:35" ht="14.45" customHeight="1" x14ac:dyDescent="0.2">
      <c r="A9" s="88"/>
      <c r="B9" s="292"/>
      <c r="C9" s="550" t="s">
        <v>135</v>
      </c>
      <c r="D9" s="550"/>
      <c r="E9" s="551"/>
      <c r="F9" s="125"/>
      <c r="G9" s="314" t="s">
        <v>17</v>
      </c>
      <c r="H9" s="313" t="s">
        <v>136</v>
      </c>
      <c r="I9" s="156" t="e">
        <f t="shared" ref="I9:Y9" si="0">+I11+I12</f>
        <v>#N/A</v>
      </c>
      <c r="J9" s="156" t="e">
        <f t="shared" si="0"/>
        <v>#N/A</v>
      </c>
      <c r="K9" s="156" t="e">
        <f t="shared" si="0"/>
        <v>#N/A</v>
      </c>
      <c r="L9" s="156" t="e">
        <f t="shared" si="0"/>
        <v>#N/A</v>
      </c>
      <c r="M9" s="156" t="e">
        <f t="shared" si="0"/>
        <v>#N/A</v>
      </c>
      <c r="N9" s="156" t="e">
        <f t="shared" si="0"/>
        <v>#N/A</v>
      </c>
      <c r="O9" s="156" t="e">
        <f t="shared" si="0"/>
        <v>#N/A</v>
      </c>
      <c r="P9" s="156" t="e">
        <f t="shared" si="0"/>
        <v>#N/A</v>
      </c>
      <c r="Q9" s="156" t="e">
        <f t="shared" si="0"/>
        <v>#N/A</v>
      </c>
      <c r="R9" s="156" t="e">
        <f t="shared" si="0"/>
        <v>#N/A</v>
      </c>
      <c r="S9" s="156" t="e">
        <f t="shared" si="0"/>
        <v>#N/A</v>
      </c>
      <c r="T9" s="156">
        <f t="shared" si="0"/>
        <v>51530250</v>
      </c>
      <c r="U9" s="156" t="e">
        <f t="shared" si="0"/>
        <v>#N/A</v>
      </c>
      <c r="V9" s="156" t="e">
        <f t="shared" si="0"/>
        <v>#N/A</v>
      </c>
      <c r="W9" s="156" t="e">
        <f t="shared" si="0"/>
        <v>#N/A</v>
      </c>
      <c r="X9" s="156" t="e">
        <f t="shared" si="0"/>
        <v>#N/A</v>
      </c>
      <c r="Y9" s="156" t="e">
        <f t="shared" si="0"/>
        <v>#N/A</v>
      </c>
      <c r="Z9" s="156">
        <f>+Z11+Z12</f>
        <v>60583258</v>
      </c>
      <c r="AA9" s="144">
        <f>Z9*(1+'GROWTH RATES'!X8/100)</f>
        <v>60478295.52307301</v>
      </c>
      <c r="AB9" s="144">
        <f>AA9*(1+'GROWTH RATES'!Y8/100)</f>
        <v>59847173.830921531</v>
      </c>
      <c r="AC9" s="144">
        <f>AB9*(1+'GROWTH RATES'!Z8/100)</f>
        <v>59492453.813156523</v>
      </c>
      <c r="AD9" s="144">
        <f>AC9*(1+'GROWTH RATES'!AA8/100)</f>
        <v>61282184.07270091</v>
      </c>
    </row>
    <row r="10" spans="1:35" ht="15.6" customHeight="1" x14ac:dyDescent="0.2">
      <c r="A10" s="87" t="s">
        <v>506</v>
      </c>
      <c r="B10" s="292"/>
      <c r="C10" s="550"/>
      <c r="D10" s="550"/>
      <c r="E10" s="551"/>
      <c r="F10" s="125"/>
      <c r="G10" s="314" t="s">
        <v>19</v>
      </c>
      <c r="H10" s="313" t="s">
        <v>137</v>
      </c>
      <c r="I10" s="156" t="e" cm="1">
        <f t="array" ref="I10">_xlfn.XLOOKUP(1, ('0. GUIDELINES'!$E$3='[1]input-labor'!$A:$A) * (I$7='[1]input-labor'!$B:$B) * ($A10='[1]input-labor'!$C:$C) * ($E$4='[1]input-labor'!$G:$G), '[1]input-labor'!$D:$D)</f>
        <v>#N/A</v>
      </c>
      <c r="J10" s="156" t="e" cm="1">
        <f t="array" ref="J10">_xlfn.XLOOKUP(1, ('0. GUIDELINES'!$E$3='[1]input-labor'!$A:$A) * (J$7='[1]input-labor'!$B:$B) * ($A10='[1]input-labor'!$C:$C) * ($E$4='[1]input-labor'!$G:$G), '[1]input-labor'!$D:$D)</f>
        <v>#N/A</v>
      </c>
      <c r="K10" s="156" t="e" cm="1">
        <f t="array" ref="K10">_xlfn.XLOOKUP(1, ('0. GUIDELINES'!$E$3='[1]input-labor'!$A:$A) * (K$7='[1]input-labor'!$B:$B) * ($A10='[1]input-labor'!$C:$C) * ($E$4='[1]input-labor'!$G:$G), '[1]input-labor'!$D:$D)</f>
        <v>#N/A</v>
      </c>
      <c r="L10" s="156" t="e" cm="1">
        <f t="array" ref="L10">_xlfn.XLOOKUP(1, ('0. GUIDELINES'!$E$3='[1]input-labor'!$A:$A) * (L$7='[1]input-labor'!$B:$B) * ($A10='[1]input-labor'!$C:$C) * ($E$4='[1]input-labor'!$G:$G), '[1]input-labor'!$D:$D)</f>
        <v>#N/A</v>
      </c>
      <c r="M10" s="156" t="e" cm="1">
        <f t="array" ref="M10">_xlfn.XLOOKUP(1, ('0. GUIDELINES'!$E$3='[1]input-labor'!$A:$A) * (M$7='[1]input-labor'!$B:$B) * ($A10='[1]input-labor'!$C:$C) * ($E$4='[1]input-labor'!$G:$G), '[1]input-labor'!$D:$D)</f>
        <v>#N/A</v>
      </c>
      <c r="N10" s="156" t="e" cm="1">
        <f t="array" ref="N10">_xlfn.XLOOKUP(1, ('0. GUIDELINES'!$E$3='[1]input-labor'!$A:$A) * (N$7='[1]input-labor'!$B:$B) * ($A10='[1]input-labor'!$C:$C) * ($E$4='[1]input-labor'!$G:$G), '[1]input-labor'!$D:$D)</f>
        <v>#N/A</v>
      </c>
      <c r="O10" s="156" t="e" cm="1">
        <f t="array" ref="O10">_xlfn.XLOOKUP(1, ('0. GUIDELINES'!$E$3='[1]input-labor'!$A:$A) * (O$7='[1]input-labor'!$B:$B) * ($A10='[1]input-labor'!$C:$C) * ($E$4='[1]input-labor'!$G:$G), '[1]input-labor'!$D:$D)</f>
        <v>#N/A</v>
      </c>
      <c r="P10" s="156" t="e" cm="1">
        <f t="array" ref="P10">_xlfn.XLOOKUP(1, ('0. GUIDELINES'!$E$3='[1]input-labor'!$A:$A) * (P$7='[1]input-labor'!$B:$B) * ($A10='[1]input-labor'!$C:$C) * ($E$4='[1]input-labor'!$G:$G), '[1]input-labor'!$D:$D)</f>
        <v>#N/A</v>
      </c>
      <c r="Q10" s="156" t="e" cm="1">
        <f t="array" ref="Q10">_xlfn.XLOOKUP(1, ('0. GUIDELINES'!$E$3='[1]input-labor'!$A:$A) * (Q$7='[1]input-labor'!$B:$B) * ($A10='[1]input-labor'!$C:$C) * ($E$4='[1]input-labor'!$G:$G), '[1]input-labor'!$D:$D)</f>
        <v>#N/A</v>
      </c>
      <c r="R10" s="156" t="e" cm="1">
        <f t="array" ref="R10">_xlfn.XLOOKUP(1, ('0. GUIDELINES'!$E$3='[1]input-labor'!$A:$A) * (R$7='[1]input-labor'!$B:$B) * ($A10='[1]input-labor'!$C:$C) * ($E$4='[1]input-labor'!$G:$G), '[1]input-labor'!$D:$D)</f>
        <v>#N/A</v>
      </c>
      <c r="S10" s="156" t="e" cm="1">
        <f t="array" ref="S10">_xlfn.XLOOKUP(1, ('0. GUIDELINES'!$E$3='[1]input-labor'!$A:$A) * (S$7='[1]input-labor'!$B:$B) * ($A10='[1]input-labor'!$C:$C) * ($E$4='[1]input-labor'!$G:$G), '[1]input-labor'!$D:$D)</f>
        <v>#N/A</v>
      </c>
      <c r="T10" s="156" cm="1">
        <f t="array" ref="T10">_xlfn.XLOOKUP(1, ('0. GUIDELINES'!$E$3='[1]input-labor'!$A:$A) * (T$7='[1]input-labor'!$B:$B) * ($A10='[1]input-labor'!$C:$C) * ($E$4='[1]input-labor'!$G:$G), '[1]input-labor'!$D:$D)</f>
        <v>56123900</v>
      </c>
      <c r="U10" s="156" t="e" cm="1">
        <f t="array" ref="U10">_xlfn.XLOOKUP(1, ('0. GUIDELINES'!$E$3='[1]input-labor'!$A:$A) * (U$7='[1]input-labor'!$B:$B) * ($A10='[1]input-labor'!$C:$C) * ($E$4='[1]input-labor'!$G:$G), '[1]input-labor'!$D:$D)</f>
        <v>#N/A</v>
      </c>
      <c r="V10" s="156" t="e" cm="1">
        <f t="array" ref="V10">_xlfn.XLOOKUP(1, ('0. GUIDELINES'!$E$3='[1]input-labor'!$A:$A) * (V$7='[1]input-labor'!$B:$B) * ($A10='[1]input-labor'!$C:$C) * ($E$4='[1]input-labor'!$G:$G), '[1]input-labor'!$D:$D)</f>
        <v>#N/A</v>
      </c>
      <c r="W10" s="156" t="e" cm="1">
        <f t="array" ref="W10">_xlfn.XLOOKUP(1, ('0. GUIDELINES'!$E$3='[1]input-labor'!$A:$A) * (W$7='[1]input-labor'!$B:$B) * ($A10='[1]input-labor'!$C:$C) * ($E$4='[1]input-labor'!$G:$G), '[1]input-labor'!$D:$D)</f>
        <v>#N/A</v>
      </c>
      <c r="X10" s="156" t="e" cm="1">
        <f t="array" ref="X10">_xlfn.XLOOKUP(1, ('0. GUIDELINES'!$E$3='[1]input-labor'!$A:$A) * (X$7='[1]input-labor'!$B:$B) * ($A10='[1]input-labor'!$C:$C) * ($E$4='[1]input-labor'!$G:$G), '[1]input-labor'!$D:$D)</f>
        <v>#N/A</v>
      </c>
      <c r="Y10" s="156" t="e" cm="1">
        <f t="array" ref="Y10">_xlfn.XLOOKUP(1, ('0. GUIDELINES'!$E$3='[1]input-labor'!$A:$A) * (Y$7='[1]input-labor'!$B:$B) * ($A10='[1]input-labor'!$C:$C) * ($E$4='[1]input-labor'!$G:$G), '[1]input-labor'!$D:$D)</f>
        <v>#N/A</v>
      </c>
      <c r="Z10" s="156" cm="1">
        <f t="array" ref="Z10">_xlfn.XLOOKUP(1, ('0. GUIDELINES'!$E$3='[1]input-labor'!$A:$A) * (Z$7='[1]input-labor'!$B:$B) * ($A10='[1]input-labor'!$C:$C) * ($E$4='[1]input-labor'!$G:$G), '[1]input-labor'!$D:$D)</f>
        <v>58517504</v>
      </c>
      <c r="AA10" s="144">
        <f>AA8-AA9</f>
        <v>60568712.05909472</v>
      </c>
      <c r="AB10" s="144">
        <f t="shared" ref="AB10:AD10" si="1">AB8-AB9</f>
        <v>63061250.649193093</v>
      </c>
      <c r="AC10" s="144">
        <f t="shared" si="1"/>
        <v>65186486.030685149</v>
      </c>
      <c r="AD10" s="144">
        <f t="shared" si="1"/>
        <v>65080173.301448308</v>
      </c>
    </row>
    <row r="11" spans="1:35" ht="14.45" customHeight="1" x14ac:dyDescent="0.2">
      <c r="A11" s="88" t="s">
        <v>507</v>
      </c>
      <c r="B11" s="292"/>
      <c r="C11" s="552" t="s">
        <v>138</v>
      </c>
      <c r="D11" s="552"/>
      <c r="E11" s="128"/>
      <c r="F11" s="125"/>
      <c r="G11" s="314" t="s">
        <v>139</v>
      </c>
      <c r="H11" s="313" t="s">
        <v>404</v>
      </c>
      <c r="I11" s="156" t="e">
        <f t="shared" ref="I11:Y11" si="2">I14+I15+I18</f>
        <v>#N/A</v>
      </c>
      <c r="J11" s="156" t="e">
        <f t="shared" si="2"/>
        <v>#N/A</v>
      </c>
      <c r="K11" s="156" t="e">
        <f t="shared" si="2"/>
        <v>#N/A</v>
      </c>
      <c r="L11" s="156" t="e">
        <f t="shared" si="2"/>
        <v>#N/A</v>
      </c>
      <c r="M11" s="156" t="e">
        <f t="shared" si="2"/>
        <v>#N/A</v>
      </c>
      <c r="N11" s="156" t="e">
        <f t="shared" si="2"/>
        <v>#N/A</v>
      </c>
      <c r="O11" s="156" t="e">
        <f t="shared" si="2"/>
        <v>#N/A</v>
      </c>
      <c r="P11" s="156" t="e">
        <f t="shared" si="2"/>
        <v>#N/A</v>
      </c>
      <c r="Q11" s="156" t="e">
        <f t="shared" si="2"/>
        <v>#N/A</v>
      </c>
      <c r="R11" s="156" t="e">
        <f t="shared" si="2"/>
        <v>#N/A</v>
      </c>
      <c r="S11" s="156" t="e">
        <f t="shared" si="2"/>
        <v>#N/A</v>
      </c>
      <c r="T11" s="156">
        <f t="shared" si="2"/>
        <v>49928276.75</v>
      </c>
      <c r="U11" s="156" t="e">
        <f t="shared" si="2"/>
        <v>#N/A</v>
      </c>
      <c r="V11" s="156" t="e">
        <f t="shared" si="2"/>
        <v>#N/A</v>
      </c>
      <c r="W11" s="156" t="e">
        <f t="shared" si="2"/>
        <v>#N/A</v>
      </c>
      <c r="X11" s="156" t="e">
        <f t="shared" si="2"/>
        <v>#N/A</v>
      </c>
      <c r="Y11" s="156" t="e">
        <f t="shared" si="2"/>
        <v>#N/A</v>
      </c>
      <c r="Z11" s="156">
        <f>Z14+Z15+Z18</f>
        <v>58139384</v>
      </c>
      <c r="AA11" s="144">
        <f>AA14+AA15+AA18</f>
        <v>58308907.280985445</v>
      </c>
      <c r="AB11" s="144">
        <f>AB14+AB15+AB18</f>
        <v>57351649.656042606</v>
      </c>
      <c r="AC11" s="144">
        <f t="shared" ref="AC11:AD11" si="3">AC14+AC15+AC18</f>
        <v>56885830.550024509</v>
      </c>
      <c r="AD11" s="144">
        <f t="shared" si="3"/>
        <v>58758758.284920171</v>
      </c>
    </row>
    <row r="12" spans="1:35" ht="24" x14ac:dyDescent="0.2">
      <c r="A12" s="88" t="s">
        <v>508</v>
      </c>
      <c r="B12" s="125"/>
      <c r="C12" s="552"/>
      <c r="D12" s="552"/>
      <c r="E12" s="129" t="s">
        <v>140</v>
      </c>
      <c r="F12" s="311"/>
      <c r="G12" s="314" t="s">
        <v>23</v>
      </c>
      <c r="H12" s="315" t="s">
        <v>141</v>
      </c>
      <c r="I12" s="156" t="e" cm="1">
        <f t="array" ref="I12">_xlfn.XLOOKUP(1, ('0. GUIDELINES'!$E$3='[1]input-labor'!$A:$A) * (I$7='[1]input-labor'!$B:$B) * ($A12='[1]input-labor'!$C:$C), '[1]input-labor'!$D:$D)</f>
        <v>#N/A</v>
      </c>
      <c r="J12" s="156" t="e" cm="1">
        <f t="array" ref="J12">_xlfn.XLOOKUP(1, ('0. GUIDELINES'!$E$3='[1]input-labor'!$A:$A) * (J$7='[1]input-labor'!$B:$B) * ($A12='[1]input-labor'!$C:$C), '[1]input-labor'!$D:$D)</f>
        <v>#N/A</v>
      </c>
      <c r="K12" s="156" t="e" cm="1">
        <f t="array" ref="K12">_xlfn.XLOOKUP(1, ('0. GUIDELINES'!$E$3='[1]input-labor'!$A:$A) * (K$7='[1]input-labor'!$B:$B) * ($A12='[1]input-labor'!$C:$C), '[1]input-labor'!$D:$D)</f>
        <v>#N/A</v>
      </c>
      <c r="L12" s="156" t="e" cm="1">
        <f t="array" ref="L12">_xlfn.XLOOKUP(1, ('0. GUIDELINES'!$E$3='[1]input-labor'!$A:$A) * (L$7='[1]input-labor'!$B:$B) * ($A12='[1]input-labor'!$C:$C), '[1]input-labor'!$D:$D)</f>
        <v>#N/A</v>
      </c>
      <c r="M12" s="156" t="e" cm="1">
        <f t="array" ref="M12">_xlfn.XLOOKUP(1, ('0. GUIDELINES'!$E$3='[1]input-labor'!$A:$A) * (M$7='[1]input-labor'!$B:$B) * ($A12='[1]input-labor'!$C:$C), '[1]input-labor'!$D:$D)</f>
        <v>#N/A</v>
      </c>
      <c r="N12" s="156" t="e" cm="1">
        <f t="array" ref="N12">_xlfn.XLOOKUP(1, ('0. GUIDELINES'!$E$3='[1]input-labor'!$A:$A) * (N$7='[1]input-labor'!$B:$B) * ($A12='[1]input-labor'!$C:$C), '[1]input-labor'!$D:$D)</f>
        <v>#N/A</v>
      </c>
      <c r="O12" s="156" t="e" cm="1">
        <f t="array" ref="O12">_xlfn.XLOOKUP(1, ('0. GUIDELINES'!$E$3='[1]input-labor'!$A:$A) * (O$7='[1]input-labor'!$B:$B) * ($A12='[1]input-labor'!$C:$C), '[1]input-labor'!$D:$D)</f>
        <v>#N/A</v>
      </c>
      <c r="P12" s="156" t="e" cm="1">
        <f t="array" ref="P12">_xlfn.XLOOKUP(1, ('0. GUIDELINES'!$E$3='[1]input-labor'!$A:$A) * (P$7='[1]input-labor'!$B:$B) * ($A12='[1]input-labor'!$C:$C), '[1]input-labor'!$D:$D)</f>
        <v>#N/A</v>
      </c>
      <c r="Q12" s="156" t="e" cm="1">
        <f t="array" ref="Q12">_xlfn.XLOOKUP(1, ('0. GUIDELINES'!$E$3='[1]input-labor'!$A:$A) * (Q$7='[1]input-labor'!$B:$B) * ($A12='[1]input-labor'!$C:$C), '[1]input-labor'!$D:$D)</f>
        <v>#N/A</v>
      </c>
      <c r="R12" s="156" t="e" cm="1">
        <f t="array" ref="R12">_xlfn.XLOOKUP(1, ('0. GUIDELINES'!$E$3='[1]input-labor'!$A:$A) * (R$7='[1]input-labor'!$B:$B) * ($A12='[1]input-labor'!$C:$C), '[1]input-labor'!$D:$D)</f>
        <v>#N/A</v>
      </c>
      <c r="S12" s="156" t="e" cm="1">
        <f t="array" ref="S12">_xlfn.XLOOKUP(1, ('0. GUIDELINES'!$E$3='[1]input-labor'!$A:$A) * (S$7='[1]input-labor'!$B:$B) * ($A12='[1]input-labor'!$C:$C), '[1]input-labor'!$D:$D)</f>
        <v>#N/A</v>
      </c>
      <c r="T12" s="156" cm="1">
        <f t="array" ref="T12">_xlfn.XLOOKUP(1, ('0. GUIDELINES'!$E$3='[1]input-labor'!$A:$A) * (T$7='[1]input-labor'!$B:$B) * ($A12='[1]input-labor'!$C:$C), '[1]input-labor'!$D:$D)</f>
        <v>1601973.25</v>
      </c>
      <c r="U12" s="156" t="e" cm="1">
        <f t="array" ref="U12">_xlfn.XLOOKUP(1, ('0. GUIDELINES'!$E$3='[1]input-labor'!$A:$A) * (U$7='[1]input-labor'!$B:$B) * ($A12='[1]input-labor'!$C:$C), '[1]input-labor'!$D:$D)</f>
        <v>#N/A</v>
      </c>
      <c r="V12" s="156" t="e" cm="1">
        <f t="array" ref="V12">_xlfn.XLOOKUP(1, ('0. GUIDELINES'!$E$3='[1]input-labor'!$A:$A) * (V$7='[1]input-labor'!$B:$B) * ($A12='[1]input-labor'!$C:$C), '[1]input-labor'!$D:$D)</f>
        <v>#N/A</v>
      </c>
      <c r="W12" s="156" t="e" cm="1">
        <f t="array" ref="W12">_xlfn.XLOOKUP(1, ('0. GUIDELINES'!$E$3='[1]input-labor'!$A:$A) * (W$7='[1]input-labor'!$B:$B) * ($A12='[1]input-labor'!$C:$C), '[1]input-labor'!$D:$D)</f>
        <v>#N/A</v>
      </c>
      <c r="X12" s="156" t="e" cm="1">
        <f t="array" ref="X12">_xlfn.XLOOKUP(1, ('0. GUIDELINES'!$E$3='[1]input-labor'!$A:$A) * (X$7='[1]input-labor'!$B:$B) * ($A12='[1]input-labor'!$C:$C), '[1]input-labor'!$D:$D)</f>
        <v>#N/A</v>
      </c>
      <c r="Y12" s="156" t="e" cm="1">
        <f t="array" ref="Y12">_xlfn.XLOOKUP(1, ('0. GUIDELINES'!$E$3='[1]input-labor'!$A:$A) * (Y$7='[1]input-labor'!$B:$B) * ($A12='[1]input-labor'!$C:$C), '[1]input-labor'!$D:$D)</f>
        <v>#N/A</v>
      </c>
      <c r="Z12" s="156" cm="1">
        <f t="array" ref="Z12">_xlfn.XLOOKUP(1, ('0. GUIDELINES'!$E$3='[1]input-labor'!$A:$A) * (Z$7='[1]input-labor'!$B:$B) * ($A12='[1]input-labor'!$C:$C), '[1]input-labor'!$D:$D)</f>
        <v>2443874</v>
      </c>
      <c r="AA12" s="144">
        <f>AA9-AA11</f>
        <v>2169388.2420875654</v>
      </c>
      <c r="AB12" s="144">
        <f t="shared" ref="AB12:AC12" si="4">AB9-AB11</f>
        <v>2495524.1748789251</v>
      </c>
      <c r="AC12" s="144">
        <f t="shared" si="4"/>
        <v>2606623.2631320134</v>
      </c>
      <c r="AD12" s="144">
        <f>AD9-AD11</f>
        <v>2523425.7877807394</v>
      </c>
    </row>
    <row r="13" spans="1:35" ht="14.25" customHeight="1" x14ac:dyDescent="0.2">
      <c r="A13" s="67"/>
      <c r="B13" s="125"/>
      <c r="C13" s="552" t="s">
        <v>142</v>
      </c>
      <c r="D13" s="552"/>
      <c r="E13" s="128"/>
      <c r="F13" s="125"/>
      <c r="G13" s="316" t="s">
        <v>143</v>
      </c>
      <c r="H13" s="317"/>
      <c r="I13" s="156"/>
      <c r="J13" s="318"/>
      <c r="K13" s="318"/>
      <c r="L13" s="318"/>
      <c r="M13" s="318"/>
      <c r="N13" s="318"/>
      <c r="O13" s="318"/>
      <c r="P13" s="318"/>
      <c r="Q13" s="318"/>
      <c r="R13" s="318"/>
      <c r="S13" s="318"/>
      <c r="T13" s="318"/>
      <c r="U13" s="318"/>
      <c r="V13" s="318"/>
      <c r="W13" s="318"/>
      <c r="X13" s="318"/>
      <c r="Y13" s="318"/>
      <c r="Z13" s="318"/>
      <c r="AA13" s="144"/>
      <c r="AB13" s="144"/>
      <c r="AC13" s="144"/>
      <c r="AD13" s="144"/>
      <c r="AE13" s="332"/>
    </row>
    <row r="14" spans="1:35" ht="24" x14ac:dyDescent="0.2">
      <c r="B14" s="123"/>
      <c r="C14" s="552"/>
      <c r="D14" s="552"/>
      <c r="E14" s="129" t="s">
        <v>144</v>
      </c>
      <c r="F14" s="123"/>
      <c r="G14" s="319" t="s">
        <v>29</v>
      </c>
      <c r="H14" s="313" t="s">
        <v>405</v>
      </c>
      <c r="I14" s="156" t="e">
        <f t="shared" ref="I14:Y14" si="5">+I23+I24</f>
        <v>#N/A</v>
      </c>
      <c r="J14" s="156" t="e">
        <f t="shared" si="5"/>
        <v>#N/A</v>
      </c>
      <c r="K14" s="156" t="e">
        <f t="shared" si="5"/>
        <v>#N/A</v>
      </c>
      <c r="L14" s="156" t="e">
        <f t="shared" si="5"/>
        <v>#N/A</v>
      </c>
      <c r="M14" s="156" t="e">
        <f t="shared" si="5"/>
        <v>#N/A</v>
      </c>
      <c r="N14" s="156" t="e">
        <f t="shared" si="5"/>
        <v>#N/A</v>
      </c>
      <c r="O14" s="156" t="e">
        <f t="shared" si="5"/>
        <v>#N/A</v>
      </c>
      <c r="P14" s="156" t="e">
        <f t="shared" si="5"/>
        <v>#N/A</v>
      </c>
      <c r="Q14" s="156" t="e">
        <f t="shared" si="5"/>
        <v>#N/A</v>
      </c>
      <c r="R14" s="156" t="e">
        <f t="shared" si="5"/>
        <v>#N/A</v>
      </c>
      <c r="S14" s="156" t="e">
        <f t="shared" si="5"/>
        <v>#N/A</v>
      </c>
      <c r="T14" s="156">
        <f t="shared" si="5"/>
        <v>16534055.5</v>
      </c>
      <c r="U14" s="156" t="e">
        <f t="shared" si="5"/>
        <v>#N/A</v>
      </c>
      <c r="V14" s="156" t="e">
        <f t="shared" si="5"/>
        <v>#N/A</v>
      </c>
      <c r="W14" s="156" t="e">
        <f t="shared" si="5"/>
        <v>#N/A</v>
      </c>
      <c r="X14" s="156" t="e">
        <f t="shared" si="5"/>
        <v>#N/A</v>
      </c>
      <c r="Y14" s="156" t="e">
        <f t="shared" si="5"/>
        <v>#N/A</v>
      </c>
      <c r="Z14" s="156">
        <f>+Z23+Z24</f>
        <v>18482195</v>
      </c>
      <c r="AA14" s="144">
        <f>+AA23+AA24</f>
        <v>18014858.021695998</v>
      </c>
      <c r="AB14" s="144">
        <f>+AB23+AB24</f>
        <v>17887563.019022632</v>
      </c>
      <c r="AC14" s="144">
        <f>+AC23+AC24</f>
        <v>18109771.78197496</v>
      </c>
      <c r="AD14" s="144">
        <f>+AD23+AD24</f>
        <v>18145769.017444536</v>
      </c>
      <c r="AE14" s="332"/>
    </row>
    <row r="15" spans="1:35" ht="15" customHeight="1" x14ac:dyDescent="0.2">
      <c r="B15" s="123"/>
      <c r="C15" s="124"/>
      <c r="D15" s="124"/>
      <c r="E15" s="84"/>
      <c r="F15" s="123"/>
      <c r="G15" s="319" t="s">
        <v>31</v>
      </c>
      <c r="H15" s="313" t="s">
        <v>493</v>
      </c>
      <c r="I15" s="156" t="e">
        <f t="shared" ref="I15:Y15" si="6">+I25+I26</f>
        <v>#N/A</v>
      </c>
      <c r="J15" s="156" t="e">
        <f t="shared" si="6"/>
        <v>#N/A</v>
      </c>
      <c r="K15" s="156" t="e">
        <f t="shared" si="6"/>
        <v>#N/A</v>
      </c>
      <c r="L15" s="156" t="e">
        <f t="shared" si="6"/>
        <v>#N/A</v>
      </c>
      <c r="M15" s="156" t="e">
        <f t="shared" si="6"/>
        <v>#N/A</v>
      </c>
      <c r="N15" s="156" t="e">
        <f t="shared" si="6"/>
        <v>#N/A</v>
      </c>
      <c r="O15" s="156" t="e">
        <f t="shared" si="6"/>
        <v>#N/A</v>
      </c>
      <c r="P15" s="156" t="e">
        <f t="shared" si="6"/>
        <v>#N/A</v>
      </c>
      <c r="Q15" s="156" t="e">
        <f t="shared" si="6"/>
        <v>#N/A</v>
      </c>
      <c r="R15" s="156" t="e">
        <f t="shared" si="6"/>
        <v>#N/A</v>
      </c>
      <c r="S15" s="156" t="e">
        <f t="shared" si="6"/>
        <v>#N/A</v>
      </c>
      <c r="T15" s="156">
        <f t="shared" si="6"/>
        <v>12656227.75</v>
      </c>
      <c r="U15" s="156" t="e">
        <f t="shared" si="6"/>
        <v>#N/A</v>
      </c>
      <c r="V15" s="156" t="e">
        <f t="shared" si="6"/>
        <v>#N/A</v>
      </c>
      <c r="W15" s="156" t="e">
        <f t="shared" si="6"/>
        <v>#N/A</v>
      </c>
      <c r="X15" s="156" t="e">
        <f t="shared" si="6"/>
        <v>#N/A</v>
      </c>
      <c r="Y15" s="156" t="e">
        <f t="shared" si="6"/>
        <v>#N/A</v>
      </c>
      <c r="Z15" s="156">
        <f>+Z25+Z26</f>
        <v>16192278</v>
      </c>
      <c r="AA15" s="144">
        <f>+AA25+AA26</f>
        <v>16382892.038080921</v>
      </c>
      <c r="AB15" s="144">
        <f>+AB25+AB26</f>
        <v>16188249.549174339</v>
      </c>
      <c r="AC15" s="144">
        <f>+AC25+AC26</f>
        <v>14893392.316982258</v>
      </c>
      <c r="AD15" s="144">
        <f>+AD25+AD26</f>
        <v>16199335.852413792</v>
      </c>
      <c r="AE15" s="332"/>
    </row>
    <row r="16" spans="1:35" ht="15" customHeight="1" x14ac:dyDescent="0.2">
      <c r="B16" s="123"/>
      <c r="C16" s="124"/>
      <c r="D16" s="124"/>
      <c r="E16" s="84"/>
      <c r="F16" s="123"/>
      <c r="G16" s="319"/>
      <c r="H16" s="313"/>
      <c r="I16" s="156"/>
      <c r="J16" s="156"/>
      <c r="K16" s="156"/>
      <c r="L16" s="156"/>
      <c r="M16" s="156"/>
      <c r="N16" s="156"/>
      <c r="O16" s="156"/>
      <c r="P16" s="156"/>
      <c r="Q16" s="156"/>
      <c r="R16" s="156"/>
      <c r="S16" s="156"/>
      <c r="T16" s="156"/>
      <c r="U16" s="156"/>
      <c r="V16" s="156"/>
      <c r="W16" s="156"/>
      <c r="X16" s="156"/>
      <c r="Y16" s="156"/>
      <c r="Z16" s="156"/>
      <c r="AA16" s="144"/>
      <c r="AB16" s="144"/>
      <c r="AC16" s="144"/>
      <c r="AD16" s="144"/>
      <c r="AE16" s="332"/>
    </row>
    <row r="17" spans="1:31" ht="15" customHeight="1" x14ac:dyDescent="0.2">
      <c r="B17" s="123"/>
      <c r="C17" s="124"/>
      <c r="D17" s="124"/>
      <c r="E17" s="84"/>
      <c r="F17" s="123"/>
      <c r="G17" s="319"/>
      <c r="H17" s="313"/>
      <c r="I17" s="156"/>
      <c r="J17" s="156"/>
      <c r="K17" s="156"/>
      <c r="L17" s="156"/>
      <c r="M17" s="156"/>
      <c r="N17" s="156"/>
      <c r="O17" s="156"/>
      <c r="P17" s="156"/>
      <c r="Q17" s="156"/>
      <c r="R17" s="156"/>
      <c r="S17" s="156"/>
      <c r="T17" s="156"/>
      <c r="U17" s="156"/>
      <c r="V17" s="156"/>
      <c r="W17" s="156"/>
      <c r="X17" s="156"/>
      <c r="Y17" s="156"/>
      <c r="Z17" s="156"/>
      <c r="AA17" s="144"/>
      <c r="AB17" s="144"/>
      <c r="AC17" s="144"/>
      <c r="AD17" s="144"/>
      <c r="AE17" s="332"/>
    </row>
    <row r="18" spans="1:31" ht="15" customHeight="1" x14ac:dyDescent="0.2">
      <c r="B18" s="123"/>
      <c r="C18" s="124"/>
      <c r="D18" s="124"/>
      <c r="E18" s="84"/>
      <c r="F18" s="123"/>
      <c r="G18" s="319" t="s">
        <v>33</v>
      </c>
      <c r="H18" s="313" t="s">
        <v>494</v>
      </c>
      <c r="I18" s="156" t="e">
        <f t="shared" ref="I18:Y18" si="7">+I27+I28</f>
        <v>#N/A</v>
      </c>
      <c r="J18" s="156" t="e">
        <f t="shared" si="7"/>
        <v>#N/A</v>
      </c>
      <c r="K18" s="156" t="e">
        <f t="shared" si="7"/>
        <v>#N/A</v>
      </c>
      <c r="L18" s="156" t="e">
        <f t="shared" si="7"/>
        <v>#N/A</v>
      </c>
      <c r="M18" s="156" t="e">
        <f t="shared" si="7"/>
        <v>#N/A</v>
      </c>
      <c r="N18" s="156" t="e">
        <f t="shared" si="7"/>
        <v>#N/A</v>
      </c>
      <c r="O18" s="156" t="e">
        <f t="shared" si="7"/>
        <v>#N/A</v>
      </c>
      <c r="P18" s="156" t="e">
        <f t="shared" si="7"/>
        <v>#N/A</v>
      </c>
      <c r="Q18" s="156" t="e">
        <f t="shared" si="7"/>
        <v>#N/A</v>
      </c>
      <c r="R18" s="156" t="e">
        <f t="shared" si="7"/>
        <v>#N/A</v>
      </c>
      <c r="S18" s="156" t="e">
        <f t="shared" si="7"/>
        <v>#N/A</v>
      </c>
      <c r="T18" s="156">
        <f t="shared" si="7"/>
        <v>20737993.5</v>
      </c>
      <c r="U18" s="156" t="e">
        <f t="shared" si="7"/>
        <v>#N/A</v>
      </c>
      <c r="V18" s="156" t="e">
        <f t="shared" si="7"/>
        <v>#N/A</v>
      </c>
      <c r="W18" s="156" t="e">
        <f t="shared" si="7"/>
        <v>#N/A</v>
      </c>
      <c r="X18" s="156" t="e">
        <f t="shared" si="7"/>
        <v>#N/A</v>
      </c>
      <c r="Y18" s="156" t="e">
        <f t="shared" si="7"/>
        <v>#N/A</v>
      </c>
      <c r="Z18" s="156">
        <f>+Z27+Z28</f>
        <v>23464911</v>
      </c>
      <c r="AA18" s="144">
        <f t="shared" ref="AA18:AD18" si="8">+AA27+AA28</f>
        <v>23911157.221208531</v>
      </c>
      <c r="AB18" s="144">
        <f t="shared" si="8"/>
        <v>23275837.087845638</v>
      </c>
      <c r="AC18" s="144">
        <f t="shared" si="8"/>
        <v>23882666.451067291</v>
      </c>
      <c r="AD18" s="144">
        <f t="shared" si="8"/>
        <v>24413653.415061846</v>
      </c>
      <c r="AE18" s="332"/>
    </row>
    <row r="19" spans="1:31" ht="14.1" customHeight="1" x14ac:dyDescent="0.2">
      <c r="B19" s="123"/>
      <c r="C19" s="124"/>
      <c r="D19" s="124"/>
      <c r="E19" s="84"/>
      <c r="F19" s="123"/>
      <c r="G19" s="319"/>
      <c r="H19" s="313"/>
      <c r="I19" s="156"/>
      <c r="J19" s="156"/>
      <c r="K19" s="156"/>
      <c r="L19" s="156"/>
      <c r="M19" s="156"/>
      <c r="N19" s="156"/>
      <c r="O19" s="156"/>
      <c r="P19" s="156"/>
      <c r="Q19" s="156"/>
      <c r="R19" s="156"/>
      <c r="S19" s="156"/>
      <c r="T19" s="156"/>
      <c r="U19" s="156"/>
      <c r="V19" s="156"/>
      <c r="W19" s="156"/>
      <c r="X19" s="156"/>
      <c r="Y19" s="156"/>
      <c r="Z19" s="156"/>
      <c r="AA19" s="144"/>
      <c r="AB19" s="144"/>
      <c r="AC19" s="144"/>
      <c r="AD19" s="144"/>
      <c r="AE19" s="332"/>
    </row>
    <row r="20" spans="1:31" x14ac:dyDescent="0.2">
      <c r="B20" s="292"/>
      <c r="C20" s="125"/>
      <c r="D20" s="125"/>
      <c r="E20" s="84"/>
      <c r="F20" s="123"/>
      <c r="G20" s="319"/>
      <c r="H20" s="313"/>
      <c r="I20" s="156"/>
      <c r="J20" s="156"/>
      <c r="K20" s="156"/>
      <c r="L20" s="156"/>
      <c r="M20" s="156"/>
      <c r="N20" s="156"/>
      <c r="O20" s="156"/>
      <c r="P20" s="156"/>
      <c r="Q20" s="156"/>
      <c r="R20" s="156"/>
      <c r="S20" s="156"/>
      <c r="T20" s="156"/>
      <c r="U20" s="156"/>
      <c r="V20" s="156"/>
      <c r="W20" s="156"/>
      <c r="X20" s="156"/>
      <c r="Y20" s="156"/>
      <c r="Z20" s="156"/>
      <c r="AA20" s="144"/>
      <c r="AB20" s="144"/>
      <c r="AC20" s="144"/>
      <c r="AD20" s="144"/>
      <c r="AE20" s="332"/>
    </row>
    <row r="21" spans="1:31" x14ac:dyDescent="0.2">
      <c r="B21" s="292"/>
      <c r="C21" s="125"/>
      <c r="D21" s="125"/>
      <c r="E21" s="84"/>
      <c r="F21" s="123"/>
      <c r="G21" s="319"/>
      <c r="H21" s="313"/>
      <c r="I21" s="156"/>
      <c r="J21" s="156"/>
      <c r="K21" s="156"/>
      <c r="L21" s="156"/>
      <c r="M21" s="156"/>
      <c r="N21" s="156"/>
      <c r="O21" s="156"/>
      <c r="P21" s="156"/>
      <c r="Q21" s="156"/>
      <c r="R21" s="156"/>
      <c r="S21" s="156"/>
      <c r="T21" s="156"/>
      <c r="U21" s="156"/>
      <c r="V21" s="156"/>
      <c r="W21" s="156"/>
      <c r="X21" s="156"/>
      <c r="Y21" s="156"/>
      <c r="Z21" s="156"/>
      <c r="AA21" s="144"/>
      <c r="AB21" s="144"/>
      <c r="AC21" s="144"/>
      <c r="AD21" s="144"/>
      <c r="AE21" s="332"/>
    </row>
    <row r="22" spans="1:31" ht="14.25" customHeight="1" x14ac:dyDescent="0.2">
      <c r="B22" s="292"/>
      <c r="C22" s="124"/>
      <c r="D22" s="124"/>
      <c r="E22" s="125"/>
      <c r="F22" s="123"/>
      <c r="G22" s="316" t="s">
        <v>394</v>
      </c>
      <c r="H22" s="317"/>
      <c r="I22" s="156"/>
      <c r="J22" s="318"/>
      <c r="K22" s="318"/>
      <c r="L22" s="318"/>
      <c r="M22" s="318"/>
      <c r="N22" s="318"/>
      <c r="O22" s="318"/>
      <c r="P22" s="318"/>
      <c r="Q22" s="318"/>
      <c r="R22" s="318"/>
      <c r="S22" s="318"/>
      <c r="T22" s="318"/>
      <c r="U22" s="318"/>
      <c r="V22" s="318"/>
      <c r="W22" s="318"/>
      <c r="X22" s="318"/>
      <c r="Y22" s="318"/>
      <c r="Z22" s="318"/>
      <c r="AA22" s="144"/>
      <c r="AB22" s="144"/>
      <c r="AC22" s="144"/>
      <c r="AD22" s="144"/>
      <c r="AE22" s="332"/>
    </row>
    <row r="23" spans="1:31" x14ac:dyDescent="0.2">
      <c r="A23" s="88" t="s">
        <v>432</v>
      </c>
      <c r="B23" s="292"/>
      <c r="C23" s="124"/>
      <c r="D23" s="124"/>
      <c r="E23" s="124"/>
      <c r="F23" s="123"/>
      <c r="G23" s="319" t="s">
        <v>390</v>
      </c>
      <c r="H23" s="315" t="s">
        <v>149</v>
      </c>
      <c r="I23" s="156" t="e" cm="1">
        <f t="array" ref="I23">_xlfn.XLOOKUP(1, ('0. GUIDELINES'!$E$3='[1]input-labor'!$A:$A) * (I$7='[1]input-labor'!$B:$B) * ($A23='[1]input-labor'!$C:$C) * ($E$4='[1]input-labor'!$G:$G), '[1]input-labor'!$D:$D)</f>
        <v>#N/A</v>
      </c>
      <c r="J23" s="156" t="e" cm="1">
        <f t="array" ref="J23">_xlfn.XLOOKUP(1, ('0. GUIDELINES'!$E$3='[1]input-labor'!$A:$A) * (J$7='[1]input-labor'!$B:$B) * ($A23='[1]input-labor'!$C:$C) * ($E$4='[1]input-labor'!$G:$G), '[1]input-labor'!$D:$D)</f>
        <v>#N/A</v>
      </c>
      <c r="K23" s="156" t="e" cm="1">
        <f t="array" ref="K23">_xlfn.XLOOKUP(1, ('0. GUIDELINES'!$E$3='[1]input-labor'!$A:$A) * (K$7='[1]input-labor'!$B:$B) * ($A23='[1]input-labor'!$C:$C) * ($E$4='[1]input-labor'!$G:$G), '[1]input-labor'!$D:$D)</f>
        <v>#N/A</v>
      </c>
      <c r="L23" s="156" t="e" cm="1">
        <f t="array" ref="L23">_xlfn.XLOOKUP(1, ('0. GUIDELINES'!$E$3='[1]input-labor'!$A:$A) * (L$7='[1]input-labor'!$B:$B) * ($A23='[1]input-labor'!$C:$C) * ($E$4='[1]input-labor'!$G:$G), '[1]input-labor'!$D:$D)</f>
        <v>#N/A</v>
      </c>
      <c r="M23" s="156" t="e" cm="1">
        <f t="array" ref="M23">_xlfn.XLOOKUP(1, ('0. GUIDELINES'!$E$3='[1]input-labor'!$A:$A) * (M$7='[1]input-labor'!$B:$B) * ($A23='[1]input-labor'!$C:$C) * ($E$4='[1]input-labor'!$G:$G), '[1]input-labor'!$D:$D)</f>
        <v>#N/A</v>
      </c>
      <c r="N23" s="156" t="e" cm="1">
        <f t="array" ref="N23">_xlfn.XLOOKUP(1, ('0. GUIDELINES'!$E$3='[1]input-labor'!$A:$A) * (N$7='[1]input-labor'!$B:$B) * ($A23='[1]input-labor'!$C:$C) * ($E$4='[1]input-labor'!$G:$G), '[1]input-labor'!$D:$D)</f>
        <v>#N/A</v>
      </c>
      <c r="O23" s="156" t="e" cm="1">
        <f t="array" ref="O23">_xlfn.XLOOKUP(1, ('0. GUIDELINES'!$E$3='[1]input-labor'!$A:$A) * (O$7='[1]input-labor'!$B:$B) * ($A23='[1]input-labor'!$C:$C) * ($E$4='[1]input-labor'!$G:$G), '[1]input-labor'!$D:$D)</f>
        <v>#N/A</v>
      </c>
      <c r="P23" s="156" t="e" cm="1">
        <f t="array" ref="P23">_xlfn.XLOOKUP(1, ('0. GUIDELINES'!$E$3='[1]input-labor'!$A:$A) * (P$7='[1]input-labor'!$B:$B) * ($A23='[1]input-labor'!$C:$C) * ($E$4='[1]input-labor'!$G:$G), '[1]input-labor'!$D:$D)</f>
        <v>#N/A</v>
      </c>
      <c r="Q23" s="156" t="e" cm="1">
        <f t="array" ref="Q23">_xlfn.XLOOKUP(1, ('0. GUIDELINES'!$E$3='[1]input-labor'!$A:$A) * (Q$7='[1]input-labor'!$B:$B) * ($A23='[1]input-labor'!$C:$C) * ($E$4='[1]input-labor'!$G:$G), '[1]input-labor'!$D:$D)</f>
        <v>#N/A</v>
      </c>
      <c r="R23" s="156" t="e" cm="1">
        <f t="array" ref="R23">_xlfn.XLOOKUP(1, ('0. GUIDELINES'!$E$3='[1]input-labor'!$A:$A) * (R$7='[1]input-labor'!$B:$B) * ($A23='[1]input-labor'!$C:$C) * ($E$4='[1]input-labor'!$G:$G), '[1]input-labor'!$D:$D)</f>
        <v>#N/A</v>
      </c>
      <c r="S23" s="156" t="e" cm="1">
        <f t="array" ref="S23">_xlfn.XLOOKUP(1, ('0. GUIDELINES'!$E$3='[1]input-labor'!$A:$A) * (S$7='[1]input-labor'!$B:$B) * ($A23='[1]input-labor'!$C:$C) * ($E$4='[1]input-labor'!$G:$G), '[1]input-labor'!$D:$D)</f>
        <v>#N/A</v>
      </c>
      <c r="T23" s="156" cm="1">
        <f t="array" ref="T23">_xlfn.XLOOKUP(1, ('0. GUIDELINES'!$E$3='[1]input-labor'!$A:$A) * (T$7='[1]input-labor'!$B:$B) * ($A23='[1]input-labor'!$C:$C) * ($E$4='[1]input-labor'!$G:$G), '[1]input-labor'!$D:$D)</f>
        <v>2149601.5</v>
      </c>
      <c r="U23" s="156" t="e" cm="1">
        <f t="array" ref="U23">_xlfn.XLOOKUP(1, ('0. GUIDELINES'!$E$3='[1]input-labor'!$A:$A) * (U$7='[1]input-labor'!$B:$B) * ($A23='[1]input-labor'!$C:$C) * ($E$4='[1]input-labor'!$G:$G), '[1]input-labor'!$D:$D)</f>
        <v>#N/A</v>
      </c>
      <c r="V23" s="156" t="e" cm="1">
        <f t="array" ref="V23">_xlfn.XLOOKUP(1, ('0. GUIDELINES'!$E$3='[1]input-labor'!$A:$A) * (V$7='[1]input-labor'!$B:$B) * ($A23='[1]input-labor'!$C:$C) * ($E$4='[1]input-labor'!$G:$G), '[1]input-labor'!$D:$D)</f>
        <v>#N/A</v>
      </c>
      <c r="W23" s="156" t="e" cm="1">
        <f t="array" ref="W23">_xlfn.XLOOKUP(1, ('0. GUIDELINES'!$E$3='[1]input-labor'!$A:$A) * (W$7='[1]input-labor'!$B:$B) * ($A23='[1]input-labor'!$C:$C) * ($E$4='[1]input-labor'!$G:$G), '[1]input-labor'!$D:$D)</f>
        <v>#N/A</v>
      </c>
      <c r="X23" s="156" t="e" cm="1">
        <f t="array" ref="X23">_xlfn.XLOOKUP(1, ('0. GUIDELINES'!$E$3='[1]input-labor'!$A:$A) * (X$7='[1]input-labor'!$B:$B) * ($A23='[1]input-labor'!$C:$C) * ($E$4='[1]input-labor'!$G:$G), '[1]input-labor'!$D:$D)</f>
        <v>#N/A</v>
      </c>
      <c r="Y23" s="156" t="e" cm="1">
        <f t="array" ref="Y23">_xlfn.XLOOKUP(1, ('0. GUIDELINES'!$E$3='[1]input-labor'!$A:$A) * (Y$7='[1]input-labor'!$B:$B) * ($A23='[1]input-labor'!$C:$C) * ($E$4='[1]input-labor'!$G:$G), '[1]input-labor'!$D:$D)</f>
        <v>#N/A</v>
      </c>
      <c r="Z23" s="156" cm="1">
        <f t="array" ref="Z23">_xlfn.XLOOKUP(1, ('0. GUIDELINES'!$E$3='[1]input-labor'!$A:$A) * (Z$7='[1]input-labor'!$B:$B) * ($A23='[1]input-labor'!$C:$C) * ($E$4='[1]input-labor'!$G:$G), '[1]input-labor'!$D:$D)</f>
        <v>2610536</v>
      </c>
      <c r="AA23" s="144">
        <f>Z23*(1+'GROWTH RATES'!X12/100)</f>
        <v>2544526.5240695807</v>
      </c>
      <c r="AB23" s="144">
        <f>AA23*(1+'GROWTH RATES'!Y12/100)</f>
        <v>2519335.7110457802</v>
      </c>
      <c r="AC23" s="144">
        <f>AB23*(1+'GROWTH RATES'!Z12/100)</f>
        <v>2557125.7466418962</v>
      </c>
      <c r="AD23" s="144">
        <f>AC23*(1+'GROWTH RATES'!AA12/100)</f>
        <v>2569016.3811632511</v>
      </c>
      <c r="AE23" s="332"/>
    </row>
    <row r="24" spans="1:31" x14ac:dyDescent="0.2">
      <c r="A24" s="88" t="s">
        <v>433</v>
      </c>
      <c r="B24" s="292"/>
      <c r="C24" s="124"/>
      <c r="D24" s="124"/>
      <c r="E24" s="124"/>
      <c r="F24" s="123"/>
      <c r="G24" s="319" t="s">
        <v>389</v>
      </c>
      <c r="H24" s="315" t="s">
        <v>151</v>
      </c>
      <c r="I24" s="156" t="e" cm="1">
        <f t="array" ref="I24">_xlfn.XLOOKUP(1, ('0. GUIDELINES'!$E$3='[1]input-labor'!$A:$A) * (I$7='[1]input-labor'!$B:$B) * ($A24='[1]input-labor'!$C:$C) * ($E$4='[1]input-labor'!$G:$G), '[1]input-labor'!$D:$D)</f>
        <v>#N/A</v>
      </c>
      <c r="J24" s="156" t="e" cm="1">
        <f t="array" ref="J24">_xlfn.XLOOKUP(1, ('0. GUIDELINES'!$E$3='[1]input-labor'!$A:$A) * (J$7='[1]input-labor'!$B:$B) * ($A24='[1]input-labor'!$C:$C) * ($E$4='[1]input-labor'!$G:$G), '[1]input-labor'!$D:$D)</f>
        <v>#N/A</v>
      </c>
      <c r="K24" s="156" t="e" cm="1">
        <f t="array" ref="K24">_xlfn.XLOOKUP(1, ('0. GUIDELINES'!$E$3='[1]input-labor'!$A:$A) * (K$7='[1]input-labor'!$B:$B) * ($A24='[1]input-labor'!$C:$C) * ($E$4='[1]input-labor'!$G:$G), '[1]input-labor'!$D:$D)</f>
        <v>#N/A</v>
      </c>
      <c r="L24" s="156" t="e" cm="1">
        <f t="array" ref="L24">_xlfn.XLOOKUP(1, ('0. GUIDELINES'!$E$3='[1]input-labor'!$A:$A) * (L$7='[1]input-labor'!$B:$B) * ($A24='[1]input-labor'!$C:$C) * ($E$4='[1]input-labor'!$G:$G), '[1]input-labor'!$D:$D)</f>
        <v>#N/A</v>
      </c>
      <c r="M24" s="156" t="e" cm="1">
        <f t="array" ref="M24">_xlfn.XLOOKUP(1, ('0. GUIDELINES'!$E$3='[1]input-labor'!$A:$A) * (M$7='[1]input-labor'!$B:$B) * ($A24='[1]input-labor'!$C:$C) * ($E$4='[1]input-labor'!$G:$G), '[1]input-labor'!$D:$D)</f>
        <v>#N/A</v>
      </c>
      <c r="N24" s="156" t="e" cm="1">
        <f t="array" ref="N24">_xlfn.XLOOKUP(1, ('0. GUIDELINES'!$E$3='[1]input-labor'!$A:$A) * (N$7='[1]input-labor'!$B:$B) * ($A24='[1]input-labor'!$C:$C) * ($E$4='[1]input-labor'!$G:$G), '[1]input-labor'!$D:$D)</f>
        <v>#N/A</v>
      </c>
      <c r="O24" s="156" t="e" cm="1">
        <f t="array" ref="O24">_xlfn.XLOOKUP(1, ('0. GUIDELINES'!$E$3='[1]input-labor'!$A:$A) * (O$7='[1]input-labor'!$B:$B) * ($A24='[1]input-labor'!$C:$C) * ($E$4='[1]input-labor'!$G:$G), '[1]input-labor'!$D:$D)</f>
        <v>#N/A</v>
      </c>
      <c r="P24" s="156" t="e" cm="1">
        <f t="array" ref="P24">_xlfn.XLOOKUP(1, ('0. GUIDELINES'!$E$3='[1]input-labor'!$A:$A) * (P$7='[1]input-labor'!$B:$B) * ($A24='[1]input-labor'!$C:$C) * ($E$4='[1]input-labor'!$G:$G), '[1]input-labor'!$D:$D)</f>
        <v>#N/A</v>
      </c>
      <c r="Q24" s="156" t="e" cm="1">
        <f t="array" ref="Q24">_xlfn.XLOOKUP(1, ('0. GUIDELINES'!$E$3='[1]input-labor'!$A:$A) * (Q$7='[1]input-labor'!$B:$B) * ($A24='[1]input-labor'!$C:$C) * ($E$4='[1]input-labor'!$G:$G), '[1]input-labor'!$D:$D)</f>
        <v>#N/A</v>
      </c>
      <c r="R24" s="156" t="e" cm="1">
        <f t="array" ref="R24">_xlfn.XLOOKUP(1, ('0. GUIDELINES'!$E$3='[1]input-labor'!$A:$A) * (R$7='[1]input-labor'!$B:$B) * ($A24='[1]input-labor'!$C:$C) * ($E$4='[1]input-labor'!$G:$G), '[1]input-labor'!$D:$D)</f>
        <v>#N/A</v>
      </c>
      <c r="S24" s="156" t="e" cm="1">
        <f t="array" ref="S24">_xlfn.XLOOKUP(1, ('0. GUIDELINES'!$E$3='[1]input-labor'!$A:$A) * (S$7='[1]input-labor'!$B:$B) * ($A24='[1]input-labor'!$C:$C) * ($E$4='[1]input-labor'!$G:$G), '[1]input-labor'!$D:$D)</f>
        <v>#N/A</v>
      </c>
      <c r="T24" s="156" cm="1">
        <f t="array" ref="T24">_xlfn.XLOOKUP(1, ('0. GUIDELINES'!$E$3='[1]input-labor'!$A:$A) * (T$7='[1]input-labor'!$B:$B) * ($A24='[1]input-labor'!$C:$C) * ($E$4='[1]input-labor'!$G:$G), '[1]input-labor'!$D:$D)</f>
        <v>14384454</v>
      </c>
      <c r="U24" s="156" t="e" cm="1">
        <f t="array" ref="U24">_xlfn.XLOOKUP(1, ('0. GUIDELINES'!$E$3='[1]input-labor'!$A:$A) * (U$7='[1]input-labor'!$B:$B) * ($A24='[1]input-labor'!$C:$C) * ($E$4='[1]input-labor'!$G:$G), '[1]input-labor'!$D:$D)</f>
        <v>#N/A</v>
      </c>
      <c r="V24" s="156" t="e" cm="1">
        <f t="array" ref="V24">_xlfn.XLOOKUP(1, ('0. GUIDELINES'!$E$3='[1]input-labor'!$A:$A) * (V$7='[1]input-labor'!$B:$B) * ($A24='[1]input-labor'!$C:$C) * ($E$4='[1]input-labor'!$G:$G), '[1]input-labor'!$D:$D)</f>
        <v>#N/A</v>
      </c>
      <c r="W24" s="156" t="e" cm="1">
        <f t="array" ref="W24">_xlfn.XLOOKUP(1, ('0. GUIDELINES'!$E$3='[1]input-labor'!$A:$A) * (W$7='[1]input-labor'!$B:$B) * ($A24='[1]input-labor'!$C:$C) * ($E$4='[1]input-labor'!$G:$G), '[1]input-labor'!$D:$D)</f>
        <v>#N/A</v>
      </c>
      <c r="X24" s="156" t="e" cm="1">
        <f t="array" ref="X24">_xlfn.XLOOKUP(1, ('0. GUIDELINES'!$E$3='[1]input-labor'!$A:$A) * (X$7='[1]input-labor'!$B:$B) * ($A24='[1]input-labor'!$C:$C) * ($E$4='[1]input-labor'!$G:$G), '[1]input-labor'!$D:$D)</f>
        <v>#N/A</v>
      </c>
      <c r="Y24" s="156" t="e" cm="1">
        <f t="array" ref="Y24">_xlfn.XLOOKUP(1, ('0. GUIDELINES'!$E$3='[1]input-labor'!$A:$A) * (Y$7='[1]input-labor'!$B:$B) * ($A24='[1]input-labor'!$C:$C) * ($E$4='[1]input-labor'!$G:$G), '[1]input-labor'!$D:$D)</f>
        <v>#N/A</v>
      </c>
      <c r="Z24" s="156" cm="1">
        <f t="array" ref="Z24">_xlfn.XLOOKUP(1, ('0. GUIDELINES'!$E$3='[1]input-labor'!$A:$A) * (Z$7='[1]input-labor'!$B:$B) * ($A24='[1]input-labor'!$C:$C) * ($E$4='[1]input-labor'!$G:$G), '[1]input-labor'!$D:$D)</f>
        <v>15871659</v>
      </c>
      <c r="AA24" s="144">
        <f>Z24*(1+'GROWTH RATES'!X13/100)</f>
        <v>15470331.497626416</v>
      </c>
      <c r="AB24" s="144">
        <f>AA24*(1+'GROWTH RATES'!Y13/100)</f>
        <v>15368227.307976853</v>
      </c>
      <c r="AC24" s="144">
        <f>AB24*(1+'GROWTH RATES'!Z13/100)</f>
        <v>15552646.035333065</v>
      </c>
      <c r="AD24" s="144">
        <f>AC24*(1+'GROWTH RATES'!AA13/100)</f>
        <v>15576752.636281285</v>
      </c>
    </row>
    <row r="25" spans="1:31" x14ac:dyDescent="0.2">
      <c r="A25" s="88" t="s">
        <v>434</v>
      </c>
      <c r="B25" s="292"/>
      <c r="C25" s="124"/>
      <c r="D25" s="124"/>
      <c r="E25" s="124"/>
      <c r="F25" s="123"/>
      <c r="G25" s="319" t="s">
        <v>610</v>
      </c>
      <c r="H25" s="315" t="s">
        <v>153</v>
      </c>
      <c r="I25" s="156" t="e" cm="1">
        <f t="array" ref="I25">_xlfn.XLOOKUP(1, ('0. GUIDELINES'!$E$3='[1]input-labor'!$A:$A) * (I$7='[1]input-labor'!$B:$B) * ($A25='[1]input-labor'!$C:$C) * ($E$4='[1]input-labor'!$G:$G), '[1]input-labor'!$D:$D)</f>
        <v>#N/A</v>
      </c>
      <c r="J25" s="156" t="e" cm="1">
        <f t="array" ref="J25">_xlfn.XLOOKUP(1, ('0. GUIDELINES'!$E$3='[1]input-labor'!$A:$A) * (J$7='[1]input-labor'!$B:$B) * ($A25='[1]input-labor'!$C:$C) * ($E$4='[1]input-labor'!$G:$G), '[1]input-labor'!$D:$D)</f>
        <v>#N/A</v>
      </c>
      <c r="K25" s="156" t="e" cm="1">
        <f t="array" ref="K25">_xlfn.XLOOKUP(1, ('0. GUIDELINES'!$E$3='[1]input-labor'!$A:$A) * (K$7='[1]input-labor'!$B:$B) * ($A25='[1]input-labor'!$C:$C) * ($E$4='[1]input-labor'!$G:$G), '[1]input-labor'!$D:$D)</f>
        <v>#N/A</v>
      </c>
      <c r="L25" s="156" t="e" cm="1">
        <f t="array" ref="L25">_xlfn.XLOOKUP(1, ('0. GUIDELINES'!$E$3='[1]input-labor'!$A:$A) * (L$7='[1]input-labor'!$B:$B) * ($A25='[1]input-labor'!$C:$C) * ($E$4='[1]input-labor'!$G:$G), '[1]input-labor'!$D:$D)</f>
        <v>#N/A</v>
      </c>
      <c r="M25" s="156" t="e" cm="1">
        <f t="array" ref="M25">_xlfn.XLOOKUP(1, ('0. GUIDELINES'!$E$3='[1]input-labor'!$A:$A) * (M$7='[1]input-labor'!$B:$B) * ($A25='[1]input-labor'!$C:$C) * ($E$4='[1]input-labor'!$G:$G), '[1]input-labor'!$D:$D)</f>
        <v>#N/A</v>
      </c>
      <c r="N25" s="156" t="e" cm="1">
        <f t="array" ref="N25">_xlfn.XLOOKUP(1, ('0. GUIDELINES'!$E$3='[1]input-labor'!$A:$A) * (N$7='[1]input-labor'!$B:$B) * ($A25='[1]input-labor'!$C:$C) * ($E$4='[1]input-labor'!$G:$G), '[1]input-labor'!$D:$D)</f>
        <v>#N/A</v>
      </c>
      <c r="O25" s="156" t="e" cm="1">
        <f t="array" ref="O25">_xlfn.XLOOKUP(1, ('0. GUIDELINES'!$E$3='[1]input-labor'!$A:$A) * (O$7='[1]input-labor'!$B:$B) * ($A25='[1]input-labor'!$C:$C) * ($E$4='[1]input-labor'!$G:$G), '[1]input-labor'!$D:$D)</f>
        <v>#N/A</v>
      </c>
      <c r="P25" s="156" t="e" cm="1">
        <f t="array" ref="P25">_xlfn.XLOOKUP(1, ('0. GUIDELINES'!$E$3='[1]input-labor'!$A:$A) * (P$7='[1]input-labor'!$B:$B) * ($A25='[1]input-labor'!$C:$C) * ($E$4='[1]input-labor'!$G:$G), '[1]input-labor'!$D:$D)</f>
        <v>#N/A</v>
      </c>
      <c r="Q25" s="156" t="e" cm="1">
        <f t="array" ref="Q25">_xlfn.XLOOKUP(1, ('0. GUIDELINES'!$E$3='[1]input-labor'!$A:$A) * (Q$7='[1]input-labor'!$B:$B) * ($A25='[1]input-labor'!$C:$C) * ($E$4='[1]input-labor'!$G:$G), '[1]input-labor'!$D:$D)</f>
        <v>#N/A</v>
      </c>
      <c r="R25" s="156" t="e" cm="1">
        <f t="array" ref="R25">_xlfn.XLOOKUP(1, ('0. GUIDELINES'!$E$3='[1]input-labor'!$A:$A) * (R$7='[1]input-labor'!$B:$B) * ($A25='[1]input-labor'!$C:$C) * ($E$4='[1]input-labor'!$G:$G), '[1]input-labor'!$D:$D)</f>
        <v>#N/A</v>
      </c>
      <c r="S25" s="156" t="e" cm="1">
        <f t="array" ref="S25">_xlfn.XLOOKUP(1, ('0. GUIDELINES'!$E$3='[1]input-labor'!$A:$A) * (S$7='[1]input-labor'!$B:$B) * ($A25='[1]input-labor'!$C:$C) * ($E$4='[1]input-labor'!$G:$G), '[1]input-labor'!$D:$D)</f>
        <v>#N/A</v>
      </c>
      <c r="T25" s="156" cm="1">
        <f t="array" ref="T25">_xlfn.XLOOKUP(1, ('0. GUIDELINES'!$E$3='[1]input-labor'!$A:$A) * (T$7='[1]input-labor'!$B:$B) * ($A25='[1]input-labor'!$C:$C) * ($E$4='[1]input-labor'!$G:$G), '[1]input-labor'!$D:$D)</f>
        <v>9695195</v>
      </c>
      <c r="U25" s="156" t="e" cm="1">
        <f t="array" ref="U25">_xlfn.XLOOKUP(1, ('0. GUIDELINES'!$E$3='[1]input-labor'!$A:$A) * (U$7='[1]input-labor'!$B:$B) * ($A25='[1]input-labor'!$C:$C) * ($E$4='[1]input-labor'!$G:$G), '[1]input-labor'!$D:$D)</f>
        <v>#N/A</v>
      </c>
      <c r="V25" s="156" t="e" cm="1">
        <f t="array" ref="V25">_xlfn.XLOOKUP(1, ('0. GUIDELINES'!$E$3='[1]input-labor'!$A:$A) * (V$7='[1]input-labor'!$B:$B) * ($A25='[1]input-labor'!$C:$C) * ($E$4='[1]input-labor'!$G:$G), '[1]input-labor'!$D:$D)</f>
        <v>#N/A</v>
      </c>
      <c r="W25" s="156" t="e" cm="1">
        <f t="array" ref="W25">_xlfn.XLOOKUP(1, ('0. GUIDELINES'!$E$3='[1]input-labor'!$A:$A) * (W$7='[1]input-labor'!$B:$B) * ($A25='[1]input-labor'!$C:$C) * ($E$4='[1]input-labor'!$G:$G), '[1]input-labor'!$D:$D)</f>
        <v>#N/A</v>
      </c>
      <c r="X25" s="156" t="e" cm="1">
        <f t="array" ref="X25">_xlfn.XLOOKUP(1, ('0. GUIDELINES'!$E$3='[1]input-labor'!$A:$A) * (X$7='[1]input-labor'!$B:$B) * ($A25='[1]input-labor'!$C:$C) * ($E$4='[1]input-labor'!$G:$G), '[1]input-labor'!$D:$D)</f>
        <v>#N/A</v>
      </c>
      <c r="Y25" s="156" t="e" cm="1">
        <f t="array" ref="Y25">_xlfn.XLOOKUP(1, ('0. GUIDELINES'!$E$3='[1]input-labor'!$A:$A) * (Y$7='[1]input-labor'!$B:$B) * ($A25='[1]input-labor'!$C:$C) * ($E$4='[1]input-labor'!$G:$G), '[1]input-labor'!$D:$D)</f>
        <v>#N/A</v>
      </c>
      <c r="Z25" s="156" cm="1">
        <f t="array" ref="Z25">_xlfn.XLOOKUP(1, ('0. GUIDELINES'!$E$3='[1]input-labor'!$A:$A) * (Z$7='[1]input-labor'!$B:$B) * ($A25='[1]input-labor'!$C:$C) * ($E$4='[1]input-labor'!$G:$G), '[1]input-labor'!$D:$D)</f>
        <v>10125834</v>
      </c>
      <c r="AA25" s="144">
        <f>Z25*(1+'GROWTH RATES'!X14/100)</f>
        <v>10147041.437752239</v>
      </c>
      <c r="AB25" s="144">
        <f>AA25*(1+'GROWTH RATES'!Y14/100)</f>
        <v>9970482.9156933371</v>
      </c>
      <c r="AC25" s="144">
        <f>AB25*(1+'GROWTH RATES'!Z14/100)</f>
        <v>8983405.1259592772</v>
      </c>
      <c r="AD25" s="144">
        <f>AC25*(1+'GROWTH RATES'!AA14/100)</f>
        <v>10002123.280242056</v>
      </c>
    </row>
    <row r="26" spans="1:31" x14ac:dyDescent="0.2">
      <c r="A26" s="88" t="s">
        <v>435</v>
      </c>
      <c r="B26" s="292"/>
      <c r="C26" s="124"/>
      <c r="D26" s="124"/>
      <c r="E26" s="124"/>
      <c r="F26" s="123"/>
      <c r="G26" s="319" t="s">
        <v>611</v>
      </c>
      <c r="H26" s="315" t="s">
        <v>406</v>
      </c>
      <c r="I26" s="156" t="e" cm="1">
        <f t="array" ref="I26">_xlfn.XLOOKUP(1, ('0. GUIDELINES'!$E$3='[1]input-labor'!$A:$A) * (I$7='[1]input-labor'!$B:$B) * ($A26='[1]input-labor'!$C:$C) * ($E$4='[1]input-labor'!$G:$G), '[1]input-labor'!$D:$D)</f>
        <v>#N/A</v>
      </c>
      <c r="J26" s="156" t="e" cm="1">
        <f t="array" ref="J26">_xlfn.XLOOKUP(1, ('0. GUIDELINES'!$E$3='[1]input-labor'!$A:$A) * (J$7='[1]input-labor'!$B:$B) * ($A26='[1]input-labor'!$C:$C) * ($E$4='[1]input-labor'!$G:$G), '[1]input-labor'!$D:$D)</f>
        <v>#N/A</v>
      </c>
      <c r="K26" s="156" t="e" cm="1">
        <f t="array" ref="K26">_xlfn.XLOOKUP(1, ('0. GUIDELINES'!$E$3='[1]input-labor'!$A:$A) * (K$7='[1]input-labor'!$B:$B) * ($A26='[1]input-labor'!$C:$C) * ($E$4='[1]input-labor'!$G:$G), '[1]input-labor'!$D:$D)</f>
        <v>#N/A</v>
      </c>
      <c r="L26" s="156" t="e" cm="1">
        <f t="array" ref="L26">_xlfn.XLOOKUP(1, ('0. GUIDELINES'!$E$3='[1]input-labor'!$A:$A) * (L$7='[1]input-labor'!$B:$B) * ($A26='[1]input-labor'!$C:$C) * ($E$4='[1]input-labor'!$G:$G), '[1]input-labor'!$D:$D)</f>
        <v>#N/A</v>
      </c>
      <c r="M26" s="156" t="e" cm="1">
        <f t="array" ref="M26">_xlfn.XLOOKUP(1, ('0. GUIDELINES'!$E$3='[1]input-labor'!$A:$A) * (M$7='[1]input-labor'!$B:$B) * ($A26='[1]input-labor'!$C:$C) * ($E$4='[1]input-labor'!$G:$G), '[1]input-labor'!$D:$D)</f>
        <v>#N/A</v>
      </c>
      <c r="N26" s="156" t="e" cm="1">
        <f t="array" ref="N26">_xlfn.XLOOKUP(1, ('0. GUIDELINES'!$E$3='[1]input-labor'!$A:$A) * (N$7='[1]input-labor'!$B:$B) * ($A26='[1]input-labor'!$C:$C) * ($E$4='[1]input-labor'!$G:$G), '[1]input-labor'!$D:$D)</f>
        <v>#N/A</v>
      </c>
      <c r="O26" s="156" t="e" cm="1">
        <f t="array" ref="O26">_xlfn.XLOOKUP(1, ('0. GUIDELINES'!$E$3='[1]input-labor'!$A:$A) * (O$7='[1]input-labor'!$B:$B) * ($A26='[1]input-labor'!$C:$C) * ($E$4='[1]input-labor'!$G:$G), '[1]input-labor'!$D:$D)</f>
        <v>#N/A</v>
      </c>
      <c r="P26" s="156" t="e" cm="1">
        <f t="array" ref="P26">_xlfn.XLOOKUP(1, ('0. GUIDELINES'!$E$3='[1]input-labor'!$A:$A) * (P$7='[1]input-labor'!$B:$B) * ($A26='[1]input-labor'!$C:$C) * ($E$4='[1]input-labor'!$G:$G), '[1]input-labor'!$D:$D)</f>
        <v>#N/A</v>
      </c>
      <c r="Q26" s="156" t="e" cm="1">
        <f t="array" ref="Q26">_xlfn.XLOOKUP(1, ('0. GUIDELINES'!$E$3='[1]input-labor'!$A:$A) * (Q$7='[1]input-labor'!$B:$B) * ($A26='[1]input-labor'!$C:$C) * ($E$4='[1]input-labor'!$G:$G), '[1]input-labor'!$D:$D)</f>
        <v>#N/A</v>
      </c>
      <c r="R26" s="156" t="e" cm="1">
        <f t="array" ref="R26">_xlfn.XLOOKUP(1, ('0. GUIDELINES'!$E$3='[1]input-labor'!$A:$A) * (R$7='[1]input-labor'!$B:$B) * ($A26='[1]input-labor'!$C:$C) * ($E$4='[1]input-labor'!$G:$G), '[1]input-labor'!$D:$D)</f>
        <v>#N/A</v>
      </c>
      <c r="S26" s="156" t="e" cm="1">
        <f t="array" ref="S26">_xlfn.XLOOKUP(1, ('0. GUIDELINES'!$E$3='[1]input-labor'!$A:$A) * (S$7='[1]input-labor'!$B:$B) * ($A26='[1]input-labor'!$C:$C) * ($E$4='[1]input-labor'!$G:$G), '[1]input-labor'!$D:$D)</f>
        <v>#N/A</v>
      </c>
      <c r="T26" s="156" cm="1">
        <f t="array" ref="T26">_xlfn.XLOOKUP(1, ('0. GUIDELINES'!$E$3='[1]input-labor'!$A:$A) * (T$7='[1]input-labor'!$B:$B) * ($A26='[1]input-labor'!$C:$C) * ($E$4='[1]input-labor'!$G:$G), '[1]input-labor'!$D:$D)</f>
        <v>2961032.75</v>
      </c>
      <c r="U26" s="156" t="e" cm="1">
        <f t="array" ref="U26">_xlfn.XLOOKUP(1, ('0. GUIDELINES'!$E$3='[1]input-labor'!$A:$A) * (U$7='[1]input-labor'!$B:$B) * ($A26='[1]input-labor'!$C:$C) * ($E$4='[1]input-labor'!$G:$G), '[1]input-labor'!$D:$D)</f>
        <v>#N/A</v>
      </c>
      <c r="V26" s="156" t="e" cm="1">
        <f t="array" ref="V26">_xlfn.XLOOKUP(1, ('0. GUIDELINES'!$E$3='[1]input-labor'!$A:$A) * (V$7='[1]input-labor'!$B:$B) * ($A26='[1]input-labor'!$C:$C) * ($E$4='[1]input-labor'!$G:$G), '[1]input-labor'!$D:$D)</f>
        <v>#N/A</v>
      </c>
      <c r="W26" s="156" t="e" cm="1">
        <f t="array" ref="W26">_xlfn.XLOOKUP(1, ('0. GUIDELINES'!$E$3='[1]input-labor'!$A:$A) * (W$7='[1]input-labor'!$B:$B) * ($A26='[1]input-labor'!$C:$C) * ($E$4='[1]input-labor'!$G:$G), '[1]input-labor'!$D:$D)</f>
        <v>#N/A</v>
      </c>
      <c r="X26" s="156" t="e" cm="1">
        <f t="array" ref="X26">_xlfn.XLOOKUP(1, ('0. GUIDELINES'!$E$3='[1]input-labor'!$A:$A) * (X$7='[1]input-labor'!$B:$B) * ($A26='[1]input-labor'!$C:$C) * ($E$4='[1]input-labor'!$G:$G), '[1]input-labor'!$D:$D)</f>
        <v>#N/A</v>
      </c>
      <c r="Y26" s="156" t="e" cm="1">
        <f t="array" ref="Y26">_xlfn.XLOOKUP(1, ('0. GUIDELINES'!$E$3='[1]input-labor'!$A:$A) * (Y$7='[1]input-labor'!$B:$B) * ($A26='[1]input-labor'!$C:$C) * ($E$4='[1]input-labor'!$G:$G), '[1]input-labor'!$D:$D)</f>
        <v>#N/A</v>
      </c>
      <c r="Z26" s="156" cm="1">
        <f t="array" ref="Z26">_xlfn.XLOOKUP(1, ('0. GUIDELINES'!$E$3='[1]input-labor'!$A:$A) * (Z$7='[1]input-labor'!$B:$B) * ($A26='[1]input-labor'!$C:$C) * ($E$4='[1]input-labor'!$G:$G), '[1]input-labor'!$D:$D)</f>
        <v>6066444</v>
      </c>
      <c r="AA26" s="144">
        <f>Z26*(1+'GROWTH RATES'!X15/100)</f>
        <v>6235850.600328682</v>
      </c>
      <c r="AB26" s="144">
        <f>AA26*(1+'GROWTH RATES'!Y15/100)</f>
        <v>6217766.6334810006</v>
      </c>
      <c r="AC26" s="144">
        <f>AB26*(1+'GROWTH RATES'!Z15/100)</f>
        <v>5909987.191022981</v>
      </c>
      <c r="AD26" s="144">
        <f>AC26*(1+'GROWTH RATES'!AA15/100)</f>
        <v>6197212.5721717374</v>
      </c>
    </row>
    <row r="27" spans="1:31" x14ac:dyDescent="0.2">
      <c r="A27" s="88" t="s">
        <v>436</v>
      </c>
      <c r="B27" s="292"/>
      <c r="C27" s="124"/>
      <c r="D27" s="124"/>
      <c r="E27" s="124"/>
      <c r="F27" s="123"/>
      <c r="G27" s="319" t="s">
        <v>612</v>
      </c>
      <c r="H27" s="315" t="s">
        <v>407</v>
      </c>
      <c r="I27" s="156" t="e" cm="1">
        <f t="array" ref="I27">_xlfn.XLOOKUP(1, ('0. GUIDELINES'!$E$3='[1]input-labor'!$A:$A) * (I$7='[1]input-labor'!$B:$B) * ($A27='[1]input-labor'!$C:$C) * ($E$4='[1]input-labor'!$G:$G), '[1]input-labor'!$D:$D)</f>
        <v>#N/A</v>
      </c>
      <c r="J27" s="156" t="e" cm="1">
        <f t="array" ref="J27">_xlfn.XLOOKUP(1, ('0. GUIDELINES'!$E$3='[1]input-labor'!$A:$A) * (J$7='[1]input-labor'!$B:$B) * ($A27='[1]input-labor'!$C:$C) * ($E$4='[1]input-labor'!$G:$G), '[1]input-labor'!$D:$D)</f>
        <v>#N/A</v>
      </c>
      <c r="K27" s="156" t="e" cm="1">
        <f t="array" ref="K27">_xlfn.XLOOKUP(1, ('0. GUIDELINES'!$E$3='[1]input-labor'!$A:$A) * (K$7='[1]input-labor'!$B:$B) * ($A27='[1]input-labor'!$C:$C) * ($E$4='[1]input-labor'!$G:$G), '[1]input-labor'!$D:$D)</f>
        <v>#N/A</v>
      </c>
      <c r="L27" s="156" t="e" cm="1">
        <f t="array" ref="L27">_xlfn.XLOOKUP(1, ('0. GUIDELINES'!$E$3='[1]input-labor'!$A:$A) * (L$7='[1]input-labor'!$B:$B) * ($A27='[1]input-labor'!$C:$C) * ($E$4='[1]input-labor'!$G:$G), '[1]input-labor'!$D:$D)</f>
        <v>#N/A</v>
      </c>
      <c r="M27" s="156" t="e" cm="1">
        <f t="array" ref="M27">_xlfn.XLOOKUP(1, ('0. GUIDELINES'!$E$3='[1]input-labor'!$A:$A) * (M$7='[1]input-labor'!$B:$B) * ($A27='[1]input-labor'!$C:$C) * ($E$4='[1]input-labor'!$G:$G), '[1]input-labor'!$D:$D)</f>
        <v>#N/A</v>
      </c>
      <c r="N27" s="156" t="e" cm="1">
        <f t="array" ref="N27">_xlfn.XLOOKUP(1, ('0. GUIDELINES'!$E$3='[1]input-labor'!$A:$A) * (N$7='[1]input-labor'!$B:$B) * ($A27='[1]input-labor'!$C:$C) * ($E$4='[1]input-labor'!$G:$G), '[1]input-labor'!$D:$D)</f>
        <v>#N/A</v>
      </c>
      <c r="O27" s="156" t="e" cm="1">
        <f t="array" ref="O27">_xlfn.XLOOKUP(1, ('0. GUIDELINES'!$E$3='[1]input-labor'!$A:$A) * (O$7='[1]input-labor'!$B:$B) * ($A27='[1]input-labor'!$C:$C) * ($E$4='[1]input-labor'!$G:$G), '[1]input-labor'!$D:$D)</f>
        <v>#N/A</v>
      </c>
      <c r="P27" s="156" t="e" cm="1">
        <f t="array" ref="P27">_xlfn.XLOOKUP(1, ('0. GUIDELINES'!$E$3='[1]input-labor'!$A:$A) * (P$7='[1]input-labor'!$B:$B) * ($A27='[1]input-labor'!$C:$C) * ($E$4='[1]input-labor'!$G:$G), '[1]input-labor'!$D:$D)</f>
        <v>#N/A</v>
      </c>
      <c r="Q27" s="156" t="e" cm="1">
        <f t="array" ref="Q27">_xlfn.XLOOKUP(1, ('0. GUIDELINES'!$E$3='[1]input-labor'!$A:$A) * (Q$7='[1]input-labor'!$B:$B) * ($A27='[1]input-labor'!$C:$C) * ($E$4='[1]input-labor'!$G:$G), '[1]input-labor'!$D:$D)</f>
        <v>#N/A</v>
      </c>
      <c r="R27" s="156" t="e" cm="1">
        <f t="array" ref="R27">_xlfn.XLOOKUP(1, ('0. GUIDELINES'!$E$3='[1]input-labor'!$A:$A) * (R$7='[1]input-labor'!$B:$B) * ($A27='[1]input-labor'!$C:$C) * ($E$4='[1]input-labor'!$G:$G), '[1]input-labor'!$D:$D)</f>
        <v>#N/A</v>
      </c>
      <c r="S27" s="156" t="e" cm="1">
        <f t="array" ref="S27">_xlfn.XLOOKUP(1, ('0. GUIDELINES'!$E$3='[1]input-labor'!$A:$A) * (S$7='[1]input-labor'!$B:$B) * ($A27='[1]input-labor'!$C:$C) * ($E$4='[1]input-labor'!$G:$G), '[1]input-labor'!$D:$D)</f>
        <v>#N/A</v>
      </c>
      <c r="T27" s="156" cm="1">
        <f t="array" ref="T27">_xlfn.XLOOKUP(1, ('0. GUIDELINES'!$E$3='[1]input-labor'!$A:$A) * (T$7='[1]input-labor'!$B:$B) * ($A27='[1]input-labor'!$C:$C) * ($E$4='[1]input-labor'!$G:$G), '[1]input-labor'!$D:$D)</f>
        <v>13945782</v>
      </c>
      <c r="U27" s="156" t="e" cm="1">
        <f t="array" ref="U27">_xlfn.XLOOKUP(1, ('0. GUIDELINES'!$E$3='[1]input-labor'!$A:$A) * (U$7='[1]input-labor'!$B:$B) * ($A27='[1]input-labor'!$C:$C) * ($E$4='[1]input-labor'!$G:$G), '[1]input-labor'!$D:$D)</f>
        <v>#N/A</v>
      </c>
      <c r="V27" s="156" t="e" cm="1">
        <f t="array" ref="V27">_xlfn.XLOOKUP(1, ('0. GUIDELINES'!$E$3='[1]input-labor'!$A:$A) * (V$7='[1]input-labor'!$B:$B) * ($A27='[1]input-labor'!$C:$C) * ($E$4='[1]input-labor'!$G:$G), '[1]input-labor'!$D:$D)</f>
        <v>#N/A</v>
      </c>
      <c r="W27" s="156" t="e" cm="1">
        <f t="array" ref="W27">_xlfn.XLOOKUP(1, ('0. GUIDELINES'!$E$3='[1]input-labor'!$A:$A) * (W$7='[1]input-labor'!$B:$B) * ($A27='[1]input-labor'!$C:$C) * ($E$4='[1]input-labor'!$G:$G), '[1]input-labor'!$D:$D)</f>
        <v>#N/A</v>
      </c>
      <c r="X27" s="156" t="e" cm="1">
        <f t="array" ref="X27">_xlfn.XLOOKUP(1, ('0. GUIDELINES'!$E$3='[1]input-labor'!$A:$A) * (X$7='[1]input-labor'!$B:$B) * ($A27='[1]input-labor'!$C:$C) * ($E$4='[1]input-labor'!$G:$G), '[1]input-labor'!$D:$D)</f>
        <v>#N/A</v>
      </c>
      <c r="Y27" s="156" t="e" cm="1">
        <f t="array" ref="Y27">_xlfn.XLOOKUP(1, ('0. GUIDELINES'!$E$3='[1]input-labor'!$A:$A) * (Y$7='[1]input-labor'!$B:$B) * ($A27='[1]input-labor'!$C:$C) * ($E$4='[1]input-labor'!$G:$G), '[1]input-labor'!$D:$D)</f>
        <v>#N/A</v>
      </c>
      <c r="Z27" s="156" cm="1">
        <f t="array" ref="Z27">_xlfn.XLOOKUP(1, ('0. GUIDELINES'!$E$3='[1]input-labor'!$A:$A) * (Z$7='[1]input-labor'!$B:$B) * ($A27='[1]input-labor'!$C:$C) * ($E$4='[1]input-labor'!$G:$G), '[1]input-labor'!$D:$D)</f>
        <v>13278361</v>
      </c>
      <c r="AA27" s="144">
        <f>Z27*(1+'GROWTH RATES'!X16/100)</f>
        <v>13607407.765132871</v>
      </c>
      <c r="AB27" s="144">
        <f>AA27*(1+'GROWTH RATES'!Y16/100)</f>
        <v>13136620.451357808</v>
      </c>
      <c r="AC27" s="144">
        <f>AB27*(1+'GROWTH RATES'!Z16/100)</f>
        <v>13412374.024211453</v>
      </c>
      <c r="AD27" s="144">
        <f>AC27*(1+'GROWTH RATES'!AA16/100)</f>
        <v>13817010.222435543</v>
      </c>
    </row>
    <row r="28" spans="1:31" x14ac:dyDescent="0.2">
      <c r="A28" s="88" t="s">
        <v>437</v>
      </c>
      <c r="B28" s="292"/>
      <c r="C28" s="124"/>
      <c r="D28" s="124"/>
      <c r="E28" s="124"/>
      <c r="F28" s="123"/>
      <c r="G28" s="319" t="s">
        <v>613</v>
      </c>
      <c r="H28" s="315" t="s">
        <v>408</v>
      </c>
      <c r="I28" s="156" t="e" cm="1">
        <f t="array" ref="I28">_xlfn.XLOOKUP(1, ('0. GUIDELINES'!$E$3='[1]input-labor'!$A:$A) * (I$7='[1]input-labor'!$B:$B) * ($A28='[1]input-labor'!$C:$C) * ($E$4='[1]input-labor'!$G:$G), '[1]input-labor'!$D:$D)</f>
        <v>#N/A</v>
      </c>
      <c r="J28" s="156" t="e" cm="1">
        <f t="array" ref="J28">_xlfn.XLOOKUP(1, ('0. GUIDELINES'!$E$3='[1]input-labor'!$A:$A) * (J$7='[1]input-labor'!$B:$B) * ($A28='[1]input-labor'!$C:$C) * ($E$4='[1]input-labor'!$G:$G), '[1]input-labor'!$D:$D)</f>
        <v>#N/A</v>
      </c>
      <c r="K28" s="156" t="e" cm="1">
        <f t="array" ref="K28">_xlfn.XLOOKUP(1, ('0. GUIDELINES'!$E$3='[1]input-labor'!$A:$A) * (K$7='[1]input-labor'!$B:$B) * ($A28='[1]input-labor'!$C:$C) * ($E$4='[1]input-labor'!$G:$G), '[1]input-labor'!$D:$D)</f>
        <v>#N/A</v>
      </c>
      <c r="L28" s="156" t="e" cm="1">
        <f t="array" ref="L28">_xlfn.XLOOKUP(1, ('0. GUIDELINES'!$E$3='[1]input-labor'!$A:$A) * (L$7='[1]input-labor'!$B:$B) * ($A28='[1]input-labor'!$C:$C) * ($E$4='[1]input-labor'!$G:$G), '[1]input-labor'!$D:$D)</f>
        <v>#N/A</v>
      </c>
      <c r="M28" s="156" t="e" cm="1">
        <f t="array" ref="M28">_xlfn.XLOOKUP(1, ('0. GUIDELINES'!$E$3='[1]input-labor'!$A:$A) * (M$7='[1]input-labor'!$B:$B) * ($A28='[1]input-labor'!$C:$C) * ($E$4='[1]input-labor'!$G:$G), '[1]input-labor'!$D:$D)</f>
        <v>#N/A</v>
      </c>
      <c r="N28" s="156" t="e" cm="1">
        <f t="array" ref="N28">_xlfn.XLOOKUP(1, ('0. GUIDELINES'!$E$3='[1]input-labor'!$A:$A) * (N$7='[1]input-labor'!$B:$B) * ($A28='[1]input-labor'!$C:$C) * ($E$4='[1]input-labor'!$G:$G), '[1]input-labor'!$D:$D)</f>
        <v>#N/A</v>
      </c>
      <c r="O28" s="156" t="e" cm="1">
        <f t="array" ref="O28">_xlfn.XLOOKUP(1, ('0. GUIDELINES'!$E$3='[1]input-labor'!$A:$A) * (O$7='[1]input-labor'!$B:$B) * ($A28='[1]input-labor'!$C:$C) * ($E$4='[1]input-labor'!$G:$G), '[1]input-labor'!$D:$D)</f>
        <v>#N/A</v>
      </c>
      <c r="P28" s="156" t="e" cm="1">
        <f t="array" ref="P28">_xlfn.XLOOKUP(1, ('0. GUIDELINES'!$E$3='[1]input-labor'!$A:$A) * (P$7='[1]input-labor'!$B:$B) * ($A28='[1]input-labor'!$C:$C) * ($E$4='[1]input-labor'!$G:$G), '[1]input-labor'!$D:$D)</f>
        <v>#N/A</v>
      </c>
      <c r="Q28" s="156" t="e" cm="1">
        <f t="array" ref="Q28">_xlfn.XLOOKUP(1, ('0. GUIDELINES'!$E$3='[1]input-labor'!$A:$A) * (Q$7='[1]input-labor'!$B:$B) * ($A28='[1]input-labor'!$C:$C) * ($E$4='[1]input-labor'!$G:$G), '[1]input-labor'!$D:$D)</f>
        <v>#N/A</v>
      </c>
      <c r="R28" s="156" t="e" cm="1">
        <f t="array" ref="R28">_xlfn.XLOOKUP(1, ('0. GUIDELINES'!$E$3='[1]input-labor'!$A:$A) * (R$7='[1]input-labor'!$B:$B) * ($A28='[1]input-labor'!$C:$C) * ($E$4='[1]input-labor'!$G:$G), '[1]input-labor'!$D:$D)</f>
        <v>#N/A</v>
      </c>
      <c r="S28" s="156" t="e" cm="1">
        <f t="array" ref="S28">_xlfn.XLOOKUP(1, ('0. GUIDELINES'!$E$3='[1]input-labor'!$A:$A) * (S$7='[1]input-labor'!$B:$B) * ($A28='[1]input-labor'!$C:$C) * ($E$4='[1]input-labor'!$G:$G), '[1]input-labor'!$D:$D)</f>
        <v>#N/A</v>
      </c>
      <c r="T28" s="156" cm="1">
        <f t="array" ref="T28">_xlfn.XLOOKUP(1, ('0. GUIDELINES'!$E$3='[1]input-labor'!$A:$A) * (T$7='[1]input-labor'!$B:$B) * ($A28='[1]input-labor'!$C:$C) * ($E$4='[1]input-labor'!$G:$G), '[1]input-labor'!$D:$D)</f>
        <v>6792211.5</v>
      </c>
      <c r="U28" s="156" t="e" cm="1">
        <f t="array" ref="U28">_xlfn.XLOOKUP(1, ('0. GUIDELINES'!$E$3='[1]input-labor'!$A:$A) * (U$7='[1]input-labor'!$B:$B) * ($A28='[1]input-labor'!$C:$C) * ($E$4='[1]input-labor'!$G:$G), '[1]input-labor'!$D:$D)</f>
        <v>#N/A</v>
      </c>
      <c r="V28" s="156" t="e" cm="1">
        <f t="array" ref="V28">_xlfn.XLOOKUP(1, ('0. GUIDELINES'!$E$3='[1]input-labor'!$A:$A) * (V$7='[1]input-labor'!$B:$B) * ($A28='[1]input-labor'!$C:$C) * ($E$4='[1]input-labor'!$G:$G), '[1]input-labor'!$D:$D)</f>
        <v>#N/A</v>
      </c>
      <c r="W28" s="156" t="e" cm="1">
        <f t="array" ref="W28">_xlfn.XLOOKUP(1, ('0. GUIDELINES'!$E$3='[1]input-labor'!$A:$A) * (W$7='[1]input-labor'!$B:$B) * ($A28='[1]input-labor'!$C:$C) * ($E$4='[1]input-labor'!$G:$G), '[1]input-labor'!$D:$D)</f>
        <v>#N/A</v>
      </c>
      <c r="X28" s="156" t="e" cm="1">
        <f t="array" ref="X28">_xlfn.XLOOKUP(1, ('0. GUIDELINES'!$E$3='[1]input-labor'!$A:$A) * (X$7='[1]input-labor'!$B:$B) * ($A28='[1]input-labor'!$C:$C) * ($E$4='[1]input-labor'!$G:$G), '[1]input-labor'!$D:$D)</f>
        <v>#N/A</v>
      </c>
      <c r="Y28" s="156" t="e" cm="1">
        <f t="array" ref="Y28">_xlfn.XLOOKUP(1, ('0. GUIDELINES'!$E$3='[1]input-labor'!$A:$A) * (Y$7='[1]input-labor'!$B:$B) * ($A28='[1]input-labor'!$C:$C) * ($E$4='[1]input-labor'!$G:$G), '[1]input-labor'!$D:$D)</f>
        <v>#N/A</v>
      </c>
      <c r="Z28" s="156" cm="1">
        <f t="array" ref="Z28">_xlfn.XLOOKUP(1, ('0. GUIDELINES'!$E$3='[1]input-labor'!$A:$A) * (Z$7='[1]input-labor'!$B:$B) * ($A28='[1]input-labor'!$C:$C) * ($E$4='[1]input-labor'!$G:$G), '[1]input-labor'!$D:$D)</f>
        <v>10186550</v>
      </c>
      <c r="AA28" s="144">
        <f>Z28*(1+'GROWTH RATES'!X17/100)</f>
        <v>10303749.456075661</v>
      </c>
      <c r="AB28" s="144">
        <f>AA28*(1+'GROWTH RATES'!Y17/100)</f>
        <v>10139216.636487829</v>
      </c>
      <c r="AC28" s="144">
        <f>AB28*(1+'GROWTH RATES'!Z17/100)</f>
        <v>10470292.42685584</v>
      </c>
      <c r="AD28" s="144">
        <f>AC28*(1+'GROWTH RATES'!AA17/100)</f>
        <v>10596643.192626301</v>
      </c>
    </row>
    <row r="29" spans="1:31" x14ac:dyDescent="0.2">
      <c r="A29" s="88"/>
      <c r="B29" s="292"/>
      <c r="C29" s="124"/>
      <c r="D29" s="124"/>
      <c r="E29" s="124"/>
      <c r="F29" s="123"/>
      <c r="G29" s="319"/>
      <c r="H29" s="315"/>
      <c r="I29" s="156"/>
      <c r="J29" s="156"/>
      <c r="K29" s="156"/>
      <c r="L29" s="156"/>
      <c r="M29" s="156"/>
      <c r="N29" s="156"/>
      <c r="O29" s="156"/>
      <c r="P29" s="156"/>
      <c r="Q29" s="156"/>
      <c r="R29" s="156"/>
      <c r="S29" s="156"/>
      <c r="T29" s="156"/>
      <c r="U29" s="156"/>
      <c r="V29" s="156"/>
      <c r="W29" s="156"/>
      <c r="X29" s="156"/>
      <c r="Y29" s="156"/>
      <c r="Z29" s="504"/>
      <c r="AA29" s="144"/>
      <c r="AB29" s="144"/>
      <c r="AC29" s="144"/>
      <c r="AD29" s="144"/>
    </row>
    <row r="30" spans="1:31" x14ac:dyDescent="0.2">
      <c r="A30" s="88"/>
      <c r="B30" s="292"/>
      <c r="C30" s="124"/>
      <c r="D30" s="124"/>
      <c r="E30" s="124"/>
      <c r="F30" s="123"/>
      <c r="G30" s="319"/>
      <c r="H30" s="315"/>
      <c r="I30" s="156"/>
      <c r="J30" s="156"/>
      <c r="K30" s="156"/>
      <c r="L30" s="156"/>
      <c r="M30" s="156"/>
      <c r="N30" s="156"/>
      <c r="O30" s="156"/>
      <c r="P30" s="156"/>
      <c r="Q30" s="156"/>
      <c r="R30" s="156"/>
      <c r="S30" s="156"/>
      <c r="T30" s="156"/>
      <c r="U30" s="156"/>
      <c r="V30" s="156"/>
      <c r="W30" s="156"/>
      <c r="X30" s="156"/>
      <c r="Y30" s="156"/>
      <c r="Z30" s="504"/>
      <c r="AA30" s="505"/>
      <c r="AB30" s="144"/>
      <c r="AC30" s="144"/>
      <c r="AD30" s="144"/>
    </row>
    <row r="31" spans="1:31" x14ac:dyDescent="0.2">
      <c r="A31" s="88"/>
      <c r="B31" s="292"/>
      <c r="C31" s="124"/>
      <c r="D31" s="124"/>
      <c r="E31" s="124"/>
      <c r="F31" s="123"/>
      <c r="G31" s="319"/>
      <c r="H31" s="315"/>
      <c r="I31" s="156"/>
      <c r="J31" s="156"/>
      <c r="K31" s="156"/>
      <c r="L31" s="156"/>
      <c r="M31" s="156"/>
      <c r="N31" s="156"/>
      <c r="O31" s="156"/>
      <c r="P31" s="156"/>
      <c r="Q31" s="156"/>
      <c r="R31" s="156"/>
      <c r="S31" s="156"/>
      <c r="T31" s="156"/>
      <c r="U31" s="156"/>
      <c r="V31" s="156"/>
      <c r="W31" s="156"/>
      <c r="X31" s="156"/>
      <c r="Y31" s="156"/>
      <c r="Z31" s="504"/>
      <c r="AA31" s="505"/>
      <c r="AB31" s="144"/>
      <c r="AC31" s="144"/>
      <c r="AD31" s="144"/>
    </row>
    <row r="32" spans="1:31" x14ac:dyDescent="0.2">
      <c r="A32" s="88"/>
      <c r="B32" s="292"/>
      <c r="C32" s="124"/>
      <c r="D32" s="124"/>
      <c r="E32" s="124"/>
      <c r="F32" s="123"/>
      <c r="G32" s="319"/>
      <c r="H32" s="315"/>
      <c r="I32" s="156"/>
      <c r="J32" s="156"/>
      <c r="K32" s="156"/>
      <c r="L32" s="156"/>
      <c r="M32" s="156"/>
      <c r="N32" s="156"/>
      <c r="O32" s="156"/>
      <c r="P32" s="156"/>
      <c r="Q32" s="156"/>
      <c r="R32" s="156"/>
      <c r="S32" s="156"/>
      <c r="T32" s="156"/>
      <c r="U32" s="156"/>
      <c r="V32" s="156"/>
      <c r="W32" s="156"/>
      <c r="X32" s="156"/>
      <c r="Y32" s="156"/>
      <c r="Z32" s="504"/>
      <c r="AA32" s="144"/>
      <c r="AB32" s="144"/>
      <c r="AC32" s="144"/>
      <c r="AD32" s="144"/>
    </row>
    <row r="33" spans="1:38" x14ac:dyDescent="0.2">
      <c r="A33" s="88"/>
      <c r="B33" s="292"/>
      <c r="C33" s="124"/>
      <c r="D33" s="124"/>
      <c r="E33" s="124"/>
      <c r="F33" s="123"/>
      <c r="G33" s="319"/>
      <c r="H33" s="315"/>
      <c r="I33" s="156"/>
      <c r="J33" s="156"/>
      <c r="K33" s="156"/>
      <c r="L33" s="156"/>
      <c r="M33" s="156"/>
      <c r="N33" s="156"/>
      <c r="O33" s="156"/>
      <c r="P33" s="156"/>
      <c r="Q33" s="156"/>
      <c r="R33" s="156"/>
      <c r="S33" s="156"/>
      <c r="T33" s="156"/>
      <c r="U33" s="156"/>
      <c r="V33" s="156"/>
      <c r="W33" s="156"/>
      <c r="X33" s="156"/>
      <c r="Y33" s="156"/>
      <c r="Z33" s="504"/>
      <c r="AA33" s="144"/>
      <c r="AB33" s="144"/>
      <c r="AC33" s="144"/>
      <c r="AD33" s="144"/>
    </row>
    <row r="34" spans="1:38" x14ac:dyDescent="0.2">
      <c r="A34" s="88"/>
      <c r="B34" s="292"/>
      <c r="C34" s="124"/>
      <c r="D34" s="124"/>
      <c r="E34" s="124"/>
      <c r="F34" s="123"/>
      <c r="G34" s="320"/>
      <c r="H34" s="321"/>
      <c r="I34" s="322"/>
      <c r="J34" s="322"/>
      <c r="K34" s="322"/>
      <c r="L34" s="322"/>
      <c r="M34" s="322"/>
      <c r="N34" s="322"/>
      <c r="O34" s="322"/>
      <c r="P34" s="322"/>
      <c r="Q34" s="322"/>
      <c r="R34" s="322"/>
      <c r="S34" s="322"/>
      <c r="T34" s="322"/>
      <c r="U34" s="322"/>
      <c r="V34" s="322"/>
      <c r="W34" s="322"/>
      <c r="X34" s="322"/>
      <c r="Y34" s="322"/>
      <c r="Z34" s="504"/>
      <c r="AA34" s="151"/>
      <c r="AB34" s="151"/>
      <c r="AC34" s="151"/>
      <c r="AD34" s="151"/>
    </row>
    <row r="35" spans="1:38" ht="14.25" customHeight="1" x14ac:dyDescent="0.2">
      <c r="A35" s="88"/>
      <c r="B35" s="305"/>
      <c r="C35" s="124"/>
      <c r="D35" s="124"/>
      <c r="E35" s="124"/>
      <c r="F35" s="123"/>
      <c r="G35" s="335"/>
      <c r="H35" s="335"/>
      <c r="I35" s="156"/>
      <c r="J35" s="156"/>
      <c r="K35" s="156"/>
      <c r="L35" s="156"/>
      <c r="M35" s="156"/>
      <c r="N35" s="156"/>
      <c r="O35" s="156"/>
      <c r="P35" s="156"/>
      <c r="Q35" s="156"/>
      <c r="R35" s="156"/>
      <c r="S35" s="156"/>
      <c r="T35" s="156"/>
      <c r="U35" s="156"/>
      <c r="V35" s="156"/>
      <c r="W35" s="156"/>
      <c r="X35" s="156"/>
      <c r="Y35" s="156"/>
      <c r="Z35" s="504"/>
      <c r="AA35" s="336"/>
      <c r="AB35" s="336"/>
      <c r="AC35" s="336"/>
      <c r="AD35" s="336"/>
    </row>
    <row r="36" spans="1:38" ht="15" customHeight="1" x14ac:dyDescent="0.2">
      <c r="A36" s="88"/>
      <c r="B36" s="305"/>
      <c r="C36" s="124"/>
      <c r="D36" s="124"/>
      <c r="E36" s="124"/>
      <c r="F36" s="123"/>
      <c r="G36" s="544" t="s">
        <v>154</v>
      </c>
      <c r="H36" s="544"/>
      <c r="I36" s="544"/>
      <c r="J36" s="544"/>
      <c r="K36" s="544"/>
      <c r="L36" s="544"/>
      <c r="M36" s="544"/>
      <c r="N36" s="544"/>
      <c r="O36" s="544"/>
      <c r="P36" s="544"/>
      <c r="Q36" s="544"/>
      <c r="R36" s="544"/>
      <c r="S36" s="544"/>
      <c r="T36" s="544"/>
      <c r="U36" s="544"/>
      <c r="V36" s="544"/>
      <c r="W36" s="544"/>
      <c r="X36" s="544"/>
      <c r="Y36" s="544"/>
      <c r="Z36" s="544"/>
      <c r="AA36" s="544"/>
      <c r="AB36" s="544"/>
      <c r="AC36" s="544"/>
      <c r="AD36" s="544"/>
      <c r="AF36" s="69"/>
      <c r="AG36" s="69"/>
      <c r="AH36" s="69"/>
      <c r="AI36" s="70"/>
      <c r="AJ36" s="69"/>
      <c r="AK36" s="69"/>
      <c r="AL36" s="69"/>
    </row>
    <row r="37" spans="1:38" ht="15" customHeight="1" x14ac:dyDescent="0.2">
      <c r="A37" s="88"/>
      <c r="B37" s="305"/>
      <c r="C37" s="124"/>
      <c r="D37" s="124"/>
      <c r="E37" s="124"/>
      <c r="F37" s="125"/>
      <c r="G37" s="155"/>
      <c r="H37" s="155"/>
      <c r="I37" s="155"/>
      <c r="J37" s="155"/>
      <c r="K37" s="155"/>
      <c r="L37" s="155"/>
      <c r="M37" s="155"/>
      <c r="N37" s="155"/>
      <c r="O37" s="155"/>
      <c r="P37" s="155"/>
      <c r="Q37" s="155"/>
      <c r="R37" s="155"/>
      <c r="S37" s="155"/>
      <c r="T37" s="549"/>
      <c r="U37" s="549"/>
      <c r="V37" s="549"/>
      <c r="W37" s="549"/>
      <c r="X37" s="549"/>
      <c r="Y37" s="549"/>
      <c r="Z37" s="549"/>
      <c r="AA37" s="155"/>
      <c r="AB37" s="155"/>
      <c r="AC37" s="155"/>
      <c r="AD37" s="155"/>
      <c r="AF37" s="69"/>
      <c r="AG37" s="69"/>
      <c r="AH37" s="69"/>
      <c r="AI37" s="70"/>
      <c r="AJ37" s="69"/>
      <c r="AK37" s="69"/>
      <c r="AL37" s="69"/>
    </row>
    <row r="38" spans="1:38" ht="15" customHeight="1" x14ac:dyDescent="0.2">
      <c r="A38" s="92"/>
      <c r="B38" s="305"/>
      <c r="C38" s="124"/>
      <c r="D38" s="124"/>
      <c r="E38" s="124"/>
      <c r="F38" s="125"/>
      <c r="G38" s="546" t="s">
        <v>130</v>
      </c>
      <c r="H38" s="546" t="s">
        <v>131</v>
      </c>
      <c r="I38" s="547" t="s">
        <v>121</v>
      </c>
      <c r="J38" s="547"/>
      <c r="K38" s="547"/>
      <c r="L38" s="547"/>
      <c r="M38" s="547"/>
      <c r="N38" s="547"/>
      <c r="O38" s="547"/>
      <c r="P38" s="547"/>
      <c r="Q38" s="547"/>
      <c r="R38" s="150" t="s">
        <v>132</v>
      </c>
      <c r="S38" s="150" t="s">
        <v>132</v>
      </c>
      <c r="T38" s="150" t="s">
        <v>132</v>
      </c>
      <c r="U38" s="150" t="s">
        <v>132</v>
      </c>
      <c r="V38" s="150" t="s">
        <v>132</v>
      </c>
      <c r="W38" s="150" t="s">
        <v>132</v>
      </c>
      <c r="X38" s="150" t="s">
        <v>132</v>
      </c>
      <c r="Y38" s="150" t="s">
        <v>132</v>
      </c>
      <c r="Z38" s="150" t="s">
        <v>132</v>
      </c>
      <c r="AA38" s="150" t="s">
        <v>132</v>
      </c>
      <c r="AB38" s="542" t="s">
        <v>7</v>
      </c>
      <c r="AC38" s="542"/>
      <c r="AD38" s="542"/>
      <c r="AF38" s="69"/>
      <c r="AG38" s="69"/>
      <c r="AH38" s="69"/>
      <c r="AI38" s="70"/>
      <c r="AJ38" s="69"/>
      <c r="AK38" s="69"/>
      <c r="AL38" s="69"/>
    </row>
    <row r="39" spans="1:38" ht="15.75" customHeight="1" x14ac:dyDescent="0.2">
      <c r="A39" s="92"/>
      <c r="B39" s="305"/>
      <c r="C39" s="124"/>
      <c r="D39" s="124"/>
      <c r="E39" s="124"/>
      <c r="F39" s="125"/>
      <c r="G39" s="546"/>
      <c r="H39" s="546"/>
      <c r="I39" s="127">
        <v>2005</v>
      </c>
      <c r="J39" s="127">
        <v>2006</v>
      </c>
      <c r="K39" s="127">
        <v>2007</v>
      </c>
      <c r="L39" s="127">
        <v>2008</v>
      </c>
      <c r="M39" s="127">
        <v>2009</v>
      </c>
      <c r="N39" s="127">
        <v>2010</v>
      </c>
      <c r="O39" s="127">
        <v>2011</v>
      </c>
      <c r="P39" s="127">
        <v>2012</v>
      </c>
      <c r="Q39" s="127">
        <v>2013</v>
      </c>
      <c r="R39" s="127">
        <v>2014</v>
      </c>
      <c r="S39" s="127">
        <v>2015</v>
      </c>
      <c r="T39" s="127">
        <v>2016</v>
      </c>
      <c r="U39" s="127">
        <v>2017</v>
      </c>
      <c r="V39" s="127">
        <v>2018</v>
      </c>
      <c r="W39" s="127">
        <v>2019</v>
      </c>
      <c r="X39" s="127">
        <v>2020</v>
      </c>
      <c r="Y39" s="127">
        <v>2021</v>
      </c>
      <c r="Z39" s="281">
        <v>2022</v>
      </c>
      <c r="AA39" s="281">
        <v>2023</v>
      </c>
      <c r="AB39" s="127">
        <v>2024</v>
      </c>
      <c r="AC39" s="127">
        <v>2025</v>
      </c>
      <c r="AD39" s="127">
        <v>2026</v>
      </c>
      <c r="AJ39" s="69"/>
      <c r="AK39" s="69"/>
      <c r="AL39" s="69"/>
    </row>
    <row r="40" spans="1:38" ht="15.75" customHeight="1" x14ac:dyDescent="0.2">
      <c r="A40" s="92"/>
      <c r="B40" s="123"/>
      <c r="C40" s="124"/>
      <c r="D40" s="124"/>
      <c r="E40" s="125"/>
      <c r="F40" s="125"/>
      <c r="G40" s="312" t="s">
        <v>155</v>
      </c>
      <c r="H40" s="313" t="s">
        <v>409</v>
      </c>
      <c r="I40" s="323" t="e">
        <f t="shared" ref="I40:Y40" si="9">+I9/I8</f>
        <v>#N/A</v>
      </c>
      <c r="J40" s="323" t="e">
        <f t="shared" si="9"/>
        <v>#N/A</v>
      </c>
      <c r="K40" s="323" t="e">
        <f t="shared" si="9"/>
        <v>#N/A</v>
      </c>
      <c r="L40" s="323" t="e">
        <f t="shared" si="9"/>
        <v>#N/A</v>
      </c>
      <c r="M40" s="323" t="e">
        <f t="shared" si="9"/>
        <v>#N/A</v>
      </c>
      <c r="N40" s="323" t="e">
        <f t="shared" si="9"/>
        <v>#N/A</v>
      </c>
      <c r="O40" s="323" t="e">
        <f t="shared" si="9"/>
        <v>#N/A</v>
      </c>
      <c r="P40" s="323" t="e">
        <f t="shared" si="9"/>
        <v>#N/A</v>
      </c>
      <c r="Q40" s="323" t="e">
        <f t="shared" si="9"/>
        <v>#N/A</v>
      </c>
      <c r="R40" s="323" t="e">
        <f t="shared" si="9"/>
        <v>#N/A</v>
      </c>
      <c r="S40" s="323" t="e">
        <f t="shared" si="9"/>
        <v>#N/A</v>
      </c>
      <c r="T40" s="323">
        <f t="shared" ref="T40" si="10">+T9/T8</f>
        <v>0.4766963146345447</v>
      </c>
      <c r="U40" s="323" t="e">
        <f t="shared" si="9"/>
        <v>#N/A</v>
      </c>
      <c r="V40" s="323" t="e">
        <f t="shared" si="9"/>
        <v>#N/A</v>
      </c>
      <c r="W40" s="323" t="e">
        <f t="shared" si="9"/>
        <v>#N/A</v>
      </c>
      <c r="X40" s="323" t="e">
        <f t="shared" si="9"/>
        <v>#N/A</v>
      </c>
      <c r="Y40" s="323" t="e">
        <f t="shared" si="9"/>
        <v>#N/A</v>
      </c>
      <c r="Z40" s="323">
        <f>+Z9/Z8</f>
        <v>0.50867230402224128</v>
      </c>
      <c r="AA40" s="503">
        <f t="shared" ref="AA40:AD40" si="11">+AA9/AA8</f>
        <v>0.49962652304328825</v>
      </c>
      <c r="AB40" s="145">
        <f t="shared" si="11"/>
        <v>0.48692491246280856</v>
      </c>
      <c r="AC40" s="145">
        <f t="shared" si="11"/>
        <v>0.47716522042672038</v>
      </c>
      <c r="AD40" s="145">
        <f t="shared" si="11"/>
        <v>0.48497183295852164</v>
      </c>
      <c r="AE40" s="197"/>
      <c r="AJ40" s="69"/>
      <c r="AK40" s="69"/>
      <c r="AL40" s="69"/>
    </row>
    <row r="41" spans="1:38" ht="15.75" customHeight="1" x14ac:dyDescent="0.2">
      <c r="A41" s="92"/>
      <c r="B41" s="123"/>
      <c r="C41" s="124"/>
      <c r="D41" s="124"/>
      <c r="E41" s="125"/>
      <c r="F41" s="125"/>
      <c r="G41" s="312" t="s">
        <v>156</v>
      </c>
      <c r="H41" s="313" t="s">
        <v>410</v>
      </c>
      <c r="I41" s="323" t="e">
        <f t="shared" ref="I41:S41" si="12">100%-I40</f>
        <v>#N/A</v>
      </c>
      <c r="J41" s="323" t="e">
        <f t="shared" si="12"/>
        <v>#N/A</v>
      </c>
      <c r="K41" s="323" t="e">
        <f t="shared" si="12"/>
        <v>#N/A</v>
      </c>
      <c r="L41" s="323" t="e">
        <f t="shared" si="12"/>
        <v>#N/A</v>
      </c>
      <c r="M41" s="323" t="e">
        <f t="shared" si="12"/>
        <v>#N/A</v>
      </c>
      <c r="N41" s="323" t="e">
        <f t="shared" si="12"/>
        <v>#N/A</v>
      </c>
      <c r="O41" s="323" t="e">
        <f t="shared" si="12"/>
        <v>#N/A</v>
      </c>
      <c r="P41" s="323" t="e">
        <f t="shared" si="12"/>
        <v>#N/A</v>
      </c>
      <c r="Q41" s="323" t="e">
        <f t="shared" si="12"/>
        <v>#N/A</v>
      </c>
      <c r="R41" s="323" t="e">
        <f t="shared" si="12"/>
        <v>#N/A</v>
      </c>
      <c r="S41" s="323" t="e">
        <f t="shared" si="12"/>
        <v>#N/A</v>
      </c>
      <c r="T41" s="323">
        <f>100%-T40</f>
        <v>0.52330368536545535</v>
      </c>
      <c r="U41" s="323" t="e">
        <f t="shared" ref="U41:Y41" si="13">100%-U40</f>
        <v>#N/A</v>
      </c>
      <c r="V41" s="323" t="e">
        <f t="shared" si="13"/>
        <v>#N/A</v>
      </c>
      <c r="W41" s="323" t="e">
        <f t="shared" si="13"/>
        <v>#N/A</v>
      </c>
      <c r="X41" s="323" t="e">
        <f t="shared" si="13"/>
        <v>#N/A</v>
      </c>
      <c r="Y41" s="323" t="e">
        <f t="shared" si="13"/>
        <v>#N/A</v>
      </c>
      <c r="Z41" s="323">
        <f>100%-Z40</f>
        <v>0.49132769597775872</v>
      </c>
      <c r="AA41" s="145">
        <f>100%-AA40</f>
        <v>0.50037347695671175</v>
      </c>
      <c r="AB41" s="145">
        <f>100%-AB40</f>
        <v>0.51307508753719144</v>
      </c>
      <c r="AC41" s="145">
        <f t="shared" ref="AC41" si="14">100%-AC40</f>
        <v>0.52283477957327962</v>
      </c>
      <c r="AD41" s="145">
        <f>100%-AD40</f>
        <v>0.51502816704147836</v>
      </c>
      <c r="AE41" s="197"/>
      <c r="AJ41" s="69"/>
      <c r="AK41" s="69"/>
      <c r="AL41" s="69"/>
    </row>
    <row r="42" spans="1:38" x14ac:dyDescent="0.2">
      <c r="A42" s="92"/>
      <c r="B42" s="123"/>
      <c r="C42" s="124"/>
      <c r="D42" s="124"/>
      <c r="E42" s="125"/>
      <c r="F42" s="125"/>
      <c r="G42" s="312" t="s">
        <v>157</v>
      </c>
      <c r="H42" s="313" t="s">
        <v>411</v>
      </c>
      <c r="I42" s="324" t="e">
        <f t="shared" ref="I42:Y42" si="15">+I12/I9</f>
        <v>#N/A</v>
      </c>
      <c r="J42" s="324" t="e">
        <f t="shared" si="15"/>
        <v>#N/A</v>
      </c>
      <c r="K42" s="324" t="e">
        <f t="shared" si="15"/>
        <v>#N/A</v>
      </c>
      <c r="L42" s="324" t="e">
        <f t="shared" si="15"/>
        <v>#N/A</v>
      </c>
      <c r="M42" s="324" t="e">
        <f t="shared" si="15"/>
        <v>#N/A</v>
      </c>
      <c r="N42" s="324" t="e">
        <f t="shared" si="15"/>
        <v>#N/A</v>
      </c>
      <c r="O42" s="324" t="e">
        <f t="shared" si="15"/>
        <v>#N/A</v>
      </c>
      <c r="P42" s="324" t="e">
        <f t="shared" si="15"/>
        <v>#N/A</v>
      </c>
      <c r="Q42" s="324" t="e">
        <f t="shared" si="15"/>
        <v>#N/A</v>
      </c>
      <c r="R42" s="324" t="e">
        <f t="shared" si="15"/>
        <v>#N/A</v>
      </c>
      <c r="S42" s="324" t="e">
        <f t="shared" si="15"/>
        <v>#N/A</v>
      </c>
      <c r="T42" s="443">
        <f>+T12/T9</f>
        <v>3.1088016262292538E-2</v>
      </c>
      <c r="U42" s="443" t="e">
        <f t="shared" si="15"/>
        <v>#N/A</v>
      </c>
      <c r="V42" s="443" t="e">
        <f t="shared" si="15"/>
        <v>#N/A</v>
      </c>
      <c r="W42" s="443" t="e">
        <f t="shared" si="15"/>
        <v>#N/A</v>
      </c>
      <c r="X42" s="443" t="e">
        <f t="shared" si="15"/>
        <v>#N/A</v>
      </c>
      <c r="Y42" s="443" t="e">
        <f t="shared" si="15"/>
        <v>#N/A</v>
      </c>
      <c r="Z42" s="444">
        <f>+Z12/Z9</f>
        <v>4.033909830336295E-2</v>
      </c>
      <c r="AA42" s="445">
        <f t="shared" ref="AA42:AD42" si="16">+AA12/AA9</f>
        <v>3.5870525505467071E-2</v>
      </c>
      <c r="AB42" s="445">
        <f t="shared" si="16"/>
        <v>4.1698279386244812E-2</v>
      </c>
      <c r="AC42" s="445">
        <f t="shared" si="16"/>
        <v>4.381435116659399E-2</v>
      </c>
      <c r="AD42" s="446">
        <f t="shared" si="16"/>
        <v>4.1177151662661421E-2</v>
      </c>
      <c r="AJ42" s="69"/>
      <c r="AK42" s="69"/>
      <c r="AL42" s="69"/>
    </row>
    <row r="43" spans="1:38" x14ac:dyDescent="0.2">
      <c r="A43" s="92"/>
      <c r="B43" s="123"/>
      <c r="C43" s="124"/>
      <c r="D43" s="124"/>
      <c r="E43" s="125"/>
      <c r="F43" s="125"/>
      <c r="G43" s="312" t="s">
        <v>490</v>
      </c>
      <c r="H43" s="313"/>
      <c r="I43" s="324"/>
      <c r="J43" s="324"/>
      <c r="K43" s="324"/>
      <c r="L43" s="324"/>
      <c r="M43" s="324"/>
      <c r="N43" s="324"/>
      <c r="O43" s="324"/>
      <c r="P43" s="324"/>
      <c r="Q43" s="324"/>
      <c r="R43" s="324"/>
      <c r="S43" s="324"/>
      <c r="T43" s="324"/>
      <c r="U43" s="324" t="e">
        <f>U42-T42</f>
        <v>#N/A</v>
      </c>
      <c r="V43" s="324" t="e">
        <f t="shared" ref="V43:Y43" si="17">V42-U42</f>
        <v>#N/A</v>
      </c>
      <c r="W43" s="324" t="e">
        <f t="shared" si="17"/>
        <v>#N/A</v>
      </c>
      <c r="X43" s="324" t="e">
        <f t="shared" si="17"/>
        <v>#N/A</v>
      </c>
      <c r="Y43" s="324" t="e">
        <f t="shared" si="17"/>
        <v>#N/A</v>
      </c>
      <c r="Z43" s="324"/>
      <c r="AA43" s="145"/>
      <c r="AB43" s="145"/>
      <c r="AC43" s="145"/>
      <c r="AD43" s="145"/>
      <c r="AJ43" s="69"/>
      <c r="AK43" s="69"/>
      <c r="AL43" s="69"/>
    </row>
    <row r="44" spans="1:38" x14ac:dyDescent="0.2">
      <c r="B44" s="123"/>
      <c r="C44" s="310"/>
      <c r="D44" s="124"/>
      <c r="E44" s="125"/>
      <c r="F44" s="125"/>
      <c r="G44" s="325" t="s">
        <v>158</v>
      </c>
      <c r="H44" s="326" t="s">
        <v>412</v>
      </c>
      <c r="I44" s="324" t="e">
        <f t="shared" ref="I44:Y44" si="18">+I11/I8</f>
        <v>#N/A</v>
      </c>
      <c r="J44" s="324" t="e">
        <f t="shared" si="18"/>
        <v>#N/A</v>
      </c>
      <c r="K44" s="324" t="e">
        <f t="shared" si="18"/>
        <v>#N/A</v>
      </c>
      <c r="L44" s="324" t="e">
        <f t="shared" si="18"/>
        <v>#N/A</v>
      </c>
      <c r="M44" s="324" t="e">
        <f t="shared" si="18"/>
        <v>#N/A</v>
      </c>
      <c r="N44" s="324" t="e">
        <f t="shared" si="18"/>
        <v>#N/A</v>
      </c>
      <c r="O44" s="324" t="e">
        <f t="shared" si="18"/>
        <v>#N/A</v>
      </c>
      <c r="P44" s="324" t="e">
        <f t="shared" si="18"/>
        <v>#N/A</v>
      </c>
      <c r="Q44" s="324" t="e">
        <f t="shared" si="18"/>
        <v>#N/A</v>
      </c>
      <c r="R44" s="324" t="e">
        <f t="shared" si="18"/>
        <v>#N/A</v>
      </c>
      <c r="S44" s="324" t="e">
        <f t="shared" si="18"/>
        <v>#N/A</v>
      </c>
      <c r="T44" s="324">
        <f>+T11/T8</f>
        <v>0.46187677185301107</v>
      </c>
      <c r="U44" s="324" t="e">
        <f t="shared" si="18"/>
        <v>#N/A</v>
      </c>
      <c r="V44" s="324" t="e">
        <f t="shared" si="18"/>
        <v>#N/A</v>
      </c>
      <c r="W44" s="324" t="e">
        <f t="shared" si="18"/>
        <v>#N/A</v>
      </c>
      <c r="X44" s="324" t="e">
        <f t="shared" si="18"/>
        <v>#N/A</v>
      </c>
      <c r="Y44" s="324" t="e">
        <f t="shared" si="18"/>
        <v>#N/A</v>
      </c>
      <c r="Z44" s="324">
        <f>+Z11/Z8</f>
        <v>0.48815292194609</v>
      </c>
      <c r="AA44" s="145">
        <f t="shared" ref="AA44:AD44" si="19">+AA11/AA8</f>
        <v>0.48170465710525612</v>
      </c>
      <c r="AB44" s="145">
        <f t="shared" si="19"/>
        <v>0.46662098142281155</v>
      </c>
      <c r="AC44" s="145">
        <f t="shared" si="19"/>
        <v>0.45625853589445886</v>
      </c>
      <c r="AD44" s="145">
        <f t="shared" si="19"/>
        <v>0.46500207424066969</v>
      </c>
      <c r="AJ44" s="69"/>
      <c r="AK44" s="69"/>
      <c r="AL44" s="69"/>
    </row>
    <row r="45" spans="1:38" x14ac:dyDescent="0.2">
      <c r="B45" s="123"/>
      <c r="C45" s="310"/>
      <c r="D45" s="124"/>
      <c r="E45" s="125"/>
      <c r="F45" s="125"/>
      <c r="G45" s="319" t="s">
        <v>29</v>
      </c>
      <c r="H45" s="313" t="s">
        <v>413</v>
      </c>
      <c r="I45" s="324" t="e">
        <f t="shared" ref="I45:Y45" si="20">+I14/I11</f>
        <v>#N/A</v>
      </c>
      <c r="J45" s="324" t="e">
        <f t="shared" si="20"/>
        <v>#N/A</v>
      </c>
      <c r="K45" s="324" t="e">
        <f t="shared" si="20"/>
        <v>#N/A</v>
      </c>
      <c r="L45" s="324" t="e">
        <f t="shared" si="20"/>
        <v>#N/A</v>
      </c>
      <c r="M45" s="324" t="e">
        <f t="shared" si="20"/>
        <v>#N/A</v>
      </c>
      <c r="N45" s="324" t="e">
        <f t="shared" si="20"/>
        <v>#N/A</v>
      </c>
      <c r="O45" s="324" t="e">
        <f t="shared" si="20"/>
        <v>#N/A</v>
      </c>
      <c r="P45" s="324" t="e">
        <f t="shared" si="20"/>
        <v>#N/A</v>
      </c>
      <c r="Q45" s="324" t="e">
        <f t="shared" si="20"/>
        <v>#N/A</v>
      </c>
      <c r="R45" s="324" t="e">
        <f t="shared" si="20"/>
        <v>#N/A</v>
      </c>
      <c r="S45" s="324" t="e">
        <f t="shared" si="20"/>
        <v>#N/A</v>
      </c>
      <c r="T45" s="324">
        <f>+T14/T11</f>
        <v>0.33115614189508352</v>
      </c>
      <c r="U45" s="324" t="e">
        <f t="shared" si="20"/>
        <v>#N/A</v>
      </c>
      <c r="V45" s="324" t="e">
        <f t="shared" si="20"/>
        <v>#N/A</v>
      </c>
      <c r="W45" s="324" t="e">
        <f t="shared" si="20"/>
        <v>#N/A</v>
      </c>
      <c r="X45" s="324" t="e">
        <f t="shared" si="20"/>
        <v>#N/A</v>
      </c>
      <c r="Y45" s="324" t="e">
        <f t="shared" si="20"/>
        <v>#N/A</v>
      </c>
      <c r="Z45" s="324">
        <f>+Z14/Z11</f>
        <v>0.31789457900001145</v>
      </c>
      <c r="AA45" s="145">
        <f t="shared" ref="AA45:AD45" si="21">+AA14/AA11</f>
        <v>0.30895550717292636</v>
      </c>
      <c r="AB45" s="145">
        <f t="shared" si="21"/>
        <v>0.31189273763353709</v>
      </c>
      <c r="AC45" s="145">
        <f t="shared" si="21"/>
        <v>0.31835294671578207</v>
      </c>
      <c r="AD45" s="145">
        <f t="shared" si="21"/>
        <v>0.30881811575146001</v>
      </c>
      <c r="AE45" s="197">
        <f>AD45-AC45</f>
        <v>-9.5348309643220608E-3</v>
      </c>
      <c r="AJ45" s="69"/>
      <c r="AK45" s="69"/>
      <c r="AL45" s="69"/>
    </row>
    <row r="46" spans="1:38" x14ac:dyDescent="0.2">
      <c r="B46" s="123"/>
      <c r="C46" s="310"/>
      <c r="D46" s="124"/>
      <c r="E46" s="125"/>
      <c r="F46" s="125"/>
      <c r="G46" s="319" t="s">
        <v>31</v>
      </c>
      <c r="H46" s="313" t="s">
        <v>414</v>
      </c>
      <c r="I46" s="324" t="e">
        <f t="shared" ref="I46:Y46" si="22">+I16/I11</f>
        <v>#N/A</v>
      </c>
      <c r="J46" s="324" t="e">
        <f t="shared" si="22"/>
        <v>#N/A</v>
      </c>
      <c r="K46" s="324" t="e">
        <f t="shared" si="22"/>
        <v>#N/A</v>
      </c>
      <c r="L46" s="324" t="e">
        <f t="shared" si="22"/>
        <v>#N/A</v>
      </c>
      <c r="M46" s="324" t="e">
        <f t="shared" si="22"/>
        <v>#N/A</v>
      </c>
      <c r="N46" s="324" t="e">
        <f t="shared" si="22"/>
        <v>#N/A</v>
      </c>
      <c r="O46" s="324" t="e">
        <f t="shared" si="22"/>
        <v>#N/A</v>
      </c>
      <c r="P46" s="324" t="e">
        <f t="shared" si="22"/>
        <v>#N/A</v>
      </c>
      <c r="Q46" s="324" t="e">
        <f t="shared" si="22"/>
        <v>#N/A</v>
      </c>
      <c r="R46" s="324" t="e">
        <f t="shared" si="22"/>
        <v>#N/A</v>
      </c>
      <c r="S46" s="324" t="e">
        <f t="shared" si="22"/>
        <v>#N/A</v>
      </c>
      <c r="T46" s="324">
        <f>+T15/T11</f>
        <v>0.25348817491482922</v>
      </c>
      <c r="U46" s="324" t="e">
        <f t="shared" si="22"/>
        <v>#N/A</v>
      </c>
      <c r="V46" s="324" t="e">
        <f t="shared" si="22"/>
        <v>#N/A</v>
      </c>
      <c r="W46" s="324" t="e">
        <f t="shared" si="22"/>
        <v>#N/A</v>
      </c>
      <c r="X46" s="324" t="e">
        <f t="shared" si="22"/>
        <v>#N/A</v>
      </c>
      <c r="Y46" s="324" t="e">
        <f t="shared" si="22"/>
        <v>#N/A</v>
      </c>
      <c r="Z46" s="324">
        <f>+Z15/Z11</f>
        <v>0.27850790438371348</v>
      </c>
      <c r="AA46" s="145">
        <f t="shared" ref="AA46:AD46" si="23">+AA15/AA11</f>
        <v>0.2809672278565129</v>
      </c>
      <c r="AB46" s="145">
        <f t="shared" si="23"/>
        <v>0.282263015035501</v>
      </c>
      <c r="AC46" s="145">
        <f t="shared" si="23"/>
        <v>0.26181198679845663</v>
      </c>
      <c r="AD46" s="145">
        <f t="shared" si="23"/>
        <v>0.27569227678133534</v>
      </c>
      <c r="AE46" s="197">
        <f>AD46-AC46</f>
        <v>1.3880289982878713E-2</v>
      </c>
      <c r="AJ46" s="69"/>
      <c r="AK46" s="69"/>
      <c r="AL46" s="69"/>
    </row>
    <row r="47" spans="1:38" x14ac:dyDescent="0.2">
      <c r="B47" s="123"/>
      <c r="C47" s="310"/>
      <c r="D47" s="124"/>
      <c r="E47" s="125"/>
      <c r="F47" s="125"/>
      <c r="G47" s="319" t="s">
        <v>33</v>
      </c>
      <c r="H47" s="313" t="s">
        <v>415</v>
      </c>
      <c r="I47" s="324" t="e">
        <f t="shared" ref="I47:Y47" si="24">+I17/I11</f>
        <v>#N/A</v>
      </c>
      <c r="J47" s="324" t="e">
        <f t="shared" si="24"/>
        <v>#N/A</v>
      </c>
      <c r="K47" s="324" t="e">
        <f t="shared" si="24"/>
        <v>#N/A</v>
      </c>
      <c r="L47" s="324" t="e">
        <f t="shared" si="24"/>
        <v>#N/A</v>
      </c>
      <c r="M47" s="324" t="e">
        <f t="shared" si="24"/>
        <v>#N/A</v>
      </c>
      <c r="N47" s="324" t="e">
        <f t="shared" si="24"/>
        <v>#N/A</v>
      </c>
      <c r="O47" s="324" t="e">
        <f t="shared" si="24"/>
        <v>#N/A</v>
      </c>
      <c r="P47" s="324" t="e">
        <f t="shared" si="24"/>
        <v>#N/A</v>
      </c>
      <c r="Q47" s="324" t="e">
        <f t="shared" si="24"/>
        <v>#N/A</v>
      </c>
      <c r="R47" s="324" t="e">
        <f t="shared" si="24"/>
        <v>#N/A</v>
      </c>
      <c r="S47" s="324" t="e">
        <f t="shared" si="24"/>
        <v>#N/A</v>
      </c>
      <c r="T47" s="324">
        <f>+T18/T11</f>
        <v>0.41535568319008725</v>
      </c>
      <c r="U47" s="324" t="e">
        <f t="shared" si="24"/>
        <v>#N/A</v>
      </c>
      <c r="V47" s="324" t="e">
        <f t="shared" si="24"/>
        <v>#N/A</v>
      </c>
      <c r="W47" s="324" t="e">
        <f t="shared" si="24"/>
        <v>#N/A</v>
      </c>
      <c r="X47" s="324" t="e">
        <f t="shared" si="24"/>
        <v>#N/A</v>
      </c>
      <c r="Y47" s="324" t="e">
        <f t="shared" si="24"/>
        <v>#N/A</v>
      </c>
      <c r="Z47" s="324">
        <f>+Z18/Z11</f>
        <v>0.40359751661627513</v>
      </c>
      <c r="AA47" s="145">
        <f t="shared" ref="AA47:AD47" si="25">+AA18/AA11</f>
        <v>0.4100772649705608</v>
      </c>
      <c r="AB47" s="145">
        <f t="shared" si="25"/>
        <v>0.40584424733096203</v>
      </c>
      <c r="AC47" s="145">
        <f t="shared" si="25"/>
        <v>0.4198350664857613</v>
      </c>
      <c r="AD47" s="145">
        <f t="shared" si="25"/>
        <v>0.41548960746720476</v>
      </c>
      <c r="AE47" s="197">
        <f>AD47-AC47</f>
        <v>-4.3454590185565412E-3</v>
      </c>
      <c r="AJ47" s="69"/>
      <c r="AK47" s="69"/>
      <c r="AL47" s="69"/>
    </row>
    <row r="48" spans="1:38" ht="14.25" customHeight="1" x14ac:dyDescent="0.2">
      <c r="B48" s="123"/>
      <c r="C48" s="124"/>
      <c r="D48" s="124"/>
      <c r="E48" s="125"/>
      <c r="F48" s="125"/>
      <c r="G48" s="319"/>
      <c r="H48" s="313"/>
      <c r="I48" s="324"/>
      <c r="J48" s="324"/>
      <c r="K48" s="324"/>
      <c r="L48" s="324"/>
      <c r="M48" s="324"/>
      <c r="N48" s="324"/>
      <c r="O48" s="324"/>
      <c r="P48" s="324"/>
      <c r="Q48" s="324"/>
      <c r="R48" s="324"/>
      <c r="S48" s="324"/>
      <c r="T48" s="324"/>
      <c r="U48" s="324"/>
      <c r="V48" s="324"/>
      <c r="W48" s="324"/>
      <c r="X48" s="324"/>
      <c r="Y48" s="324"/>
      <c r="Z48" s="324"/>
      <c r="AA48" s="145"/>
      <c r="AB48" s="145"/>
      <c r="AC48" s="145"/>
      <c r="AD48" s="145"/>
      <c r="AJ48" s="69"/>
      <c r="AK48" s="69"/>
      <c r="AL48" s="69"/>
    </row>
    <row r="49" spans="2:38" ht="15" customHeight="1" x14ac:dyDescent="0.2">
      <c r="B49" s="123"/>
      <c r="C49" s="124"/>
      <c r="D49" s="124"/>
      <c r="E49" s="125"/>
      <c r="F49" s="125"/>
      <c r="G49" s="319"/>
      <c r="H49" s="313"/>
      <c r="I49" s="324"/>
      <c r="J49" s="324"/>
      <c r="K49" s="324"/>
      <c r="L49" s="324"/>
      <c r="M49" s="324"/>
      <c r="N49" s="324"/>
      <c r="O49" s="324"/>
      <c r="P49" s="324"/>
      <c r="Q49" s="324"/>
      <c r="R49" s="324"/>
      <c r="S49" s="324"/>
      <c r="T49" s="324"/>
      <c r="U49" s="324"/>
      <c r="V49" s="324"/>
      <c r="W49" s="324"/>
      <c r="X49" s="324"/>
      <c r="Y49" s="324"/>
      <c r="Z49" s="324"/>
      <c r="AA49" s="145"/>
      <c r="AB49" s="145"/>
      <c r="AC49" s="145"/>
      <c r="AD49" s="145"/>
      <c r="AJ49" s="69"/>
      <c r="AK49" s="69"/>
      <c r="AL49" s="69"/>
    </row>
    <row r="50" spans="2:38" ht="15" customHeight="1" x14ac:dyDescent="0.2">
      <c r="B50" s="123"/>
      <c r="C50" s="124"/>
      <c r="D50" s="124"/>
      <c r="E50" s="125"/>
      <c r="F50" s="125"/>
      <c r="G50" s="319"/>
      <c r="H50" s="313"/>
      <c r="I50" s="323"/>
      <c r="J50" s="323"/>
      <c r="K50" s="323"/>
      <c r="L50" s="323"/>
      <c r="M50" s="323"/>
      <c r="N50" s="323"/>
      <c r="O50" s="323"/>
      <c r="P50" s="323"/>
      <c r="Q50" s="323"/>
      <c r="R50" s="323"/>
      <c r="S50" s="323"/>
      <c r="T50" s="323"/>
      <c r="U50" s="323"/>
      <c r="V50" s="323"/>
      <c r="W50" s="323"/>
      <c r="X50" s="323"/>
      <c r="Y50" s="323"/>
      <c r="Z50" s="323"/>
      <c r="AA50" s="145"/>
      <c r="AB50" s="145"/>
      <c r="AC50" s="145"/>
      <c r="AD50" s="145"/>
      <c r="AJ50" s="69"/>
      <c r="AK50" s="69"/>
      <c r="AL50" s="69"/>
    </row>
    <row r="51" spans="2:38" ht="15" customHeight="1" x14ac:dyDescent="0.2">
      <c r="B51" s="123"/>
      <c r="C51" s="124"/>
      <c r="D51" s="124"/>
      <c r="E51" s="125"/>
      <c r="F51" s="125"/>
      <c r="G51" s="312" t="s">
        <v>401</v>
      </c>
      <c r="H51" s="313" t="s">
        <v>416</v>
      </c>
      <c r="I51" s="323" t="e">
        <f t="shared" ref="I51:Y51" si="26">+SUM(I23,I25,I27,I29,I31,I33)/I11</f>
        <v>#N/A</v>
      </c>
      <c r="J51" s="323" t="e">
        <f t="shared" si="26"/>
        <v>#N/A</v>
      </c>
      <c r="K51" s="323" t="e">
        <f t="shared" si="26"/>
        <v>#N/A</v>
      </c>
      <c r="L51" s="323" t="e">
        <f t="shared" si="26"/>
        <v>#N/A</v>
      </c>
      <c r="M51" s="323" t="e">
        <f t="shared" si="26"/>
        <v>#N/A</v>
      </c>
      <c r="N51" s="323" t="e">
        <f t="shared" si="26"/>
        <v>#N/A</v>
      </c>
      <c r="O51" s="323" t="e">
        <f t="shared" si="26"/>
        <v>#N/A</v>
      </c>
      <c r="P51" s="323" t="e">
        <f t="shared" si="26"/>
        <v>#N/A</v>
      </c>
      <c r="Q51" s="323" t="e">
        <f t="shared" si="26"/>
        <v>#N/A</v>
      </c>
      <c r="R51" s="323" t="e">
        <f t="shared" si="26"/>
        <v>#N/A</v>
      </c>
      <c r="S51" s="323" t="e">
        <f t="shared" si="26"/>
        <v>#N/A</v>
      </c>
      <c r="T51" s="323">
        <f>+SUM(T23,T25,T27)/T11</f>
        <v>0.51655254654868499</v>
      </c>
      <c r="U51" s="323" t="e">
        <f t="shared" si="26"/>
        <v>#N/A</v>
      </c>
      <c r="V51" s="323" t="e">
        <f t="shared" si="26"/>
        <v>#N/A</v>
      </c>
      <c r="W51" s="323" t="e">
        <f t="shared" si="26"/>
        <v>#N/A</v>
      </c>
      <c r="X51" s="323" t="e">
        <f t="shared" si="26"/>
        <v>#N/A</v>
      </c>
      <c r="Y51" s="323" t="e">
        <f t="shared" si="26"/>
        <v>#N/A</v>
      </c>
      <c r="Z51" s="327">
        <f>+SUM(Z23,Z25,Z27)/Z11</f>
        <v>0.44745453443400779</v>
      </c>
      <c r="AA51" s="145">
        <f t="shared" ref="AA51:AD51" si="27">+SUM(AA23,AA25,AA27)/AA11</f>
        <v>0.45102844408011733</v>
      </c>
      <c r="AB51" s="145">
        <f t="shared" si="27"/>
        <v>0.44683002549686746</v>
      </c>
      <c r="AC51" s="145">
        <f t="shared" si="27"/>
        <v>0.43864886309200374</v>
      </c>
      <c r="AD51" s="145">
        <f t="shared" si="27"/>
        <v>0.44909304849304649</v>
      </c>
      <c r="AJ51" s="69"/>
      <c r="AK51" s="69"/>
      <c r="AL51" s="69"/>
    </row>
    <row r="52" spans="2:38" x14ac:dyDescent="0.2">
      <c r="B52" s="123"/>
      <c r="C52" s="124"/>
      <c r="D52" s="124"/>
      <c r="E52" s="125"/>
      <c r="F52" s="125"/>
      <c r="G52" s="319" t="s">
        <v>29</v>
      </c>
      <c r="H52" s="313" t="s">
        <v>417</v>
      </c>
      <c r="I52" s="328" t="e">
        <f t="shared" ref="I52:Y52" si="28">+I23/I14</f>
        <v>#N/A</v>
      </c>
      <c r="J52" s="328" t="e">
        <f t="shared" si="28"/>
        <v>#N/A</v>
      </c>
      <c r="K52" s="328" t="e">
        <f t="shared" si="28"/>
        <v>#N/A</v>
      </c>
      <c r="L52" s="328" t="e">
        <f t="shared" si="28"/>
        <v>#N/A</v>
      </c>
      <c r="M52" s="328" t="e">
        <f t="shared" si="28"/>
        <v>#N/A</v>
      </c>
      <c r="N52" s="328" t="e">
        <f t="shared" si="28"/>
        <v>#N/A</v>
      </c>
      <c r="O52" s="328" t="e">
        <f t="shared" si="28"/>
        <v>#N/A</v>
      </c>
      <c r="P52" s="328" t="e">
        <f t="shared" si="28"/>
        <v>#N/A</v>
      </c>
      <c r="Q52" s="328" t="e">
        <f t="shared" si="28"/>
        <v>#N/A</v>
      </c>
      <c r="R52" s="328" t="e">
        <f t="shared" si="28"/>
        <v>#N/A</v>
      </c>
      <c r="S52" s="328" t="e">
        <f t="shared" si="28"/>
        <v>#N/A</v>
      </c>
      <c r="T52" s="328">
        <f>+T23/T14</f>
        <v>0.13001054097102796</v>
      </c>
      <c r="U52" s="328" t="e">
        <f t="shared" si="28"/>
        <v>#N/A</v>
      </c>
      <c r="V52" s="328" t="e">
        <f t="shared" si="28"/>
        <v>#N/A</v>
      </c>
      <c r="W52" s="328" t="e">
        <f t="shared" si="28"/>
        <v>#N/A</v>
      </c>
      <c r="X52" s="328" t="e">
        <f t="shared" si="28"/>
        <v>#N/A</v>
      </c>
      <c r="Y52" s="328" t="e">
        <f t="shared" si="28"/>
        <v>#N/A</v>
      </c>
      <c r="Z52" s="328">
        <f>+Z23/Z14</f>
        <v>0.14124599377941852</v>
      </c>
      <c r="AA52" s="145">
        <f t="shared" ref="AA52:AD52" si="29">+AA23/AA14</f>
        <v>0.14124599377941852</v>
      </c>
      <c r="AB52" s="145">
        <f t="shared" si="29"/>
        <v>0.14084286989606007</v>
      </c>
      <c r="AC52" s="145">
        <f t="shared" si="29"/>
        <v>0.14120143408913952</v>
      </c>
      <c r="AD52" s="145">
        <f t="shared" si="29"/>
        <v>0.14157660547169496</v>
      </c>
      <c r="AJ52" s="69"/>
      <c r="AK52" s="69"/>
      <c r="AL52" s="69"/>
    </row>
    <row r="53" spans="2:38" x14ac:dyDescent="0.2">
      <c r="B53" s="123"/>
      <c r="C53" s="124"/>
      <c r="D53" s="124"/>
      <c r="E53" s="125"/>
      <c r="F53" s="125"/>
      <c r="G53" s="319" t="s">
        <v>31</v>
      </c>
      <c r="H53" s="313" t="s">
        <v>418</v>
      </c>
      <c r="I53" s="328" t="e">
        <f t="shared" ref="I53:Y53" si="30">+I25/I16</f>
        <v>#N/A</v>
      </c>
      <c r="J53" s="328" t="e">
        <f t="shared" si="30"/>
        <v>#N/A</v>
      </c>
      <c r="K53" s="328" t="e">
        <f t="shared" si="30"/>
        <v>#N/A</v>
      </c>
      <c r="L53" s="328" t="e">
        <f t="shared" si="30"/>
        <v>#N/A</v>
      </c>
      <c r="M53" s="328" t="e">
        <f t="shared" si="30"/>
        <v>#N/A</v>
      </c>
      <c r="N53" s="328" t="e">
        <f t="shared" si="30"/>
        <v>#N/A</v>
      </c>
      <c r="O53" s="328" t="e">
        <f t="shared" si="30"/>
        <v>#N/A</v>
      </c>
      <c r="P53" s="328" t="e">
        <f t="shared" si="30"/>
        <v>#N/A</v>
      </c>
      <c r="Q53" s="328" t="e">
        <f t="shared" si="30"/>
        <v>#N/A</v>
      </c>
      <c r="R53" s="328" t="e">
        <f t="shared" si="30"/>
        <v>#N/A</v>
      </c>
      <c r="S53" s="328" t="e">
        <f t="shared" si="30"/>
        <v>#N/A</v>
      </c>
      <c r="T53" s="328">
        <f>+T25/T15</f>
        <v>0.76604144548520792</v>
      </c>
      <c r="U53" s="328" t="e">
        <f t="shared" si="30"/>
        <v>#N/A</v>
      </c>
      <c r="V53" s="328" t="e">
        <f t="shared" si="30"/>
        <v>#N/A</v>
      </c>
      <c r="W53" s="328" t="e">
        <f t="shared" si="30"/>
        <v>#N/A</v>
      </c>
      <c r="X53" s="328" t="e">
        <f t="shared" si="30"/>
        <v>#N/A</v>
      </c>
      <c r="Y53" s="328" t="e">
        <f t="shared" si="30"/>
        <v>#N/A</v>
      </c>
      <c r="Z53" s="328">
        <f>+Z25/Z15</f>
        <v>0.62534956477402381</v>
      </c>
      <c r="AA53" s="145">
        <f t="shared" ref="AA53:AD53" si="31">+AA25/AA15</f>
        <v>0.61936814416930353</v>
      </c>
      <c r="AB53" s="145">
        <f t="shared" si="31"/>
        <v>0.61590864938216061</v>
      </c>
      <c r="AC53" s="145">
        <f t="shared" si="31"/>
        <v>0.60318058738813374</v>
      </c>
      <c r="AD53" s="145">
        <f t="shared" si="31"/>
        <v>0.61744033035475854</v>
      </c>
      <c r="AJ53" s="69"/>
      <c r="AK53" s="69"/>
      <c r="AL53" s="69"/>
    </row>
    <row r="54" spans="2:38" x14ac:dyDescent="0.2">
      <c r="B54" s="123"/>
      <c r="C54" s="124"/>
      <c r="D54" s="124"/>
      <c r="E54" s="125"/>
      <c r="F54" s="125"/>
      <c r="G54" s="319" t="s">
        <v>33</v>
      </c>
      <c r="H54" s="313" t="s">
        <v>419</v>
      </c>
      <c r="I54" s="328" t="e">
        <f t="shared" ref="I54:Y54" si="32">+I27/I17</f>
        <v>#N/A</v>
      </c>
      <c r="J54" s="328" t="e">
        <f t="shared" si="32"/>
        <v>#N/A</v>
      </c>
      <c r="K54" s="328" t="e">
        <f t="shared" si="32"/>
        <v>#N/A</v>
      </c>
      <c r="L54" s="328" t="e">
        <f t="shared" si="32"/>
        <v>#N/A</v>
      </c>
      <c r="M54" s="328" t="e">
        <f t="shared" si="32"/>
        <v>#N/A</v>
      </c>
      <c r="N54" s="328" t="e">
        <f t="shared" si="32"/>
        <v>#N/A</v>
      </c>
      <c r="O54" s="328" t="e">
        <f t="shared" si="32"/>
        <v>#N/A</v>
      </c>
      <c r="P54" s="328" t="e">
        <f t="shared" si="32"/>
        <v>#N/A</v>
      </c>
      <c r="Q54" s="328" t="e">
        <f t="shared" si="32"/>
        <v>#N/A</v>
      </c>
      <c r="R54" s="328" t="e">
        <f t="shared" si="32"/>
        <v>#N/A</v>
      </c>
      <c r="S54" s="328" t="e">
        <f t="shared" si="32"/>
        <v>#N/A</v>
      </c>
      <c r="T54" s="328">
        <f>+T27/T18</f>
        <v>0.67247499137271882</v>
      </c>
      <c r="U54" s="328" t="e">
        <f t="shared" si="32"/>
        <v>#N/A</v>
      </c>
      <c r="V54" s="328" t="e">
        <f t="shared" si="32"/>
        <v>#N/A</v>
      </c>
      <c r="W54" s="328" t="e">
        <f t="shared" si="32"/>
        <v>#N/A</v>
      </c>
      <c r="X54" s="328" t="e">
        <f t="shared" si="32"/>
        <v>#N/A</v>
      </c>
      <c r="Y54" s="328" t="e">
        <f t="shared" si="32"/>
        <v>#N/A</v>
      </c>
      <c r="Z54" s="328">
        <f>+Z27/Z18</f>
        <v>0.56588158378269582</v>
      </c>
      <c r="AA54" s="145">
        <f t="shared" ref="AA54:AD54" si="33">+AA27/AA18</f>
        <v>0.56908194108913635</v>
      </c>
      <c r="AB54" s="145">
        <f t="shared" si="33"/>
        <v>0.56438874364770286</v>
      </c>
      <c r="AC54" s="145">
        <f t="shared" si="33"/>
        <v>0.56159449581108511</v>
      </c>
      <c r="AD54" s="145">
        <f t="shared" si="33"/>
        <v>0.5659542219072885</v>
      </c>
      <c r="AJ54" s="69"/>
      <c r="AK54" s="69"/>
      <c r="AL54" s="69"/>
    </row>
    <row r="55" spans="2:38" x14ac:dyDescent="0.2">
      <c r="B55" s="123"/>
      <c r="C55" s="124"/>
      <c r="D55" s="124"/>
      <c r="E55" s="125"/>
      <c r="F55" s="125"/>
      <c r="G55" s="319"/>
      <c r="H55" s="313"/>
      <c r="I55" s="328"/>
      <c r="J55" s="328"/>
      <c r="K55" s="328"/>
      <c r="L55" s="328"/>
      <c r="M55" s="328"/>
      <c r="N55" s="328"/>
      <c r="O55" s="328"/>
      <c r="P55" s="328"/>
      <c r="Q55" s="328"/>
      <c r="R55" s="328"/>
      <c r="S55" s="328"/>
      <c r="T55" s="328"/>
      <c r="U55" s="328"/>
      <c r="V55" s="328"/>
      <c r="W55" s="328"/>
      <c r="X55" s="328"/>
      <c r="Y55" s="328"/>
      <c r="Z55" s="328"/>
      <c r="AA55" s="145"/>
      <c r="AB55" s="145"/>
      <c r="AC55" s="145"/>
      <c r="AD55" s="145"/>
      <c r="AJ55" s="69"/>
      <c r="AK55" s="69"/>
      <c r="AL55" s="69"/>
    </row>
    <row r="56" spans="2:38" x14ac:dyDescent="0.2">
      <c r="B56" s="123"/>
      <c r="C56" s="124"/>
      <c r="D56" s="124"/>
      <c r="E56" s="125"/>
      <c r="F56" s="125"/>
      <c r="G56" s="319"/>
      <c r="H56" s="313"/>
      <c r="I56" s="328"/>
      <c r="J56" s="328"/>
      <c r="K56" s="328"/>
      <c r="L56" s="328"/>
      <c r="M56" s="328"/>
      <c r="N56" s="328"/>
      <c r="O56" s="328"/>
      <c r="P56" s="328"/>
      <c r="Q56" s="328"/>
      <c r="R56" s="328"/>
      <c r="S56" s="328"/>
      <c r="T56" s="328"/>
      <c r="U56" s="328"/>
      <c r="V56" s="328"/>
      <c r="W56" s="328"/>
      <c r="X56" s="328"/>
      <c r="Y56" s="328"/>
      <c r="Z56" s="328"/>
      <c r="AA56" s="145"/>
      <c r="AB56" s="145"/>
      <c r="AC56" s="145"/>
      <c r="AD56" s="145"/>
      <c r="AJ56" s="69"/>
      <c r="AK56" s="69"/>
      <c r="AL56" s="69"/>
    </row>
    <row r="57" spans="2:38" x14ac:dyDescent="0.2">
      <c r="B57" s="123"/>
      <c r="C57" s="124"/>
      <c r="D57" s="124"/>
      <c r="E57" s="125"/>
      <c r="F57" s="125"/>
      <c r="G57" s="320"/>
      <c r="H57" s="329"/>
      <c r="I57" s="330"/>
      <c r="J57" s="330"/>
      <c r="K57" s="330"/>
      <c r="L57" s="330"/>
      <c r="M57" s="330"/>
      <c r="N57" s="330"/>
      <c r="O57" s="330"/>
      <c r="P57" s="330"/>
      <c r="Q57" s="330"/>
      <c r="R57" s="330"/>
      <c r="S57" s="330"/>
      <c r="T57" s="330"/>
      <c r="U57" s="330"/>
      <c r="V57" s="330"/>
      <c r="W57" s="330"/>
      <c r="X57" s="330"/>
      <c r="Y57" s="330"/>
      <c r="Z57" s="330"/>
      <c r="AA57" s="149"/>
      <c r="AB57" s="149"/>
      <c r="AC57" s="149"/>
      <c r="AD57" s="149"/>
      <c r="AJ57" s="69"/>
      <c r="AK57" s="69"/>
      <c r="AL57" s="69"/>
    </row>
    <row r="58" spans="2:38" x14ac:dyDescent="0.2">
      <c r="B58" s="123"/>
      <c r="C58" s="124"/>
      <c r="D58" s="124"/>
      <c r="E58" s="125"/>
      <c r="F58" s="125"/>
      <c r="G58" s="192"/>
      <c r="H58" s="192"/>
      <c r="I58" s="193"/>
      <c r="J58" s="193"/>
      <c r="K58" s="193"/>
      <c r="L58" s="193"/>
      <c r="M58" s="193"/>
      <c r="N58" s="193"/>
      <c r="O58" s="125"/>
      <c r="P58" s="125"/>
      <c r="Q58" s="125"/>
      <c r="R58" s="125"/>
      <c r="S58" s="125"/>
      <c r="T58" s="125"/>
      <c r="U58" s="125"/>
      <c r="V58" s="125"/>
      <c r="W58" s="125"/>
      <c r="X58" s="125"/>
      <c r="Y58" s="125"/>
      <c r="Z58" s="125"/>
      <c r="AA58" s="538" t="s">
        <v>160</v>
      </c>
      <c r="AB58" s="538"/>
      <c r="AC58" s="538"/>
      <c r="AD58" s="538"/>
      <c r="AJ58" s="69"/>
      <c r="AK58" s="69"/>
      <c r="AL58" s="69"/>
    </row>
    <row r="59" spans="2:38" x14ac:dyDescent="0.2">
      <c r="B59" s="123"/>
      <c r="C59" s="124"/>
      <c r="D59" s="124"/>
      <c r="E59" s="125"/>
      <c r="F59" s="125"/>
      <c r="G59" s="331" t="s">
        <v>161</v>
      </c>
      <c r="H59" s="331"/>
      <c r="I59" s="193"/>
      <c r="J59" s="193"/>
      <c r="K59" s="193"/>
      <c r="L59" s="193"/>
      <c r="M59" s="193"/>
      <c r="N59" s="193"/>
      <c r="O59" s="125"/>
      <c r="P59" s="125"/>
      <c r="Q59" s="125"/>
      <c r="R59" s="125"/>
      <c r="S59" s="125"/>
      <c r="T59" s="125"/>
      <c r="U59" s="125"/>
      <c r="V59" s="125"/>
      <c r="W59" s="125"/>
      <c r="X59" s="125"/>
      <c r="Y59" s="125"/>
      <c r="Z59" s="125"/>
      <c r="AA59" s="125"/>
      <c r="AB59" s="125"/>
      <c r="AC59" s="125"/>
      <c r="AD59" s="125"/>
      <c r="AJ59" s="69"/>
      <c r="AK59" s="69"/>
      <c r="AL59" s="69"/>
    </row>
    <row r="60" spans="2:38" x14ac:dyDescent="0.2">
      <c r="B60" s="123"/>
      <c r="C60" s="124"/>
      <c r="D60" s="124"/>
      <c r="E60" s="125"/>
      <c r="F60" s="125"/>
      <c r="G60" s="331" t="s">
        <v>162</v>
      </c>
      <c r="H60" s="331"/>
      <c r="I60" s="193"/>
      <c r="J60" s="193"/>
      <c r="K60" s="193"/>
      <c r="L60" s="193"/>
      <c r="M60" s="193"/>
      <c r="N60" s="193"/>
      <c r="O60" s="125"/>
      <c r="P60" s="125"/>
      <c r="Q60" s="125"/>
      <c r="R60" s="125"/>
      <c r="S60" s="125"/>
      <c r="T60" s="125"/>
      <c r="U60" s="125"/>
      <c r="V60" s="125"/>
      <c r="W60" s="125"/>
      <c r="X60" s="125"/>
      <c r="Y60" s="125"/>
      <c r="Z60" s="125"/>
      <c r="AA60" s="152" t="s">
        <v>130</v>
      </c>
      <c r="AB60" s="541" t="s">
        <v>163</v>
      </c>
      <c r="AC60" s="541"/>
      <c r="AD60" s="153" t="s">
        <v>164</v>
      </c>
      <c r="AF60" s="69"/>
      <c r="AG60" s="69"/>
      <c r="AH60" s="69"/>
      <c r="AI60" s="70"/>
      <c r="AJ60" s="69"/>
      <c r="AK60" s="69"/>
      <c r="AL60" s="69"/>
    </row>
    <row r="61" spans="2:38" ht="15" customHeight="1" x14ac:dyDescent="0.2">
      <c r="B61" s="123"/>
      <c r="C61" s="124"/>
      <c r="D61" s="124"/>
      <c r="E61" s="125"/>
      <c r="F61" s="125"/>
      <c r="G61" s="192"/>
      <c r="H61" s="192"/>
      <c r="I61" s="193"/>
      <c r="J61" s="193"/>
      <c r="K61" s="193"/>
      <c r="L61" s="193"/>
      <c r="M61" s="193"/>
      <c r="N61" s="193"/>
      <c r="O61" s="125"/>
      <c r="P61" s="125"/>
      <c r="Q61" s="125"/>
      <c r="R61" s="125"/>
      <c r="S61" s="125"/>
      <c r="T61" s="125"/>
      <c r="U61" s="125"/>
      <c r="V61" s="125"/>
      <c r="W61" s="125"/>
      <c r="X61" s="125"/>
      <c r="Y61" s="125"/>
      <c r="Z61" s="125"/>
      <c r="AA61" s="154" t="s">
        <v>165</v>
      </c>
      <c r="AB61" s="153" t="s">
        <v>166</v>
      </c>
      <c r="AC61" s="153" t="s">
        <v>381</v>
      </c>
      <c r="AD61" s="153" t="s">
        <v>382</v>
      </c>
      <c r="AF61" s="69"/>
      <c r="AG61" s="69"/>
      <c r="AH61" s="69"/>
      <c r="AI61" s="70"/>
      <c r="AJ61" s="69"/>
      <c r="AK61" s="69"/>
      <c r="AL61" s="69"/>
    </row>
    <row r="62" spans="2:38" ht="15" customHeight="1" x14ac:dyDescent="0.2">
      <c r="B62" s="123"/>
      <c r="C62" s="124"/>
      <c r="D62" s="124"/>
      <c r="E62" s="125"/>
      <c r="F62" s="125"/>
      <c r="G62" s="540" t="s">
        <v>167</v>
      </c>
      <c r="H62" s="540"/>
      <c r="I62" s="540"/>
      <c r="J62" s="540"/>
      <c r="K62" s="540"/>
      <c r="L62" s="193"/>
      <c r="M62" s="193"/>
      <c r="N62" s="193"/>
      <c r="O62" s="125"/>
      <c r="P62" s="125"/>
      <c r="Q62" s="125"/>
      <c r="R62" s="125"/>
      <c r="S62" s="125"/>
      <c r="T62" s="125"/>
      <c r="U62" s="125"/>
      <c r="V62" s="125"/>
      <c r="W62" s="125"/>
      <c r="X62" s="125"/>
      <c r="Y62" s="125"/>
      <c r="Z62" s="125"/>
      <c r="AA62" s="306" t="s">
        <v>168</v>
      </c>
      <c r="AB62" s="333" t="e">
        <f>AVERAGE(T40:W40)</f>
        <v>#N/A</v>
      </c>
      <c r="AC62" s="307" t="e">
        <f>AVERAGE(X40:AA40)</f>
        <v>#N/A</v>
      </c>
      <c r="AD62" s="146">
        <f>AVERAGE(AB40:AD40)</f>
        <v>0.48302065528268351</v>
      </c>
      <c r="AF62" s="69"/>
      <c r="AG62" s="69"/>
      <c r="AH62" s="69"/>
      <c r="AI62" s="70"/>
      <c r="AJ62" s="69"/>
      <c r="AK62" s="69"/>
      <c r="AL62" s="69"/>
    </row>
    <row r="63" spans="2:38" ht="15" customHeight="1" x14ac:dyDescent="0.2">
      <c r="B63" s="123"/>
      <c r="C63" s="124"/>
      <c r="D63" s="124"/>
      <c r="E63" s="125"/>
      <c r="F63" s="125"/>
      <c r="G63" s="539" t="s">
        <v>169</v>
      </c>
      <c r="H63" s="539"/>
      <c r="I63" s="539"/>
      <c r="J63" s="539"/>
      <c r="K63" s="539"/>
      <c r="L63" s="193"/>
      <c r="M63" s="193"/>
      <c r="N63" s="193"/>
      <c r="O63" s="125"/>
      <c r="P63" s="125"/>
      <c r="Q63" s="125"/>
      <c r="R63" s="125"/>
      <c r="S63" s="125"/>
      <c r="T63" s="125"/>
      <c r="U63" s="125"/>
      <c r="V63" s="125"/>
      <c r="W63" s="125"/>
      <c r="X63" s="125"/>
      <c r="Y63" s="125"/>
      <c r="Z63" s="125"/>
      <c r="AA63" s="306" t="s">
        <v>170</v>
      </c>
      <c r="AB63" s="195" t="e">
        <f>AVERAGE(T41:W41)</f>
        <v>#N/A</v>
      </c>
      <c r="AC63" s="195" t="e">
        <f>AVERAGE(X41:AA41)</f>
        <v>#N/A</v>
      </c>
      <c r="AD63" s="147">
        <f>AVERAGE(AB41:AD41)</f>
        <v>0.51697934471731655</v>
      </c>
      <c r="AF63" s="69"/>
      <c r="AG63" s="69"/>
      <c r="AH63" s="69"/>
      <c r="AI63" s="70"/>
      <c r="AJ63" s="69"/>
      <c r="AK63" s="69"/>
      <c r="AL63" s="69"/>
    </row>
    <row r="64" spans="2:38" x14ac:dyDescent="0.2">
      <c r="B64" s="123"/>
      <c r="C64" s="124"/>
      <c r="D64" s="124"/>
      <c r="E64" s="125"/>
      <c r="F64" s="125"/>
      <c r="G64" s="539"/>
      <c r="H64" s="539"/>
      <c r="I64" s="539"/>
      <c r="J64" s="539"/>
      <c r="K64" s="539"/>
      <c r="L64" s="193"/>
      <c r="M64" s="193"/>
      <c r="N64" s="193"/>
      <c r="O64" s="125"/>
      <c r="P64" s="125"/>
      <c r="Q64" s="125"/>
      <c r="R64" s="125"/>
      <c r="S64" s="125"/>
      <c r="T64" s="125"/>
      <c r="U64" s="125"/>
      <c r="V64" s="125"/>
      <c r="W64" s="125"/>
      <c r="X64" s="125"/>
      <c r="Y64" s="125"/>
      <c r="Z64" s="125"/>
      <c r="AA64" s="306" t="s">
        <v>23</v>
      </c>
      <c r="AB64" s="195" t="e">
        <f>AVERAGE(T42:W42)</f>
        <v>#N/A</v>
      </c>
      <c r="AC64" s="195" t="e">
        <f>AVERAGE(X42:AA42)</f>
        <v>#N/A</v>
      </c>
      <c r="AD64" s="147">
        <f>AVERAGE(AB42:AD42)</f>
        <v>4.2229927405166741E-2</v>
      </c>
    </row>
    <row r="65" spans="1:31" x14ac:dyDescent="0.2">
      <c r="B65" s="123"/>
      <c r="C65" s="124"/>
      <c r="D65" s="124"/>
      <c r="E65" s="125"/>
      <c r="F65" s="125"/>
      <c r="G65" s="539"/>
      <c r="H65" s="539"/>
      <c r="I65" s="539"/>
      <c r="J65" s="539"/>
      <c r="K65" s="539"/>
      <c r="L65" s="193"/>
      <c r="M65" s="193"/>
      <c r="N65" s="193"/>
      <c r="O65" s="125"/>
      <c r="P65" s="125"/>
      <c r="Q65" s="125"/>
      <c r="R65" s="125"/>
      <c r="S65" s="125"/>
      <c r="T65" s="125"/>
      <c r="U65" s="125"/>
      <c r="V65" s="125"/>
      <c r="W65" s="125"/>
      <c r="X65" s="125"/>
      <c r="Y65" s="125"/>
      <c r="Z65" s="125"/>
      <c r="AA65" s="334" t="s">
        <v>21</v>
      </c>
      <c r="AB65" s="307" t="e">
        <f t="shared" ref="AB65:AB67" si="34">AVERAGE(T44:W44)</f>
        <v>#N/A</v>
      </c>
      <c r="AC65" s="307" t="e">
        <f t="shared" ref="AC65:AC67" si="35">AVERAGE(X44:AA44)</f>
        <v>#N/A</v>
      </c>
      <c r="AD65" s="146">
        <f t="shared" ref="AD65:AD67" si="36">AVERAGE(AB44:AD44)</f>
        <v>0.46262719718598005</v>
      </c>
      <c r="AE65" s="197"/>
    </row>
    <row r="66" spans="1:31" x14ac:dyDescent="0.2">
      <c r="B66" s="123"/>
      <c r="C66" s="124"/>
      <c r="D66" s="124"/>
      <c r="E66" s="125"/>
      <c r="F66" s="125"/>
      <c r="G66" s="539"/>
      <c r="H66" s="539"/>
      <c r="I66" s="539"/>
      <c r="J66" s="539"/>
      <c r="K66" s="539"/>
      <c r="L66" s="193"/>
      <c r="M66" s="193"/>
      <c r="N66" s="193"/>
      <c r="O66" s="125"/>
      <c r="P66" s="125"/>
      <c r="Q66" s="125"/>
      <c r="R66" s="125"/>
      <c r="S66" s="125"/>
      <c r="T66" s="125"/>
      <c r="U66" s="125"/>
      <c r="V66" s="125"/>
      <c r="W66" s="125"/>
      <c r="X66" s="125"/>
      <c r="Y66" s="125"/>
      <c r="Z66" s="125"/>
      <c r="AA66" s="194" t="s">
        <v>171</v>
      </c>
      <c r="AB66" s="195" t="e">
        <f t="shared" si="34"/>
        <v>#N/A</v>
      </c>
      <c r="AC66" s="195" t="e">
        <f t="shared" si="35"/>
        <v>#N/A</v>
      </c>
      <c r="AD66" s="147">
        <f t="shared" si="36"/>
        <v>0.3130212667002597</v>
      </c>
    </row>
    <row r="67" spans="1:31" x14ac:dyDescent="0.2">
      <c r="B67" s="123"/>
      <c r="C67" s="124"/>
      <c r="D67" s="124"/>
      <c r="E67" s="125"/>
      <c r="F67" s="125"/>
      <c r="G67" s="539"/>
      <c r="H67" s="539"/>
      <c r="I67" s="539"/>
      <c r="J67" s="539"/>
      <c r="K67" s="539"/>
      <c r="L67" s="193"/>
      <c r="M67" s="193"/>
      <c r="N67" s="193"/>
      <c r="O67" s="125"/>
      <c r="P67" s="125"/>
      <c r="Q67" s="125"/>
      <c r="R67" s="125"/>
      <c r="S67" s="125"/>
      <c r="T67" s="125"/>
      <c r="U67" s="125"/>
      <c r="V67" s="125"/>
      <c r="W67" s="125"/>
      <c r="X67" s="125"/>
      <c r="Y67" s="125"/>
      <c r="Z67" s="125"/>
      <c r="AA67" s="194" t="s">
        <v>31</v>
      </c>
      <c r="AB67" s="195" t="e">
        <f t="shared" si="34"/>
        <v>#N/A</v>
      </c>
      <c r="AC67" s="195" t="e">
        <f t="shared" si="35"/>
        <v>#N/A</v>
      </c>
      <c r="AD67" s="147">
        <f t="shared" si="36"/>
        <v>0.27325575953843101</v>
      </c>
    </row>
    <row r="68" spans="1:31" x14ac:dyDescent="0.2">
      <c r="B68" s="123"/>
      <c r="C68" s="124"/>
      <c r="D68" s="124"/>
      <c r="E68" s="125"/>
      <c r="F68" s="125"/>
      <c r="G68" s="192"/>
      <c r="H68" s="192"/>
      <c r="I68" s="193"/>
      <c r="J68" s="193"/>
      <c r="K68" s="193"/>
      <c r="L68" s="193"/>
      <c r="M68" s="193"/>
      <c r="N68" s="193"/>
      <c r="O68" s="125"/>
      <c r="P68" s="125"/>
      <c r="Q68" s="125"/>
      <c r="R68" s="125"/>
      <c r="S68" s="125"/>
      <c r="T68" s="125"/>
      <c r="U68" s="125"/>
      <c r="V68" s="125"/>
      <c r="W68" s="125"/>
      <c r="X68" s="125"/>
      <c r="Y68" s="125"/>
      <c r="Z68" s="125"/>
      <c r="AA68" s="194" t="s">
        <v>172</v>
      </c>
      <c r="AB68" s="195" t="e">
        <f t="shared" ref="AB68:AB70" si="37">AVERAGE(T50:W50)</f>
        <v>#DIV/0!</v>
      </c>
      <c r="AC68" s="195" t="e">
        <f t="shared" ref="AC68:AC70" si="38">AVERAGE(X50:AA50)</f>
        <v>#DIV/0!</v>
      </c>
      <c r="AD68" s="147" t="e">
        <f t="shared" ref="AD68:AD70" si="39">AVERAGE(AB50:AD50)</f>
        <v>#DIV/0!</v>
      </c>
    </row>
    <row r="69" spans="1:31" x14ac:dyDescent="0.2">
      <c r="B69" s="123"/>
      <c r="C69" s="124"/>
      <c r="D69" s="124"/>
      <c r="E69" s="125"/>
      <c r="F69" s="125"/>
      <c r="G69" s="192"/>
      <c r="H69" s="192"/>
      <c r="I69" s="193"/>
      <c r="J69" s="193"/>
      <c r="K69" s="193"/>
      <c r="L69" s="193"/>
      <c r="M69" s="193"/>
      <c r="N69" s="193"/>
      <c r="O69" s="125"/>
      <c r="P69" s="125"/>
      <c r="Q69" s="125"/>
      <c r="R69" s="125"/>
      <c r="S69" s="125"/>
      <c r="T69" s="125"/>
      <c r="U69" s="125"/>
      <c r="V69" s="125"/>
      <c r="W69" s="125"/>
      <c r="X69" s="125"/>
      <c r="Y69" s="125"/>
      <c r="Z69" s="125"/>
      <c r="AA69" s="306" t="s">
        <v>35</v>
      </c>
      <c r="AB69" s="307" t="e">
        <f t="shared" si="37"/>
        <v>#N/A</v>
      </c>
      <c r="AC69" s="307" t="e">
        <f t="shared" si="38"/>
        <v>#N/A</v>
      </c>
      <c r="AD69" s="146">
        <f t="shared" si="39"/>
        <v>0.44485731236063919</v>
      </c>
    </row>
    <row r="70" spans="1:31" x14ac:dyDescent="0.2">
      <c r="B70" s="123"/>
      <c r="C70" s="124"/>
      <c r="D70" s="124"/>
      <c r="E70" s="125"/>
      <c r="F70" s="125"/>
      <c r="G70" s="192"/>
      <c r="H70" s="192"/>
      <c r="I70" s="193"/>
      <c r="J70" s="193"/>
      <c r="K70" s="193"/>
      <c r="L70" s="193"/>
      <c r="M70" s="193"/>
      <c r="N70" s="193"/>
      <c r="O70" s="125"/>
      <c r="P70" s="125"/>
      <c r="Q70" s="125"/>
      <c r="R70" s="125"/>
      <c r="S70" s="125"/>
      <c r="T70" s="125"/>
      <c r="U70" s="125"/>
      <c r="V70" s="125"/>
      <c r="W70" s="125"/>
      <c r="X70" s="125"/>
      <c r="Y70" s="125"/>
      <c r="Z70" s="125"/>
      <c r="AA70" s="194" t="s">
        <v>171</v>
      </c>
      <c r="AB70" s="195" t="e">
        <f t="shared" si="37"/>
        <v>#N/A</v>
      </c>
      <c r="AC70" s="195" t="e">
        <f t="shared" si="38"/>
        <v>#N/A</v>
      </c>
      <c r="AD70" s="147">
        <f t="shared" si="39"/>
        <v>0.14120696981896486</v>
      </c>
      <c r="AE70" s="197"/>
    </row>
    <row r="71" spans="1:31" x14ac:dyDescent="0.2">
      <c r="B71" s="123"/>
      <c r="C71" s="124"/>
      <c r="D71" s="124"/>
      <c r="E71" s="125"/>
      <c r="F71" s="125"/>
      <c r="G71" s="192"/>
      <c r="H71" s="192"/>
      <c r="I71" s="193"/>
      <c r="J71" s="193"/>
      <c r="K71" s="193"/>
      <c r="L71" s="193"/>
      <c r="M71" s="193"/>
      <c r="N71" s="193"/>
      <c r="O71" s="125"/>
      <c r="P71" s="125"/>
      <c r="Q71" s="125"/>
      <c r="R71" s="125"/>
      <c r="S71" s="125"/>
      <c r="T71" s="125"/>
      <c r="U71" s="125"/>
      <c r="V71" s="125"/>
      <c r="W71" s="125"/>
      <c r="X71" s="125"/>
      <c r="Y71" s="125"/>
      <c r="Z71" s="125"/>
      <c r="AA71" s="194" t="s">
        <v>31</v>
      </c>
      <c r="AB71" s="195" t="e">
        <f>AVERAGE(T54:W54)</f>
        <v>#N/A</v>
      </c>
      <c r="AC71" s="195" t="e">
        <f>AVERAGE(X54:AA54)</f>
        <v>#N/A</v>
      </c>
      <c r="AD71" s="147">
        <f>AVERAGE(AB54:AD54)</f>
        <v>0.56397915378869223</v>
      </c>
      <c r="AE71" s="197"/>
    </row>
    <row r="72" spans="1:31" x14ac:dyDescent="0.2">
      <c r="B72" s="123"/>
      <c r="C72" s="124"/>
      <c r="D72" s="124"/>
      <c r="E72" s="125"/>
      <c r="F72" s="125"/>
      <c r="G72" s="192"/>
      <c r="H72" s="192"/>
      <c r="I72" s="193"/>
      <c r="J72" s="193"/>
      <c r="K72" s="193"/>
      <c r="L72" s="193"/>
      <c r="M72" s="193"/>
      <c r="N72" s="193"/>
      <c r="O72" s="125"/>
      <c r="P72" s="125"/>
      <c r="Q72" s="125"/>
      <c r="R72" s="125"/>
      <c r="S72" s="125"/>
      <c r="T72" s="125"/>
      <c r="U72" s="125"/>
      <c r="V72" s="125"/>
      <c r="W72" s="125"/>
      <c r="X72" s="125"/>
      <c r="Y72" s="125"/>
      <c r="Z72" s="125"/>
      <c r="AA72" s="308" t="s">
        <v>172</v>
      </c>
      <c r="AB72" s="309" t="e">
        <f t="shared" ref="AB72" si="40">AVERAGE(T57:W57)</f>
        <v>#DIV/0!</v>
      </c>
      <c r="AC72" s="309" t="e">
        <f t="shared" ref="AC72" si="41">AVERAGE(X57:AA57)</f>
        <v>#DIV/0!</v>
      </c>
      <c r="AD72" s="148" t="e">
        <f t="shared" ref="AD72" si="42">AVERAGE(AB57:AD57)</f>
        <v>#DIV/0!</v>
      </c>
    </row>
    <row r="73" spans="1:31" ht="14.25" hidden="1" customHeight="1" x14ac:dyDescent="0.2">
      <c r="G73" s="192"/>
      <c r="H73" s="192"/>
      <c r="I73" s="193"/>
      <c r="J73" s="193"/>
      <c r="K73" s="193"/>
      <c r="L73" s="193"/>
      <c r="M73" s="193"/>
      <c r="N73" s="193"/>
      <c r="O73" s="125"/>
      <c r="P73" s="125"/>
      <c r="Q73" s="125"/>
      <c r="R73" s="125"/>
      <c r="S73" s="125"/>
      <c r="T73" s="125"/>
      <c r="U73" s="125"/>
      <c r="V73" s="125"/>
      <c r="W73" s="125"/>
      <c r="X73" s="125"/>
      <c r="Y73" s="125"/>
      <c r="Z73" s="125"/>
      <c r="AA73" s="194"/>
      <c r="AB73" s="195"/>
      <c r="AC73" s="195"/>
      <c r="AD73" s="196"/>
    </row>
    <row r="74" spans="1:31" ht="14.25" hidden="1" customHeight="1" x14ac:dyDescent="0.2">
      <c r="A74" s="123"/>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row>
    <row r="75" spans="1:31" ht="14.25" hidden="1" customHeight="1" x14ac:dyDescent="0.2">
      <c r="G75" s="71"/>
      <c r="H75" s="71"/>
      <c r="I75" s="72"/>
      <c r="J75" s="72"/>
      <c r="K75" s="72"/>
      <c r="L75" s="72"/>
      <c r="M75" s="72"/>
      <c r="N75" s="72"/>
    </row>
    <row r="76" spans="1:31" ht="14.25" hidden="1" customHeight="1" x14ac:dyDescent="0.2">
      <c r="G76" s="71"/>
      <c r="H76" s="71"/>
      <c r="I76" s="72"/>
      <c r="J76" s="72"/>
      <c r="K76" s="72"/>
      <c r="L76" s="72"/>
      <c r="M76" s="72"/>
      <c r="N76" s="72"/>
    </row>
    <row r="77" spans="1:31" hidden="1" x14ac:dyDescent="0.2">
      <c r="G77" s="71"/>
      <c r="H77" s="71"/>
      <c r="I77" s="72"/>
      <c r="J77" s="72"/>
      <c r="K77" s="72"/>
      <c r="L77" s="72"/>
      <c r="M77" s="72"/>
      <c r="N77" s="72"/>
    </row>
    <row r="78" spans="1:31" hidden="1" x14ac:dyDescent="0.2">
      <c r="G78" s="71"/>
      <c r="H78" s="71"/>
      <c r="I78" s="72"/>
      <c r="J78" s="72"/>
      <c r="K78" s="72"/>
      <c r="L78" s="72"/>
      <c r="M78" s="72"/>
      <c r="N78" s="72"/>
    </row>
    <row r="79" spans="1:31" hidden="1" x14ac:dyDescent="0.2">
      <c r="G79" s="71"/>
      <c r="H79" s="71"/>
      <c r="I79" s="72"/>
      <c r="J79" s="72"/>
      <c r="K79" s="72"/>
      <c r="L79" s="72"/>
      <c r="M79" s="72"/>
      <c r="N79" s="72"/>
    </row>
    <row r="80" spans="1:31" hidden="1" x14ac:dyDescent="0.2">
      <c r="G80" s="71"/>
      <c r="H80" s="71"/>
      <c r="I80" s="72"/>
      <c r="J80" s="72"/>
      <c r="K80" s="72"/>
      <c r="L80" s="72"/>
      <c r="M80" s="72"/>
      <c r="N80" s="72"/>
      <c r="AA80" s="75"/>
    </row>
    <row r="81" spans="7:27" hidden="1" x14ac:dyDescent="0.2">
      <c r="G81" s="73"/>
      <c r="H81" s="73"/>
      <c r="O81" s="74"/>
      <c r="P81" s="74"/>
      <c r="Q81" s="74"/>
      <c r="R81" s="74"/>
      <c r="S81" s="74"/>
      <c r="T81" s="74"/>
      <c r="U81" s="74"/>
      <c r="V81" s="74"/>
      <c r="W81" s="74"/>
      <c r="X81" s="75"/>
      <c r="Y81" s="75"/>
      <c r="Z81" s="75"/>
      <c r="AA81" s="75"/>
    </row>
    <row r="82" spans="7:27" hidden="1" x14ac:dyDescent="0.2">
      <c r="G82" s="73"/>
      <c r="H82" s="73"/>
      <c r="O82" s="74"/>
      <c r="P82" s="74"/>
      <c r="Q82" s="74"/>
      <c r="R82" s="74"/>
      <c r="S82" s="74"/>
      <c r="T82" s="74"/>
      <c r="U82" s="74"/>
      <c r="V82" s="74"/>
      <c r="W82" s="74"/>
      <c r="X82" s="75"/>
      <c r="Y82" s="75"/>
      <c r="Z82" s="75"/>
      <c r="AA82" s="75"/>
    </row>
    <row r="83" spans="7:27" hidden="1" x14ac:dyDescent="0.2">
      <c r="G83" s="73"/>
      <c r="H83" s="73"/>
      <c r="O83" s="74"/>
      <c r="P83" s="74"/>
      <c r="Q83" s="74"/>
      <c r="R83" s="74"/>
      <c r="S83" s="74"/>
      <c r="T83" s="74"/>
      <c r="U83" s="74"/>
      <c r="V83" s="74"/>
      <c r="W83" s="74"/>
      <c r="X83" s="75"/>
      <c r="Y83" s="75"/>
      <c r="Z83" s="75"/>
      <c r="AA83" s="77"/>
    </row>
    <row r="84" spans="7:27" hidden="1" x14ac:dyDescent="0.2">
      <c r="G84" s="73"/>
      <c r="H84" s="73"/>
      <c r="O84" s="76"/>
      <c r="P84" s="76"/>
      <c r="Q84" s="76"/>
      <c r="R84" s="76"/>
      <c r="S84" s="76"/>
      <c r="T84" s="76"/>
      <c r="U84" s="76"/>
      <c r="V84" s="76"/>
      <c r="W84" s="76"/>
      <c r="X84" s="77"/>
      <c r="Y84" s="77"/>
      <c r="Z84" s="77"/>
    </row>
  </sheetData>
  <sheetProtection formatCells="0" formatColumns="0" formatRows="0" insertColumns="0" insertRows="0" insertHyperlinks="0" deleteColumns="0" deleteRows="0" sort="0" autoFilter="0" pivotTables="0"/>
  <customSheetViews>
    <customSheetView guid="{5EB6DE45-64D9-4581-AE55-A519683B64F2}" hiddenRows="1" hiddenColumns="1" topLeftCell="G1">
      <selection activeCell="AA45" sqref="AA45"/>
      <pageMargins left="0.7" right="0.7" top="0.75" bottom="0.75" header="0.3" footer="0.3"/>
      <pageSetup orientation="portrait" r:id="rId1"/>
    </customSheetView>
  </customSheetViews>
  <mergeCells count="23">
    <mergeCell ref="C9:D10"/>
    <mergeCell ref="E9:E10"/>
    <mergeCell ref="C11:D12"/>
    <mergeCell ref="C13:D14"/>
    <mergeCell ref="G38:G39"/>
    <mergeCell ref="G36:AD36"/>
    <mergeCell ref="I38:Q38"/>
    <mergeCell ref="H38:H39"/>
    <mergeCell ref="T37:Z37"/>
    <mergeCell ref="C2:E2"/>
    <mergeCell ref="G2:AD2"/>
    <mergeCell ref="G4:AD4"/>
    <mergeCell ref="C5:E8"/>
    <mergeCell ref="G6:G7"/>
    <mergeCell ref="I6:Q6"/>
    <mergeCell ref="H6:H7"/>
    <mergeCell ref="AA6:AD6"/>
    <mergeCell ref="T5:Z5"/>
    <mergeCell ref="AA58:AD58"/>
    <mergeCell ref="G63:K67"/>
    <mergeCell ref="G62:K62"/>
    <mergeCell ref="AB60:AC60"/>
    <mergeCell ref="AB38:AD38"/>
  </mergeCells>
  <phoneticPr fontId="24" type="noConversion"/>
  <conditionalFormatting sqref="AB40:AD57">
    <cfRule type="expression" dxfId="36" priority="23">
      <formula>(AB40-AA40)&gt;5%</formula>
    </cfRule>
    <cfRule type="expression" dxfId="35" priority="24">
      <formula>(AB40-AA40)&lt;-5%</formula>
    </cfRule>
    <cfRule type="cellIs" dxfId="34" priority="25" operator="lessThan">
      <formula>0</formula>
    </cfRule>
  </conditionalFormatting>
  <conditionalFormatting sqref="AA8:AD35">
    <cfRule type="cellIs" dxfId="33" priority="22" operator="lessThan">
      <formula>0</formula>
    </cfRule>
  </conditionalFormatting>
  <conditionalFormatting sqref="I62:K62">
    <cfRule type="containsBlanks" priority="21">
      <formula>LEN(TRIM(I62))=0</formula>
    </cfRule>
  </conditionalFormatting>
  <conditionalFormatting sqref="AA40:AA57">
    <cfRule type="expression" dxfId="32" priority="1">
      <formula>(AA40-Z40)&gt;5%</formula>
    </cfRule>
    <cfRule type="expression" dxfId="31" priority="2">
      <formula>(AA40-Z40)&lt;-5%</formula>
    </cfRule>
    <cfRule type="cellIs" dxfId="30" priority="3" operator="lessThan">
      <formula>0</formula>
    </cfRule>
  </conditionalFormatting>
  <hyperlinks>
    <hyperlink ref="E12" location="ELASTICITY!A1" display="Click to go to Elasticities" xr:uid="{193E5843-A55B-4160-8C23-57F4085BD46F}"/>
    <hyperlink ref="AA58"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2"/>
  <ignoredErrors>
    <ignoredError sqref="H12 H8"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66561" r:id="rId5"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6"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7"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R6:AA6 R38:Y38 Z38:Z57 I39:Y57 I7:Y35 Z8:Z35</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I38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AA39</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6"/>
  <sheetViews>
    <sheetView topLeftCell="D13" zoomScale="110" zoomScaleNormal="110" workbookViewId="0">
      <selection activeCell="N36" sqref="N36"/>
    </sheetView>
  </sheetViews>
  <sheetFormatPr defaultColWidth="0" defaultRowHeight="0" customHeight="1" zeroHeight="1" x14ac:dyDescent="0.2"/>
  <cols>
    <col min="1" max="1" width="14.7109375" style="83" bestFit="1" customWidth="1"/>
    <col min="2" max="2" width="14" style="83" customWidth="1"/>
    <col min="3" max="3" width="18.140625" style="83" customWidth="1"/>
    <col min="4" max="4" width="2.85546875" style="83" customWidth="1"/>
    <col min="5" max="5" width="9.140625" style="83" customWidth="1"/>
    <col min="6" max="8" width="9.140625" style="82" customWidth="1"/>
    <col min="9" max="9" width="35.42578125" style="82" customWidth="1"/>
    <col min="10" max="10" width="7" style="82" customWidth="1"/>
    <col min="11" max="11" width="12.5703125" style="82" bestFit="1" customWidth="1"/>
    <col min="12" max="12" width="7.140625" style="82" customWidth="1"/>
    <col min="13" max="13" width="7.28515625" style="82" customWidth="1"/>
    <col min="14" max="14" width="6.140625" style="82" bestFit="1" customWidth="1"/>
    <col min="15" max="15" width="9.42578125" style="82" customWidth="1"/>
    <col min="16" max="21" width="11.42578125" style="82" customWidth="1"/>
    <col min="22" max="22" width="15.140625" style="125" customWidth="1"/>
    <col min="23" max="23" width="8.5703125" style="125" customWidth="1"/>
    <col min="24" max="40" width="8.5703125" style="82" hidden="1" customWidth="1"/>
    <col min="41" max="41" width="9.140625" style="84" hidden="1" customWidth="1"/>
    <col min="42" max="44" width="9.5703125" style="84" hidden="1" customWidth="1"/>
    <col min="45" max="45" width="9.140625" style="84" hidden="1" customWidth="1"/>
    <col min="46" max="46" width="8.5703125" style="84" customWidth="1"/>
    <col min="47" max="53" width="9.140625" style="82" customWidth="1"/>
    <col min="54" max="54" width="8.5703125" style="82" customWidth="1"/>
    <col min="55" max="57" width="0" style="82" hidden="1" customWidth="1"/>
    <col min="58" max="16384" width="9.140625" style="82" hidden="1"/>
  </cols>
  <sheetData>
    <row r="1" spans="1:54" s="84" customFormat="1" ht="15" customHeight="1" x14ac:dyDescent="0.2">
      <c r="A1" s="130"/>
      <c r="B1" s="130"/>
      <c r="C1" s="130"/>
      <c r="D1" s="130"/>
      <c r="E1" s="130"/>
    </row>
    <row r="2" spans="1:54" ht="18" x14ac:dyDescent="0.25">
      <c r="A2" s="81"/>
      <c r="B2" s="81"/>
      <c r="C2" s="81"/>
      <c r="D2" s="130"/>
      <c r="E2" s="564" t="s">
        <v>57</v>
      </c>
      <c r="F2" s="564"/>
      <c r="G2" s="564"/>
      <c r="H2" s="125"/>
      <c r="I2" s="563" t="s">
        <v>57</v>
      </c>
      <c r="J2" s="563"/>
      <c r="K2" s="563"/>
      <c r="L2" s="563"/>
      <c r="M2" s="563"/>
      <c r="N2" s="563"/>
      <c r="O2" s="563"/>
      <c r="P2" s="563"/>
      <c r="Q2" s="563"/>
      <c r="R2" s="563"/>
      <c r="S2" s="563"/>
      <c r="T2" s="563"/>
      <c r="U2" s="563"/>
      <c r="V2" s="349"/>
      <c r="X2" s="563" t="s">
        <v>173</v>
      </c>
      <c r="Y2" s="563"/>
      <c r="Z2" s="563"/>
      <c r="AA2" s="563"/>
      <c r="AB2" s="563"/>
      <c r="AC2" s="563"/>
      <c r="AD2" s="563"/>
      <c r="AE2" s="563"/>
      <c r="AF2" s="563"/>
      <c r="AG2" s="563"/>
      <c r="AH2" s="563"/>
      <c r="AI2" s="563"/>
      <c r="AJ2" s="563"/>
      <c r="AK2" s="563"/>
      <c r="AL2" s="563"/>
      <c r="AM2" s="563"/>
      <c r="AN2" s="563"/>
      <c r="AU2" s="84"/>
      <c r="AV2" s="84"/>
      <c r="AW2" s="130"/>
      <c r="AX2" s="130"/>
      <c r="AY2" s="84"/>
      <c r="AZ2" s="84"/>
      <c r="BA2" s="84"/>
      <c r="BB2" s="84"/>
    </row>
    <row r="3" spans="1:54" ht="14.25" x14ac:dyDescent="0.2">
      <c r="A3" s="81"/>
      <c r="B3" s="81"/>
      <c r="C3" s="81"/>
      <c r="D3" s="130"/>
      <c r="E3" s="442"/>
      <c r="F3" s="84"/>
      <c r="G3" s="84"/>
      <c r="H3" s="125"/>
      <c r="I3" s="561" t="s">
        <v>174</v>
      </c>
      <c r="J3" s="561"/>
      <c r="K3" s="561"/>
      <c r="L3" s="561"/>
      <c r="M3" s="561"/>
      <c r="N3" s="561"/>
      <c r="O3" s="561"/>
      <c r="P3" s="561"/>
      <c r="Q3" s="561"/>
      <c r="R3" s="561"/>
      <c r="S3" s="561"/>
      <c r="T3" s="561"/>
      <c r="U3" s="561"/>
      <c r="V3" s="349"/>
      <c r="X3" s="339"/>
      <c r="Y3" s="339"/>
      <c r="Z3" s="339"/>
      <c r="AA3" s="339"/>
      <c r="AB3" s="339"/>
      <c r="AC3" s="339"/>
      <c r="AD3" s="339"/>
      <c r="AE3" s="339"/>
      <c r="AF3" s="339"/>
      <c r="AG3" s="339"/>
      <c r="AH3" s="339"/>
      <c r="AI3" s="339"/>
      <c r="AJ3" s="339"/>
      <c r="AK3" s="339"/>
      <c r="AL3" s="339"/>
      <c r="AM3" s="339"/>
      <c r="AN3" s="339"/>
      <c r="AU3" s="84"/>
      <c r="AV3" s="84"/>
      <c r="AW3" s="84"/>
      <c r="AX3" s="130"/>
      <c r="AY3" s="84"/>
      <c r="AZ3" s="84"/>
      <c r="BA3" s="84"/>
      <c r="BB3" s="84"/>
    </row>
    <row r="4" spans="1:54" ht="18" x14ac:dyDescent="0.25">
      <c r="A4" s="81"/>
      <c r="B4" s="81"/>
      <c r="C4" s="81"/>
      <c r="D4" s="130"/>
      <c r="E4" s="130"/>
      <c r="F4" s="84"/>
      <c r="G4" s="84"/>
      <c r="H4" s="125"/>
      <c r="I4" s="561"/>
      <c r="J4" s="561"/>
      <c r="K4" s="561"/>
      <c r="L4" s="561"/>
      <c r="M4" s="561"/>
      <c r="N4" s="561"/>
      <c r="O4" s="561"/>
      <c r="P4" s="561"/>
      <c r="Q4" s="561"/>
      <c r="R4" s="561"/>
      <c r="S4" s="561"/>
      <c r="T4" s="561"/>
      <c r="U4" s="561"/>
      <c r="V4" s="349"/>
      <c r="X4" s="339"/>
      <c r="Y4" s="339"/>
      <c r="Z4" s="339"/>
      <c r="AA4" s="339"/>
      <c r="AB4" s="339"/>
      <c r="AC4" s="339"/>
      <c r="AD4" s="339"/>
      <c r="AE4" s="339"/>
      <c r="AF4" s="339"/>
      <c r="AG4" s="339"/>
      <c r="AH4" s="339"/>
      <c r="AI4" s="339"/>
      <c r="AJ4" s="339"/>
      <c r="AK4" s="339"/>
      <c r="AL4" s="339"/>
      <c r="AM4" s="339"/>
      <c r="AN4" s="339"/>
      <c r="AT4" s="559" t="s">
        <v>175</v>
      </c>
      <c r="AU4" s="559"/>
      <c r="AV4" s="559"/>
      <c r="AW4" s="559"/>
      <c r="AX4" s="559"/>
      <c r="AY4" s="559"/>
      <c r="AZ4" s="559"/>
      <c r="BA4" s="559"/>
      <c r="BB4" s="84"/>
    </row>
    <row r="5" spans="1:54" ht="14.25" customHeight="1" x14ac:dyDescent="0.2">
      <c r="A5" s="81"/>
      <c r="B5" s="81"/>
      <c r="C5" s="81"/>
      <c r="D5" s="130"/>
      <c r="E5" s="561" t="s">
        <v>176</v>
      </c>
      <c r="F5" s="561"/>
      <c r="G5" s="561"/>
      <c r="H5" s="125"/>
      <c r="I5" s="561"/>
      <c r="J5" s="561"/>
      <c r="K5" s="561"/>
      <c r="L5" s="561"/>
      <c r="M5" s="561"/>
      <c r="N5" s="561"/>
      <c r="O5" s="561"/>
      <c r="P5" s="561"/>
      <c r="Q5" s="561"/>
      <c r="R5" s="561"/>
      <c r="S5" s="561"/>
      <c r="T5" s="561"/>
      <c r="U5" s="561"/>
      <c r="V5" s="349"/>
      <c r="X5" s="339"/>
      <c r="Y5" s="339"/>
      <c r="Z5" s="339"/>
      <c r="AA5" s="339"/>
      <c r="AB5" s="339"/>
      <c r="AC5" s="339"/>
      <c r="AD5" s="339"/>
      <c r="AE5" s="339"/>
      <c r="AF5" s="339"/>
      <c r="AG5" s="339"/>
      <c r="AH5" s="339"/>
      <c r="AI5" s="339"/>
      <c r="AJ5" s="339"/>
      <c r="AK5" s="339"/>
      <c r="AL5" s="339"/>
      <c r="AM5" s="339"/>
      <c r="AN5" s="339"/>
      <c r="AU5" s="84"/>
      <c r="AV5" s="84"/>
      <c r="AW5" s="130"/>
      <c r="AX5" s="130"/>
      <c r="AY5" s="84"/>
      <c r="AZ5" s="84"/>
      <c r="BA5" s="84"/>
      <c r="BB5" s="84"/>
    </row>
    <row r="6" spans="1:54" ht="14.25" x14ac:dyDescent="0.2">
      <c r="A6" s="81"/>
      <c r="B6" s="81"/>
      <c r="C6" s="81"/>
      <c r="D6" s="130"/>
      <c r="E6" s="561"/>
      <c r="F6" s="561"/>
      <c r="G6" s="561"/>
      <c r="H6" s="125"/>
      <c r="I6" s="191"/>
      <c r="J6" s="191"/>
      <c r="K6" s="191">
        <v>-0.35</v>
      </c>
      <c r="L6" s="191"/>
      <c r="M6" s="191"/>
      <c r="N6" s="191"/>
      <c r="O6" s="191"/>
      <c r="P6" s="191"/>
      <c r="Q6" s="191"/>
      <c r="R6" s="191"/>
      <c r="S6" s="191"/>
      <c r="T6" s="191"/>
      <c r="U6" s="191"/>
      <c r="V6" s="349"/>
      <c r="X6" s="339"/>
      <c r="Y6" s="339"/>
      <c r="Z6" s="339"/>
      <c r="AA6" s="339"/>
      <c r="AB6" s="339"/>
      <c r="AC6" s="339"/>
      <c r="AD6" s="339"/>
      <c r="AE6" s="339"/>
      <c r="AF6" s="339"/>
      <c r="AG6" s="339"/>
      <c r="AH6" s="339"/>
      <c r="AI6" s="339"/>
      <c r="AJ6" s="339"/>
      <c r="AK6" s="339"/>
      <c r="AL6" s="339"/>
      <c r="AM6" s="339"/>
      <c r="AN6" s="339"/>
      <c r="AU6" s="84"/>
      <c r="AV6" s="84"/>
      <c r="AW6" s="130"/>
      <c r="AX6" s="130"/>
      <c r="AY6" s="84"/>
      <c r="AZ6" s="84"/>
      <c r="BA6" s="84"/>
      <c r="BB6" s="84"/>
    </row>
    <row r="7" spans="1:54" ht="15" customHeight="1" x14ac:dyDescent="0.2">
      <c r="A7" s="81"/>
      <c r="B7" s="81"/>
      <c r="C7" s="81"/>
      <c r="D7" s="130"/>
      <c r="E7" s="561"/>
      <c r="F7" s="561"/>
      <c r="G7" s="561"/>
      <c r="H7" s="125"/>
      <c r="I7" s="438" t="s">
        <v>492</v>
      </c>
      <c r="J7" s="438"/>
      <c r="K7" s="439">
        <v>-0.35</v>
      </c>
      <c r="L7" s="439">
        <v>1.2692874660161784</v>
      </c>
      <c r="M7" s="439"/>
      <c r="N7" s="439"/>
      <c r="O7" s="339"/>
      <c r="P7" s="566" t="s">
        <v>177</v>
      </c>
      <c r="Q7" s="566"/>
      <c r="R7" s="566"/>
      <c r="S7" s="566" t="s">
        <v>510</v>
      </c>
      <c r="T7" s="566"/>
      <c r="U7" s="566"/>
      <c r="V7" s="349"/>
      <c r="X7" s="339"/>
      <c r="Y7" s="339"/>
      <c r="Z7" s="339"/>
      <c r="AA7" s="339"/>
      <c r="AB7" s="339"/>
      <c r="AC7" s="339"/>
      <c r="AD7" s="339"/>
      <c r="AE7" s="339"/>
      <c r="AF7" s="339"/>
      <c r="AG7" s="339"/>
      <c r="AH7" s="339"/>
      <c r="AI7" s="339"/>
      <c r="AJ7" s="339"/>
      <c r="AK7" s="339"/>
      <c r="AL7" s="339"/>
      <c r="AM7" s="339"/>
      <c r="AN7" s="339"/>
      <c r="AU7" s="84"/>
      <c r="AV7" s="84"/>
      <c r="AW7" s="130"/>
      <c r="AX7" s="130"/>
      <c r="AY7" s="84"/>
      <c r="AZ7" s="84"/>
      <c r="BA7" s="84"/>
      <c r="BB7" s="84"/>
    </row>
    <row r="8" spans="1:54" ht="15.6" customHeight="1" x14ac:dyDescent="0.2">
      <c r="A8" s="81"/>
      <c r="B8" s="81"/>
      <c r="C8" s="81"/>
      <c r="D8" s="130"/>
      <c r="E8" s="561"/>
      <c r="F8" s="561"/>
      <c r="G8" s="561"/>
      <c r="H8" s="125"/>
      <c r="I8" s="555" t="s">
        <v>178</v>
      </c>
      <c r="J8" s="454" t="s">
        <v>179</v>
      </c>
      <c r="K8" s="454"/>
      <c r="L8" s="454"/>
      <c r="M8" s="454"/>
      <c r="N8" s="454"/>
      <c r="O8" s="341"/>
      <c r="P8" s="554" t="s">
        <v>180</v>
      </c>
      <c r="Q8" s="554"/>
      <c r="R8" s="556"/>
      <c r="S8" s="554" t="s">
        <v>181</v>
      </c>
      <c r="T8" s="554"/>
      <c r="U8" s="554"/>
      <c r="V8" s="349"/>
      <c r="X8" s="554" t="s">
        <v>182</v>
      </c>
      <c r="Y8" s="554"/>
      <c r="Z8" s="554"/>
      <c r="AA8" s="554"/>
      <c r="AB8" s="554"/>
      <c r="AC8" s="554"/>
      <c r="AD8" s="554"/>
      <c r="AE8" s="554"/>
      <c r="AF8" s="554"/>
      <c r="AG8" s="554"/>
      <c r="AH8" s="554"/>
      <c r="AI8" s="554"/>
      <c r="AJ8" s="554"/>
      <c r="AK8" s="554"/>
      <c r="AL8" s="554"/>
      <c r="AM8" s="554"/>
      <c r="AN8" s="554"/>
      <c r="AU8" s="84"/>
      <c r="AV8" s="84"/>
      <c r="AW8" s="130"/>
      <c r="AX8" s="130"/>
      <c r="AY8" s="84"/>
      <c r="AZ8" s="84"/>
      <c r="BA8" s="84"/>
      <c r="BB8" s="84"/>
    </row>
    <row r="9" spans="1:54" ht="15.6" customHeight="1" x14ac:dyDescent="0.2">
      <c r="A9" s="90"/>
      <c r="B9" s="90"/>
      <c r="C9" s="90"/>
      <c r="D9" s="337"/>
      <c r="E9" s="565" t="s">
        <v>183</v>
      </c>
      <c r="F9" s="565"/>
      <c r="G9" s="560"/>
      <c r="H9" s="125"/>
      <c r="I9" s="555"/>
      <c r="J9" s="454"/>
      <c r="K9" s="454"/>
      <c r="L9" s="454"/>
      <c r="M9" s="454"/>
      <c r="N9" s="454"/>
      <c r="O9" s="341"/>
      <c r="P9" s="554"/>
      <c r="Q9" s="554"/>
      <c r="R9" s="556"/>
      <c r="S9" s="554"/>
      <c r="T9" s="554"/>
      <c r="U9" s="554"/>
      <c r="V9" s="349"/>
      <c r="X9" s="554"/>
      <c r="Y9" s="554"/>
      <c r="Z9" s="554"/>
      <c r="AA9" s="554"/>
      <c r="AB9" s="554"/>
      <c r="AC9" s="554"/>
      <c r="AD9" s="554"/>
      <c r="AE9" s="554"/>
      <c r="AF9" s="554"/>
      <c r="AG9" s="554"/>
      <c r="AH9" s="554"/>
      <c r="AI9" s="554"/>
      <c r="AJ9" s="554"/>
      <c r="AK9" s="554"/>
      <c r="AL9" s="554"/>
      <c r="AM9" s="554"/>
      <c r="AN9" s="554"/>
      <c r="AU9" s="84"/>
      <c r="AV9" s="84"/>
      <c r="AW9" s="130"/>
      <c r="AX9" s="130"/>
      <c r="AY9" s="84"/>
      <c r="AZ9" s="84"/>
      <c r="BA9" s="84"/>
      <c r="BB9" s="84"/>
    </row>
    <row r="10" spans="1:54" ht="14.25" x14ac:dyDescent="0.2">
      <c r="A10" s="91"/>
      <c r="B10" s="91"/>
      <c r="C10" s="91"/>
      <c r="D10" s="338"/>
      <c r="E10" s="565"/>
      <c r="F10" s="565"/>
      <c r="G10" s="560"/>
      <c r="H10" s="125"/>
      <c r="I10" s="555"/>
      <c r="J10" s="157">
        <v>2022</v>
      </c>
      <c r="K10" s="502">
        <v>2023</v>
      </c>
      <c r="L10" s="502">
        <v>2024</v>
      </c>
      <c r="M10" s="502">
        <v>2025</v>
      </c>
      <c r="N10" s="502">
        <v>2026</v>
      </c>
      <c r="O10" s="341"/>
      <c r="P10" s="158" t="str" cm="1">
        <f t="array" ref="P10">_xlfn.XLOOKUP(1, ('0. GUIDELINES'!$E$3=[1]Elasticities!$A:$A) * ("Long"=[1]Elasticities!$B:$B) * ($A$11=[1]Elasticities!$D:$D) * ($C11=[1]Elasticities!$E:$E) * ('2.1 LABOR STRUCTURE'!$E$4=[1]Elasticities!$G:$G), [1]Elasticities!$C:$C)</f>
        <v>2005 - 2022</v>
      </c>
      <c r="Q10" s="158" t="str" cm="1">
        <f t="array" ref="Q10">_xlfn.XLOOKUP(1, ('0. GUIDELINES'!$E$3=[1]Elasticities!$A:$A) * ("Middle"=[1]Elasticities!$B:$B) * ($B$11=[1]Elasticities!$D:$D) * ($C11=[1]Elasticities!$E:$E) * ('2.1 LABOR STRUCTURE'!$E$4=[1]Elasticities!$G:$G), [1]Elasticities!$C:$C)</f>
        <v>2010 - 2022</v>
      </c>
      <c r="R10" s="159" t="str" cm="1">
        <f t="array" ref="R10">_xlfn.XLOOKUP(1, ('0. GUIDELINES'!$E$3=[1]Elasticities!$A:$A) * ("Short"=[1]Elasticities!$B:$B) * ($A$11=[1]Elasticities!$D:$D) * ($C11=[1]Elasticities!$E:$E) * ('2.1 LABOR STRUCTURE'!$E$4=[1]Elasticities!$G:$G), [1]Elasticities!$C:$C)</f>
        <v>2015 - 2022</v>
      </c>
      <c r="S10" s="158" t="str" cm="1">
        <f t="array" ref="S10">_xlfn.XLOOKUP(1, ('0. GUIDELINES'!$E$3=[1]Elasticities!$A:$A) * ("Long"=[1]Elasticities!$B:$B) * ($B$11=[1]Elasticities!$D:$D) * ($C11=[1]Elasticities!$E:$E) * ('2.1 LABOR STRUCTURE'!$E$4=[1]Elasticities!$G:$G), [1]Elasticities!$C:$C)</f>
        <v>2005 - 2022</v>
      </c>
      <c r="T10" s="158" t="str" cm="1">
        <f t="array" ref="T10">_xlfn.XLOOKUP(1, ('0. GUIDELINES'!$E$3=[1]Elasticities!$A:$A) * ("Middle"=[1]Elasticities!$B:$B) * ($B$11=[1]Elasticities!$D:$D) * ($C11=[1]Elasticities!$E:$E) * ('2.1 LABOR STRUCTURE'!$E$4=[1]Elasticities!$G:$G), [1]Elasticities!$C:$C)</f>
        <v>2010 - 2022</v>
      </c>
      <c r="U10" s="158" t="str" cm="1">
        <f t="array" ref="U10">_xlfn.XLOOKUP(1, ('0. GUIDELINES'!$E$3=[1]Elasticities!$A:$A) * ("Short"=[1]Elasticities!$B:$B) * ($B$11=[1]Elasticities!$D:$D) * ($C11=[1]Elasticities!$E:$E) * ('2.1 LABOR STRUCTURE'!$E$4=[1]Elasticities!$G:$G), [1]Elasticities!$C:$C)</f>
        <v>2015 - 2022</v>
      </c>
      <c r="X10" s="132">
        <v>2007</v>
      </c>
      <c r="Y10" s="132">
        <v>2008</v>
      </c>
      <c r="Z10" s="282">
        <v>2009</v>
      </c>
      <c r="AA10" s="282">
        <v>2010</v>
      </c>
      <c r="AB10" s="282">
        <v>2011</v>
      </c>
      <c r="AC10" s="282">
        <v>2012</v>
      </c>
      <c r="AD10" s="282">
        <v>2013</v>
      </c>
      <c r="AE10" s="282">
        <v>2014</v>
      </c>
      <c r="AF10" s="282">
        <v>2015</v>
      </c>
      <c r="AG10" s="282">
        <v>2016</v>
      </c>
      <c r="AH10" s="282">
        <v>2017</v>
      </c>
      <c r="AI10" s="282">
        <v>2018</v>
      </c>
      <c r="AJ10" s="282">
        <v>2019</v>
      </c>
      <c r="AK10" s="282">
        <v>2020</v>
      </c>
      <c r="AL10" s="282">
        <v>2021</v>
      </c>
      <c r="AM10" s="282">
        <v>2022</v>
      </c>
      <c r="AN10" s="282">
        <v>2023</v>
      </c>
      <c r="AP10" s="84" t="s">
        <v>184</v>
      </c>
      <c r="AQ10" s="84" t="s">
        <v>185</v>
      </c>
      <c r="AR10" s="84" t="s">
        <v>186</v>
      </c>
      <c r="AU10" s="84"/>
      <c r="AV10" s="84"/>
      <c r="AW10" s="130"/>
      <c r="AX10" s="130"/>
      <c r="AY10" s="84"/>
      <c r="AZ10" s="84"/>
      <c r="BA10" s="84"/>
      <c r="BB10" s="84"/>
    </row>
    <row r="11" spans="1:54" ht="14.25" x14ac:dyDescent="0.2">
      <c r="A11" s="87" t="str">
        <f>VLOOKUP(P$8, 'CONTROL '!$D$1:$E$8, 2, 0)</f>
        <v>avg</v>
      </c>
      <c r="B11" s="87" t="str">
        <f>VLOOKUP(S$8, 'CONTROL '!$D$1:$E$8, 2, 0)</f>
        <v>reg</v>
      </c>
      <c r="C11" s="87" t="str">
        <f>IF($S$7="LFS",CONCATENATE("lf",'CONTROL '!$C2),CONCATENATE("hs",'CONTROL '!$C2))</f>
        <v>lfls12_S0_A0</v>
      </c>
      <c r="D11" s="123"/>
      <c r="E11" s="124" t="s">
        <v>187</v>
      </c>
      <c r="F11" s="84"/>
      <c r="G11" s="84"/>
      <c r="H11" s="84"/>
      <c r="I11" s="134" t="s">
        <v>188</v>
      </c>
      <c r="J11" s="133"/>
      <c r="K11" s="454">
        <v>-0.03</v>
      </c>
      <c r="L11" s="133">
        <v>-0.2</v>
      </c>
      <c r="M11" s="133">
        <v>-0.15</v>
      </c>
      <c r="N11" s="133">
        <v>0.55000000000000004</v>
      </c>
      <c r="O11" s="341"/>
      <c r="P11" s="344" cm="1">
        <f t="array" ref="P11">_xlfn.XLOOKUP(1, ('0. GUIDELINES'!$E$3=[1]Elasticities!$A:$A) * ("Long"=[1]Elasticities!$B:$B) * ($A$11=[1]Elasticities!$D:$D) * ($C11=[1]Elasticities!$E:$E) * ('2.1 LABOR STRUCTURE'!$E$4=[1]Elasticities!$G:$G), [1]Elasticities!$F:$F)</f>
        <v>0.34328985214233398</v>
      </c>
      <c r="Q11" s="344" cm="1">
        <f t="array" ref="Q11">_xlfn.XLOOKUP(1, ('0. GUIDELINES'!$E$3=[1]Elasticities!$A:$A) * ("Middle"=[1]Elasticities!$B:$B) * ($A$11=[1]Elasticities!$D:$D) * ($C11=[1]Elasticities!$E:$E) * ('2.1 LABOR STRUCTURE'!$E$4=[1]Elasticities!$G:$G), [1]Elasticities!$F:$F)</f>
        <v>0.34328985214233398</v>
      </c>
      <c r="R11" s="454" cm="1">
        <f t="array" ref="R11">_xlfn.XLOOKUP(1, ('0. GUIDELINES'!$E$3=[1]Elasticities!$A:$A) * ("Short"=[1]Elasticities!$B:$B) * ($A$11=[1]Elasticities!$D:$D) * ($C11=[1]Elasticities!$E:$E) * ('2.1 LABOR STRUCTURE'!$E$4=[1]Elasticities!$G:$G), [1]Elasticities!$F:$F)</f>
        <v>0.30144312977790833</v>
      </c>
      <c r="S11" s="344" cm="1">
        <f t="array" ref="S11">_xlfn.XLOOKUP(1, ('0. GUIDELINES'!$E$3=[1]Elasticities!$A:$A) * ("Long"=[1]Elasticities!$B:$B) * ($B$11=[1]Elasticities!$D:$D) * ($C11=[1]Elasticities!$E:$E) * ('2.1 LABOR STRUCTURE'!$E$4=[1]Elasticities!$G:$G), [1]Elasticities!$F:$F)</f>
        <v>0.36932170391082764</v>
      </c>
      <c r="T11" s="344" cm="1">
        <f t="array" ref="T11">_xlfn.XLOOKUP(1, ('0. GUIDELINES'!$E$3=[1]Elasticities!$A:$A) * ("Middle"=[1]Elasticities!$B:$B) * ($B$11=[1]Elasticities!$D:$D) * ($C11=[1]Elasticities!$E:$E) * ('2.1 LABOR STRUCTURE'!$E$4=[1]Elasticities!$G:$G), [1]Elasticities!$F:$F)</f>
        <v>0.35131591558456421</v>
      </c>
      <c r="U11" s="344" cm="1">
        <f t="array" ref="U11">_xlfn.XLOOKUP(1, ('0. GUIDELINES'!$E$3=[1]Elasticities!$A:$A) * ("Short"=[1]Elasticities!$B:$B) * ($B$11=[1]Elasticities!$D:$D) * ($C11=[1]Elasticities!$E:$E) * ('2.1 LABOR STRUCTURE'!$E$4=[1]Elasticities!$G:$G), [1]Elasticities!$F:$F)</f>
        <v>0.36420696973800659</v>
      </c>
      <c r="V11" s="126"/>
      <c r="X11" s="162" t="e" cm="1">
        <f t="array" ref="X11">_xlfn.XLOOKUP(1, ('0. GUIDELINES'!$E$3='[1]Elasticities by year'!$A:$A) * (X$10='[1]Elasticities by year'!$B:$B)* ($C11='[1]Elasticities by year'!$C:$C), '[1]Elasticities by year'!$D:$D)</f>
        <v>#N/A</v>
      </c>
      <c r="Y11" s="162" t="e" cm="1">
        <f t="array" ref="Y11">_xlfn.XLOOKUP(1, ('0. GUIDELINES'!$E$3='[1]Elasticities by year'!$A:$A) * (Y$10='[1]Elasticities by year'!$B:$B)* ($C11='[1]Elasticities by year'!$C:$C), '[1]Elasticities by year'!$D:$D)</f>
        <v>#N/A</v>
      </c>
      <c r="Z11" s="162" t="e" cm="1">
        <f t="array" ref="Z11">_xlfn.XLOOKUP(1, ('0. GUIDELINES'!$E$3='[1]Elasticities by year'!$A:$A) * (Z$10='[1]Elasticities by year'!$B:$B)* ($C11='[1]Elasticities by year'!$C:$C), '[1]Elasticities by year'!$D:$D)</f>
        <v>#N/A</v>
      </c>
      <c r="AA11" s="162" t="e" cm="1">
        <f t="array" ref="AA11">_xlfn.XLOOKUP(1, ('0. GUIDELINES'!$E$3='[1]Elasticities by year'!$A:$A) * (AA$10='[1]Elasticities by year'!$B:$B)* ($C11='[1]Elasticities by year'!$C:$C), '[1]Elasticities by year'!$D:$D)</f>
        <v>#N/A</v>
      </c>
      <c r="AB11" s="162" t="e" cm="1">
        <f t="array" ref="AB11">_xlfn.XLOOKUP(1, ('0. GUIDELINES'!$E$3='[1]Elasticities by year'!$A:$A) * (AB$10='[1]Elasticities by year'!$B:$B)* ($C11='[1]Elasticities by year'!$C:$C), '[1]Elasticities by year'!$D:$D)</f>
        <v>#N/A</v>
      </c>
      <c r="AC11" s="162" t="e" cm="1">
        <f t="array" ref="AC11">_xlfn.XLOOKUP(1, ('0. GUIDELINES'!$E$3='[1]Elasticities by year'!$A:$A) * (AC$10='[1]Elasticities by year'!$B:$B)* ($C11='[1]Elasticities by year'!$C:$C), '[1]Elasticities by year'!$D:$D)</f>
        <v>#N/A</v>
      </c>
      <c r="AD11" s="162" t="e" cm="1">
        <f t="array" ref="AD11">_xlfn.XLOOKUP(1, ('0. GUIDELINES'!$E$3='[1]Elasticities by year'!$A:$A) * (AD$10='[1]Elasticities by year'!$B:$B)* ($C11='[1]Elasticities by year'!$C:$C), '[1]Elasticities by year'!$D:$D)</f>
        <v>#N/A</v>
      </c>
      <c r="AE11" s="162" t="e" cm="1">
        <f t="array" ref="AE11">_xlfn.XLOOKUP(1, ('0. GUIDELINES'!$E$3='[1]Elasticities by year'!$A:$A) * (AE$10='[1]Elasticities by year'!$B:$B)* ($C11='[1]Elasticities by year'!$C:$C), '[1]Elasticities by year'!$D:$D)</f>
        <v>#N/A</v>
      </c>
      <c r="AF11" s="162" t="e" cm="1">
        <f t="array" ref="AF11">_xlfn.XLOOKUP(1, ('0. GUIDELINES'!$E$3='[1]Elasticities by year'!$A:$A) * (AF$10='[1]Elasticities by year'!$B:$B)* ($C11='[1]Elasticities by year'!$C:$C), '[1]Elasticities by year'!$D:$D)</f>
        <v>#N/A</v>
      </c>
      <c r="AG11" s="162" t="e" cm="1">
        <f t="array" ref="AG11">_xlfn.XLOOKUP(1, ('0. GUIDELINES'!$E$3='[1]Elasticities by year'!$A:$A) * (AG$10='[1]Elasticities by year'!$B:$B)* ($C11='[1]Elasticities by year'!$C:$C), '[1]Elasticities by year'!$D:$D)</f>
        <v>#N/A</v>
      </c>
      <c r="AH11" s="162" t="e" cm="1">
        <f t="array" ref="AH11">_xlfn.XLOOKUP(1, ('0. GUIDELINES'!$E$3='[1]Elasticities by year'!$A:$A) * (AH$10='[1]Elasticities by year'!$B:$B)* ($C11='[1]Elasticities by year'!$C:$C), '[1]Elasticities by year'!$D:$D)</f>
        <v>#N/A</v>
      </c>
      <c r="AI11" s="162" t="e" cm="1">
        <f t="array" ref="AI11">_xlfn.XLOOKUP(1, ('0. GUIDELINES'!$E$3='[1]Elasticities by year'!$A:$A) * (AI$10='[1]Elasticities by year'!$B:$B)* ($C11='[1]Elasticities by year'!$C:$C), '[1]Elasticities by year'!$D:$D)</f>
        <v>#N/A</v>
      </c>
      <c r="AJ11" s="162" t="e" cm="1">
        <f t="array" ref="AJ11">_xlfn.XLOOKUP(1, ('0. GUIDELINES'!$E$3='[1]Elasticities by year'!$A:$A) * (AJ$10='[1]Elasticities by year'!$B:$B)* ($C11='[1]Elasticities by year'!$C:$C), '[1]Elasticities by year'!$D:$D)</f>
        <v>#N/A</v>
      </c>
      <c r="AK11" s="162" t="e" cm="1">
        <f t="array" ref="AK11">_xlfn.XLOOKUP(1, ('0. GUIDELINES'!$E$3='[1]Elasticities by year'!$A:$A) * (AK$10='[1]Elasticities by year'!$B:$B)* ($C11='[1]Elasticities by year'!$C:$C), '[1]Elasticities by year'!$D:$D)</f>
        <v>#N/A</v>
      </c>
      <c r="AL11" s="162" t="e" cm="1">
        <f t="array" ref="AL11">_xlfn.XLOOKUP(1, ('0. GUIDELINES'!$E$3='[1]Elasticities by year'!$A:$A) * (AL$10='[1]Elasticities by year'!$B:$B)* ($C11='[1]Elasticities by year'!$C:$C), '[1]Elasticities by year'!$D:$D)</f>
        <v>#N/A</v>
      </c>
      <c r="AM11" s="162" t="e" cm="1">
        <f t="array" ref="AM11">_xlfn.XLOOKUP(1, ('0. GUIDELINES'!$E$3='[1]Elasticities by year'!$A:$A) * (AM$10='[1]Elasticities by year'!$B:$B)* ($C11='[1]Elasticities by year'!$C:$C), '[1]Elasticities by year'!$D:$D)</f>
        <v>#N/A</v>
      </c>
      <c r="AN11" s="162" t="e" cm="1">
        <f t="array" ref="AN11">_xlfn.XLOOKUP(1, ('0. GUIDELINES'!$E$3='[1]Elasticities by year'!$A:$A) * (AN$10='[1]Elasticities by year'!$B:$B)* ($C11='[1]Elasticities by year'!$C:$C), '[1]Elasticities by year'!$D:$D)</f>
        <v>#N/A</v>
      </c>
      <c r="AP11" s="343" t="e">
        <f>AVERAGEIF(X11:AK11, "&lt;&gt;#N/A")</f>
        <v>#DIV/0!</v>
      </c>
      <c r="AQ11" s="343" t="e">
        <f>AVERAGEIF(AC11:AK11, "&lt;&gt;#N/A")</f>
        <v>#DIV/0!</v>
      </c>
      <c r="AR11" s="343" t="e">
        <f>AVERAGEIF(AH11:AK11, "&lt;&gt;#N/A")</f>
        <v>#DIV/0!</v>
      </c>
      <c r="AU11" s="84"/>
      <c r="AV11" s="84"/>
      <c r="AW11" s="130"/>
      <c r="AX11" s="130"/>
      <c r="AY11" s="84"/>
      <c r="AZ11" s="84"/>
      <c r="BA11" s="84"/>
      <c r="BB11" s="84"/>
    </row>
    <row r="12" spans="1:54" ht="14.25" x14ac:dyDescent="0.2">
      <c r="A12" s="87"/>
      <c r="B12" s="87"/>
      <c r="C12" s="87" t="str">
        <f>IF($S$7="LFS",CONCATENATE("lf",'CONTROL '!$C3),CONCATENATE("hs",'CONTROL '!$C3))</f>
        <v>lfls1_s0_a1</v>
      </c>
      <c r="D12" s="123"/>
      <c r="E12" s="84"/>
      <c r="F12" s="84"/>
      <c r="G12" s="84"/>
      <c r="H12" s="84"/>
      <c r="I12" s="134" t="s">
        <v>390</v>
      </c>
      <c r="J12" s="133"/>
      <c r="K12" s="454">
        <v>-0.75</v>
      </c>
      <c r="L12" s="133">
        <v>-0.3</v>
      </c>
      <c r="M12" s="133">
        <v>0.5</v>
      </c>
      <c r="N12" s="133">
        <v>0.15</v>
      </c>
      <c r="O12" s="341"/>
      <c r="P12" s="344" cm="1">
        <f t="array" ref="P12">_xlfn.XLOOKUP(1, ('0. GUIDELINES'!$E$3=[1]Elasticities!$A:$A) * ("Long"=[1]Elasticities!$B:$B) * ($A$11=[1]Elasticities!$D:$D) * ($C12=[1]Elasticities!$E:$E) * ('2.1 LABOR STRUCTURE'!$E$4=[1]Elasticities!$G:$G), [1]Elasticities!$F:$F)</f>
        <v>0.30467352271080017</v>
      </c>
      <c r="Q12" s="344" cm="1">
        <f t="array" ref="Q12">_xlfn.XLOOKUP(1, ('0. GUIDELINES'!$E$3=[1]Elasticities!$A:$A) * ("Middle"=[1]Elasticities!$B:$B) * ($A$11=[1]Elasticities!$D:$D) * ($C12=[1]Elasticities!$E:$E) * ('2.1 LABOR STRUCTURE'!$E$4=[1]Elasticities!$G:$G), [1]Elasticities!$F:$F)</f>
        <v>0.30467352271080017</v>
      </c>
      <c r="R12" s="454" cm="1">
        <f t="array" ref="R12">_xlfn.XLOOKUP(1, ('0. GUIDELINES'!$E$3=[1]Elasticities!$A:$A) * ("Short"=[1]Elasticities!$B:$B) * ($A$11=[1]Elasticities!$D:$D) * ($C12=[1]Elasticities!$E:$E) * ('2.1 LABOR STRUCTURE'!$E$4=[1]Elasticities!$G:$G), [1]Elasticities!$F:$F)</f>
        <v>0.28965547680854797</v>
      </c>
      <c r="S12" s="344" cm="1">
        <f t="array" ref="S12">_xlfn.XLOOKUP(1, ('0. GUIDELINES'!$E$3=[1]Elasticities!$A:$A) * ("Long"=[1]Elasticities!$B:$B) * ($B$11=[1]Elasticities!$D:$D) * ($C12=[1]Elasticities!$E:$E) * ('2.1 LABOR STRUCTURE'!$E$4=[1]Elasticities!$G:$G), [1]Elasticities!$F:$F)</f>
        <v>0.36577045917510986</v>
      </c>
      <c r="T12" s="344" cm="1">
        <f t="array" ref="T12">_xlfn.XLOOKUP(1, ('0. GUIDELINES'!$E$3=[1]Elasticities!$A:$A) * ("Middle"=[1]Elasticities!$B:$B) * ($B$11=[1]Elasticities!$D:$D) * ($C12=[1]Elasticities!$E:$E) * ('2.1 LABOR STRUCTURE'!$E$4=[1]Elasticities!$G:$G), [1]Elasticities!$F:$F)</f>
        <v>0.40842989087104797</v>
      </c>
      <c r="U12" s="344" cm="1">
        <f t="array" ref="U12">_xlfn.XLOOKUP(1, ('0. GUIDELINES'!$E$3=[1]Elasticities!$A:$A) * ("Short"=[1]Elasticities!$B:$B) * ($B$11=[1]Elasticities!$D:$D) * ($C12=[1]Elasticities!$E:$E) * ('2.1 LABOR STRUCTURE'!$E$4=[1]Elasticities!$G:$G), [1]Elasticities!$F:$F)</f>
        <v>0.86043602228164673</v>
      </c>
      <c r="V12" s="126"/>
      <c r="X12" s="162" t="e" cm="1">
        <f t="array" ref="X12">_xlfn.XLOOKUP(1, ('0. GUIDELINES'!$E$3='[1]Elasticities by year'!$A:$A) * (X$10='[1]Elasticities by year'!$B:$B)* ($C12='[1]Elasticities by year'!$C:$C), '[1]Elasticities by year'!$D:$D)</f>
        <v>#N/A</v>
      </c>
      <c r="Y12" s="162" t="e" cm="1">
        <f t="array" ref="Y12">_xlfn.XLOOKUP(1, ('0. GUIDELINES'!$E$3='[1]Elasticities by year'!$A:$A) * (Y$10='[1]Elasticities by year'!$B:$B)* ($C12='[1]Elasticities by year'!$C:$C), '[1]Elasticities by year'!$D:$D)</f>
        <v>#N/A</v>
      </c>
      <c r="Z12" s="162" t="e" cm="1">
        <f t="array" ref="Z12">_xlfn.XLOOKUP(1, ('0. GUIDELINES'!$E$3='[1]Elasticities by year'!$A:$A) * (Z$10='[1]Elasticities by year'!$B:$B)* ($C12='[1]Elasticities by year'!$C:$C), '[1]Elasticities by year'!$D:$D)</f>
        <v>#N/A</v>
      </c>
      <c r="AA12" s="162" t="e" cm="1">
        <f t="array" ref="AA12">_xlfn.XLOOKUP(1, ('0. GUIDELINES'!$E$3='[1]Elasticities by year'!$A:$A) * (AA$10='[1]Elasticities by year'!$B:$B)* ($C12='[1]Elasticities by year'!$C:$C), '[1]Elasticities by year'!$D:$D)</f>
        <v>#N/A</v>
      </c>
      <c r="AB12" s="162" t="e" cm="1">
        <f t="array" ref="AB12">_xlfn.XLOOKUP(1, ('0. GUIDELINES'!$E$3='[1]Elasticities by year'!$A:$A) * (AB$10='[1]Elasticities by year'!$B:$B)* ($C12='[1]Elasticities by year'!$C:$C), '[1]Elasticities by year'!$D:$D)</f>
        <v>#N/A</v>
      </c>
      <c r="AC12" s="162" t="e" cm="1">
        <f t="array" ref="AC12">_xlfn.XLOOKUP(1, ('0. GUIDELINES'!$E$3='[1]Elasticities by year'!$A:$A) * (AC$10='[1]Elasticities by year'!$B:$B)* ($C12='[1]Elasticities by year'!$C:$C), '[1]Elasticities by year'!$D:$D)</f>
        <v>#N/A</v>
      </c>
      <c r="AD12" s="162" t="e" cm="1">
        <f t="array" ref="AD12">_xlfn.XLOOKUP(1, ('0. GUIDELINES'!$E$3='[1]Elasticities by year'!$A:$A) * (AD$10='[1]Elasticities by year'!$B:$B)* ($C12='[1]Elasticities by year'!$C:$C), '[1]Elasticities by year'!$D:$D)</f>
        <v>#N/A</v>
      </c>
      <c r="AE12" s="162" t="e" cm="1">
        <f t="array" ref="AE12">_xlfn.XLOOKUP(1, ('0. GUIDELINES'!$E$3='[1]Elasticities by year'!$A:$A) * (AE$10='[1]Elasticities by year'!$B:$B)* ($C12='[1]Elasticities by year'!$C:$C), '[1]Elasticities by year'!$D:$D)</f>
        <v>#N/A</v>
      </c>
      <c r="AF12" s="162" t="e" cm="1">
        <f t="array" ref="AF12">_xlfn.XLOOKUP(1, ('0. GUIDELINES'!$E$3='[1]Elasticities by year'!$A:$A) * (AF$10='[1]Elasticities by year'!$B:$B)* ($C12='[1]Elasticities by year'!$C:$C), '[1]Elasticities by year'!$D:$D)</f>
        <v>#N/A</v>
      </c>
      <c r="AG12" s="162" t="e" cm="1">
        <f t="array" ref="AG12">_xlfn.XLOOKUP(1, ('0. GUIDELINES'!$E$3='[1]Elasticities by year'!$A:$A) * (AG$10='[1]Elasticities by year'!$B:$B)* ($C12='[1]Elasticities by year'!$C:$C), '[1]Elasticities by year'!$D:$D)</f>
        <v>#N/A</v>
      </c>
      <c r="AH12" s="162" t="e" cm="1">
        <f t="array" ref="AH12">_xlfn.XLOOKUP(1, ('0. GUIDELINES'!$E$3='[1]Elasticities by year'!$A:$A) * (AH$10='[1]Elasticities by year'!$B:$B)* ($C12='[1]Elasticities by year'!$C:$C), '[1]Elasticities by year'!$D:$D)</f>
        <v>#N/A</v>
      </c>
      <c r="AI12" s="162" t="e" cm="1">
        <f t="array" ref="AI12">_xlfn.XLOOKUP(1, ('0. GUIDELINES'!$E$3='[1]Elasticities by year'!$A:$A) * (AI$10='[1]Elasticities by year'!$B:$B)* ($C12='[1]Elasticities by year'!$C:$C), '[1]Elasticities by year'!$D:$D)</f>
        <v>#N/A</v>
      </c>
      <c r="AJ12" s="162" t="e" cm="1">
        <f t="array" ref="AJ12">_xlfn.XLOOKUP(1, ('0. GUIDELINES'!$E$3='[1]Elasticities by year'!$A:$A) * (AJ$10='[1]Elasticities by year'!$B:$B)* ($C12='[1]Elasticities by year'!$C:$C), '[1]Elasticities by year'!$D:$D)</f>
        <v>#N/A</v>
      </c>
      <c r="AK12" s="162" t="e" cm="1">
        <f t="array" ref="AK12">_xlfn.XLOOKUP(1, ('0. GUIDELINES'!$E$3='[1]Elasticities by year'!$A:$A) * (AK$10='[1]Elasticities by year'!$B:$B)* ($C12='[1]Elasticities by year'!$C:$C), '[1]Elasticities by year'!$D:$D)</f>
        <v>#N/A</v>
      </c>
      <c r="AL12" s="162" t="e" cm="1">
        <f t="array" ref="AL12">_xlfn.XLOOKUP(1, ('0. GUIDELINES'!$E$3='[1]Elasticities by year'!$A:$A) * (AL$10='[1]Elasticities by year'!$B:$B)* ($C12='[1]Elasticities by year'!$C:$C), '[1]Elasticities by year'!$D:$D)</f>
        <v>#N/A</v>
      </c>
      <c r="AM12" s="162" t="e" cm="1">
        <f t="array" ref="AM12">_xlfn.XLOOKUP(1, ('0. GUIDELINES'!$E$3='[1]Elasticities by year'!$A:$A) * (AM$10='[1]Elasticities by year'!$B:$B)* ($C12='[1]Elasticities by year'!$C:$C), '[1]Elasticities by year'!$D:$D)</f>
        <v>#N/A</v>
      </c>
      <c r="AN12" s="162" t="e" cm="1">
        <f t="array" ref="AN12">_xlfn.XLOOKUP(1, ('0. GUIDELINES'!$E$3='[1]Elasticities by year'!$A:$A) * (AN$10='[1]Elasticities by year'!$B:$B)* ($C12='[1]Elasticities by year'!$C:$C), '[1]Elasticities by year'!$D:$D)</f>
        <v>#N/A</v>
      </c>
      <c r="AP12" s="343" t="e">
        <f t="shared" ref="AP12:AP23" si="0">AVERAGEIF(X12:AK12, "&lt;&gt;#N/A")</f>
        <v>#DIV/0!</v>
      </c>
      <c r="AQ12" s="343" t="e">
        <f t="shared" ref="AQ12:AQ23" si="1">AVERAGEIF(AC12:AK12, "&lt;&gt;#N/A")</f>
        <v>#DIV/0!</v>
      </c>
      <c r="AR12" s="343" t="e">
        <f t="shared" ref="AR12:AR23" si="2">AVERAGEIF(AH12:AK12, "&lt;&gt;#N/A")</f>
        <v>#DIV/0!</v>
      </c>
      <c r="AU12" s="84"/>
      <c r="AV12" s="84"/>
      <c r="AW12" s="130"/>
      <c r="AX12" s="130"/>
      <c r="AY12" s="84"/>
      <c r="AZ12" s="84"/>
      <c r="BA12" s="84"/>
      <c r="BB12" s="84"/>
    </row>
    <row r="13" spans="1:54" ht="14.25" x14ac:dyDescent="0.2">
      <c r="A13" s="87"/>
      <c r="B13" s="87"/>
      <c r="C13" s="87" t="str">
        <f>IF($S$7="LFS",CONCATENATE("lf",'CONTROL '!$C4),CONCATENATE("hs",'CONTROL '!$C4))</f>
        <v>lfls1_s1_a1</v>
      </c>
      <c r="D13" s="123"/>
      <c r="E13" s="84"/>
      <c r="F13" s="84"/>
      <c r="G13" s="84"/>
      <c r="H13" s="84"/>
      <c r="I13" s="134" t="s">
        <v>389</v>
      </c>
      <c r="J13" s="133"/>
      <c r="K13" s="454">
        <v>-0.75</v>
      </c>
      <c r="L13" s="133">
        <v>-0.2</v>
      </c>
      <c r="M13" s="133">
        <v>0.4</v>
      </c>
      <c r="N13" s="133">
        <v>0.05</v>
      </c>
      <c r="O13" s="341"/>
      <c r="P13" s="344" cm="1">
        <f t="array" ref="P13">_xlfn.XLOOKUP(1, ('0. GUIDELINES'!$E$3=[1]Elasticities!$A:$A) * ("Long"=[1]Elasticities!$B:$B) * ($A$11=[1]Elasticities!$D:$D) * ($C13=[1]Elasticities!$E:$E) * ('2.1 LABOR STRUCTURE'!$E$4=[1]Elasticities!$G:$G), [1]Elasticities!$F:$F)</f>
        <v>2.8441412448883057</v>
      </c>
      <c r="Q13" s="344" cm="1">
        <f t="array" ref="Q13">_xlfn.XLOOKUP(1, ('0. GUIDELINES'!$E$3=[1]Elasticities!$A:$A) * ("Middle"=[1]Elasticities!$B:$B) * ($A$11=[1]Elasticities!$D:$D) * ($C13=[1]Elasticities!$E:$E) * ('2.1 LABOR STRUCTURE'!$E$4=[1]Elasticities!$G:$G), [1]Elasticities!$F:$F)</f>
        <v>2.8441412448883057</v>
      </c>
      <c r="R13" s="454" cm="1">
        <f t="array" ref="R13">_xlfn.XLOOKUP(1, ('0. GUIDELINES'!$E$3=[1]Elasticities!$A:$A) * ("Short"=[1]Elasticities!$B:$B) * ($A$11=[1]Elasticities!$D:$D) * ($C13=[1]Elasticities!$E:$E) * ('2.1 LABOR STRUCTURE'!$E$4=[1]Elasticities!$G:$G), [1]Elasticities!$F:$F)</f>
        <v>-0.84124022722244263</v>
      </c>
      <c r="S13" s="344" cm="1">
        <f t="array" ref="S13">_xlfn.XLOOKUP(1, ('0. GUIDELINES'!$E$3=[1]Elasticities!$A:$A) * ("Long"=[1]Elasticities!$B:$B) * ($B$11=[1]Elasticities!$D:$D) * ($C13=[1]Elasticities!$E:$E) * ('2.1 LABOR STRUCTURE'!$E$4=[1]Elasticities!$G:$G), [1]Elasticities!$F:$F)</f>
        <v>0.28195315599441528</v>
      </c>
      <c r="T13" s="344" cm="1">
        <f t="array" ref="T13">_xlfn.XLOOKUP(1, ('0. GUIDELINES'!$E$3=[1]Elasticities!$A:$A) * ("Middle"=[1]Elasticities!$B:$B) * ($B$11=[1]Elasticities!$D:$D) * ($C13=[1]Elasticities!$E:$E) * ('2.1 LABOR STRUCTURE'!$E$4=[1]Elasticities!$G:$G), [1]Elasticities!$F:$F)</f>
        <v>1.3045108318328857</v>
      </c>
      <c r="U13" s="344" cm="1">
        <f t="array" ref="U13">_xlfn.XLOOKUP(1, ('0. GUIDELINES'!$E$3=[1]Elasticities!$A:$A) * ("Short"=[1]Elasticities!$B:$B) * ($B$11=[1]Elasticities!$D:$D) * ($C13=[1]Elasticities!$E:$E) * ('2.1 LABOR STRUCTURE'!$E$4=[1]Elasticities!$G:$G), [1]Elasticities!$F:$F)</f>
        <v>-2.1076726913452148</v>
      </c>
      <c r="V13" s="126"/>
      <c r="X13" s="162" t="e" cm="1">
        <f t="array" ref="X13">_xlfn.XLOOKUP(1, ('0. GUIDELINES'!$E$3='[1]Elasticities by year'!$A:$A) * (X$10='[1]Elasticities by year'!$B:$B)* ($C13='[1]Elasticities by year'!$C:$C), '[1]Elasticities by year'!$D:$D)</f>
        <v>#N/A</v>
      </c>
      <c r="Y13" s="162" t="e" cm="1">
        <f t="array" ref="Y13">_xlfn.XLOOKUP(1, ('0. GUIDELINES'!$E$3='[1]Elasticities by year'!$A:$A) * (Y$10='[1]Elasticities by year'!$B:$B)* ($C13='[1]Elasticities by year'!$C:$C), '[1]Elasticities by year'!$D:$D)</f>
        <v>#N/A</v>
      </c>
      <c r="Z13" s="162" t="e" cm="1">
        <f t="array" ref="Z13">_xlfn.XLOOKUP(1, ('0. GUIDELINES'!$E$3='[1]Elasticities by year'!$A:$A) * (Z$10='[1]Elasticities by year'!$B:$B)* ($C13='[1]Elasticities by year'!$C:$C), '[1]Elasticities by year'!$D:$D)</f>
        <v>#N/A</v>
      </c>
      <c r="AA13" s="162" t="e" cm="1">
        <f t="array" ref="AA13">_xlfn.XLOOKUP(1, ('0. GUIDELINES'!$E$3='[1]Elasticities by year'!$A:$A) * (AA$10='[1]Elasticities by year'!$B:$B)* ($C13='[1]Elasticities by year'!$C:$C), '[1]Elasticities by year'!$D:$D)</f>
        <v>#N/A</v>
      </c>
      <c r="AB13" s="162" t="e" cm="1">
        <f t="array" ref="AB13">_xlfn.XLOOKUP(1, ('0. GUIDELINES'!$E$3='[1]Elasticities by year'!$A:$A) * (AB$10='[1]Elasticities by year'!$B:$B)* ($C13='[1]Elasticities by year'!$C:$C), '[1]Elasticities by year'!$D:$D)</f>
        <v>#N/A</v>
      </c>
      <c r="AC13" s="162" t="e" cm="1">
        <f t="array" ref="AC13">_xlfn.XLOOKUP(1, ('0. GUIDELINES'!$E$3='[1]Elasticities by year'!$A:$A) * (AC$10='[1]Elasticities by year'!$B:$B)* ($C13='[1]Elasticities by year'!$C:$C), '[1]Elasticities by year'!$D:$D)</f>
        <v>#N/A</v>
      </c>
      <c r="AD13" s="162" t="e" cm="1">
        <f t="array" ref="AD13">_xlfn.XLOOKUP(1, ('0. GUIDELINES'!$E$3='[1]Elasticities by year'!$A:$A) * (AD$10='[1]Elasticities by year'!$B:$B)* ($C13='[1]Elasticities by year'!$C:$C), '[1]Elasticities by year'!$D:$D)</f>
        <v>#N/A</v>
      </c>
      <c r="AE13" s="162" t="e" cm="1">
        <f t="array" ref="AE13">_xlfn.XLOOKUP(1, ('0. GUIDELINES'!$E$3='[1]Elasticities by year'!$A:$A) * (AE$10='[1]Elasticities by year'!$B:$B)* ($C13='[1]Elasticities by year'!$C:$C), '[1]Elasticities by year'!$D:$D)</f>
        <v>#N/A</v>
      </c>
      <c r="AF13" s="162" t="e" cm="1">
        <f t="array" ref="AF13">_xlfn.XLOOKUP(1, ('0. GUIDELINES'!$E$3='[1]Elasticities by year'!$A:$A) * (AF$10='[1]Elasticities by year'!$B:$B)* ($C13='[1]Elasticities by year'!$C:$C), '[1]Elasticities by year'!$D:$D)</f>
        <v>#N/A</v>
      </c>
      <c r="AG13" s="162" t="e" cm="1">
        <f t="array" ref="AG13">_xlfn.XLOOKUP(1, ('0. GUIDELINES'!$E$3='[1]Elasticities by year'!$A:$A) * (AG$10='[1]Elasticities by year'!$B:$B)* ($C13='[1]Elasticities by year'!$C:$C), '[1]Elasticities by year'!$D:$D)</f>
        <v>#N/A</v>
      </c>
      <c r="AH13" s="162" t="e" cm="1">
        <f t="array" ref="AH13">_xlfn.XLOOKUP(1, ('0. GUIDELINES'!$E$3='[1]Elasticities by year'!$A:$A) * (AH$10='[1]Elasticities by year'!$B:$B)* ($C13='[1]Elasticities by year'!$C:$C), '[1]Elasticities by year'!$D:$D)</f>
        <v>#N/A</v>
      </c>
      <c r="AI13" s="162" t="e" cm="1">
        <f t="array" ref="AI13">_xlfn.XLOOKUP(1, ('0. GUIDELINES'!$E$3='[1]Elasticities by year'!$A:$A) * (AI$10='[1]Elasticities by year'!$B:$B)* ($C13='[1]Elasticities by year'!$C:$C), '[1]Elasticities by year'!$D:$D)</f>
        <v>#N/A</v>
      </c>
      <c r="AJ13" s="162" t="e" cm="1">
        <f t="array" ref="AJ13">_xlfn.XLOOKUP(1, ('0. GUIDELINES'!$E$3='[1]Elasticities by year'!$A:$A) * (AJ$10='[1]Elasticities by year'!$B:$B)* ($C13='[1]Elasticities by year'!$C:$C), '[1]Elasticities by year'!$D:$D)</f>
        <v>#N/A</v>
      </c>
      <c r="AK13" s="162" t="e" cm="1">
        <f t="array" ref="AK13">_xlfn.XLOOKUP(1, ('0. GUIDELINES'!$E$3='[1]Elasticities by year'!$A:$A) * (AK$10='[1]Elasticities by year'!$B:$B)* ($C13='[1]Elasticities by year'!$C:$C), '[1]Elasticities by year'!$D:$D)</f>
        <v>#N/A</v>
      </c>
      <c r="AL13" s="162" t="e" cm="1">
        <f t="array" ref="AL13">_xlfn.XLOOKUP(1, ('0. GUIDELINES'!$E$3='[1]Elasticities by year'!$A:$A) * (AL$10='[1]Elasticities by year'!$B:$B)* ($C13='[1]Elasticities by year'!$C:$C), '[1]Elasticities by year'!$D:$D)</f>
        <v>#N/A</v>
      </c>
      <c r="AM13" s="162" t="e" cm="1">
        <f t="array" ref="AM13">_xlfn.XLOOKUP(1, ('0. GUIDELINES'!$E$3='[1]Elasticities by year'!$A:$A) * (AM$10='[1]Elasticities by year'!$B:$B)* ($C13='[1]Elasticities by year'!$C:$C), '[1]Elasticities by year'!$D:$D)</f>
        <v>#N/A</v>
      </c>
      <c r="AN13" s="162" t="e" cm="1">
        <f t="array" ref="AN13">_xlfn.XLOOKUP(1, ('0. GUIDELINES'!$E$3='[1]Elasticities by year'!$A:$A) * (AN$10='[1]Elasticities by year'!$B:$B)* ($C13='[1]Elasticities by year'!$C:$C), '[1]Elasticities by year'!$D:$D)</f>
        <v>#N/A</v>
      </c>
      <c r="AP13" s="343" t="e">
        <f t="shared" si="0"/>
        <v>#DIV/0!</v>
      </c>
      <c r="AQ13" s="343" t="e">
        <f t="shared" si="1"/>
        <v>#DIV/0!</v>
      </c>
      <c r="AR13" s="343" t="e">
        <f t="shared" si="2"/>
        <v>#DIV/0!</v>
      </c>
      <c r="AU13" s="84"/>
      <c r="AV13" s="84"/>
      <c r="AW13" s="130"/>
      <c r="AX13" s="130"/>
      <c r="AY13" s="84"/>
      <c r="AZ13" s="84"/>
      <c r="BA13" s="84"/>
      <c r="BB13" s="84"/>
    </row>
    <row r="14" spans="1:54" ht="14.25" x14ac:dyDescent="0.2">
      <c r="A14" s="87"/>
      <c r="B14" s="87"/>
      <c r="C14" s="87" t="str">
        <f>IF($S$7="LFS",CONCATENATE("lf",'CONTROL '!$C5),CONCATENATE("hs",'CONTROL '!$C5))</f>
        <v>lfls1_s0_a2</v>
      </c>
      <c r="D14" s="123"/>
      <c r="E14" s="84"/>
      <c r="F14" s="84"/>
      <c r="G14" s="84"/>
      <c r="H14" s="84"/>
      <c r="I14" s="134" t="s">
        <v>610</v>
      </c>
      <c r="J14" s="133"/>
      <c r="K14" s="454">
        <v>2.5030524376671439E-2</v>
      </c>
      <c r="L14" s="133">
        <v>-0.3</v>
      </c>
      <c r="M14" s="133">
        <v>-3</v>
      </c>
      <c r="N14" s="133">
        <v>2.1</v>
      </c>
      <c r="O14" s="406"/>
      <c r="P14" s="344" cm="1">
        <f t="array" ref="P14">_xlfn.XLOOKUP(1, ('0. GUIDELINES'!$E$3=[1]Elasticities!$A:$A) * ("Long"=[1]Elasticities!$B:$B) * ($A$11=[1]Elasticities!$D:$D) * ($C14=[1]Elasticities!$E:$E) * ('2.1 LABOR STRUCTURE'!$E$4=[1]Elasticities!$G:$G), [1]Elasticities!$F:$F)</f>
        <v>0.36990603804588318</v>
      </c>
      <c r="Q14" s="344" cm="1">
        <f t="array" ref="Q14">_xlfn.XLOOKUP(1, ('0. GUIDELINES'!$E$3=[1]Elasticities!$A:$A) * ("Middle"=[1]Elasticities!$B:$B) * ($A$11=[1]Elasticities!$D:$D) * ($C14=[1]Elasticities!$E:$E) * ('2.1 LABOR STRUCTURE'!$E$4=[1]Elasticities!$G:$G), [1]Elasticities!$F:$F)</f>
        <v>0.36990603804588318</v>
      </c>
      <c r="R14" s="454" cm="1">
        <f t="array" ref="R14">_xlfn.XLOOKUP(1, ('0. GUIDELINES'!$E$3=[1]Elasticities!$A:$A) * ("Short"=[1]Elasticities!$B:$B) * ($A$11=[1]Elasticities!$D:$D) * ($C14=[1]Elasticities!$E:$E) * ('2.1 LABOR STRUCTURE'!$E$4=[1]Elasticities!$G:$G), [1]Elasticities!$F:$F)</f>
        <v>5.8713890612125397E-2</v>
      </c>
      <c r="S14" s="344" cm="1">
        <f t="array" ref="S14">_xlfn.XLOOKUP(1, ('0. GUIDELINES'!$E$3=[1]Elasticities!$A:$A) * ("Long"=[1]Elasticities!$B:$B) * ($B$11=[1]Elasticities!$D:$D) * ($C14=[1]Elasticities!$E:$E) * ('2.1 LABOR STRUCTURE'!$E$4=[1]Elasticities!$G:$G), [1]Elasticities!$F:$F)</f>
        <v>0.38047227263450623</v>
      </c>
      <c r="T14" s="344" cm="1">
        <f t="array" ref="T14">_xlfn.XLOOKUP(1, ('0. GUIDELINES'!$E$3=[1]Elasticities!$A:$A) * ("Middle"=[1]Elasticities!$B:$B) * ($B$11=[1]Elasticities!$D:$D) * ($C14=[1]Elasticities!$E:$E) * ('2.1 LABOR STRUCTURE'!$E$4=[1]Elasticities!$G:$G), [1]Elasticities!$F:$F)</f>
        <v>0.16888178884983063</v>
      </c>
      <c r="U14" s="344" cm="1">
        <f t="array" ref="U14">_xlfn.XLOOKUP(1, ('0. GUIDELINES'!$E$3=[1]Elasticities!$A:$A) * ("Short"=[1]Elasticities!$B:$B) * ($B$11=[1]Elasticities!$D:$D) * ($C14=[1]Elasticities!$E:$E) * ('2.1 LABOR STRUCTURE'!$E$4=[1]Elasticities!$G:$G), [1]Elasticities!$F:$F)</f>
        <v>-4.049542173743248E-2</v>
      </c>
      <c r="V14" s="126"/>
      <c r="X14" s="162" t="e" cm="1">
        <f t="array" ref="X14">_xlfn.XLOOKUP(1, ('0. GUIDELINES'!$E$3='[1]Elasticities by year'!$A:$A) * (X$10='[1]Elasticities by year'!$B:$B)* ($C14='[1]Elasticities by year'!$C:$C), '[1]Elasticities by year'!$D:$D)</f>
        <v>#N/A</v>
      </c>
      <c r="Y14" s="162" t="e" cm="1">
        <f t="array" ref="Y14">_xlfn.XLOOKUP(1, ('0. GUIDELINES'!$E$3='[1]Elasticities by year'!$A:$A) * (Y$10='[1]Elasticities by year'!$B:$B)* ($C14='[1]Elasticities by year'!$C:$C), '[1]Elasticities by year'!$D:$D)</f>
        <v>#N/A</v>
      </c>
      <c r="Z14" s="162" t="e" cm="1">
        <f t="array" ref="Z14">_xlfn.XLOOKUP(1, ('0. GUIDELINES'!$E$3='[1]Elasticities by year'!$A:$A) * (Z$10='[1]Elasticities by year'!$B:$B)* ($C14='[1]Elasticities by year'!$C:$C), '[1]Elasticities by year'!$D:$D)</f>
        <v>#N/A</v>
      </c>
      <c r="AA14" s="162" t="e" cm="1">
        <f t="array" ref="AA14">_xlfn.XLOOKUP(1, ('0. GUIDELINES'!$E$3='[1]Elasticities by year'!$A:$A) * (AA$10='[1]Elasticities by year'!$B:$B)* ($C14='[1]Elasticities by year'!$C:$C), '[1]Elasticities by year'!$D:$D)</f>
        <v>#N/A</v>
      </c>
      <c r="AB14" s="162" t="e" cm="1">
        <f t="array" ref="AB14">_xlfn.XLOOKUP(1, ('0. GUIDELINES'!$E$3='[1]Elasticities by year'!$A:$A) * (AB$10='[1]Elasticities by year'!$B:$B)* ($C14='[1]Elasticities by year'!$C:$C), '[1]Elasticities by year'!$D:$D)</f>
        <v>#N/A</v>
      </c>
      <c r="AC14" s="162" t="e" cm="1">
        <f t="array" ref="AC14">_xlfn.XLOOKUP(1, ('0. GUIDELINES'!$E$3='[1]Elasticities by year'!$A:$A) * (AC$10='[1]Elasticities by year'!$B:$B)* ($C14='[1]Elasticities by year'!$C:$C), '[1]Elasticities by year'!$D:$D)</f>
        <v>#N/A</v>
      </c>
      <c r="AD14" s="162" t="e" cm="1">
        <f t="array" ref="AD14">_xlfn.XLOOKUP(1, ('0. GUIDELINES'!$E$3='[1]Elasticities by year'!$A:$A) * (AD$10='[1]Elasticities by year'!$B:$B)* ($C14='[1]Elasticities by year'!$C:$C), '[1]Elasticities by year'!$D:$D)</f>
        <v>#N/A</v>
      </c>
      <c r="AE14" s="162" t="e" cm="1">
        <f t="array" ref="AE14">_xlfn.XLOOKUP(1, ('0. GUIDELINES'!$E$3='[1]Elasticities by year'!$A:$A) * (AE$10='[1]Elasticities by year'!$B:$B)* ($C14='[1]Elasticities by year'!$C:$C), '[1]Elasticities by year'!$D:$D)</f>
        <v>#N/A</v>
      </c>
      <c r="AF14" s="162" t="e" cm="1">
        <f t="array" ref="AF14">_xlfn.XLOOKUP(1, ('0. GUIDELINES'!$E$3='[1]Elasticities by year'!$A:$A) * (AF$10='[1]Elasticities by year'!$B:$B)* ($C14='[1]Elasticities by year'!$C:$C), '[1]Elasticities by year'!$D:$D)</f>
        <v>#N/A</v>
      </c>
      <c r="AG14" s="162" t="e" cm="1">
        <f t="array" ref="AG14">_xlfn.XLOOKUP(1, ('0. GUIDELINES'!$E$3='[1]Elasticities by year'!$A:$A) * (AG$10='[1]Elasticities by year'!$B:$B)* ($C14='[1]Elasticities by year'!$C:$C), '[1]Elasticities by year'!$D:$D)</f>
        <v>#N/A</v>
      </c>
      <c r="AH14" s="162" t="e" cm="1">
        <f t="array" ref="AH14">_xlfn.XLOOKUP(1, ('0. GUIDELINES'!$E$3='[1]Elasticities by year'!$A:$A) * (AH$10='[1]Elasticities by year'!$B:$B)* ($C14='[1]Elasticities by year'!$C:$C), '[1]Elasticities by year'!$D:$D)</f>
        <v>#N/A</v>
      </c>
      <c r="AI14" s="162" t="e" cm="1">
        <f t="array" ref="AI14">_xlfn.XLOOKUP(1, ('0. GUIDELINES'!$E$3='[1]Elasticities by year'!$A:$A) * (AI$10='[1]Elasticities by year'!$B:$B)* ($C14='[1]Elasticities by year'!$C:$C), '[1]Elasticities by year'!$D:$D)</f>
        <v>#N/A</v>
      </c>
      <c r="AJ14" s="162" t="e" cm="1">
        <f t="array" ref="AJ14">_xlfn.XLOOKUP(1, ('0. GUIDELINES'!$E$3='[1]Elasticities by year'!$A:$A) * (AJ$10='[1]Elasticities by year'!$B:$B)* ($C14='[1]Elasticities by year'!$C:$C), '[1]Elasticities by year'!$D:$D)</f>
        <v>#N/A</v>
      </c>
      <c r="AK14" s="162" t="e" cm="1">
        <f t="array" ref="AK14">_xlfn.XLOOKUP(1, ('0. GUIDELINES'!$E$3='[1]Elasticities by year'!$A:$A) * (AK$10='[1]Elasticities by year'!$B:$B)* ($C14='[1]Elasticities by year'!$C:$C), '[1]Elasticities by year'!$D:$D)</f>
        <v>#N/A</v>
      </c>
      <c r="AL14" s="162" t="e" cm="1">
        <f t="array" ref="AL14">_xlfn.XLOOKUP(1, ('0. GUIDELINES'!$E$3='[1]Elasticities by year'!$A:$A) * (AL$10='[1]Elasticities by year'!$B:$B)* ($C14='[1]Elasticities by year'!$C:$C), '[1]Elasticities by year'!$D:$D)</f>
        <v>#N/A</v>
      </c>
      <c r="AM14" s="162" t="e" cm="1">
        <f t="array" ref="AM14">_xlfn.XLOOKUP(1, ('0. GUIDELINES'!$E$3='[1]Elasticities by year'!$A:$A) * (AM$10='[1]Elasticities by year'!$B:$B)* ($C14='[1]Elasticities by year'!$C:$C), '[1]Elasticities by year'!$D:$D)</f>
        <v>#N/A</v>
      </c>
      <c r="AN14" s="162" t="e" cm="1">
        <f t="array" ref="AN14">_xlfn.XLOOKUP(1, ('0. GUIDELINES'!$E$3='[1]Elasticities by year'!$A:$A) * (AN$10='[1]Elasticities by year'!$B:$B)* ($C14='[1]Elasticities by year'!$C:$C), '[1]Elasticities by year'!$D:$D)</f>
        <v>#N/A</v>
      </c>
      <c r="AP14" s="343"/>
      <c r="AQ14" s="343"/>
      <c r="AR14" s="343"/>
      <c r="AU14" s="84"/>
      <c r="AV14" s="84"/>
      <c r="AW14" s="130"/>
      <c r="AX14" s="130"/>
      <c r="AY14" s="84"/>
      <c r="AZ14" s="84"/>
      <c r="BA14" s="84"/>
      <c r="BB14" s="84"/>
    </row>
    <row r="15" spans="1:54" ht="14.25" x14ac:dyDescent="0.2">
      <c r="A15" s="87"/>
      <c r="B15" s="87"/>
      <c r="C15" s="87" t="str">
        <f>IF($S$7="LFS",CONCATENATE("lf",'CONTROL '!$C6),CONCATENATE("hs",'CONTROL '!$C6))</f>
        <v>lfls1_s1_a2</v>
      </c>
      <c r="D15" s="123"/>
      <c r="E15" s="84"/>
      <c r="F15" s="84"/>
      <c r="G15" s="84"/>
      <c r="H15" s="84"/>
      <c r="I15" s="134" t="s">
        <v>611</v>
      </c>
      <c r="J15" s="133"/>
      <c r="K15" s="454">
        <v>0.33374032502228701</v>
      </c>
      <c r="L15" s="133">
        <v>-0.05</v>
      </c>
      <c r="M15" s="133">
        <v>-1.5</v>
      </c>
      <c r="N15" s="133">
        <v>0.9</v>
      </c>
      <c r="O15" s="406"/>
      <c r="P15" s="344" cm="1">
        <f t="array" ref="P15">_xlfn.XLOOKUP(1, ('0. GUIDELINES'!$E$3=[1]Elasticities!$A:$A) * ("Long"=[1]Elasticities!$B:$B) * ($A$11=[1]Elasticities!$D:$D) * ($C15=[1]Elasticities!$E:$E) * ('2.1 LABOR STRUCTURE'!$E$4=[1]Elasticities!$G:$G), [1]Elasticities!$F:$F)</f>
        <v>1.1048816442489624</v>
      </c>
      <c r="Q15" s="344" cm="1">
        <f t="array" ref="Q15">_xlfn.XLOOKUP(1, ('0. GUIDELINES'!$E$3=[1]Elasticities!$A:$A) * ("Middle"=[1]Elasticities!$B:$B) * ($A$11=[1]Elasticities!$D:$D) * ($C15=[1]Elasticities!$E:$E) * ('2.1 LABOR STRUCTURE'!$E$4=[1]Elasticities!$G:$G), [1]Elasticities!$F:$F)</f>
        <v>1.1048816442489624</v>
      </c>
      <c r="R15" s="454" cm="1">
        <f t="array" ref="R15">_xlfn.XLOOKUP(1, ('0. GUIDELINES'!$E$3=[1]Elasticities!$A:$A) * ("Short"=[1]Elasticities!$B:$B) * ($A$11=[1]Elasticities!$D:$D) * ($C15=[1]Elasticities!$E:$E) * ('2.1 LABOR STRUCTURE'!$E$4=[1]Elasticities!$G:$G), [1]Elasticities!$F:$F)</f>
        <v>1.2176457643508911</v>
      </c>
      <c r="S15" s="344" cm="1">
        <f t="array" ref="S15">_xlfn.XLOOKUP(1, ('0. GUIDELINES'!$E$3=[1]Elasticities!$A:$A) * ("Long"=[1]Elasticities!$B:$B) * ($B$11=[1]Elasticities!$D:$D) * ($C15=[1]Elasticities!$E:$E) * ('2.1 LABOR STRUCTURE'!$E$4=[1]Elasticities!$G:$G), [1]Elasticities!$F:$F)</f>
        <v>0.75476574897766113</v>
      </c>
      <c r="T15" s="344" cm="1">
        <f t="array" ref="T15">_xlfn.XLOOKUP(1, ('0. GUIDELINES'!$E$3=[1]Elasticities!$A:$A) * ("Middle"=[1]Elasticities!$B:$B) * ($B$11=[1]Elasticities!$D:$D) * ($C15=[1]Elasticities!$E:$E) * ('2.1 LABOR STRUCTURE'!$E$4=[1]Elasticities!$G:$G), [1]Elasticities!$F:$F)</f>
        <v>0.93476837873458862</v>
      </c>
      <c r="U15" s="344" cm="1">
        <f t="array" ref="U15">_xlfn.XLOOKUP(1, ('0. GUIDELINES'!$E$3=[1]Elasticities!$A:$A) * ("Short"=[1]Elasticities!$B:$B) * ($B$11=[1]Elasticities!$D:$D) * ($C15=[1]Elasticities!$E:$E) * ('2.1 LABOR STRUCTURE'!$E$4=[1]Elasticities!$G:$G), [1]Elasticities!$F:$F)</f>
        <v>4.4834267348051071E-2</v>
      </c>
      <c r="V15" s="126"/>
      <c r="X15" s="162" t="e" cm="1">
        <f t="array" ref="X15">_xlfn.XLOOKUP(1, ('0. GUIDELINES'!$E$3='[1]Elasticities by year'!$A:$A) * (X$10='[1]Elasticities by year'!$B:$B)* ($C15='[1]Elasticities by year'!$C:$C), '[1]Elasticities by year'!$D:$D)</f>
        <v>#N/A</v>
      </c>
      <c r="Y15" s="162" t="e" cm="1">
        <f t="array" ref="Y15">_xlfn.XLOOKUP(1, ('0. GUIDELINES'!$E$3='[1]Elasticities by year'!$A:$A) * (Y$10='[1]Elasticities by year'!$B:$B)* ($C15='[1]Elasticities by year'!$C:$C), '[1]Elasticities by year'!$D:$D)</f>
        <v>#N/A</v>
      </c>
      <c r="Z15" s="162" t="e" cm="1">
        <f t="array" ref="Z15">_xlfn.XLOOKUP(1, ('0. GUIDELINES'!$E$3='[1]Elasticities by year'!$A:$A) * (Z$10='[1]Elasticities by year'!$B:$B)* ($C15='[1]Elasticities by year'!$C:$C), '[1]Elasticities by year'!$D:$D)</f>
        <v>#N/A</v>
      </c>
      <c r="AA15" s="162" t="e" cm="1">
        <f t="array" ref="AA15">_xlfn.XLOOKUP(1, ('0. GUIDELINES'!$E$3='[1]Elasticities by year'!$A:$A) * (AA$10='[1]Elasticities by year'!$B:$B)* ($C15='[1]Elasticities by year'!$C:$C), '[1]Elasticities by year'!$D:$D)</f>
        <v>#N/A</v>
      </c>
      <c r="AB15" s="162" t="e" cm="1">
        <f t="array" ref="AB15">_xlfn.XLOOKUP(1, ('0. GUIDELINES'!$E$3='[1]Elasticities by year'!$A:$A) * (AB$10='[1]Elasticities by year'!$B:$B)* ($C15='[1]Elasticities by year'!$C:$C), '[1]Elasticities by year'!$D:$D)</f>
        <v>#N/A</v>
      </c>
      <c r="AC15" s="162" t="e" cm="1">
        <f t="array" ref="AC15">_xlfn.XLOOKUP(1, ('0. GUIDELINES'!$E$3='[1]Elasticities by year'!$A:$A) * (AC$10='[1]Elasticities by year'!$B:$B)* ($C15='[1]Elasticities by year'!$C:$C), '[1]Elasticities by year'!$D:$D)</f>
        <v>#N/A</v>
      </c>
      <c r="AD15" s="162" t="e" cm="1">
        <f t="array" ref="AD15">_xlfn.XLOOKUP(1, ('0. GUIDELINES'!$E$3='[1]Elasticities by year'!$A:$A) * (AD$10='[1]Elasticities by year'!$B:$B)* ($C15='[1]Elasticities by year'!$C:$C), '[1]Elasticities by year'!$D:$D)</f>
        <v>#N/A</v>
      </c>
      <c r="AE15" s="162" t="e" cm="1">
        <f t="array" ref="AE15">_xlfn.XLOOKUP(1, ('0. GUIDELINES'!$E$3='[1]Elasticities by year'!$A:$A) * (AE$10='[1]Elasticities by year'!$B:$B)* ($C15='[1]Elasticities by year'!$C:$C), '[1]Elasticities by year'!$D:$D)</f>
        <v>#N/A</v>
      </c>
      <c r="AF15" s="162" t="e" cm="1">
        <f t="array" ref="AF15">_xlfn.XLOOKUP(1, ('0. GUIDELINES'!$E$3='[1]Elasticities by year'!$A:$A) * (AF$10='[1]Elasticities by year'!$B:$B)* ($C15='[1]Elasticities by year'!$C:$C), '[1]Elasticities by year'!$D:$D)</f>
        <v>#N/A</v>
      </c>
      <c r="AG15" s="162" t="e" cm="1">
        <f t="array" ref="AG15">_xlfn.XLOOKUP(1, ('0. GUIDELINES'!$E$3='[1]Elasticities by year'!$A:$A) * (AG$10='[1]Elasticities by year'!$B:$B)* ($C15='[1]Elasticities by year'!$C:$C), '[1]Elasticities by year'!$D:$D)</f>
        <v>#N/A</v>
      </c>
      <c r="AH15" s="162" t="e" cm="1">
        <f t="array" ref="AH15">_xlfn.XLOOKUP(1, ('0. GUIDELINES'!$E$3='[1]Elasticities by year'!$A:$A) * (AH$10='[1]Elasticities by year'!$B:$B)* ($C15='[1]Elasticities by year'!$C:$C), '[1]Elasticities by year'!$D:$D)</f>
        <v>#N/A</v>
      </c>
      <c r="AI15" s="162" t="e" cm="1">
        <f t="array" ref="AI15">_xlfn.XLOOKUP(1, ('0. GUIDELINES'!$E$3='[1]Elasticities by year'!$A:$A) * (AI$10='[1]Elasticities by year'!$B:$B)* ($C15='[1]Elasticities by year'!$C:$C), '[1]Elasticities by year'!$D:$D)</f>
        <v>#N/A</v>
      </c>
      <c r="AJ15" s="162" t="e" cm="1">
        <f t="array" ref="AJ15">_xlfn.XLOOKUP(1, ('0. GUIDELINES'!$E$3='[1]Elasticities by year'!$A:$A) * (AJ$10='[1]Elasticities by year'!$B:$B)* ($C15='[1]Elasticities by year'!$C:$C), '[1]Elasticities by year'!$D:$D)</f>
        <v>#N/A</v>
      </c>
      <c r="AK15" s="162" t="e" cm="1">
        <f t="array" ref="AK15">_xlfn.XLOOKUP(1, ('0. GUIDELINES'!$E$3='[1]Elasticities by year'!$A:$A) * (AK$10='[1]Elasticities by year'!$B:$B)* ($C15='[1]Elasticities by year'!$C:$C), '[1]Elasticities by year'!$D:$D)</f>
        <v>#N/A</v>
      </c>
      <c r="AL15" s="162" t="e" cm="1">
        <f t="array" ref="AL15">_xlfn.XLOOKUP(1, ('0. GUIDELINES'!$E$3='[1]Elasticities by year'!$A:$A) * (AL$10='[1]Elasticities by year'!$B:$B)* ($C15='[1]Elasticities by year'!$C:$C), '[1]Elasticities by year'!$D:$D)</f>
        <v>#N/A</v>
      </c>
      <c r="AM15" s="162" t="e" cm="1">
        <f t="array" ref="AM15">_xlfn.XLOOKUP(1, ('0. GUIDELINES'!$E$3='[1]Elasticities by year'!$A:$A) * (AM$10='[1]Elasticities by year'!$B:$B)* ($C15='[1]Elasticities by year'!$C:$C), '[1]Elasticities by year'!$D:$D)</f>
        <v>#N/A</v>
      </c>
      <c r="AN15" s="162" t="e" cm="1">
        <f t="array" ref="AN15">_xlfn.XLOOKUP(1, ('0. GUIDELINES'!$E$3='[1]Elasticities by year'!$A:$A) * (AN$10='[1]Elasticities by year'!$B:$B)* ($C15='[1]Elasticities by year'!$C:$C), '[1]Elasticities by year'!$D:$D)</f>
        <v>#N/A</v>
      </c>
      <c r="AP15" s="343"/>
      <c r="AQ15" s="343"/>
      <c r="AR15" s="343"/>
      <c r="AU15" s="84"/>
      <c r="AV15" s="84"/>
      <c r="AW15" s="130"/>
      <c r="AX15" s="130"/>
      <c r="AY15" s="84"/>
      <c r="AZ15" s="84"/>
      <c r="BA15" s="84"/>
      <c r="BB15" s="84"/>
    </row>
    <row r="16" spans="1:54" ht="14.25" x14ac:dyDescent="0.2">
      <c r="A16" s="87"/>
      <c r="B16" s="87"/>
      <c r="C16" s="87" t="str">
        <f>IF($S$7="LFS",CONCATENATE("lf",'CONTROL '!$C7),CONCATENATE("hs",'CONTROL '!$C7))</f>
        <v>lfls1_s0_a3</v>
      </c>
      <c r="D16" s="123"/>
      <c r="E16" s="84"/>
      <c r="F16" s="84"/>
      <c r="G16" s="84"/>
      <c r="H16" s="84"/>
      <c r="I16" s="134" t="s">
        <v>612</v>
      </c>
      <c r="J16" s="133"/>
      <c r="K16" s="454">
        <v>0.46135892940306494</v>
      </c>
      <c r="L16" s="133">
        <v>-0.65</v>
      </c>
      <c r="M16" s="133">
        <v>0.45</v>
      </c>
      <c r="N16" s="133">
        <v>0.5</v>
      </c>
      <c r="O16" s="406"/>
      <c r="P16" s="344" cm="1">
        <f t="array" ref="P16">_xlfn.XLOOKUP(1, ('0. GUIDELINES'!$E$3=[1]Elasticities!$A:$A) * ("Long"=[1]Elasticities!$B:$B) * ($A$11=[1]Elasticities!$D:$D) * ($C16=[1]Elasticities!$E:$E) * ('2.1 LABOR STRUCTURE'!$E$4=[1]Elasticities!$G:$G), [1]Elasticities!$F:$F)</f>
        <v>0.63533174991607666</v>
      </c>
      <c r="Q16" s="344" cm="1">
        <f t="array" ref="Q16">_xlfn.XLOOKUP(1, ('0. GUIDELINES'!$E$3=[1]Elasticities!$A:$A) * ("Middle"=[1]Elasticities!$B:$B) * ($A$11=[1]Elasticities!$D:$D) * ($C16=[1]Elasticities!$E:$E) * ('2.1 LABOR STRUCTURE'!$E$4=[1]Elasticities!$G:$G), [1]Elasticities!$F:$F)</f>
        <v>0.63533174991607666</v>
      </c>
      <c r="R16" s="454" cm="1">
        <f t="array" ref="R16">_xlfn.XLOOKUP(1, ('0. GUIDELINES'!$E$3=[1]Elasticities!$A:$A) * ("Short"=[1]Elasticities!$B:$B) * ($A$11=[1]Elasticities!$D:$D) * ($C16=[1]Elasticities!$E:$E) * ('2.1 LABOR STRUCTURE'!$E$4=[1]Elasticities!$G:$G), [1]Elasticities!$F:$F)</f>
        <v>0.90281343460083008</v>
      </c>
      <c r="S16" s="344" cm="1">
        <f t="array" ref="S16">_xlfn.XLOOKUP(1, ('0. GUIDELINES'!$E$3=[1]Elasticities!$A:$A) * ("Long"=[1]Elasticities!$B:$B) * ($B$11=[1]Elasticities!$D:$D) * ($C16=[1]Elasticities!$E:$E) * ('2.1 LABOR STRUCTURE'!$E$4=[1]Elasticities!$G:$G), [1]Elasticities!$F:$F)</f>
        <v>0.53285741806030273</v>
      </c>
      <c r="T16" s="344" cm="1">
        <f t="array" ref="T16">_xlfn.XLOOKUP(1, ('0. GUIDELINES'!$E$3=[1]Elasticities!$A:$A) * ("Middle"=[1]Elasticities!$B:$B) * ($B$11=[1]Elasticities!$D:$D) * ($C16=[1]Elasticities!$E:$E) * ('2.1 LABOR STRUCTURE'!$E$4=[1]Elasticities!$G:$G), [1]Elasticities!$F:$F)</f>
        <v>0.65942871570587158</v>
      </c>
      <c r="U16" s="344" cm="1">
        <f t="array" ref="U16">_xlfn.XLOOKUP(1, ('0. GUIDELINES'!$E$3=[1]Elasticities!$A:$A) * ("Short"=[1]Elasticities!$B:$B) * ($B$11=[1]Elasticities!$D:$D) * ($C16=[1]Elasticities!$E:$E) * ('2.1 LABOR STRUCTURE'!$E$4=[1]Elasticities!$G:$G), [1]Elasticities!$F:$F)</f>
        <v>0.65737348794937134</v>
      </c>
      <c r="V16" s="126"/>
      <c r="X16" s="162" t="e" cm="1">
        <f t="array" ref="X16">_xlfn.XLOOKUP(1, ('0. GUIDELINES'!$E$3='[1]Elasticities by year'!$A:$A) * (X$10='[1]Elasticities by year'!$B:$B)* ($C16='[1]Elasticities by year'!$C:$C), '[1]Elasticities by year'!$D:$D)</f>
        <v>#N/A</v>
      </c>
      <c r="Y16" s="162" t="e" cm="1">
        <f t="array" ref="Y16">_xlfn.XLOOKUP(1, ('0. GUIDELINES'!$E$3='[1]Elasticities by year'!$A:$A) * (Y$10='[1]Elasticities by year'!$B:$B)* ($C16='[1]Elasticities by year'!$C:$C), '[1]Elasticities by year'!$D:$D)</f>
        <v>#N/A</v>
      </c>
      <c r="Z16" s="162" t="e" cm="1">
        <f t="array" ref="Z16">_xlfn.XLOOKUP(1, ('0. GUIDELINES'!$E$3='[1]Elasticities by year'!$A:$A) * (Z$10='[1]Elasticities by year'!$B:$B)* ($C16='[1]Elasticities by year'!$C:$C), '[1]Elasticities by year'!$D:$D)</f>
        <v>#N/A</v>
      </c>
      <c r="AA16" s="162" t="e" cm="1">
        <f t="array" ref="AA16">_xlfn.XLOOKUP(1, ('0. GUIDELINES'!$E$3='[1]Elasticities by year'!$A:$A) * (AA$10='[1]Elasticities by year'!$B:$B)* ($C16='[1]Elasticities by year'!$C:$C), '[1]Elasticities by year'!$D:$D)</f>
        <v>#N/A</v>
      </c>
      <c r="AB16" s="162" t="e" cm="1">
        <f t="array" ref="AB16">_xlfn.XLOOKUP(1, ('0. GUIDELINES'!$E$3='[1]Elasticities by year'!$A:$A) * (AB$10='[1]Elasticities by year'!$B:$B)* ($C16='[1]Elasticities by year'!$C:$C), '[1]Elasticities by year'!$D:$D)</f>
        <v>#N/A</v>
      </c>
      <c r="AC16" s="162" t="e" cm="1">
        <f t="array" ref="AC16">_xlfn.XLOOKUP(1, ('0. GUIDELINES'!$E$3='[1]Elasticities by year'!$A:$A) * (AC$10='[1]Elasticities by year'!$B:$B)* ($C16='[1]Elasticities by year'!$C:$C), '[1]Elasticities by year'!$D:$D)</f>
        <v>#N/A</v>
      </c>
      <c r="AD16" s="162" t="e" cm="1">
        <f t="array" ref="AD16">_xlfn.XLOOKUP(1, ('0. GUIDELINES'!$E$3='[1]Elasticities by year'!$A:$A) * (AD$10='[1]Elasticities by year'!$B:$B)* ($C16='[1]Elasticities by year'!$C:$C), '[1]Elasticities by year'!$D:$D)</f>
        <v>#N/A</v>
      </c>
      <c r="AE16" s="162" t="e" cm="1">
        <f t="array" ref="AE16">_xlfn.XLOOKUP(1, ('0. GUIDELINES'!$E$3='[1]Elasticities by year'!$A:$A) * (AE$10='[1]Elasticities by year'!$B:$B)* ($C16='[1]Elasticities by year'!$C:$C), '[1]Elasticities by year'!$D:$D)</f>
        <v>#N/A</v>
      </c>
      <c r="AF16" s="162" t="e" cm="1">
        <f t="array" ref="AF16">_xlfn.XLOOKUP(1, ('0. GUIDELINES'!$E$3='[1]Elasticities by year'!$A:$A) * (AF$10='[1]Elasticities by year'!$B:$B)* ($C16='[1]Elasticities by year'!$C:$C), '[1]Elasticities by year'!$D:$D)</f>
        <v>#N/A</v>
      </c>
      <c r="AG16" s="162" t="e" cm="1">
        <f t="array" ref="AG16">_xlfn.XLOOKUP(1, ('0. GUIDELINES'!$E$3='[1]Elasticities by year'!$A:$A) * (AG$10='[1]Elasticities by year'!$B:$B)* ($C16='[1]Elasticities by year'!$C:$C), '[1]Elasticities by year'!$D:$D)</f>
        <v>#N/A</v>
      </c>
      <c r="AH16" s="162" t="e" cm="1">
        <f t="array" ref="AH16">_xlfn.XLOOKUP(1, ('0. GUIDELINES'!$E$3='[1]Elasticities by year'!$A:$A) * (AH$10='[1]Elasticities by year'!$B:$B)* ($C16='[1]Elasticities by year'!$C:$C), '[1]Elasticities by year'!$D:$D)</f>
        <v>#N/A</v>
      </c>
      <c r="AI16" s="162" t="e" cm="1">
        <f t="array" ref="AI16">_xlfn.XLOOKUP(1, ('0. GUIDELINES'!$E$3='[1]Elasticities by year'!$A:$A) * (AI$10='[1]Elasticities by year'!$B:$B)* ($C16='[1]Elasticities by year'!$C:$C), '[1]Elasticities by year'!$D:$D)</f>
        <v>#N/A</v>
      </c>
      <c r="AJ16" s="162" t="e" cm="1">
        <f t="array" ref="AJ16">_xlfn.XLOOKUP(1, ('0. GUIDELINES'!$E$3='[1]Elasticities by year'!$A:$A) * (AJ$10='[1]Elasticities by year'!$B:$B)* ($C16='[1]Elasticities by year'!$C:$C), '[1]Elasticities by year'!$D:$D)</f>
        <v>#N/A</v>
      </c>
      <c r="AK16" s="162" t="e" cm="1">
        <f t="array" ref="AK16">_xlfn.XLOOKUP(1, ('0. GUIDELINES'!$E$3='[1]Elasticities by year'!$A:$A) * (AK$10='[1]Elasticities by year'!$B:$B)* ($C16='[1]Elasticities by year'!$C:$C), '[1]Elasticities by year'!$D:$D)</f>
        <v>#N/A</v>
      </c>
      <c r="AL16" s="162" t="e" cm="1">
        <f t="array" ref="AL16">_xlfn.XLOOKUP(1, ('0. GUIDELINES'!$E$3='[1]Elasticities by year'!$A:$A) * (AL$10='[1]Elasticities by year'!$B:$B)* ($C16='[1]Elasticities by year'!$C:$C), '[1]Elasticities by year'!$D:$D)</f>
        <v>#N/A</v>
      </c>
      <c r="AM16" s="162" t="e" cm="1">
        <f t="array" ref="AM16">_xlfn.XLOOKUP(1, ('0. GUIDELINES'!$E$3='[1]Elasticities by year'!$A:$A) * (AM$10='[1]Elasticities by year'!$B:$B)* ($C16='[1]Elasticities by year'!$C:$C), '[1]Elasticities by year'!$D:$D)</f>
        <v>#N/A</v>
      </c>
      <c r="AN16" s="162" t="e" cm="1">
        <f t="array" ref="AN16">_xlfn.XLOOKUP(1, ('0. GUIDELINES'!$E$3='[1]Elasticities by year'!$A:$A) * (AN$10='[1]Elasticities by year'!$B:$B)* ($C16='[1]Elasticities by year'!$C:$C), '[1]Elasticities by year'!$D:$D)</f>
        <v>#N/A</v>
      </c>
      <c r="AP16" s="343"/>
      <c r="AQ16" s="343"/>
      <c r="AR16" s="343"/>
      <c r="AU16" s="84"/>
      <c r="AV16" s="84"/>
      <c r="AW16" s="130"/>
      <c r="AX16" s="130"/>
      <c r="AY16" s="84"/>
      <c r="AZ16" s="84"/>
      <c r="BA16" s="84"/>
      <c r="BB16" s="84"/>
    </row>
    <row r="17" spans="1:54" ht="14.25" x14ac:dyDescent="0.2">
      <c r="A17" s="87"/>
      <c r="B17" s="87"/>
      <c r="C17" s="87" t="str">
        <f>IF($S$7="LFS",CONCATENATE("lf",'CONTROL '!$C8),CONCATENATE("hs",'CONTROL '!$C8))</f>
        <v>lfls1_s1_a3</v>
      </c>
      <c r="D17" s="123"/>
      <c r="E17" s="84"/>
      <c r="F17" s="84"/>
      <c r="G17" s="84"/>
      <c r="H17" s="84"/>
      <c r="I17" s="134" t="s">
        <v>613</v>
      </c>
      <c r="J17" s="133"/>
      <c r="K17" s="454">
        <v>0.21420236007999494</v>
      </c>
      <c r="L17" s="133">
        <v>-0.3</v>
      </c>
      <c r="M17" s="133">
        <v>0.7</v>
      </c>
      <c r="N17" s="133">
        <v>0.2</v>
      </c>
      <c r="O17" s="406"/>
      <c r="P17" s="344" cm="1">
        <f t="array" ref="P17">_xlfn.XLOOKUP(1, ('0. GUIDELINES'!$E$3=[1]Elasticities!$A:$A) * ("Long"=[1]Elasticities!$B:$B) * ($A$11=[1]Elasticities!$D:$D) * ($C17=[1]Elasticities!$E:$E) * ('2.1 LABOR STRUCTURE'!$E$4=[1]Elasticities!$G:$G), [1]Elasticities!$F:$F)</f>
        <v>1.196010947227478</v>
      </c>
      <c r="Q17" s="344" cm="1">
        <f t="array" ref="Q17">_xlfn.XLOOKUP(1, ('0. GUIDELINES'!$E$3=[1]Elasticities!$A:$A) * ("Middle"=[1]Elasticities!$B:$B) * ($A$11=[1]Elasticities!$D:$D) * ($C17=[1]Elasticities!$E:$E) * ('2.1 LABOR STRUCTURE'!$E$4=[1]Elasticities!$G:$G), [1]Elasticities!$F:$F)</f>
        <v>1.196010947227478</v>
      </c>
      <c r="R17" s="454" cm="1">
        <f t="array" ref="R17">_xlfn.XLOOKUP(1, ('0. GUIDELINES'!$E$3=[1]Elasticities!$A:$A) * ("Short"=[1]Elasticities!$B:$B) * ($A$11=[1]Elasticities!$D:$D) * ($C17=[1]Elasticities!$E:$E) * ('2.1 LABOR STRUCTURE'!$E$4=[1]Elasticities!$G:$G), [1]Elasticities!$F:$F)</f>
        <v>0.99762457609176636</v>
      </c>
      <c r="S17" s="344" cm="1">
        <f t="array" ref="S17">_xlfn.XLOOKUP(1, ('0. GUIDELINES'!$E$3=[1]Elasticities!$A:$A) * ("Long"=[1]Elasticities!$B:$B) * ($B$11=[1]Elasticities!$D:$D) * ($C17=[1]Elasticities!$E:$E) * ('2.1 LABOR STRUCTURE'!$E$4=[1]Elasticities!$G:$G), [1]Elasticities!$F:$F)</f>
        <v>1.2855267524719238</v>
      </c>
      <c r="T17" s="344" cm="1">
        <f t="array" ref="T17">_xlfn.XLOOKUP(1, ('0. GUIDELINES'!$E$3=[1]Elasticities!$A:$A) * ("Middle"=[1]Elasticities!$B:$B) * ($B$11=[1]Elasticities!$D:$D) * ($C17=[1]Elasticities!$E:$E) * ('2.1 LABOR STRUCTURE'!$E$4=[1]Elasticities!$G:$G), [1]Elasticities!$F:$F)</f>
        <v>1.4020854234695435</v>
      </c>
      <c r="U17" s="344" cm="1">
        <f t="array" ref="U17">_xlfn.XLOOKUP(1, ('0. GUIDELINES'!$E$3=[1]Elasticities!$A:$A) * ("Short"=[1]Elasticities!$B:$B) * ($B$11=[1]Elasticities!$D:$D) * ($C17=[1]Elasticities!$E:$E) * ('2.1 LABOR STRUCTURE'!$E$4=[1]Elasticities!$G:$G), [1]Elasticities!$F:$F)</f>
        <v>1.3708035945892334</v>
      </c>
      <c r="V17" s="126"/>
      <c r="X17" s="162" t="e" cm="1">
        <f t="array" ref="X17">_xlfn.XLOOKUP(1, ('0. GUIDELINES'!$E$3='[1]Elasticities by year'!$A:$A) * (X$10='[1]Elasticities by year'!$B:$B)* ($C17='[1]Elasticities by year'!$C:$C), '[1]Elasticities by year'!$D:$D)</f>
        <v>#N/A</v>
      </c>
      <c r="Y17" s="162" t="e" cm="1">
        <f t="array" ref="Y17">_xlfn.XLOOKUP(1, ('0. GUIDELINES'!$E$3='[1]Elasticities by year'!$A:$A) * (Y$10='[1]Elasticities by year'!$B:$B)* ($C17='[1]Elasticities by year'!$C:$C), '[1]Elasticities by year'!$D:$D)</f>
        <v>#N/A</v>
      </c>
      <c r="Z17" s="162" t="e" cm="1">
        <f t="array" ref="Z17">_xlfn.XLOOKUP(1, ('0. GUIDELINES'!$E$3='[1]Elasticities by year'!$A:$A) * (Z$10='[1]Elasticities by year'!$B:$B)* ($C17='[1]Elasticities by year'!$C:$C), '[1]Elasticities by year'!$D:$D)</f>
        <v>#N/A</v>
      </c>
      <c r="AA17" s="162" t="e" cm="1">
        <f t="array" ref="AA17">_xlfn.XLOOKUP(1, ('0. GUIDELINES'!$E$3='[1]Elasticities by year'!$A:$A) * (AA$10='[1]Elasticities by year'!$B:$B)* ($C17='[1]Elasticities by year'!$C:$C), '[1]Elasticities by year'!$D:$D)</f>
        <v>#N/A</v>
      </c>
      <c r="AB17" s="162" t="e" cm="1">
        <f t="array" ref="AB17">_xlfn.XLOOKUP(1, ('0. GUIDELINES'!$E$3='[1]Elasticities by year'!$A:$A) * (AB$10='[1]Elasticities by year'!$B:$B)* ($C17='[1]Elasticities by year'!$C:$C), '[1]Elasticities by year'!$D:$D)</f>
        <v>#N/A</v>
      </c>
      <c r="AC17" s="162" t="e" cm="1">
        <f t="array" ref="AC17">_xlfn.XLOOKUP(1, ('0. GUIDELINES'!$E$3='[1]Elasticities by year'!$A:$A) * (AC$10='[1]Elasticities by year'!$B:$B)* ($C17='[1]Elasticities by year'!$C:$C), '[1]Elasticities by year'!$D:$D)</f>
        <v>#N/A</v>
      </c>
      <c r="AD17" s="162" t="e" cm="1">
        <f t="array" ref="AD17">_xlfn.XLOOKUP(1, ('0. GUIDELINES'!$E$3='[1]Elasticities by year'!$A:$A) * (AD$10='[1]Elasticities by year'!$B:$B)* ($C17='[1]Elasticities by year'!$C:$C), '[1]Elasticities by year'!$D:$D)</f>
        <v>#N/A</v>
      </c>
      <c r="AE17" s="162" t="e" cm="1">
        <f t="array" ref="AE17">_xlfn.XLOOKUP(1, ('0. GUIDELINES'!$E$3='[1]Elasticities by year'!$A:$A) * (AE$10='[1]Elasticities by year'!$B:$B)* ($C17='[1]Elasticities by year'!$C:$C), '[1]Elasticities by year'!$D:$D)</f>
        <v>#N/A</v>
      </c>
      <c r="AF17" s="162" t="e" cm="1">
        <f t="array" ref="AF17">_xlfn.XLOOKUP(1, ('0. GUIDELINES'!$E$3='[1]Elasticities by year'!$A:$A) * (AF$10='[1]Elasticities by year'!$B:$B)* ($C17='[1]Elasticities by year'!$C:$C), '[1]Elasticities by year'!$D:$D)</f>
        <v>#N/A</v>
      </c>
      <c r="AG17" s="162" t="e" cm="1">
        <f t="array" ref="AG17">_xlfn.XLOOKUP(1, ('0. GUIDELINES'!$E$3='[1]Elasticities by year'!$A:$A) * (AG$10='[1]Elasticities by year'!$B:$B)* ($C17='[1]Elasticities by year'!$C:$C), '[1]Elasticities by year'!$D:$D)</f>
        <v>#N/A</v>
      </c>
      <c r="AH17" s="162" t="e" cm="1">
        <f t="array" ref="AH17">_xlfn.XLOOKUP(1, ('0. GUIDELINES'!$E$3='[1]Elasticities by year'!$A:$A) * (AH$10='[1]Elasticities by year'!$B:$B)* ($C17='[1]Elasticities by year'!$C:$C), '[1]Elasticities by year'!$D:$D)</f>
        <v>#N/A</v>
      </c>
      <c r="AI17" s="162" t="e" cm="1">
        <f t="array" ref="AI17">_xlfn.XLOOKUP(1, ('0. GUIDELINES'!$E$3='[1]Elasticities by year'!$A:$A) * (AI$10='[1]Elasticities by year'!$B:$B)* ($C17='[1]Elasticities by year'!$C:$C), '[1]Elasticities by year'!$D:$D)</f>
        <v>#N/A</v>
      </c>
      <c r="AJ17" s="162" t="e" cm="1">
        <f t="array" ref="AJ17">_xlfn.XLOOKUP(1, ('0. GUIDELINES'!$E$3='[1]Elasticities by year'!$A:$A) * (AJ$10='[1]Elasticities by year'!$B:$B)* ($C17='[1]Elasticities by year'!$C:$C), '[1]Elasticities by year'!$D:$D)</f>
        <v>#N/A</v>
      </c>
      <c r="AK17" s="162" t="e" cm="1">
        <f t="array" ref="AK17">_xlfn.XLOOKUP(1, ('0. GUIDELINES'!$E$3='[1]Elasticities by year'!$A:$A) * (AK$10='[1]Elasticities by year'!$B:$B)* ($C17='[1]Elasticities by year'!$C:$C), '[1]Elasticities by year'!$D:$D)</f>
        <v>#N/A</v>
      </c>
      <c r="AL17" s="162" t="e" cm="1">
        <f t="array" ref="AL17">_xlfn.XLOOKUP(1, ('0. GUIDELINES'!$E$3='[1]Elasticities by year'!$A:$A) * (AL$10='[1]Elasticities by year'!$B:$B)* ($C17='[1]Elasticities by year'!$C:$C), '[1]Elasticities by year'!$D:$D)</f>
        <v>#N/A</v>
      </c>
      <c r="AM17" s="162" t="e" cm="1">
        <f t="array" ref="AM17">_xlfn.XLOOKUP(1, ('0. GUIDELINES'!$E$3='[1]Elasticities by year'!$A:$A) * (AM$10='[1]Elasticities by year'!$B:$B)* ($C17='[1]Elasticities by year'!$C:$C), '[1]Elasticities by year'!$D:$D)</f>
        <v>#N/A</v>
      </c>
      <c r="AN17" s="162" t="e" cm="1">
        <f t="array" ref="AN17">_xlfn.XLOOKUP(1, ('0. GUIDELINES'!$E$3='[1]Elasticities by year'!$A:$A) * (AN$10='[1]Elasticities by year'!$B:$B)* ($C17='[1]Elasticities by year'!$C:$C), '[1]Elasticities by year'!$D:$D)</f>
        <v>#N/A</v>
      </c>
      <c r="AP17" s="343"/>
      <c r="AQ17" s="343"/>
      <c r="AR17" s="343"/>
      <c r="AU17" s="84"/>
      <c r="AV17" s="84"/>
      <c r="AW17" s="130"/>
      <c r="AX17" s="130"/>
      <c r="AY17" s="84"/>
      <c r="AZ17" s="84"/>
      <c r="BA17" s="84"/>
      <c r="BB17" s="84"/>
    </row>
    <row r="18" spans="1:54" ht="14.25" x14ac:dyDescent="0.2">
      <c r="A18" s="87"/>
      <c r="B18" s="87"/>
      <c r="C18" s="87"/>
      <c r="D18" s="123"/>
      <c r="E18" s="84"/>
      <c r="F18" s="84"/>
      <c r="G18" s="84"/>
      <c r="H18" s="84"/>
      <c r="I18" s="134"/>
      <c r="J18" s="133"/>
      <c r="K18" s="133"/>
      <c r="L18" s="133"/>
      <c r="M18" s="133"/>
      <c r="N18" s="133"/>
      <c r="O18" s="406"/>
      <c r="P18" s="344"/>
      <c r="Q18" s="344"/>
      <c r="R18" s="454"/>
      <c r="S18" s="344"/>
      <c r="T18" s="344"/>
      <c r="U18" s="344"/>
      <c r="V18" s="126"/>
      <c r="X18" s="162" t="e" cm="1">
        <f t="array" ref="X18">_xlfn.XLOOKUP(1, ('0. GUIDELINES'!$E$3='[1]Elasticities by year'!$A:$A) * (X$10='[1]Elasticities by year'!$B:$B)* ($C18='[1]Elasticities by year'!$C:$C), '[1]Elasticities by year'!$D:$D)</f>
        <v>#N/A</v>
      </c>
      <c r="Y18" s="162" t="e" cm="1">
        <f t="array" ref="Y18">_xlfn.XLOOKUP(1, ('0. GUIDELINES'!$E$3='[1]Elasticities by year'!$A:$A) * (Y$10='[1]Elasticities by year'!$B:$B)* ($C18='[1]Elasticities by year'!$C:$C), '[1]Elasticities by year'!$D:$D)</f>
        <v>#N/A</v>
      </c>
      <c r="Z18" s="162" t="e" cm="1">
        <f t="array" ref="Z18">_xlfn.XLOOKUP(1, ('0. GUIDELINES'!$E$3='[1]Elasticities by year'!$A:$A) * (Z$10='[1]Elasticities by year'!$B:$B)* ($C18='[1]Elasticities by year'!$C:$C), '[1]Elasticities by year'!$D:$D)</f>
        <v>#N/A</v>
      </c>
      <c r="AA18" s="162" t="e" cm="1">
        <f t="array" ref="AA18">_xlfn.XLOOKUP(1, ('0. GUIDELINES'!$E$3='[1]Elasticities by year'!$A:$A) * (AA$10='[1]Elasticities by year'!$B:$B)* ($C18='[1]Elasticities by year'!$C:$C), '[1]Elasticities by year'!$D:$D)</f>
        <v>#N/A</v>
      </c>
      <c r="AB18" s="162" t="e" cm="1">
        <f t="array" ref="AB18">_xlfn.XLOOKUP(1, ('0. GUIDELINES'!$E$3='[1]Elasticities by year'!$A:$A) * (AB$10='[1]Elasticities by year'!$B:$B)* ($C18='[1]Elasticities by year'!$C:$C), '[1]Elasticities by year'!$D:$D)</f>
        <v>#N/A</v>
      </c>
      <c r="AC18" s="162" t="e" cm="1">
        <f t="array" ref="AC18">_xlfn.XLOOKUP(1, ('0. GUIDELINES'!$E$3='[1]Elasticities by year'!$A:$A) * (AC$10='[1]Elasticities by year'!$B:$B)* ($C18='[1]Elasticities by year'!$C:$C), '[1]Elasticities by year'!$D:$D)</f>
        <v>#N/A</v>
      </c>
      <c r="AD18" s="162" t="e" cm="1">
        <f t="array" ref="AD18">_xlfn.XLOOKUP(1, ('0. GUIDELINES'!$E$3='[1]Elasticities by year'!$A:$A) * (AD$10='[1]Elasticities by year'!$B:$B)* ($C18='[1]Elasticities by year'!$C:$C), '[1]Elasticities by year'!$D:$D)</f>
        <v>#N/A</v>
      </c>
      <c r="AE18" s="162" t="e" cm="1">
        <f t="array" ref="AE18">_xlfn.XLOOKUP(1, ('0. GUIDELINES'!$E$3='[1]Elasticities by year'!$A:$A) * (AE$10='[1]Elasticities by year'!$B:$B)* ($C18='[1]Elasticities by year'!$C:$C), '[1]Elasticities by year'!$D:$D)</f>
        <v>#N/A</v>
      </c>
      <c r="AF18" s="162" t="e" cm="1">
        <f t="array" ref="AF18">_xlfn.XLOOKUP(1, ('0. GUIDELINES'!$E$3='[1]Elasticities by year'!$A:$A) * (AF$10='[1]Elasticities by year'!$B:$B)* ($C18='[1]Elasticities by year'!$C:$C), '[1]Elasticities by year'!$D:$D)</f>
        <v>#N/A</v>
      </c>
      <c r="AG18" s="162" t="e" cm="1">
        <f t="array" ref="AG18">_xlfn.XLOOKUP(1, ('0. GUIDELINES'!$E$3='[1]Elasticities by year'!$A:$A) * (AG$10='[1]Elasticities by year'!$B:$B)* ($C18='[1]Elasticities by year'!$C:$C), '[1]Elasticities by year'!$D:$D)</f>
        <v>#N/A</v>
      </c>
      <c r="AH18" s="162" t="e" cm="1">
        <f t="array" ref="AH18">_xlfn.XLOOKUP(1, ('0. GUIDELINES'!$E$3='[1]Elasticities by year'!$A:$A) * (AH$10='[1]Elasticities by year'!$B:$B)* ($C18='[1]Elasticities by year'!$C:$C), '[1]Elasticities by year'!$D:$D)</f>
        <v>#N/A</v>
      </c>
      <c r="AI18" s="162" t="e" cm="1">
        <f t="array" ref="AI18">_xlfn.XLOOKUP(1, ('0. GUIDELINES'!$E$3='[1]Elasticities by year'!$A:$A) * (AI$10='[1]Elasticities by year'!$B:$B)* ($C18='[1]Elasticities by year'!$C:$C), '[1]Elasticities by year'!$D:$D)</f>
        <v>#N/A</v>
      </c>
      <c r="AJ18" s="162" t="e" cm="1">
        <f t="array" ref="AJ18">_xlfn.XLOOKUP(1, ('0. GUIDELINES'!$E$3='[1]Elasticities by year'!$A:$A) * (AJ$10='[1]Elasticities by year'!$B:$B)* ($C18='[1]Elasticities by year'!$C:$C), '[1]Elasticities by year'!$D:$D)</f>
        <v>#N/A</v>
      </c>
      <c r="AK18" s="162" t="e" cm="1">
        <f t="array" ref="AK18">_xlfn.XLOOKUP(1, ('0. GUIDELINES'!$E$3='[1]Elasticities by year'!$A:$A) * (AK$10='[1]Elasticities by year'!$B:$B)* ($C18='[1]Elasticities by year'!$C:$C), '[1]Elasticities by year'!$D:$D)</f>
        <v>#N/A</v>
      </c>
      <c r="AL18" s="162" t="e" cm="1">
        <f t="array" ref="AL18">_xlfn.XLOOKUP(1, ('0. GUIDELINES'!$E$3='[1]Elasticities by year'!$A:$A) * (AL$10='[1]Elasticities by year'!$B:$B)* ($C18='[1]Elasticities by year'!$C:$C), '[1]Elasticities by year'!$D:$D)</f>
        <v>#N/A</v>
      </c>
      <c r="AM18" s="162" t="e" cm="1">
        <f t="array" ref="AM18">_xlfn.XLOOKUP(1, ('0. GUIDELINES'!$E$3='[1]Elasticities by year'!$A:$A) * (AM$10='[1]Elasticities by year'!$B:$B)* ($C18='[1]Elasticities by year'!$C:$C), '[1]Elasticities by year'!$D:$D)</f>
        <v>#N/A</v>
      </c>
      <c r="AN18" s="162" t="e" cm="1">
        <f t="array" ref="AN18">_xlfn.XLOOKUP(1, ('0. GUIDELINES'!$E$3='[1]Elasticities by year'!$A:$A) * (AN$10='[1]Elasticities by year'!$B:$B)* ($C18='[1]Elasticities by year'!$C:$C), '[1]Elasticities by year'!$D:$D)</f>
        <v>#N/A</v>
      </c>
      <c r="AP18" s="343"/>
      <c r="AQ18" s="343"/>
      <c r="AR18" s="343"/>
      <c r="AU18" s="84"/>
      <c r="AV18" s="84"/>
      <c r="AW18" s="130"/>
      <c r="AX18" s="130"/>
      <c r="AY18" s="84"/>
      <c r="AZ18" s="84"/>
      <c r="BA18" s="84"/>
      <c r="BB18" s="84"/>
    </row>
    <row r="19" spans="1:54" ht="14.25" x14ac:dyDescent="0.2">
      <c r="A19" s="87"/>
      <c r="B19" s="87"/>
      <c r="C19" s="87"/>
      <c r="D19" s="123"/>
      <c r="E19" s="84"/>
      <c r="F19" s="84"/>
      <c r="G19" s="84"/>
      <c r="H19" s="84"/>
      <c r="I19" s="134"/>
      <c r="J19" s="133"/>
      <c r="K19" s="133"/>
      <c r="L19" s="133"/>
      <c r="M19" s="133"/>
      <c r="N19" s="133"/>
      <c r="O19" s="406"/>
      <c r="P19" s="344"/>
      <c r="Q19" s="344"/>
      <c r="R19" s="454"/>
      <c r="S19" s="344"/>
      <c r="T19" s="344"/>
      <c r="U19" s="344"/>
      <c r="V19" s="126"/>
      <c r="X19" s="162" t="e" cm="1">
        <f t="array" ref="X19">_xlfn.XLOOKUP(1, ('0. GUIDELINES'!$E$3='[1]Elasticities by year'!$A:$A) * (X$10='[1]Elasticities by year'!$B:$B)* ($C19='[1]Elasticities by year'!$C:$C), '[1]Elasticities by year'!$D:$D)</f>
        <v>#N/A</v>
      </c>
      <c r="Y19" s="162" t="e" cm="1">
        <f t="array" ref="Y19">_xlfn.XLOOKUP(1, ('0. GUIDELINES'!$E$3='[1]Elasticities by year'!$A:$A) * (Y$10='[1]Elasticities by year'!$B:$B)* ($C19='[1]Elasticities by year'!$C:$C), '[1]Elasticities by year'!$D:$D)</f>
        <v>#N/A</v>
      </c>
      <c r="Z19" s="162" t="e" cm="1">
        <f t="array" ref="Z19">_xlfn.XLOOKUP(1, ('0. GUIDELINES'!$E$3='[1]Elasticities by year'!$A:$A) * (Z$10='[1]Elasticities by year'!$B:$B)* ($C19='[1]Elasticities by year'!$C:$C), '[1]Elasticities by year'!$D:$D)</f>
        <v>#N/A</v>
      </c>
      <c r="AA19" s="162" t="e" cm="1">
        <f t="array" ref="AA19">_xlfn.XLOOKUP(1, ('0. GUIDELINES'!$E$3='[1]Elasticities by year'!$A:$A) * (AA$10='[1]Elasticities by year'!$B:$B)* ($C19='[1]Elasticities by year'!$C:$C), '[1]Elasticities by year'!$D:$D)</f>
        <v>#N/A</v>
      </c>
      <c r="AB19" s="162" t="e" cm="1">
        <f t="array" ref="AB19">_xlfn.XLOOKUP(1, ('0. GUIDELINES'!$E$3='[1]Elasticities by year'!$A:$A) * (AB$10='[1]Elasticities by year'!$B:$B)* ($C19='[1]Elasticities by year'!$C:$C), '[1]Elasticities by year'!$D:$D)</f>
        <v>#N/A</v>
      </c>
      <c r="AC19" s="162" t="e" cm="1">
        <f t="array" ref="AC19">_xlfn.XLOOKUP(1, ('0. GUIDELINES'!$E$3='[1]Elasticities by year'!$A:$A) * (AC$10='[1]Elasticities by year'!$B:$B)* ($C19='[1]Elasticities by year'!$C:$C), '[1]Elasticities by year'!$D:$D)</f>
        <v>#N/A</v>
      </c>
      <c r="AD19" s="162" t="e" cm="1">
        <f t="array" ref="AD19">_xlfn.XLOOKUP(1, ('0. GUIDELINES'!$E$3='[1]Elasticities by year'!$A:$A) * (AD$10='[1]Elasticities by year'!$B:$B)* ($C19='[1]Elasticities by year'!$C:$C), '[1]Elasticities by year'!$D:$D)</f>
        <v>#N/A</v>
      </c>
      <c r="AE19" s="162" t="e" cm="1">
        <f t="array" ref="AE19">_xlfn.XLOOKUP(1, ('0. GUIDELINES'!$E$3='[1]Elasticities by year'!$A:$A) * (AE$10='[1]Elasticities by year'!$B:$B)* ($C19='[1]Elasticities by year'!$C:$C), '[1]Elasticities by year'!$D:$D)</f>
        <v>#N/A</v>
      </c>
      <c r="AF19" s="162" t="e" cm="1">
        <f t="array" ref="AF19">_xlfn.XLOOKUP(1, ('0. GUIDELINES'!$E$3='[1]Elasticities by year'!$A:$A) * (AF$10='[1]Elasticities by year'!$B:$B)* ($C19='[1]Elasticities by year'!$C:$C), '[1]Elasticities by year'!$D:$D)</f>
        <v>#N/A</v>
      </c>
      <c r="AG19" s="162" t="e" cm="1">
        <f t="array" ref="AG19">_xlfn.XLOOKUP(1, ('0. GUIDELINES'!$E$3='[1]Elasticities by year'!$A:$A) * (AG$10='[1]Elasticities by year'!$B:$B)* ($C19='[1]Elasticities by year'!$C:$C), '[1]Elasticities by year'!$D:$D)</f>
        <v>#N/A</v>
      </c>
      <c r="AH19" s="162" t="e" cm="1">
        <f t="array" ref="AH19">_xlfn.XLOOKUP(1, ('0. GUIDELINES'!$E$3='[1]Elasticities by year'!$A:$A) * (AH$10='[1]Elasticities by year'!$B:$B)* ($C19='[1]Elasticities by year'!$C:$C), '[1]Elasticities by year'!$D:$D)</f>
        <v>#N/A</v>
      </c>
      <c r="AI19" s="162" t="e" cm="1">
        <f t="array" ref="AI19">_xlfn.XLOOKUP(1, ('0. GUIDELINES'!$E$3='[1]Elasticities by year'!$A:$A) * (AI$10='[1]Elasticities by year'!$B:$B)* ($C19='[1]Elasticities by year'!$C:$C), '[1]Elasticities by year'!$D:$D)</f>
        <v>#N/A</v>
      </c>
      <c r="AJ19" s="162" t="e" cm="1">
        <f t="array" ref="AJ19">_xlfn.XLOOKUP(1, ('0. GUIDELINES'!$E$3='[1]Elasticities by year'!$A:$A) * (AJ$10='[1]Elasticities by year'!$B:$B)* ($C19='[1]Elasticities by year'!$C:$C), '[1]Elasticities by year'!$D:$D)</f>
        <v>#N/A</v>
      </c>
      <c r="AK19" s="162" t="e" cm="1">
        <f t="array" ref="AK19">_xlfn.XLOOKUP(1, ('0. GUIDELINES'!$E$3='[1]Elasticities by year'!$A:$A) * (AK$10='[1]Elasticities by year'!$B:$B)* ($C19='[1]Elasticities by year'!$C:$C), '[1]Elasticities by year'!$D:$D)</f>
        <v>#N/A</v>
      </c>
      <c r="AL19" s="162" t="e" cm="1">
        <f t="array" ref="AL19">_xlfn.XLOOKUP(1, ('0. GUIDELINES'!$E$3='[1]Elasticities by year'!$A:$A) * (AL$10='[1]Elasticities by year'!$B:$B)* ($C19='[1]Elasticities by year'!$C:$C), '[1]Elasticities by year'!$D:$D)</f>
        <v>#N/A</v>
      </c>
      <c r="AM19" s="162" t="e" cm="1">
        <f t="array" ref="AM19">_xlfn.XLOOKUP(1, ('0. GUIDELINES'!$E$3='[1]Elasticities by year'!$A:$A) * (AM$10='[1]Elasticities by year'!$B:$B)* ($C19='[1]Elasticities by year'!$C:$C), '[1]Elasticities by year'!$D:$D)</f>
        <v>#N/A</v>
      </c>
      <c r="AN19" s="162" t="e" cm="1">
        <f t="array" ref="AN19">_xlfn.XLOOKUP(1, ('0. GUIDELINES'!$E$3='[1]Elasticities by year'!$A:$A) * (AN$10='[1]Elasticities by year'!$B:$B)* ($C19='[1]Elasticities by year'!$C:$C), '[1]Elasticities by year'!$D:$D)</f>
        <v>#N/A</v>
      </c>
      <c r="AP19" s="343"/>
      <c r="AQ19" s="343"/>
      <c r="AR19" s="343"/>
      <c r="AU19" s="84"/>
      <c r="AV19" s="84"/>
      <c r="AW19" s="130"/>
      <c r="AX19" s="130"/>
      <c r="AY19" s="84"/>
      <c r="AZ19" s="84"/>
      <c r="BA19" s="84"/>
      <c r="BB19" s="84"/>
    </row>
    <row r="20" spans="1:54" ht="14.25" x14ac:dyDescent="0.2">
      <c r="A20" s="87"/>
      <c r="B20" s="87"/>
      <c r="C20" s="87"/>
      <c r="D20" s="123"/>
      <c r="E20" s="84"/>
      <c r="F20" s="84"/>
      <c r="G20" s="84"/>
      <c r="H20" s="84"/>
      <c r="I20" s="134"/>
      <c r="J20" s="133"/>
      <c r="K20" s="133"/>
      <c r="L20" s="133"/>
      <c r="M20" s="133"/>
      <c r="N20" s="133"/>
      <c r="O20" s="341"/>
      <c r="P20" s="344"/>
      <c r="Q20" s="344"/>
      <c r="R20" s="454"/>
      <c r="S20" s="344"/>
      <c r="T20" s="344"/>
      <c r="U20" s="344"/>
      <c r="V20" s="126"/>
      <c r="X20" s="162" t="e" cm="1">
        <f t="array" ref="X20">_xlfn.XLOOKUP(1, ('0. GUIDELINES'!$E$3='[1]Elasticities by year'!$A:$A) * (X$10='[1]Elasticities by year'!$B:$B)* ($C20='[1]Elasticities by year'!$C:$C), '[1]Elasticities by year'!$D:$D)</f>
        <v>#N/A</v>
      </c>
      <c r="Y20" s="162" t="e" cm="1">
        <f t="array" ref="Y20">_xlfn.XLOOKUP(1, ('0. GUIDELINES'!$E$3='[1]Elasticities by year'!$A:$A) * (Y$10='[1]Elasticities by year'!$B:$B)* ($C20='[1]Elasticities by year'!$C:$C), '[1]Elasticities by year'!$D:$D)</f>
        <v>#N/A</v>
      </c>
      <c r="Z20" s="162" t="e" cm="1">
        <f t="array" ref="Z20">_xlfn.XLOOKUP(1, ('0. GUIDELINES'!$E$3='[1]Elasticities by year'!$A:$A) * (Z$10='[1]Elasticities by year'!$B:$B)* ($C20='[1]Elasticities by year'!$C:$C), '[1]Elasticities by year'!$D:$D)</f>
        <v>#N/A</v>
      </c>
      <c r="AA20" s="162" t="e" cm="1">
        <f t="array" ref="AA20">_xlfn.XLOOKUP(1, ('0. GUIDELINES'!$E$3='[1]Elasticities by year'!$A:$A) * (AA$10='[1]Elasticities by year'!$B:$B)* ($C20='[1]Elasticities by year'!$C:$C), '[1]Elasticities by year'!$D:$D)</f>
        <v>#N/A</v>
      </c>
      <c r="AB20" s="162" t="e" cm="1">
        <f t="array" ref="AB20">_xlfn.XLOOKUP(1, ('0. GUIDELINES'!$E$3='[1]Elasticities by year'!$A:$A) * (AB$10='[1]Elasticities by year'!$B:$B)* ($C20='[1]Elasticities by year'!$C:$C), '[1]Elasticities by year'!$D:$D)</f>
        <v>#N/A</v>
      </c>
      <c r="AC20" s="162" t="e" cm="1">
        <f t="array" ref="AC20">_xlfn.XLOOKUP(1, ('0. GUIDELINES'!$E$3='[1]Elasticities by year'!$A:$A) * (AC$10='[1]Elasticities by year'!$B:$B)* ($C20='[1]Elasticities by year'!$C:$C), '[1]Elasticities by year'!$D:$D)</f>
        <v>#N/A</v>
      </c>
      <c r="AD20" s="162" t="e" cm="1">
        <f t="array" ref="AD20">_xlfn.XLOOKUP(1, ('0. GUIDELINES'!$E$3='[1]Elasticities by year'!$A:$A) * (AD$10='[1]Elasticities by year'!$B:$B)* ($C20='[1]Elasticities by year'!$C:$C), '[1]Elasticities by year'!$D:$D)</f>
        <v>#N/A</v>
      </c>
      <c r="AE20" s="162" t="e" cm="1">
        <f t="array" ref="AE20">_xlfn.XLOOKUP(1, ('0. GUIDELINES'!$E$3='[1]Elasticities by year'!$A:$A) * (AE$10='[1]Elasticities by year'!$B:$B)* ($C20='[1]Elasticities by year'!$C:$C), '[1]Elasticities by year'!$D:$D)</f>
        <v>#N/A</v>
      </c>
      <c r="AF20" s="162" t="e" cm="1">
        <f t="array" ref="AF20">_xlfn.XLOOKUP(1, ('0. GUIDELINES'!$E$3='[1]Elasticities by year'!$A:$A) * (AF$10='[1]Elasticities by year'!$B:$B)* ($C20='[1]Elasticities by year'!$C:$C), '[1]Elasticities by year'!$D:$D)</f>
        <v>#N/A</v>
      </c>
      <c r="AG20" s="162" t="e" cm="1">
        <f t="array" ref="AG20">_xlfn.XLOOKUP(1, ('0. GUIDELINES'!$E$3='[1]Elasticities by year'!$A:$A) * (AG$10='[1]Elasticities by year'!$B:$B)* ($C20='[1]Elasticities by year'!$C:$C), '[1]Elasticities by year'!$D:$D)</f>
        <v>#N/A</v>
      </c>
      <c r="AH20" s="162" t="e" cm="1">
        <f t="array" ref="AH20">_xlfn.XLOOKUP(1, ('0. GUIDELINES'!$E$3='[1]Elasticities by year'!$A:$A) * (AH$10='[1]Elasticities by year'!$B:$B)* ($C20='[1]Elasticities by year'!$C:$C), '[1]Elasticities by year'!$D:$D)</f>
        <v>#N/A</v>
      </c>
      <c r="AI20" s="162" t="e" cm="1">
        <f t="array" ref="AI20">_xlfn.XLOOKUP(1, ('0. GUIDELINES'!$E$3='[1]Elasticities by year'!$A:$A) * (AI$10='[1]Elasticities by year'!$B:$B)* ($C20='[1]Elasticities by year'!$C:$C), '[1]Elasticities by year'!$D:$D)</f>
        <v>#N/A</v>
      </c>
      <c r="AJ20" s="162" t="e" cm="1">
        <f t="array" ref="AJ20">_xlfn.XLOOKUP(1, ('0. GUIDELINES'!$E$3='[1]Elasticities by year'!$A:$A) * (AJ$10='[1]Elasticities by year'!$B:$B)* ($C20='[1]Elasticities by year'!$C:$C), '[1]Elasticities by year'!$D:$D)</f>
        <v>#N/A</v>
      </c>
      <c r="AK20" s="162" t="e" cm="1">
        <f t="array" ref="AK20">_xlfn.XLOOKUP(1, ('0. GUIDELINES'!$E$3='[1]Elasticities by year'!$A:$A) * (AK$10='[1]Elasticities by year'!$B:$B)* ($C20='[1]Elasticities by year'!$C:$C), '[1]Elasticities by year'!$D:$D)</f>
        <v>#N/A</v>
      </c>
      <c r="AL20" s="162" t="e" cm="1">
        <f t="array" ref="AL20">_xlfn.XLOOKUP(1, ('0. GUIDELINES'!$E$3='[1]Elasticities by year'!$A:$A) * (AL$10='[1]Elasticities by year'!$B:$B)* ($C20='[1]Elasticities by year'!$C:$C), '[1]Elasticities by year'!$D:$D)</f>
        <v>#N/A</v>
      </c>
      <c r="AM20" s="162" t="e" cm="1">
        <f t="array" ref="AM20">_xlfn.XLOOKUP(1, ('0. GUIDELINES'!$E$3='[1]Elasticities by year'!$A:$A) * (AM$10='[1]Elasticities by year'!$B:$B)* ($C20='[1]Elasticities by year'!$C:$C), '[1]Elasticities by year'!$D:$D)</f>
        <v>#N/A</v>
      </c>
      <c r="AN20" s="162" t="e" cm="1">
        <f t="array" ref="AN20">_xlfn.XLOOKUP(1, ('0. GUIDELINES'!$E$3='[1]Elasticities by year'!$A:$A) * (AN$10='[1]Elasticities by year'!$B:$B)* ($C20='[1]Elasticities by year'!$C:$C), '[1]Elasticities by year'!$D:$D)</f>
        <v>#N/A</v>
      </c>
      <c r="AP20" s="343" t="e">
        <f t="shared" si="0"/>
        <v>#DIV/0!</v>
      </c>
      <c r="AQ20" s="343" t="e">
        <f t="shared" si="1"/>
        <v>#DIV/0!</v>
      </c>
      <c r="AR20" s="343" t="e">
        <f t="shared" si="2"/>
        <v>#DIV/0!</v>
      </c>
      <c r="AU20" s="84"/>
      <c r="AV20" s="84"/>
      <c r="AW20" s="130"/>
      <c r="AX20" s="130"/>
      <c r="AY20" s="84"/>
      <c r="AZ20" s="84"/>
      <c r="BA20" s="84"/>
      <c r="BB20" s="84"/>
    </row>
    <row r="21" spans="1:54" ht="14.25" x14ac:dyDescent="0.2">
      <c r="A21" s="87"/>
      <c r="B21" s="87"/>
      <c r="C21" s="87"/>
      <c r="D21" s="123"/>
      <c r="E21" s="84"/>
      <c r="F21" s="84"/>
      <c r="G21" s="84"/>
      <c r="H21" s="84"/>
      <c r="I21" s="134"/>
      <c r="J21" s="133"/>
      <c r="K21" s="133"/>
      <c r="L21" s="133"/>
      <c r="M21" s="133"/>
      <c r="N21" s="133"/>
      <c r="O21" s="341"/>
      <c r="P21" s="344"/>
      <c r="Q21" s="344"/>
      <c r="R21" s="454"/>
      <c r="S21" s="344"/>
      <c r="T21" s="344"/>
      <c r="U21" s="344"/>
      <c r="V21" s="126"/>
      <c r="X21" s="162" t="e" cm="1">
        <f t="array" ref="X21">_xlfn.XLOOKUP(1, ('0. GUIDELINES'!$E$3='[1]Elasticities by year'!$A:$A) * (X$10='[1]Elasticities by year'!$B:$B)* ($C21='[1]Elasticities by year'!$C:$C), '[1]Elasticities by year'!$D:$D)</f>
        <v>#N/A</v>
      </c>
      <c r="Y21" s="162" t="e" cm="1">
        <f t="array" ref="Y21">_xlfn.XLOOKUP(1, ('0. GUIDELINES'!$E$3='[1]Elasticities by year'!$A:$A) * (Y$10='[1]Elasticities by year'!$B:$B)* ($C21='[1]Elasticities by year'!$C:$C), '[1]Elasticities by year'!$D:$D)</f>
        <v>#N/A</v>
      </c>
      <c r="Z21" s="162" t="e" cm="1">
        <f t="array" ref="Z21">_xlfn.XLOOKUP(1, ('0. GUIDELINES'!$E$3='[1]Elasticities by year'!$A:$A) * (Z$10='[1]Elasticities by year'!$B:$B)* ($C21='[1]Elasticities by year'!$C:$C), '[1]Elasticities by year'!$D:$D)</f>
        <v>#N/A</v>
      </c>
      <c r="AA21" s="162" t="e" cm="1">
        <f t="array" ref="AA21">_xlfn.XLOOKUP(1, ('0. GUIDELINES'!$E$3='[1]Elasticities by year'!$A:$A) * (AA$10='[1]Elasticities by year'!$B:$B)* ($C21='[1]Elasticities by year'!$C:$C), '[1]Elasticities by year'!$D:$D)</f>
        <v>#N/A</v>
      </c>
      <c r="AB21" s="162" t="e" cm="1">
        <f t="array" ref="AB21">_xlfn.XLOOKUP(1, ('0. GUIDELINES'!$E$3='[1]Elasticities by year'!$A:$A) * (AB$10='[1]Elasticities by year'!$B:$B)* ($C21='[1]Elasticities by year'!$C:$C), '[1]Elasticities by year'!$D:$D)</f>
        <v>#N/A</v>
      </c>
      <c r="AC21" s="162" t="e" cm="1">
        <f t="array" ref="AC21">_xlfn.XLOOKUP(1, ('0. GUIDELINES'!$E$3='[1]Elasticities by year'!$A:$A) * (AC$10='[1]Elasticities by year'!$B:$B)* ($C21='[1]Elasticities by year'!$C:$C), '[1]Elasticities by year'!$D:$D)</f>
        <v>#N/A</v>
      </c>
      <c r="AD21" s="162" t="e" cm="1">
        <f t="array" ref="AD21">_xlfn.XLOOKUP(1, ('0. GUIDELINES'!$E$3='[1]Elasticities by year'!$A:$A) * (AD$10='[1]Elasticities by year'!$B:$B)* ($C21='[1]Elasticities by year'!$C:$C), '[1]Elasticities by year'!$D:$D)</f>
        <v>#N/A</v>
      </c>
      <c r="AE21" s="162" t="e" cm="1">
        <f t="array" ref="AE21">_xlfn.XLOOKUP(1, ('0. GUIDELINES'!$E$3='[1]Elasticities by year'!$A:$A) * (AE$10='[1]Elasticities by year'!$B:$B)* ($C21='[1]Elasticities by year'!$C:$C), '[1]Elasticities by year'!$D:$D)</f>
        <v>#N/A</v>
      </c>
      <c r="AF21" s="162" t="e" cm="1">
        <f t="array" ref="AF21">_xlfn.XLOOKUP(1, ('0. GUIDELINES'!$E$3='[1]Elasticities by year'!$A:$A) * (AF$10='[1]Elasticities by year'!$B:$B)* ($C21='[1]Elasticities by year'!$C:$C), '[1]Elasticities by year'!$D:$D)</f>
        <v>#N/A</v>
      </c>
      <c r="AG21" s="162" t="e" cm="1">
        <f t="array" ref="AG21">_xlfn.XLOOKUP(1, ('0. GUIDELINES'!$E$3='[1]Elasticities by year'!$A:$A) * (AG$10='[1]Elasticities by year'!$B:$B)* ($C21='[1]Elasticities by year'!$C:$C), '[1]Elasticities by year'!$D:$D)</f>
        <v>#N/A</v>
      </c>
      <c r="AH21" s="162" t="e" cm="1">
        <f t="array" ref="AH21">_xlfn.XLOOKUP(1, ('0. GUIDELINES'!$E$3='[1]Elasticities by year'!$A:$A) * (AH$10='[1]Elasticities by year'!$B:$B)* ($C21='[1]Elasticities by year'!$C:$C), '[1]Elasticities by year'!$D:$D)</f>
        <v>#N/A</v>
      </c>
      <c r="AI21" s="162" t="e" cm="1">
        <f t="array" ref="AI21">_xlfn.XLOOKUP(1, ('0. GUIDELINES'!$E$3='[1]Elasticities by year'!$A:$A) * (AI$10='[1]Elasticities by year'!$B:$B)* ($C21='[1]Elasticities by year'!$C:$C), '[1]Elasticities by year'!$D:$D)</f>
        <v>#N/A</v>
      </c>
      <c r="AJ21" s="162" t="e" cm="1">
        <f t="array" ref="AJ21">_xlfn.XLOOKUP(1, ('0. GUIDELINES'!$E$3='[1]Elasticities by year'!$A:$A) * (AJ$10='[1]Elasticities by year'!$B:$B)* ($C21='[1]Elasticities by year'!$C:$C), '[1]Elasticities by year'!$D:$D)</f>
        <v>#N/A</v>
      </c>
      <c r="AK21" s="162" t="e" cm="1">
        <f t="array" ref="AK21">_xlfn.XLOOKUP(1, ('0. GUIDELINES'!$E$3='[1]Elasticities by year'!$A:$A) * (AK$10='[1]Elasticities by year'!$B:$B)* ($C21='[1]Elasticities by year'!$C:$C), '[1]Elasticities by year'!$D:$D)</f>
        <v>#N/A</v>
      </c>
      <c r="AL21" s="162" t="e" cm="1">
        <f t="array" ref="AL21">_xlfn.XLOOKUP(1, ('0. GUIDELINES'!$E$3='[1]Elasticities by year'!$A:$A) * (AL$10='[1]Elasticities by year'!$B:$B)* ($C21='[1]Elasticities by year'!$C:$C), '[1]Elasticities by year'!$D:$D)</f>
        <v>#N/A</v>
      </c>
      <c r="AM21" s="162" t="e" cm="1">
        <f t="array" ref="AM21">_xlfn.XLOOKUP(1, ('0. GUIDELINES'!$E$3='[1]Elasticities by year'!$A:$A) * (AM$10='[1]Elasticities by year'!$B:$B)* ($C21='[1]Elasticities by year'!$C:$C), '[1]Elasticities by year'!$D:$D)</f>
        <v>#N/A</v>
      </c>
      <c r="AN21" s="162" t="e" cm="1">
        <f t="array" ref="AN21">_xlfn.XLOOKUP(1, ('0. GUIDELINES'!$E$3='[1]Elasticities by year'!$A:$A) * (AN$10='[1]Elasticities by year'!$B:$B)* ($C21='[1]Elasticities by year'!$C:$C), '[1]Elasticities by year'!$D:$D)</f>
        <v>#N/A</v>
      </c>
      <c r="AP21" s="343" t="e">
        <f t="shared" si="0"/>
        <v>#DIV/0!</v>
      </c>
      <c r="AQ21" s="343" t="e">
        <f t="shared" si="1"/>
        <v>#DIV/0!</v>
      </c>
      <c r="AR21" s="343" t="e">
        <f t="shared" si="2"/>
        <v>#DIV/0!</v>
      </c>
      <c r="AU21" s="84"/>
      <c r="AV21" s="84"/>
      <c r="AW21" s="130"/>
      <c r="AX21" s="130"/>
      <c r="AY21" s="84"/>
      <c r="AZ21" s="84"/>
      <c r="BA21" s="84"/>
      <c r="BB21" s="84"/>
    </row>
    <row r="22" spans="1:54" ht="14.25" x14ac:dyDescent="0.2">
      <c r="A22" s="87"/>
      <c r="B22" s="87"/>
      <c r="C22" s="87"/>
      <c r="D22" s="123"/>
      <c r="E22" s="84"/>
      <c r="F22" s="84"/>
      <c r="G22" s="84"/>
      <c r="H22" s="84"/>
      <c r="I22" s="134"/>
      <c r="J22" s="133"/>
      <c r="K22" s="133"/>
      <c r="L22" s="133"/>
      <c r="M22" s="133"/>
      <c r="N22" s="133"/>
      <c r="O22" s="341"/>
      <c r="P22" s="344"/>
      <c r="Q22" s="344"/>
      <c r="R22" s="454"/>
      <c r="S22" s="344"/>
      <c r="T22" s="344"/>
      <c r="U22" s="344"/>
      <c r="V22" s="126"/>
      <c r="X22" s="162" t="e" cm="1">
        <f t="array" ref="X22">_xlfn.XLOOKUP(1, ('0. GUIDELINES'!$E$3='[1]Elasticities by year'!$A:$A) * (X$10='[1]Elasticities by year'!$B:$B)* ($C22='[1]Elasticities by year'!$C:$C), '[1]Elasticities by year'!$D:$D)</f>
        <v>#N/A</v>
      </c>
      <c r="Y22" s="162" t="e" cm="1">
        <f t="array" ref="Y22">_xlfn.XLOOKUP(1, ('0. GUIDELINES'!$E$3='[1]Elasticities by year'!$A:$A) * (Y$10='[1]Elasticities by year'!$B:$B)* ($C22='[1]Elasticities by year'!$C:$C), '[1]Elasticities by year'!$D:$D)</f>
        <v>#N/A</v>
      </c>
      <c r="Z22" s="162" t="e" cm="1">
        <f t="array" ref="Z22">_xlfn.XLOOKUP(1, ('0. GUIDELINES'!$E$3='[1]Elasticities by year'!$A:$A) * (Z$10='[1]Elasticities by year'!$B:$B)* ($C22='[1]Elasticities by year'!$C:$C), '[1]Elasticities by year'!$D:$D)</f>
        <v>#N/A</v>
      </c>
      <c r="AA22" s="162" t="e" cm="1">
        <f t="array" ref="AA22">_xlfn.XLOOKUP(1, ('0. GUIDELINES'!$E$3='[1]Elasticities by year'!$A:$A) * (AA$10='[1]Elasticities by year'!$B:$B)* ($C22='[1]Elasticities by year'!$C:$C), '[1]Elasticities by year'!$D:$D)</f>
        <v>#N/A</v>
      </c>
      <c r="AB22" s="162" t="e" cm="1">
        <f t="array" ref="AB22">_xlfn.XLOOKUP(1, ('0. GUIDELINES'!$E$3='[1]Elasticities by year'!$A:$A) * (AB$10='[1]Elasticities by year'!$B:$B)* ($C22='[1]Elasticities by year'!$C:$C), '[1]Elasticities by year'!$D:$D)</f>
        <v>#N/A</v>
      </c>
      <c r="AC22" s="162" t="e" cm="1">
        <f t="array" ref="AC22">_xlfn.XLOOKUP(1, ('0. GUIDELINES'!$E$3='[1]Elasticities by year'!$A:$A) * (AC$10='[1]Elasticities by year'!$B:$B)* ($C22='[1]Elasticities by year'!$C:$C), '[1]Elasticities by year'!$D:$D)</f>
        <v>#N/A</v>
      </c>
      <c r="AD22" s="162" t="e" cm="1">
        <f t="array" ref="AD22">_xlfn.XLOOKUP(1, ('0. GUIDELINES'!$E$3='[1]Elasticities by year'!$A:$A) * (AD$10='[1]Elasticities by year'!$B:$B)* ($C22='[1]Elasticities by year'!$C:$C), '[1]Elasticities by year'!$D:$D)</f>
        <v>#N/A</v>
      </c>
      <c r="AE22" s="162" t="e" cm="1">
        <f t="array" ref="AE22">_xlfn.XLOOKUP(1, ('0. GUIDELINES'!$E$3='[1]Elasticities by year'!$A:$A) * (AE$10='[1]Elasticities by year'!$B:$B)* ($C22='[1]Elasticities by year'!$C:$C), '[1]Elasticities by year'!$D:$D)</f>
        <v>#N/A</v>
      </c>
      <c r="AF22" s="162" t="e" cm="1">
        <f t="array" ref="AF22">_xlfn.XLOOKUP(1, ('0. GUIDELINES'!$E$3='[1]Elasticities by year'!$A:$A) * (AF$10='[1]Elasticities by year'!$B:$B)* ($C22='[1]Elasticities by year'!$C:$C), '[1]Elasticities by year'!$D:$D)</f>
        <v>#N/A</v>
      </c>
      <c r="AG22" s="162" t="e" cm="1">
        <f t="array" ref="AG22">_xlfn.XLOOKUP(1, ('0. GUIDELINES'!$E$3='[1]Elasticities by year'!$A:$A) * (AG$10='[1]Elasticities by year'!$B:$B)* ($C22='[1]Elasticities by year'!$C:$C), '[1]Elasticities by year'!$D:$D)</f>
        <v>#N/A</v>
      </c>
      <c r="AH22" s="162" t="e" cm="1">
        <f t="array" ref="AH22">_xlfn.XLOOKUP(1, ('0. GUIDELINES'!$E$3='[1]Elasticities by year'!$A:$A) * (AH$10='[1]Elasticities by year'!$B:$B)* ($C22='[1]Elasticities by year'!$C:$C), '[1]Elasticities by year'!$D:$D)</f>
        <v>#N/A</v>
      </c>
      <c r="AI22" s="162" t="e" cm="1">
        <f t="array" ref="AI22">_xlfn.XLOOKUP(1, ('0. GUIDELINES'!$E$3='[1]Elasticities by year'!$A:$A) * (AI$10='[1]Elasticities by year'!$B:$B)* ($C22='[1]Elasticities by year'!$C:$C), '[1]Elasticities by year'!$D:$D)</f>
        <v>#N/A</v>
      </c>
      <c r="AJ22" s="162" t="e" cm="1">
        <f t="array" ref="AJ22">_xlfn.XLOOKUP(1, ('0. GUIDELINES'!$E$3='[1]Elasticities by year'!$A:$A) * (AJ$10='[1]Elasticities by year'!$B:$B)* ($C22='[1]Elasticities by year'!$C:$C), '[1]Elasticities by year'!$D:$D)</f>
        <v>#N/A</v>
      </c>
      <c r="AK22" s="162" t="e" cm="1">
        <f t="array" ref="AK22">_xlfn.XLOOKUP(1, ('0. GUIDELINES'!$E$3='[1]Elasticities by year'!$A:$A) * (AK$10='[1]Elasticities by year'!$B:$B)* ($C22='[1]Elasticities by year'!$C:$C), '[1]Elasticities by year'!$D:$D)</f>
        <v>#N/A</v>
      </c>
      <c r="AL22" s="162" t="e" cm="1">
        <f t="array" ref="AL22">_xlfn.XLOOKUP(1, ('0. GUIDELINES'!$E$3='[1]Elasticities by year'!$A:$A) * (AL$10='[1]Elasticities by year'!$B:$B)* ($C22='[1]Elasticities by year'!$C:$C), '[1]Elasticities by year'!$D:$D)</f>
        <v>#N/A</v>
      </c>
      <c r="AM22" s="162" t="e" cm="1">
        <f t="array" ref="AM22">_xlfn.XLOOKUP(1, ('0. GUIDELINES'!$E$3='[1]Elasticities by year'!$A:$A) * (AM$10='[1]Elasticities by year'!$B:$B)* ($C22='[1]Elasticities by year'!$C:$C), '[1]Elasticities by year'!$D:$D)</f>
        <v>#N/A</v>
      </c>
      <c r="AN22" s="162" t="e" cm="1">
        <f t="array" ref="AN22">_xlfn.XLOOKUP(1, ('0. GUIDELINES'!$E$3='[1]Elasticities by year'!$A:$A) * (AN$10='[1]Elasticities by year'!$B:$B)* ($C22='[1]Elasticities by year'!$C:$C), '[1]Elasticities by year'!$D:$D)</f>
        <v>#N/A</v>
      </c>
      <c r="AP22" s="343" t="e">
        <f t="shared" si="0"/>
        <v>#DIV/0!</v>
      </c>
      <c r="AQ22" s="343" t="e">
        <f t="shared" si="1"/>
        <v>#DIV/0!</v>
      </c>
      <c r="AR22" s="343" t="e">
        <f t="shared" si="2"/>
        <v>#DIV/0!</v>
      </c>
      <c r="AU22" s="84"/>
      <c r="AV22" s="84"/>
      <c r="AW22" s="130"/>
      <c r="AX22" s="130"/>
      <c r="AY22" s="84"/>
      <c r="AZ22" s="84"/>
      <c r="BA22" s="84"/>
      <c r="BB22" s="84"/>
    </row>
    <row r="23" spans="1:54" ht="14.25" x14ac:dyDescent="0.2">
      <c r="A23" s="87"/>
      <c r="B23" s="87"/>
      <c r="C23" s="87"/>
      <c r="D23" s="123"/>
      <c r="E23" s="84"/>
      <c r="F23" s="84"/>
      <c r="G23" s="84"/>
      <c r="H23" s="84"/>
      <c r="I23" s="160"/>
      <c r="J23" s="161"/>
      <c r="K23" s="133"/>
      <c r="L23" s="133"/>
      <c r="M23" s="133"/>
      <c r="N23" s="133"/>
      <c r="O23" s="341"/>
      <c r="P23" s="346"/>
      <c r="Q23" s="346"/>
      <c r="R23" s="454"/>
      <c r="S23" s="346"/>
      <c r="T23" s="346"/>
      <c r="U23" s="346"/>
      <c r="V23" s="126"/>
      <c r="X23" s="163" t="e" cm="1">
        <f t="array" ref="X23">_xlfn.XLOOKUP(1, ('0. GUIDELINES'!$E$3='[1]Elasticities by year'!$A:$A) * (X$10='[1]Elasticities by year'!$B:$B)* ($C23='[1]Elasticities by year'!$C:$C), '[1]Elasticities by year'!$D:$D)</f>
        <v>#N/A</v>
      </c>
      <c r="Y23" s="163" t="e" cm="1">
        <f t="array" ref="Y23">_xlfn.XLOOKUP(1, ('0. GUIDELINES'!$E$3='[1]Elasticities by year'!$A:$A) * (Y$10='[1]Elasticities by year'!$B:$B)* ($C23='[1]Elasticities by year'!$C:$C), '[1]Elasticities by year'!$D:$D)</f>
        <v>#N/A</v>
      </c>
      <c r="Z23" s="163" t="e" cm="1">
        <f t="array" ref="Z23">_xlfn.XLOOKUP(1, ('0. GUIDELINES'!$E$3='[1]Elasticities by year'!$A:$A) * (Z$10='[1]Elasticities by year'!$B:$B)* ($C23='[1]Elasticities by year'!$C:$C), '[1]Elasticities by year'!$D:$D)</f>
        <v>#N/A</v>
      </c>
      <c r="AA23" s="163" t="e" cm="1">
        <f t="array" ref="AA23">_xlfn.XLOOKUP(1, ('0. GUIDELINES'!$E$3='[1]Elasticities by year'!$A:$A) * (AA$10='[1]Elasticities by year'!$B:$B)* ($C23='[1]Elasticities by year'!$C:$C), '[1]Elasticities by year'!$D:$D)</f>
        <v>#N/A</v>
      </c>
      <c r="AB23" s="163" t="e" cm="1">
        <f t="array" ref="AB23">_xlfn.XLOOKUP(1, ('0. GUIDELINES'!$E$3='[1]Elasticities by year'!$A:$A) * (AB$10='[1]Elasticities by year'!$B:$B)* ($C23='[1]Elasticities by year'!$C:$C), '[1]Elasticities by year'!$D:$D)</f>
        <v>#N/A</v>
      </c>
      <c r="AC23" s="163" t="e" cm="1">
        <f t="array" ref="AC23">_xlfn.XLOOKUP(1, ('0. GUIDELINES'!$E$3='[1]Elasticities by year'!$A:$A) * (AC$10='[1]Elasticities by year'!$B:$B)* ($C23='[1]Elasticities by year'!$C:$C), '[1]Elasticities by year'!$D:$D)</f>
        <v>#N/A</v>
      </c>
      <c r="AD23" s="163" t="e" cm="1">
        <f t="array" ref="AD23">_xlfn.XLOOKUP(1, ('0. GUIDELINES'!$E$3='[1]Elasticities by year'!$A:$A) * (AD$10='[1]Elasticities by year'!$B:$B)* ($C23='[1]Elasticities by year'!$C:$C), '[1]Elasticities by year'!$D:$D)</f>
        <v>#N/A</v>
      </c>
      <c r="AE23" s="163" t="e" cm="1">
        <f t="array" ref="AE23">_xlfn.XLOOKUP(1, ('0. GUIDELINES'!$E$3='[1]Elasticities by year'!$A:$A) * (AE$10='[1]Elasticities by year'!$B:$B)* ($C23='[1]Elasticities by year'!$C:$C), '[1]Elasticities by year'!$D:$D)</f>
        <v>#N/A</v>
      </c>
      <c r="AF23" s="163" t="e" cm="1">
        <f t="array" ref="AF23">_xlfn.XLOOKUP(1, ('0. GUIDELINES'!$E$3='[1]Elasticities by year'!$A:$A) * (AF$10='[1]Elasticities by year'!$B:$B)* ($C23='[1]Elasticities by year'!$C:$C), '[1]Elasticities by year'!$D:$D)</f>
        <v>#N/A</v>
      </c>
      <c r="AG23" s="163" t="e" cm="1">
        <f t="array" ref="AG23">_xlfn.XLOOKUP(1, ('0. GUIDELINES'!$E$3='[1]Elasticities by year'!$A:$A) * (AG$10='[1]Elasticities by year'!$B:$B)* ($C23='[1]Elasticities by year'!$C:$C), '[1]Elasticities by year'!$D:$D)</f>
        <v>#N/A</v>
      </c>
      <c r="AH23" s="163" t="e" cm="1">
        <f t="array" ref="AH23">_xlfn.XLOOKUP(1, ('0. GUIDELINES'!$E$3='[1]Elasticities by year'!$A:$A) * (AH$10='[1]Elasticities by year'!$B:$B)* ($C23='[1]Elasticities by year'!$C:$C), '[1]Elasticities by year'!$D:$D)</f>
        <v>#N/A</v>
      </c>
      <c r="AI23" s="163" t="e" cm="1">
        <f t="array" ref="AI23">_xlfn.XLOOKUP(1, ('0. GUIDELINES'!$E$3='[1]Elasticities by year'!$A:$A) * (AI$10='[1]Elasticities by year'!$B:$B)* ($C23='[1]Elasticities by year'!$C:$C), '[1]Elasticities by year'!$D:$D)</f>
        <v>#N/A</v>
      </c>
      <c r="AJ23" s="163" t="e" cm="1">
        <f t="array" ref="AJ23">_xlfn.XLOOKUP(1, ('0. GUIDELINES'!$E$3='[1]Elasticities by year'!$A:$A) * (AJ$10='[1]Elasticities by year'!$B:$B)* ($C23='[1]Elasticities by year'!$C:$C), '[1]Elasticities by year'!$D:$D)</f>
        <v>#N/A</v>
      </c>
      <c r="AK23" s="163" t="e" cm="1">
        <f t="array" ref="AK23">_xlfn.XLOOKUP(1, ('0. GUIDELINES'!$E$3='[1]Elasticities by year'!$A:$A) * (AK$10='[1]Elasticities by year'!$B:$B)* ($C23='[1]Elasticities by year'!$C:$C), '[1]Elasticities by year'!$D:$D)</f>
        <v>#N/A</v>
      </c>
      <c r="AL23" s="163" t="e" cm="1">
        <f t="array" ref="AL23">_xlfn.XLOOKUP(1, ('0. GUIDELINES'!$E$3='[1]Elasticities by year'!$A:$A) * (AL$10='[1]Elasticities by year'!$B:$B)* ($C23='[1]Elasticities by year'!$C:$C), '[1]Elasticities by year'!$D:$D)</f>
        <v>#N/A</v>
      </c>
      <c r="AM23" s="163" t="e" cm="1">
        <f t="array" ref="AM23">_xlfn.XLOOKUP(1, ('0. GUIDELINES'!$E$3='[1]Elasticities by year'!$A:$A) * (AM$10='[1]Elasticities by year'!$B:$B)* ($C23='[1]Elasticities by year'!$C:$C), '[1]Elasticities by year'!$D:$D)</f>
        <v>#N/A</v>
      </c>
      <c r="AN23" s="163" t="e" cm="1">
        <f t="array" ref="AN23">_xlfn.XLOOKUP(1, ('0. GUIDELINES'!$E$3='[1]Elasticities by year'!$A:$A) * (AN$10='[1]Elasticities by year'!$B:$B)* ($C23='[1]Elasticities by year'!$C:$C), '[1]Elasticities by year'!$D:$D)</f>
        <v>#N/A</v>
      </c>
      <c r="AP23" s="343" t="e">
        <f t="shared" si="0"/>
        <v>#DIV/0!</v>
      </c>
      <c r="AQ23" s="343" t="e">
        <f t="shared" si="1"/>
        <v>#DIV/0!</v>
      </c>
      <c r="AR23" s="343" t="e">
        <f t="shared" si="2"/>
        <v>#DIV/0!</v>
      </c>
      <c r="AU23" s="84"/>
      <c r="AV23" s="84"/>
      <c r="AW23" s="130"/>
      <c r="AX23" s="130"/>
      <c r="AY23" s="84"/>
      <c r="AZ23" s="84"/>
      <c r="BA23" s="84"/>
      <c r="BB23" s="84"/>
    </row>
    <row r="24" spans="1:54" ht="14.25" x14ac:dyDescent="0.2">
      <c r="A24" s="90"/>
      <c r="B24" s="90"/>
      <c r="C24" s="90"/>
      <c r="D24" s="337"/>
      <c r="E24" s="130"/>
      <c r="F24" s="84"/>
      <c r="G24" s="84"/>
      <c r="H24" s="84"/>
      <c r="I24" s="557" t="s">
        <v>189</v>
      </c>
      <c r="J24" s="557"/>
      <c r="K24" s="557"/>
      <c r="L24" s="557"/>
      <c r="M24" s="557"/>
      <c r="N24" s="557"/>
      <c r="O24" s="341"/>
      <c r="P24" s="342" t="s">
        <v>190</v>
      </c>
      <c r="Q24" s="348"/>
      <c r="R24" s="348"/>
      <c r="S24" s="348"/>
      <c r="T24" s="348"/>
      <c r="U24" s="348"/>
      <c r="V24" s="341"/>
      <c r="X24" s="351"/>
      <c r="Y24" s="351"/>
      <c r="Z24" s="351"/>
      <c r="AA24" s="351"/>
      <c r="AB24" s="351"/>
      <c r="AC24" s="351"/>
      <c r="AD24" s="351"/>
      <c r="AE24" s="351"/>
      <c r="AF24" s="351"/>
      <c r="AG24" s="352"/>
      <c r="AH24" s="352"/>
      <c r="AI24" s="351"/>
      <c r="AJ24" s="351"/>
      <c r="AK24" s="351"/>
      <c r="AL24" s="351"/>
      <c r="AM24" s="351"/>
      <c r="AN24" s="351"/>
      <c r="AU24" s="84"/>
      <c r="AV24" s="84"/>
      <c r="AW24" s="130"/>
      <c r="AX24" s="130"/>
      <c r="AY24" s="84"/>
      <c r="AZ24" s="84"/>
      <c r="BA24" s="84"/>
      <c r="BB24" s="84"/>
    </row>
    <row r="25" spans="1:54" ht="14.25" x14ac:dyDescent="0.2">
      <c r="A25" s="90"/>
      <c r="B25" s="90"/>
      <c r="C25" s="90"/>
      <c r="D25" s="337"/>
      <c r="E25" s="130"/>
      <c r="F25" s="84"/>
      <c r="G25" s="84"/>
      <c r="H25" s="84"/>
      <c r="I25" s="557" t="s">
        <v>191</v>
      </c>
      <c r="J25" s="557"/>
      <c r="K25" s="557"/>
      <c r="L25" s="557"/>
      <c r="M25" s="557"/>
      <c r="N25" s="557"/>
      <c r="O25" s="341"/>
      <c r="P25" s="341"/>
      <c r="Q25" s="341"/>
      <c r="R25" s="341"/>
      <c r="S25" s="341"/>
      <c r="T25" s="341"/>
      <c r="U25" s="341"/>
      <c r="V25" s="341"/>
      <c r="X25" s="351"/>
      <c r="Y25" s="351"/>
      <c r="Z25" s="351"/>
      <c r="AA25" s="351"/>
      <c r="AB25" s="351"/>
      <c r="AC25" s="351"/>
      <c r="AD25" s="351"/>
      <c r="AE25" s="351"/>
      <c r="AF25" s="351"/>
      <c r="AG25" s="352"/>
      <c r="AH25" s="352"/>
      <c r="AI25" s="351"/>
      <c r="AJ25" s="351"/>
      <c r="AK25" s="351"/>
      <c r="AL25" s="351"/>
      <c r="AM25" s="351"/>
      <c r="AN25" s="351"/>
      <c r="AU25" s="84"/>
      <c r="AV25" s="84"/>
      <c r="AW25" s="130"/>
      <c r="AX25" s="130"/>
      <c r="AY25" s="84"/>
      <c r="AZ25" s="84"/>
      <c r="BA25" s="84"/>
      <c r="BB25" s="84"/>
    </row>
    <row r="26" spans="1:54" ht="14.25" x14ac:dyDescent="0.2">
      <c r="A26" s="90"/>
      <c r="B26" s="90"/>
      <c r="C26" s="90"/>
      <c r="D26" s="337"/>
      <c r="E26" s="130"/>
      <c r="F26" s="84"/>
      <c r="G26" s="84"/>
      <c r="H26" s="84"/>
      <c r="I26" s="340"/>
      <c r="J26" s="340"/>
      <c r="K26" s="340"/>
      <c r="L26" s="340"/>
      <c r="M26" s="340"/>
      <c r="N26" s="340"/>
      <c r="O26" s="341"/>
      <c r="P26" s="558" t="s">
        <v>177</v>
      </c>
      <c r="Q26" s="558"/>
      <c r="R26" s="558"/>
      <c r="S26" s="558"/>
      <c r="T26" s="558"/>
      <c r="U26" s="558"/>
      <c r="X26" s="351"/>
      <c r="Y26" s="351"/>
      <c r="Z26" s="351"/>
      <c r="AA26" s="351"/>
      <c r="AB26" s="351"/>
      <c r="AC26" s="351"/>
      <c r="AD26" s="351"/>
      <c r="AE26" s="351"/>
      <c r="AF26" s="351"/>
      <c r="AG26" s="352"/>
      <c r="AH26" s="352"/>
      <c r="AI26" s="351"/>
      <c r="AJ26" s="351"/>
      <c r="AK26" s="351"/>
      <c r="AL26" s="351"/>
      <c r="AM26" s="351"/>
      <c r="AN26" s="351"/>
      <c r="AU26" s="84"/>
      <c r="AV26" s="84"/>
      <c r="AW26" s="130"/>
      <c r="AX26" s="130"/>
      <c r="AY26" s="84"/>
      <c r="AZ26" s="84"/>
      <c r="BA26" s="84"/>
      <c r="BB26" s="84"/>
    </row>
    <row r="27" spans="1:54" ht="15" customHeight="1" x14ac:dyDescent="0.2">
      <c r="A27" s="90"/>
      <c r="B27" s="90"/>
      <c r="C27" s="90"/>
      <c r="D27" s="337"/>
      <c r="E27" s="130"/>
      <c r="F27" s="84"/>
      <c r="G27" s="84"/>
      <c r="H27" s="84"/>
      <c r="I27" s="438" t="s">
        <v>495</v>
      </c>
      <c r="J27" s="438"/>
      <c r="K27" s="439">
        <v>0</v>
      </c>
      <c r="L27" s="439">
        <v>0</v>
      </c>
      <c r="M27" s="439">
        <v>2.6</v>
      </c>
      <c r="N27" s="439">
        <v>0</v>
      </c>
      <c r="O27" s="440"/>
      <c r="P27" s="558" t="s">
        <v>509</v>
      </c>
      <c r="Q27" s="558"/>
      <c r="R27" s="558"/>
      <c r="S27" s="558" t="s">
        <v>510</v>
      </c>
      <c r="T27" s="558"/>
      <c r="U27" s="558"/>
      <c r="X27" s="554" t="s">
        <v>193</v>
      </c>
      <c r="Y27" s="554"/>
      <c r="Z27" s="554"/>
      <c r="AA27" s="554"/>
      <c r="AB27" s="554"/>
      <c r="AC27" s="554"/>
      <c r="AD27" s="554"/>
      <c r="AE27" s="554"/>
      <c r="AF27" s="554"/>
      <c r="AG27" s="554"/>
      <c r="AH27" s="554"/>
      <c r="AI27" s="554"/>
      <c r="AJ27" s="554"/>
      <c r="AK27" s="554"/>
      <c r="AL27" s="554"/>
      <c r="AM27" s="554"/>
      <c r="AN27" s="554"/>
      <c r="AU27" s="84"/>
      <c r="AV27" s="84"/>
      <c r="AW27" s="130"/>
      <c r="AX27" s="130"/>
      <c r="AY27" s="84"/>
      <c r="AZ27" s="84"/>
      <c r="BA27" s="84"/>
      <c r="BB27" s="84"/>
    </row>
    <row r="28" spans="1:54" ht="15.6" customHeight="1" x14ac:dyDescent="0.2">
      <c r="A28" s="90"/>
      <c r="B28" s="90"/>
      <c r="C28" s="90"/>
      <c r="D28" s="337"/>
      <c r="E28" s="130"/>
      <c r="F28" s="84"/>
      <c r="G28" s="84"/>
      <c r="H28" s="84"/>
      <c r="I28" s="555" t="s">
        <v>192</v>
      </c>
      <c r="J28" s="554" t="s">
        <v>179</v>
      </c>
      <c r="K28" s="554"/>
      <c r="L28" s="554"/>
      <c r="M28" s="554"/>
      <c r="N28" s="554"/>
      <c r="O28" s="341"/>
      <c r="P28" s="554" t="s">
        <v>180</v>
      </c>
      <c r="Q28" s="554"/>
      <c r="R28" s="556"/>
      <c r="S28" s="554" t="s">
        <v>181</v>
      </c>
      <c r="T28" s="554"/>
      <c r="U28" s="554"/>
      <c r="V28" s="350"/>
      <c r="W28" s="350"/>
      <c r="X28" s="554"/>
      <c r="Y28" s="554"/>
      <c r="Z28" s="554"/>
      <c r="AA28" s="554"/>
      <c r="AB28" s="554"/>
      <c r="AC28" s="554"/>
      <c r="AD28" s="554"/>
      <c r="AE28" s="554"/>
      <c r="AF28" s="554"/>
      <c r="AG28" s="554"/>
      <c r="AH28" s="554"/>
      <c r="AI28" s="554"/>
      <c r="AJ28" s="554"/>
      <c r="AK28" s="554"/>
      <c r="AL28" s="554"/>
      <c r="AM28" s="554"/>
      <c r="AN28" s="554"/>
      <c r="AU28" s="84"/>
      <c r="AV28" s="84"/>
      <c r="AW28" s="130"/>
      <c r="AX28" s="130"/>
      <c r="AY28" s="84"/>
      <c r="AZ28" s="84"/>
      <c r="BA28" s="84"/>
      <c r="BB28" s="84"/>
    </row>
    <row r="29" spans="1:54" ht="14.25" x14ac:dyDescent="0.2">
      <c r="A29" s="90"/>
      <c r="B29" s="90"/>
      <c r="C29" s="90"/>
      <c r="D29" s="337"/>
      <c r="E29" s="130"/>
      <c r="F29" s="84"/>
      <c r="G29" s="84"/>
      <c r="H29" s="84"/>
      <c r="I29" s="555"/>
      <c r="J29" s="554"/>
      <c r="K29" s="554"/>
      <c r="L29" s="554"/>
      <c r="M29" s="554"/>
      <c r="N29" s="554"/>
      <c r="O29" s="341"/>
      <c r="P29" s="554"/>
      <c r="Q29" s="554"/>
      <c r="R29" s="556"/>
      <c r="S29" s="554"/>
      <c r="T29" s="554"/>
      <c r="U29" s="554"/>
      <c r="V29" s="350"/>
      <c r="W29" s="350"/>
      <c r="X29" s="132">
        <v>2007</v>
      </c>
      <c r="Y29" s="132">
        <v>2008</v>
      </c>
      <c r="Z29" s="282">
        <v>2009</v>
      </c>
      <c r="AA29" s="282">
        <v>2010</v>
      </c>
      <c r="AB29" s="282">
        <v>2011</v>
      </c>
      <c r="AC29" s="282">
        <v>2012</v>
      </c>
      <c r="AD29" s="282">
        <v>2013</v>
      </c>
      <c r="AE29" s="282">
        <v>2014</v>
      </c>
      <c r="AF29" s="282">
        <v>2015</v>
      </c>
      <c r="AG29" s="282">
        <v>2016</v>
      </c>
      <c r="AH29" s="282">
        <v>2017</v>
      </c>
      <c r="AI29" s="282">
        <v>2018</v>
      </c>
      <c r="AJ29" s="282">
        <v>2019</v>
      </c>
      <c r="AK29" s="282">
        <v>2020</v>
      </c>
      <c r="AL29" s="282">
        <v>2021</v>
      </c>
      <c r="AM29" s="282">
        <v>2022</v>
      </c>
      <c r="AN29" s="282">
        <v>2023</v>
      </c>
      <c r="AP29" s="84" t="s">
        <v>184</v>
      </c>
      <c r="AQ29" s="84" t="s">
        <v>185</v>
      </c>
      <c r="AR29" s="84" t="s">
        <v>186</v>
      </c>
      <c r="AU29" s="84"/>
      <c r="AV29" s="84"/>
      <c r="AW29" s="84"/>
      <c r="AX29" s="84"/>
      <c r="AY29" s="84"/>
      <c r="AZ29" s="84"/>
      <c r="BA29" s="84"/>
      <c r="BB29" s="84"/>
    </row>
    <row r="30" spans="1:54" ht="14.25" x14ac:dyDescent="0.2">
      <c r="A30" s="90"/>
      <c r="B30" s="90"/>
      <c r="C30" s="90"/>
      <c r="D30" s="337"/>
      <c r="E30" s="130"/>
      <c r="F30" s="84"/>
      <c r="G30" s="84"/>
      <c r="H30" s="84"/>
      <c r="I30" s="555"/>
      <c r="J30" s="157">
        <v>2022</v>
      </c>
      <c r="K30" s="157">
        <v>2023</v>
      </c>
      <c r="L30" s="157">
        <v>2024</v>
      </c>
      <c r="M30" s="157">
        <v>2025</v>
      </c>
      <c r="N30" s="157">
        <v>2026</v>
      </c>
      <c r="O30" s="341"/>
      <c r="P30" s="158" t="str" cm="1">
        <f t="array" ref="P30">_xlfn.XLOOKUP(1, ('0. GUIDELINES'!$E$3=[1]Elasticities!$A:$A) * ("Long"=[1]Elasticities!$B:$B) * ($A$31=[1]Elasticities!$D:$D) * ($C31=[1]Elasticities!$E:$E) * ('2.1 LABOR STRUCTURE'!$E$4=[1]Elasticities!$G:$G), [1]Elasticities!$C:$C)</f>
        <v>2005 - 2022</v>
      </c>
      <c r="Q30" s="158" t="str" cm="1">
        <f t="array" ref="Q30">_xlfn.XLOOKUP(1, ('0. GUIDELINES'!$E$3=[1]Elasticities!$A:$A) * ("Middle"=[1]Elasticities!$B:$B) * ($A$31=[1]Elasticities!$D:$D) * ($C31=[1]Elasticities!$E:$E) * ('2.1 LABOR STRUCTURE'!$E$4=[1]Elasticities!$G:$G), [1]Elasticities!$C:$C)</f>
        <v>2010 - 2022</v>
      </c>
      <c r="R30" s="159" t="str" cm="1">
        <f t="array" ref="R30">_xlfn.XLOOKUP(1, ('0. GUIDELINES'!$E$3=[1]Elasticities!$A:$A) * ("Short"=[1]Elasticities!$B:$B) * ($A$31=[1]Elasticities!$D:$D) * ($C31=[1]Elasticities!$E:$E) * ('2.1 LABOR STRUCTURE'!$E$4=[1]Elasticities!$G:$G), [1]Elasticities!$C:$C)</f>
        <v>2015 - 2022</v>
      </c>
      <c r="S30" s="158" t="str" cm="1">
        <f t="array" ref="S30">_xlfn.XLOOKUP(1, ('0. GUIDELINES'!$E$3=[1]Elasticities!$A:$A) * ("Long"=[1]Elasticities!$B:$B) * ($B$31=[1]Elasticities!$D:$D) * ($C31=[1]Elasticities!$E:$E) * ('2.1 LABOR STRUCTURE'!$E$4=[1]Elasticities!$G:$G), [1]Elasticities!$C:$C)</f>
        <v>2005 - 2022</v>
      </c>
      <c r="T30" s="158" t="str" cm="1">
        <f t="array" ref="T30">_xlfn.XLOOKUP(1, ('0. GUIDELINES'!$E$3=[1]Elasticities!$A:$A) * ("Middle"=[1]Elasticities!$B:$B) * ($B$31=[1]Elasticities!$D:$D) * ($C31=[1]Elasticities!$E:$E) * ('2.1 LABOR STRUCTURE'!$E$4=[1]Elasticities!$G:$G), [1]Elasticities!$C:$C)</f>
        <v>2010 - 2022</v>
      </c>
      <c r="U30" s="158" t="str" cm="1">
        <f t="array" ref="U30">_xlfn.XLOOKUP(1, ('0. GUIDELINES'!$E$3=[1]Elasticities!$A:$A) * ("Short"=[1]Elasticities!$B:$B) * ($B$31=[1]Elasticities!$D:$D) * ($C31=[1]Elasticities!$E:$E) * ('2.1 LABOR STRUCTURE'!$E$4=[1]Elasticities!$G:$G), [1]Elasticities!$C:$C)</f>
        <v>2015 - 2022</v>
      </c>
      <c r="V30" s="350"/>
      <c r="W30" s="350"/>
      <c r="X30" s="162" t="e" cm="1">
        <f t="array" ref="X30">_xlfn.XLOOKUP(1, ('0. GUIDELINES'!$E$3='[1]Elasticities by year'!$A:$A) * (X$10='[1]Elasticities by year'!$B:$B)* ($C31='[1]Elasticities by year'!$C:$C), '[1]Elasticities by year'!$D:$D)</f>
        <v>#N/A</v>
      </c>
      <c r="Y30" s="162" t="e" cm="1">
        <f t="array" ref="Y30">_xlfn.XLOOKUP(1, ('0. GUIDELINES'!$E$3='[1]Elasticities by year'!$A:$A) * (Y$10='[1]Elasticities by year'!$B:$B)* ($C31='[1]Elasticities by year'!$C:$C), '[1]Elasticities by year'!$D:$D)</f>
        <v>#N/A</v>
      </c>
      <c r="Z30" s="162" t="e" cm="1">
        <f t="array" ref="Z30">_xlfn.XLOOKUP(1, ('0. GUIDELINES'!$E$3='[1]Elasticities by year'!$A:$A) * (Z$10='[1]Elasticities by year'!$B:$B)* ($C31='[1]Elasticities by year'!$C:$C), '[1]Elasticities by year'!$D:$D)</f>
        <v>#N/A</v>
      </c>
      <c r="AA30" s="162" t="e" cm="1">
        <f t="array" ref="AA30">_xlfn.XLOOKUP(1, ('0. GUIDELINES'!$E$3='[1]Elasticities by year'!$A:$A) * (AA$10='[1]Elasticities by year'!$B:$B)* ($C31='[1]Elasticities by year'!$C:$C), '[1]Elasticities by year'!$D:$D)</f>
        <v>#N/A</v>
      </c>
      <c r="AB30" s="162" t="e" cm="1">
        <f t="array" ref="AB30">_xlfn.XLOOKUP(1, ('0. GUIDELINES'!$E$3='[1]Elasticities by year'!$A:$A) * (AB$10='[1]Elasticities by year'!$B:$B)* ($C31='[1]Elasticities by year'!$C:$C), '[1]Elasticities by year'!$D:$D)</f>
        <v>#N/A</v>
      </c>
      <c r="AC30" s="162" t="e" cm="1">
        <f t="array" ref="AC30">_xlfn.XLOOKUP(1, ('0. GUIDELINES'!$E$3='[1]Elasticities by year'!$A:$A) * (AC$10='[1]Elasticities by year'!$B:$B)* ($C31='[1]Elasticities by year'!$C:$C), '[1]Elasticities by year'!$D:$D)</f>
        <v>#N/A</v>
      </c>
      <c r="AD30" s="162" t="e" cm="1">
        <f t="array" ref="AD30">_xlfn.XLOOKUP(1, ('0. GUIDELINES'!$E$3='[1]Elasticities by year'!$A:$A) * (AD$10='[1]Elasticities by year'!$B:$B)* ($C31='[1]Elasticities by year'!$C:$C), '[1]Elasticities by year'!$D:$D)</f>
        <v>#N/A</v>
      </c>
      <c r="AE30" s="162" t="e" cm="1">
        <f t="array" ref="AE30">_xlfn.XLOOKUP(1, ('0. GUIDELINES'!$E$3='[1]Elasticities by year'!$A:$A) * (AE$10='[1]Elasticities by year'!$B:$B)* ($C31='[1]Elasticities by year'!$C:$C), '[1]Elasticities by year'!$D:$D)</f>
        <v>#N/A</v>
      </c>
      <c r="AF30" s="162" t="e" cm="1">
        <f t="array" ref="AF30">_xlfn.XLOOKUP(1, ('0. GUIDELINES'!$E$3='[1]Elasticities by year'!$A:$A) * (AF$10='[1]Elasticities by year'!$B:$B)* ($C31='[1]Elasticities by year'!$C:$C), '[1]Elasticities by year'!$D:$D)</f>
        <v>#N/A</v>
      </c>
      <c r="AG30" s="162" t="e" cm="1">
        <f t="array" ref="AG30">_xlfn.XLOOKUP(1, ('0. GUIDELINES'!$E$3='[1]Elasticities by year'!$A:$A) * (AG$10='[1]Elasticities by year'!$B:$B)* ($C31='[1]Elasticities by year'!$C:$C), '[1]Elasticities by year'!$D:$D)</f>
        <v>#N/A</v>
      </c>
      <c r="AH30" s="162" t="e" cm="1">
        <f t="array" ref="AH30">_xlfn.XLOOKUP(1, ('0. GUIDELINES'!$E$3='[1]Elasticities by year'!$A:$A) * (AH$10='[1]Elasticities by year'!$B:$B)* ($C31='[1]Elasticities by year'!$C:$C), '[1]Elasticities by year'!$D:$D)</f>
        <v>#N/A</v>
      </c>
      <c r="AI30" s="162" t="e" cm="1">
        <f t="array" ref="AI30">_xlfn.XLOOKUP(1, ('0. GUIDELINES'!$E$3='[1]Elasticities by year'!$A:$A) * (AI$10='[1]Elasticities by year'!$B:$B)* ($C31='[1]Elasticities by year'!$C:$C), '[1]Elasticities by year'!$D:$D)</f>
        <v>#N/A</v>
      </c>
      <c r="AJ30" s="162" t="e" cm="1">
        <f t="array" ref="AJ30">_xlfn.XLOOKUP(1, ('0. GUIDELINES'!$E$3='[1]Elasticities by year'!$A:$A) * (AJ$10='[1]Elasticities by year'!$B:$B)* ($C31='[1]Elasticities by year'!$C:$C), '[1]Elasticities by year'!$D:$D)</f>
        <v>#N/A</v>
      </c>
      <c r="AK30" s="162" t="e" cm="1">
        <f t="array" ref="AK30">_xlfn.XLOOKUP(1, ('0. GUIDELINES'!$E$3='[1]Elasticities by year'!$A:$A) * (AK$10='[1]Elasticities by year'!$B:$B)* ($C31='[1]Elasticities by year'!$C:$C), '[1]Elasticities by year'!$D:$D)</f>
        <v>#N/A</v>
      </c>
      <c r="AL30" s="162" t="e" cm="1">
        <f t="array" ref="AL30">_xlfn.XLOOKUP(1, ('0. GUIDELINES'!$E$3='[1]Elasticities by year'!$A:$A) * (AL$10='[1]Elasticities by year'!$B:$B)* ($C31='[1]Elasticities by year'!$C:$C), '[1]Elasticities by year'!$D:$D)</f>
        <v>#N/A</v>
      </c>
      <c r="AM30" s="162" t="e" cm="1">
        <f t="array" ref="AM30">_xlfn.XLOOKUP(1, ('0. GUIDELINES'!$E$3='[1]Elasticities by year'!$A:$A) * (AM$10='[1]Elasticities by year'!$B:$B)* ($C31='[1]Elasticities by year'!$C:$C), '[1]Elasticities by year'!$D:$D)</f>
        <v>#N/A</v>
      </c>
      <c r="AN30" s="162" t="e" cm="1">
        <f t="array" ref="AN30">_xlfn.XLOOKUP(1, ('0. GUIDELINES'!$E$3='[1]Elasticities by year'!$A:$A) * (AN$10='[1]Elasticities by year'!$B:$B)* ($C31='[1]Elasticities by year'!$C:$C), '[1]Elasticities by year'!$D:$D)</f>
        <v>#N/A</v>
      </c>
      <c r="AP30" s="343" t="e">
        <f>AVERAGEIF(X30:AK30, "&lt;&gt;#N/A")</f>
        <v>#DIV/0!</v>
      </c>
      <c r="AQ30" s="343" t="e">
        <f>AVERAGEIF(AC30:AK30, "&lt;&gt;#N/A")</f>
        <v>#DIV/0!</v>
      </c>
      <c r="AR30" s="343" t="e">
        <f>AVERAGEIF(AH30:AK30, "&lt;&gt;#N/A")</f>
        <v>#DIV/0!</v>
      </c>
      <c r="AU30" s="84"/>
      <c r="AV30" s="84"/>
      <c r="AW30" s="84"/>
      <c r="AX30" s="84"/>
      <c r="AY30" s="84"/>
      <c r="AZ30" s="84"/>
      <c r="BA30" s="84"/>
      <c r="BB30" s="84"/>
    </row>
    <row r="31" spans="1:54" ht="14.25" x14ac:dyDescent="0.2">
      <c r="A31" s="87" t="str">
        <f>VLOOKUP(P$28, 'CONTROL '!$D$1:$E$8, 2, 0)</f>
        <v>avg</v>
      </c>
      <c r="B31" s="87" t="str">
        <f>VLOOKUP(S$28, 'CONTROL '!$D$1:$E$8, 2, 0)</f>
        <v>reg</v>
      </c>
      <c r="C31" s="87" t="str">
        <f>IF($S$27="LFS",CONCATENATE("lf",'CONTROL '!$C15),CONCATENATE("hs",'CONTROL '!$C15))</f>
        <v>lfprod_s0_a1</v>
      </c>
      <c r="D31" s="123"/>
      <c r="E31" s="130"/>
      <c r="F31" s="84"/>
      <c r="G31" s="84"/>
      <c r="H31" s="84"/>
      <c r="I31" s="134" t="s">
        <v>390</v>
      </c>
      <c r="J31" s="133"/>
      <c r="K31" s="133">
        <v>-1.18</v>
      </c>
      <c r="L31" s="133">
        <v>-0.85499233705791688</v>
      </c>
      <c r="M31" s="133">
        <v>-0.1</v>
      </c>
      <c r="N31" s="133">
        <v>0.1</v>
      </c>
      <c r="O31" s="341"/>
      <c r="P31" s="344" cm="1">
        <f t="array" ref="P31">_xlfn.XLOOKUP(1, ('0. GUIDELINES'!$E$3=[1]Elasticities!$A:$A) * ("Long"=[1]Elasticities!$B:$B) * ($A$31=[1]Elasticities!$D:$D) * ($C31=[1]Elasticities!$E:$E) * ('2.1 LABOR STRUCTURE'!$E$4=[1]Elasticities!$G:$G), [1]Elasticities!$F:$F)</f>
        <v>1.0009294748306274</v>
      </c>
      <c r="Q31" s="344" cm="1">
        <f t="array" ref="Q31">_xlfn.XLOOKUP(1, ('0. GUIDELINES'!$E$3=[1]Elasticities!$A:$A) * ("Middle"=[1]Elasticities!$B:$B) * ($A$31=[1]Elasticities!$D:$D) * ($C31=[1]Elasticities!$E:$E) * ('2.1 LABOR STRUCTURE'!$E$4=[1]Elasticities!$G:$G), [1]Elasticities!$F:$F)</f>
        <v>1.0009294748306274</v>
      </c>
      <c r="R31" s="345" cm="1">
        <f t="array" ref="R31">_xlfn.XLOOKUP(1, ('0. GUIDELINES'!$E$3=[1]Elasticities!$A:$A) * ("Short"=[1]Elasticities!$B:$B) * ($A$31=[1]Elasticities!$D:$D) * ($C31=[1]Elasticities!$E:$E) * ('2.1 LABOR STRUCTURE'!$E$4=[1]Elasticities!$G:$G), [1]Elasticities!$F:$F)</f>
        <v>2.9618732929229736</v>
      </c>
      <c r="S31" s="344" cm="1">
        <f t="array" ref="S31">_xlfn.XLOOKUP(1, ('0. GUIDELINES'!$E$3=[1]Elasticities!$A:$A) * ("Long"=[1]Elasticities!$B:$B) * ($B$31=[1]Elasticities!$D:$D) * ($C31=[1]Elasticities!$E:$E) * ('2.1 LABOR STRUCTURE'!$E$4=[1]Elasticities!$G:$G), [1]Elasticities!$F:$F)</f>
        <v>-0.52494460344314575</v>
      </c>
      <c r="T31" s="344" cm="1">
        <f t="array" ref="T31">_xlfn.XLOOKUP(1, ('0. GUIDELINES'!$E$3=[1]Elasticities!$A:$A) * ("Middle"=[1]Elasticities!$B:$B) * ($B$31=[1]Elasticities!$D:$D) * ($C31=[1]Elasticities!$E:$E) * ('2.1 LABOR STRUCTURE'!$E$4=[1]Elasticities!$G:$G), [1]Elasticities!$F:$F)</f>
        <v>-0.6139214038848877</v>
      </c>
      <c r="U31" s="454" cm="1">
        <f t="array" ref="U31">_xlfn.XLOOKUP(1, ('0. GUIDELINES'!$E$3=[1]Elasticities!$A:$A) * ("Short"=[1]Elasticities!$B:$B) * ($B$31=[1]Elasticities!$D:$D) * ($C31=[1]Elasticities!$E:$E) * ('2.1 LABOR STRUCTURE'!$E$4=[1]Elasticities!$G:$G), [1]Elasticities!$F:$F)</f>
        <v>4.8268165588378906</v>
      </c>
      <c r="V31" s="350"/>
      <c r="W31" s="350"/>
      <c r="X31" s="162" t="e" cm="1">
        <f t="array" ref="X31">_xlfn.XLOOKUP(1, ('0. GUIDELINES'!$E$3='[1]Elasticities by year'!$A:$A) * (X$10='[1]Elasticities by year'!$B:$B)* ($C32='[1]Elasticities by year'!$C:$C), '[1]Elasticities by year'!$D:$D)</f>
        <v>#N/A</v>
      </c>
      <c r="Y31" s="162" t="e" cm="1">
        <f t="array" ref="Y31">_xlfn.XLOOKUP(1, ('0. GUIDELINES'!$E$3='[1]Elasticities by year'!$A:$A) * (Y$10='[1]Elasticities by year'!$B:$B)* ($C32='[1]Elasticities by year'!$C:$C), '[1]Elasticities by year'!$D:$D)</f>
        <v>#N/A</v>
      </c>
      <c r="Z31" s="162" t="e" cm="1">
        <f t="array" ref="Z31">_xlfn.XLOOKUP(1, ('0. GUIDELINES'!$E$3='[1]Elasticities by year'!$A:$A) * (Z$10='[1]Elasticities by year'!$B:$B)* ($C32='[1]Elasticities by year'!$C:$C), '[1]Elasticities by year'!$D:$D)</f>
        <v>#N/A</v>
      </c>
      <c r="AA31" s="162" t="e" cm="1">
        <f t="array" ref="AA31">_xlfn.XLOOKUP(1, ('0. GUIDELINES'!$E$3='[1]Elasticities by year'!$A:$A) * (AA$10='[1]Elasticities by year'!$B:$B)* ($C32='[1]Elasticities by year'!$C:$C), '[1]Elasticities by year'!$D:$D)</f>
        <v>#N/A</v>
      </c>
      <c r="AB31" s="162" t="e" cm="1">
        <f t="array" ref="AB31">_xlfn.XLOOKUP(1, ('0. GUIDELINES'!$E$3='[1]Elasticities by year'!$A:$A) * (AB$10='[1]Elasticities by year'!$B:$B)* ($C32='[1]Elasticities by year'!$C:$C), '[1]Elasticities by year'!$D:$D)</f>
        <v>#N/A</v>
      </c>
      <c r="AC31" s="162" t="e" cm="1">
        <f t="array" ref="AC31">_xlfn.XLOOKUP(1, ('0. GUIDELINES'!$E$3='[1]Elasticities by year'!$A:$A) * (AC$10='[1]Elasticities by year'!$B:$B)* ($C32='[1]Elasticities by year'!$C:$C), '[1]Elasticities by year'!$D:$D)</f>
        <v>#N/A</v>
      </c>
      <c r="AD31" s="162" t="e" cm="1">
        <f t="array" ref="AD31">_xlfn.XLOOKUP(1, ('0. GUIDELINES'!$E$3='[1]Elasticities by year'!$A:$A) * (AD$10='[1]Elasticities by year'!$B:$B)* ($C32='[1]Elasticities by year'!$C:$C), '[1]Elasticities by year'!$D:$D)</f>
        <v>#N/A</v>
      </c>
      <c r="AE31" s="162" t="e" cm="1">
        <f t="array" ref="AE31">_xlfn.XLOOKUP(1, ('0. GUIDELINES'!$E$3='[1]Elasticities by year'!$A:$A) * (AE$10='[1]Elasticities by year'!$B:$B)* ($C32='[1]Elasticities by year'!$C:$C), '[1]Elasticities by year'!$D:$D)</f>
        <v>#N/A</v>
      </c>
      <c r="AF31" s="162" t="e" cm="1">
        <f t="array" ref="AF31">_xlfn.XLOOKUP(1, ('0. GUIDELINES'!$E$3='[1]Elasticities by year'!$A:$A) * (AF$10='[1]Elasticities by year'!$B:$B)* ($C32='[1]Elasticities by year'!$C:$C), '[1]Elasticities by year'!$D:$D)</f>
        <v>#N/A</v>
      </c>
      <c r="AG31" s="162" t="e" cm="1">
        <f t="array" ref="AG31">_xlfn.XLOOKUP(1, ('0. GUIDELINES'!$E$3='[1]Elasticities by year'!$A:$A) * (AG$10='[1]Elasticities by year'!$B:$B)* ($C32='[1]Elasticities by year'!$C:$C), '[1]Elasticities by year'!$D:$D)</f>
        <v>#N/A</v>
      </c>
      <c r="AH31" s="162" t="e" cm="1">
        <f t="array" ref="AH31">_xlfn.XLOOKUP(1, ('0. GUIDELINES'!$E$3='[1]Elasticities by year'!$A:$A) * (AH$10='[1]Elasticities by year'!$B:$B)* ($C32='[1]Elasticities by year'!$C:$C), '[1]Elasticities by year'!$D:$D)</f>
        <v>#N/A</v>
      </c>
      <c r="AI31" s="162" t="e" cm="1">
        <f t="array" ref="AI31">_xlfn.XLOOKUP(1, ('0. GUIDELINES'!$E$3='[1]Elasticities by year'!$A:$A) * (AI$10='[1]Elasticities by year'!$B:$B)* ($C32='[1]Elasticities by year'!$C:$C), '[1]Elasticities by year'!$D:$D)</f>
        <v>#N/A</v>
      </c>
      <c r="AJ31" s="162" t="e" cm="1">
        <f t="array" ref="AJ31">_xlfn.XLOOKUP(1, ('0. GUIDELINES'!$E$3='[1]Elasticities by year'!$A:$A) * (AJ$10='[1]Elasticities by year'!$B:$B)* ($C32='[1]Elasticities by year'!$C:$C), '[1]Elasticities by year'!$D:$D)</f>
        <v>#N/A</v>
      </c>
      <c r="AK31" s="162" t="e" cm="1">
        <f t="array" ref="AK31">_xlfn.XLOOKUP(1, ('0. GUIDELINES'!$E$3='[1]Elasticities by year'!$A:$A) * (AK$10='[1]Elasticities by year'!$B:$B)* ($C32='[1]Elasticities by year'!$C:$C), '[1]Elasticities by year'!$D:$D)</f>
        <v>#N/A</v>
      </c>
      <c r="AL31" s="162" t="e" cm="1">
        <f t="array" ref="AL31">_xlfn.XLOOKUP(1, ('0. GUIDELINES'!$E$3='[1]Elasticities by year'!$A:$A) * (AL$10='[1]Elasticities by year'!$B:$B)* ($C32='[1]Elasticities by year'!$C:$C), '[1]Elasticities by year'!$D:$D)</f>
        <v>#N/A</v>
      </c>
      <c r="AM31" s="162" t="e" cm="1">
        <f t="array" ref="AM31">_xlfn.XLOOKUP(1, ('0. GUIDELINES'!$E$3='[1]Elasticities by year'!$A:$A) * (AM$10='[1]Elasticities by year'!$B:$B)* ($C32='[1]Elasticities by year'!$C:$C), '[1]Elasticities by year'!$D:$D)</f>
        <v>#N/A</v>
      </c>
      <c r="AN31" s="162" t="e" cm="1">
        <f t="array" ref="AN31">_xlfn.XLOOKUP(1, ('0. GUIDELINES'!$E$3='[1]Elasticities by year'!$A:$A) * (AN$10='[1]Elasticities by year'!$B:$B)* ($C32='[1]Elasticities by year'!$C:$C), '[1]Elasticities by year'!$D:$D)</f>
        <v>#N/A</v>
      </c>
      <c r="AP31" s="343" t="e">
        <f t="shared" ref="AP31" si="3">AVERAGEIF(X31:AK31, "&lt;&gt;#N/A")</f>
        <v>#DIV/0!</v>
      </c>
      <c r="AQ31" s="343" t="e">
        <f t="shared" ref="AQ31" si="4">AVERAGEIF(AC31:AK31, "&lt;&gt;#N/A")</f>
        <v>#DIV/0!</v>
      </c>
      <c r="AR31" s="343" t="e">
        <f t="shared" ref="AR31" si="5">AVERAGEIF(AH31:AK31, "&lt;&gt;#N/A")</f>
        <v>#DIV/0!</v>
      </c>
      <c r="AU31" s="84"/>
      <c r="AV31" s="84"/>
      <c r="AW31" s="84"/>
      <c r="AX31" s="84"/>
      <c r="AY31" s="84"/>
      <c r="AZ31" s="84"/>
      <c r="BA31" s="84"/>
      <c r="BB31" s="84"/>
    </row>
    <row r="32" spans="1:54" ht="14.25" x14ac:dyDescent="0.2">
      <c r="A32" s="87"/>
      <c r="B32" s="87"/>
      <c r="C32" s="87" t="str">
        <f>IF($S$27="LFS",CONCATENATE("lf",'CONTROL '!$C16),CONCATENATE("hs",'CONTROL '!$C16))</f>
        <v>lfprod_s1_a1</v>
      </c>
      <c r="D32" s="123"/>
      <c r="E32" s="130"/>
      <c r="F32" s="84"/>
      <c r="G32" s="84"/>
      <c r="H32" s="84"/>
      <c r="I32" s="134" t="s">
        <v>389</v>
      </c>
      <c r="J32" s="133"/>
      <c r="K32" s="133">
        <v>0.3</v>
      </c>
      <c r="L32" s="133">
        <v>0.2</v>
      </c>
      <c r="M32" s="133">
        <v>-1</v>
      </c>
      <c r="N32" s="133">
        <v>0.15</v>
      </c>
      <c r="O32" s="341"/>
      <c r="P32" s="344" cm="1">
        <f t="array" ref="P32">_xlfn.XLOOKUP(1, ('0. GUIDELINES'!$E$3=[1]Elasticities!$A:$A) * ("Long"=[1]Elasticities!$B:$B) * ($A$31=[1]Elasticities!$D:$D) * ($C32=[1]Elasticities!$E:$E) * ('2.1 LABOR STRUCTURE'!$E$4=[1]Elasticities!$G:$G), [1]Elasticities!$F:$F)</f>
        <v>1.7518855333328247</v>
      </c>
      <c r="Q32" s="344" cm="1">
        <f t="array" ref="Q32">_xlfn.XLOOKUP(1, ('0. GUIDELINES'!$E$3=[1]Elasticities!$A:$A) * ("Middle"=[1]Elasticities!$B:$B) * ($A$31=[1]Elasticities!$D:$D) * ($C32=[1]Elasticities!$E:$E) * ('2.1 LABOR STRUCTURE'!$E$4=[1]Elasticities!$G:$G), [1]Elasticities!$F:$F)</f>
        <v>1.7518855333328247</v>
      </c>
      <c r="R32" s="345" cm="1">
        <f t="array" ref="R32">_xlfn.XLOOKUP(1, ('0. GUIDELINES'!$E$3=[1]Elasticities!$A:$A) * ("Short"=[1]Elasticities!$B:$B) * ($A$31=[1]Elasticities!$D:$D) * ($C32=[1]Elasticities!$E:$E) * ('2.1 LABOR STRUCTURE'!$E$4=[1]Elasticities!$G:$G), [1]Elasticities!$F:$F)</f>
        <v>-1.6635783910751343</v>
      </c>
      <c r="S32" s="344" cm="1">
        <f t="array" ref="S32">_xlfn.XLOOKUP(1, ('0. GUIDELINES'!$E$3=[1]Elasticities!$A:$A) * ("Long"=[1]Elasticities!$B:$B) * ($B$31=[1]Elasticities!$D:$D) * ($C32=[1]Elasticities!$E:$E) * ('2.1 LABOR STRUCTURE'!$E$4=[1]Elasticities!$G:$G), [1]Elasticities!$F:$F)</f>
        <v>-0.71804684400558472</v>
      </c>
      <c r="T32" s="344" cm="1">
        <f t="array" ref="T32">_xlfn.XLOOKUP(1, ('0. GUIDELINES'!$E$3=[1]Elasticities!$A:$A) * ("Middle"=[1]Elasticities!$B:$B) * ($B$31=[1]Elasticities!$D:$D) * ($C32=[1]Elasticities!$E:$E) * ('2.1 LABOR STRUCTURE'!$E$4=[1]Elasticities!$G:$G), [1]Elasticities!$F:$F)</f>
        <v>0.30451083183288574</v>
      </c>
      <c r="U32" s="454" cm="1">
        <f t="array" ref="U32">_xlfn.XLOOKUP(1, ('0. GUIDELINES'!$E$3=[1]Elasticities!$A:$A) * ("Short"=[1]Elasticities!$B:$B) * ($B$31=[1]Elasticities!$D:$D) * ($C32=[1]Elasticities!$E:$E) * ('2.1 LABOR STRUCTURE'!$E$4=[1]Elasticities!$G:$G), [1]Elasticities!$F:$F)</f>
        <v>-3.1076726913452148</v>
      </c>
      <c r="V32" s="350"/>
      <c r="W32" s="350"/>
      <c r="X32" s="162" t="e" cm="1">
        <f t="array" ref="X32">_xlfn.XLOOKUP(1, ('0. GUIDELINES'!$E$3='[1]Elasticities by year'!$A:$A) * (X$10='[1]Elasticities by year'!$B:$B)* ($C33='[1]Elasticities by year'!$C:$C), '[1]Elasticities by year'!$D:$D)</f>
        <v>#N/A</v>
      </c>
      <c r="Y32" s="162" t="e" cm="1">
        <f t="array" ref="Y32">_xlfn.XLOOKUP(1, ('0. GUIDELINES'!$E$3='[1]Elasticities by year'!$A:$A) * (Y$10='[1]Elasticities by year'!$B:$B)* ($C33='[1]Elasticities by year'!$C:$C), '[1]Elasticities by year'!$D:$D)</f>
        <v>#N/A</v>
      </c>
      <c r="Z32" s="162" t="e" cm="1">
        <f t="array" ref="Z32">_xlfn.XLOOKUP(1, ('0. GUIDELINES'!$E$3='[1]Elasticities by year'!$A:$A) * (Z$10='[1]Elasticities by year'!$B:$B)* ($C33='[1]Elasticities by year'!$C:$C), '[1]Elasticities by year'!$D:$D)</f>
        <v>#N/A</v>
      </c>
      <c r="AA32" s="162" t="e" cm="1">
        <f t="array" ref="AA32">_xlfn.XLOOKUP(1, ('0. GUIDELINES'!$E$3='[1]Elasticities by year'!$A:$A) * (AA$10='[1]Elasticities by year'!$B:$B)* ($C33='[1]Elasticities by year'!$C:$C), '[1]Elasticities by year'!$D:$D)</f>
        <v>#N/A</v>
      </c>
      <c r="AB32" s="162" t="e" cm="1">
        <f t="array" ref="AB32">_xlfn.XLOOKUP(1, ('0. GUIDELINES'!$E$3='[1]Elasticities by year'!$A:$A) * (AB$10='[1]Elasticities by year'!$B:$B)* ($C33='[1]Elasticities by year'!$C:$C), '[1]Elasticities by year'!$D:$D)</f>
        <v>#N/A</v>
      </c>
      <c r="AC32" s="162" t="e" cm="1">
        <f t="array" ref="AC32">_xlfn.XLOOKUP(1, ('0. GUIDELINES'!$E$3='[1]Elasticities by year'!$A:$A) * (AC$10='[1]Elasticities by year'!$B:$B)* ($C33='[1]Elasticities by year'!$C:$C), '[1]Elasticities by year'!$D:$D)</f>
        <v>#N/A</v>
      </c>
      <c r="AD32" s="162" t="e" cm="1">
        <f t="array" ref="AD32">_xlfn.XLOOKUP(1, ('0. GUIDELINES'!$E$3='[1]Elasticities by year'!$A:$A) * (AD$10='[1]Elasticities by year'!$B:$B)* ($C33='[1]Elasticities by year'!$C:$C), '[1]Elasticities by year'!$D:$D)</f>
        <v>#N/A</v>
      </c>
      <c r="AE32" s="162" t="e" cm="1">
        <f t="array" ref="AE32">_xlfn.XLOOKUP(1, ('0. GUIDELINES'!$E$3='[1]Elasticities by year'!$A:$A) * (AE$10='[1]Elasticities by year'!$B:$B)* ($C33='[1]Elasticities by year'!$C:$C), '[1]Elasticities by year'!$D:$D)</f>
        <v>#N/A</v>
      </c>
      <c r="AF32" s="162" t="e" cm="1">
        <f t="array" ref="AF32">_xlfn.XLOOKUP(1, ('0. GUIDELINES'!$E$3='[1]Elasticities by year'!$A:$A) * (AF$10='[1]Elasticities by year'!$B:$B)* ($C33='[1]Elasticities by year'!$C:$C), '[1]Elasticities by year'!$D:$D)</f>
        <v>#N/A</v>
      </c>
      <c r="AG32" s="162" t="e" cm="1">
        <f t="array" ref="AG32">_xlfn.XLOOKUP(1, ('0. GUIDELINES'!$E$3='[1]Elasticities by year'!$A:$A) * (AG$10='[1]Elasticities by year'!$B:$B)* ($C33='[1]Elasticities by year'!$C:$C), '[1]Elasticities by year'!$D:$D)</f>
        <v>#N/A</v>
      </c>
      <c r="AH32" s="162" t="e" cm="1">
        <f t="array" ref="AH32">_xlfn.XLOOKUP(1, ('0. GUIDELINES'!$E$3='[1]Elasticities by year'!$A:$A) * (AH$10='[1]Elasticities by year'!$B:$B)* ($C33='[1]Elasticities by year'!$C:$C), '[1]Elasticities by year'!$D:$D)</f>
        <v>#N/A</v>
      </c>
      <c r="AI32" s="162" t="e" cm="1">
        <f t="array" ref="AI32">_xlfn.XLOOKUP(1, ('0. GUIDELINES'!$E$3='[1]Elasticities by year'!$A:$A) * (AI$10='[1]Elasticities by year'!$B:$B)* ($C33='[1]Elasticities by year'!$C:$C), '[1]Elasticities by year'!$D:$D)</f>
        <v>#N/A</v>
      </c>
      <c r="AJ32" s="162" t="e" cm="1">
        <f t="array" ref="AJ32">_xlfn.XLOOKUP(1, ('0. GUIDELINES'!$E$3='[1]Elasticities by year'!$A:$A) * (AJ$10='[1]Elasticities by year'!$B:$B)* ($C33='[1]Elasticities by year'!$C:$C), '[1]Elasticities by year'!$D:$D)</f>
        <v>#N/A</v>
      </c>
      <c r="AK32" s="162" t="e" cm="1">
        <f t="array" ref="AK32">_xlfn.XLOOKUP(1, ('0. GUIDELINES'!$E$3='[1]Elasticities by year'!$A:$A) * (AK$10='[1]Elasticities by year'!$B:$B)* ($C33='[1]Elasticities by year'!$C:$C), '[1]Elasticities by year'!$D:$D)</f>
        <v>#N/A</v>
      </c>
      <c r="AL32" s="162" t="e" cm="1">
        <f t="array" ref="AL32">_xlfn.XLOOKUP(1, ('0. GUIDELINES'!$E$3='[1]Elasticities by year'!$A:$A) * (AL$10='[1]Elasticities by year'!$B:$B)* ($C33='[1]Elasticities by year'!$C:$C), '[1]Elasticities by year'!$D:$D)</f>
        <v>#N/A</v>
      </c>
      <c r="AM32" s="162" t="e" cm="1">
        <f t="array" ref="AM32">_xlfn.XLOOKUP(1, ('0. GUIDELINES'!$E$3='[1]Elasticities by year'!$A:$A) * (AM$10='[1]Elasticities by year'!$B:$B)* ($C33='[1]Elasticities by year'!$C:$C), '[1]Elasticities by year'!$D:$D)</f>
        <v>#N/A</v>
      </c>
      <c r="AN32" s="162" t="e" cm="1">
        <f t="array" ref="AN32">_xlfn.XLOOKUP(1, ('0. GUIDELINES'!$E$3='[1]Elasticities by year'!$A:$A) * (AN$10='[1]Elasticities by year'!$B:$B)* ($C33='[1]Elasticities by year'!$C:$C), '[1]Elasticities by year'!$D:$D)</f>
        <v>#N/A</v>
      </c>
      <c r="AP32" s="343"/>
      <c r="AQ32" s="343"/>
      <c r="AR32" s="343"/>
      <c r="AU32" s="84"/>
      <c r="AV32" s="84"/>
      <c r="AW32" s="84"/>
      <c r="AX32" s="84"/>
      <c r="AY32" s="84"/>
      <c r="AZ32" s="84"/>
      <c r="BA32" s="84"/>
      <c r="BB32" s="84"/>
    </row>
    <row r="33" spans="1:54" ht="14.25" x14ac:dyDescent="0.2">
      <c r="A33" s="87"/>
      <c r="B33" s="87"/>
      <c r="C33" s="87" t="str">
        <f>IF($S$27="LFS",CONCATENATE("lf",'CONTROL '!$C17),CONCATENATE("hs",'CONTROL '!$C17))</f>
        <v>lfprod_s0_a2</v>
      </c>
      <c r="D33" s="123"/>
      <c r="E33" s="130"/>
      <c r="F33" s="84"/>
      <c r="G33" s="84"/>
      <c r="H33" s="84"/>
      <c r="I33" s="134" t="s">
        <v>610</v>
      </c>
      <c r="J33" s="133"/>
      <c r="K33" s="133">
        <v>-0.65</v>
      </c>
      <c r="L33" s="133">
        <v>-0.58539843219636634</v>
      </c>
      <c r="M33" s="133">
        <v>-1</v>
      </c>
      <c r="N33" s="133">
        <v>-3</v>
      </c>
      <c r="O33" s="406"/>
      <c r="P33" s="344" cm="1">
        <f t="array" ref="P33">_xlfn.XLOOKUP(1, ('0. GUIDELINES'!$E$3=[1]Elasticities!$A:$A) * ("Long"=[1]Elasticities!$B:$B) * ($A$31=[1]Elasticities!$D:$D) * ($C33=[1]Elasticities!$E:$E) * ('2.1 LABOR STRUCTURE'!$E$4=[1]Elasticities!$G:$G), [1]Elasticities!$F:$F)</f>
        <v>-0.50713980197906494</v>
      </c>
      <c r="Q33" s="344" cm="1">
        <f t="array" ref="Q33">_xlfn.XLOOKUP(1, ('0. GUIDELINES'!$E$3=[1]Elasticities!$A:$A) * ("Middle"=[1]Elasticities!$B:$B) * ($A$31=[1]Elasticities!$D:$D) * ($C33=[1]Elasticities!$E:$E) * ('2.1 LABOR STRUCTURE'!$E$4=[1]Elasticities!$G:$G), [1]Elasticities!$F:$F)</f>
        <v>-0.50713980197906494</v>
      </c>
      <c r="R33" s="345" cm="1">
        <f t="array" ref="R33">_xlfn.XLOOKUP(1, ('0. GUIDELINES'!$E$3=[1]Elasticities!$A:$A) * ("Short"=[1]Elasticities!$B:$B) * ($A$31=[1]Elasticities!$D:$D) * ($C33=[1]Elasticities!$E:$E) * ('2.1 LABOR STRUCTURE'!$E$4=[1]Elasticities!$G:$G), [1]Elasticities!$F:$F)</f>
        <v>-0.77346688508987427</v>
      </c>
      <c r="S33" s="344" cm="1">
        <f t="array" ref="S33">_xlfn.XLOOKUP(1, ('0. GUIDELINES'!$E$3=[1]Elasticities!$A:$A) * ("Long"=[1]Elasticities!$B:$B) * ($B$31=[1]Elasticities!$D:$D) * ($C33=[1]Elasticities!$E:$E) * ('2.1 LABOR STRUCTURE'!$E$4=[1]Elasticities!$G:$G), [1]Elasticities!$F:$F)</f>
        <v>-0.64620739221572876</v>
      </c>
      <c r="T33" s="344" cm="1">
        <f t="array" ref="T33">_xlfn.XLOOKUP(1, ('0. GUIDELINES'!$E$3=[1]Elasticities!$A:$A) * ("Middle"=[1]Elasticities!$B:$B) * ($B$31=[1]Elasticities!$D:$D) * ($C33=[1]Elasticities!$E:$E) * ('2.1 LABOR STRUCTURE'!$E$4=[1]Elasticities!$G:$G), [1]Elasticities!$F:$F)</f>
        <v>-0.88146835565567017</v>
      </c>
      <c r="U33" s="454" cm="1">
        <f t="array" ref="U33">_xlfn.XLOOKUP(1, ('0. GUIDELINES'!$E$3=[1]Elasticities!$A:$A) * ("Short"=[1]Elasticities!$B:$B) * ($B$31=[1]Elasticities!$D:$D) * ($C33=[1]Elasticities!$E:$E) * ('2.1 LABOR STRUCTURE'!$E$4=[1]Elasticities!$G:$G), [1]Elasticities!$F:$F)</f>
        <v>-1.0484356880187988</v>
      </c>
      <c r="V33" s="350"/>
      <c r="W33" s="350"/>
      <c r="X33" s="162" t="e" cm="1">
        <f t="array" ref="X33">_xlfn.XLOOKUP(1, ('0. GUIDELINES'!$E$3='[1]Elasticities by year'!$A:$A) * (X$10='[1]Elasticities by year'!$B:$B)* ($C34='[1]Elasticities by year'!$C:$C), '[1]Elasticities by year'!$D:$D)</f>
        <v>#N/A</v>
      </c>
      <c r="Y33" s="162" t="e" cm="1">
        <f t="array" ref="Y33">_xlfn.XLOOKUP(1, ('0. GUIDELINES'!$E$3='[1]Elasticities by year'!$A:$A) * (Y$10='[1]Elasticities by year'!$B:$B)* ($C34='[1]Elasticities by year'!$C:$C), '[1]Elasticities by year'!$D:$D)</f>
        <v>#N/A</v>
      </c>
      <c r="Z33" s="162" t="e" cm="1">
        <f t="array" ref="Z33">_xlfn.XLOOKUP(1, ('0. GUIDELINES'!$E$3='[1]Elasticities by year'!$A:$A) * (Z$10='[1]Elasticities by year'!$B:$B)* ($C34='[1]Elasticities by year'!$C:$C), '[1]Elasticities by year'!$D:$D)</f>
        <v>#N/A</v>
      </c>
      <c r="AA33" s="162" t="e" cm="1">
        <f t="array" ref="AA33">_xlfn.XLOOKUP(1, ('0. GUIDELINES'!$E$3='[1]Elasticities by year'!$A:$A) * (AA$10='[1]Elasticities by year'!$B:$B)* ($C34='[1]Elasticities by year'!$C:$C), '[1]Elasticities by year'!$D:$D)</f>
        <v>#N/A</v>
      </c>
      <c r="AB33" s="162" t="e" cm="1">
        <f t="array" ref="AB33">_xlfn.XLOOKUP(1, ('0. GUIDELINES'!$E$3='[1]Elasticities by year'!$A:$A) * (AB$10='[1]Elasticities by year'!$B:$B)* ($C34='[1]Elasticities by year'!$C:$C), '[1]Elasticities by year'!$D:$D)</f>
        <v>#N/A</v>
      </c>
      <c r="AC33" s="162" t="e" cm="1">
        <f t="array" ref="AC33">_xlfn.XLOOKUP(1, ('0. GUIDELINES'!$E$3='[1]Elasticities by year'!$A:$A) * (AC$10='[1]Elasticities by year'!$B:$B)* ($C34='[1]Elasticities by year'!$C:$C), '[1]Elasticities by year'!$D:$D)</f>
        <v>#N/A</v>
      </c>
      <c r="AD33" s="162" t="e" cm="1">
        <f t="array" ref="AD33">_xlfn.XLOOKUP(1, ('0. GUIDELINES'!$E$3='[1]Elasticities by year'!$A:$A) * (AD$10='[1]Elasticities by year'!$B:$B)* ($C34='[1]Elasticities by year'!$C:$C), '[1]Elasticities by year'!$D:$D)</f>
        <v>#N/A</v>
      </c>
      <c r="AE33" s="162" t="e" cm="1">
        <f t="array" ref="AE33">_xlfn.XLOOKUP(1, ('0. GUIDELINES'!$E$3='[1]Elasticities by year'!$A:$A) * (AE$10='[1]Elasticities by year'!$B:$B)* ($C34='[1]Elasticities by year'!$C:$C), '[1]Elasticities by year'!$D:$D)</f>
        <v>#N/A</v>
      </c>
      <c r="AF33" s="162" t="e" cm="1">
        <f t="array" ref="AF33">_xlfn.XLOOKUP(1, ('0. GUIDELINES'!$E$3='[1]Elasticities by year'!$A:$A) * (AF$10='[1]Elasticities by year'!$B:$B)* ($C34='[1]Elasticities by year'!$C:$C), '[1]Elasticities by year'!$D:$D)</f>
        <v>#N/A</v>
      </c>
      <c r="AG33" s="162" t="e" cm="1">
        <f t="array" ref="AG33">_xlfn.XLOOKUP(1, ('0. GUIDELINES'!$E$3='[1]Elasticities by year'!$A:$A) * (AG$10='[1]Elasticities by year'!$B:$B)* ($C34='[1]Elasticities by year'!$C:$C), '[1]Elasticities by year'!$D:$D)</f>
        <v>#N/A</v>
      </c>
      <c r="AH33" s="162" t="e" cm="1">
        <f t="array" ref="AH33">_xlfn.XLOOKUP(1, ('0. GUIDELINES'!$E$3='[1]Elasticities by year'!$A:$A) * (AH$10='[1]Elasticities by year'!$B:$B)* ($C34='[1]Elasticities by year'!$C:$C), '[1]Elasticities by year'!$D:$D)</f>
        <v>#N/A</v>
      </c>
      <c r="AI33" s="162" t="e" cm="1">
        <f t="array" ref="AI33">_xlfn.XLOOKUP(1, ('0. GUIDELINES'!$E$3='[1]Elasticities by year'!$A:$A) * (AI$10='[1]Elasticities by year'!$B:$B)* ($C34='[1]Elasticities by year'!$C:$C), '[1]Elasticities by year'!$D:$D)</f>
        <v>#N/A</v>
      </c>
      <c r="AJ33" s="162" t="e" cm="1">
        <f t="array" ref="AJ33">_xlfn.XLOOKUP(1, ('0. GUIDELINES'!$E$3='[1]Elasticities by year'!$A:$A) * (AJ$10='[1]Elasticities by year'!$B:$B)* ($C34='[1]Elasticities by year'!$C:$C), '[1]Elasticities by year'!$D:$D)</f>
        <v>#N/A</v>
      </c>
      <c r="AK33" s="162" t="e" cm="1">
        <f t="array" ref="AK33">_xlfn.XLOOKUP(1, ('0. GUIDELINES'!$E$3='[1]Elasticities by year'!$A:$A) * (AK$10='[1]Elasticities by year'!$B:$B)* ($C34='[1]Elasticities by year'!$C:$C), '[1]Elasticities by year'!$D:$D)</f>
        <v>#N/A</v>
      </c>
      <c r="AL33" s="162" t="e" cm="1">
        <f t="array" ref="AL33">_xlfn.XLOOKUP(1, ('0. GUIDELINES'!$E$3='[1]Elasticities by year'!$A:$A) * (AL$10='[1]Elasticities by year'!$B:$B)* ($C34='[1]Elasticities by year'!$C:$C), '[1]Elasticities by year'!$D:$D)</f>
        <v>#N/A</v>
      </c>
      <c r="AM33" s="162" t="e" cm="1">
        <f t="array" ref="AM33">_xlfn.XLOOKUP(1, ('0. GUIDELINES'!$E$3='[1]Elasticities by year'!$A:$A) * (AM$10='[1]Elasticities by year'!$B:$B)* ($C34='[1]Elasticities by year'!$C:$C), '[1]Elasticities by year'!$D:$D)</f>
        <v>#N/A</v>
      </c>
      <c r="AN33" s="162" t="e" cm="1">
        <f t="array" ref="AN33">_xlfn.XLOOKUP(1, ('0. GUIDELINES'!$E$3='[1]Elasticities by year'!$A:$A) * (AN$10='[1]Elasticities by year'!$B:$B)* ($C34='[1]Elasticities by year'!$C:$C), '[1]Elasticities by year'!$D:$D)</f>
        <v>#N/A</v>
      </c>
      <c r="AP33" s="343"/>
      <c r="AQ33" s="343"/>
      <c r="AR33" s="343"/>
      <c r="AU33" s="84"/>
      <c r="AV33" s="84"/>
      <c r="AW33" s="84"/>
      <c r="AX33" s="84"/>
      <c r="AY33" s="84"/>
      <c r="AZ33" s="84"/>
      <c r="BA33" s="84"/>
      <c r="BB33" s="84"/>
    </row>
    <row r="34" spans="1:54" ht="14.25" x14ac:dyDescent="0.2">
      <c r="A34" s="87"/>
      <c r="B34" s="87"/>
      <c r="C34" s="87" t="str">
        <f>IF($S$27="LFS",CONCATENATE("lf",'CONTROL '!$C18),CONCATENATE("hs",'CONTROL '!$C18))</f>
        <v>lfprod_s1_a2</v>
      </c>
      <c r="D34" s="123"/>
      <c r="E34" s="130"/>
      <c r="F34" s="84"/>
      <c r="G34" s="84"/>
      <c r="H34" s="84"/>
      <c r="I34" s="134" t="s">
        <v>611</v>
      </c>
      <c r="J34" s="133"/>
      <c r="K34" s="133">
        <v>-7.0000000000000007E-2</v>
      </c>
      <c r="L34" s="133">
        <v>-0.1</v>
      </c>
      <c r="M34" s="133">
        <v>-0.8</v>
      </c>
      <c r="N34" s="133">
        <v>-3.2</v>
      </c>
      <c r="O34" s="406"/>
      <c r="P34" s="344" cm="1">
        <f t="array" ref="P34">_xlfn.XLOOKUP(1, ('0. GUIDELINES'!$E$3=[1]Elasticities!$A:$A) * ("Long"=[1]Elasticities!$B:$B) * ($A$31=[1]Elasticities!$D:$D) * ($C34=[1]Elasticities!$E:$E) * ('2.1 LABOR STRUCTURE'!$E$4=[1]Elasticities!$G:$G), [1]Elasticities!$F:$F)</f>
        <v>0.16247689723968506</v>
      </c>
      <c r="Q34" s="344" cm="1">
        <f t="array" ref="Q34">_xlfn.XLOOKUP(1, ('0. GUIDELINES'!$E$3=[1]Elasticities!$A:$A) * ("Middle"=[1]Elasticities!$B:$B) * ($A$31=[1]Elasticities!$D:$D) * ($C34=[1]Elasticities!$E:$E) * ('2.1 LABOR STRUCTURE'!$E$4=[1]Elasticities!$G:$G), [1]Elasticities!$F:$F)</f>
        <v>0.16247689723968506</v>
      </c>
      <c r="R34" s="345" cm="1">
        <f t="array" ref="R34">_xlfn.XLOOKUP(1, ('0. GUIDELINES'!$E$3=[1]Elasticities!$A:$A) * ("Short"=[1]Elasticities!$B:$B) * ($A$31=[1]Elasticities!$D:$D) * ($C34=[1]Elasticities!$E:$E) * ('2.1 LABOR STRUCTURE'!$E$4=[1]Elasticities!$G:$G), [1]Elasticities!$F:$F)</f>
        <v>0.26265612244606018</v>
      </c>
      <c r="S34" s="344" cm="1">
        <f t="array" ref="S34">_xlfn.XLOOKUP(1, ('0. GUIDELINES'!$E$3=[1]Elasticities!$A:$A) * ("Long"=[1]Elasticities!$B:$B) * ($B$31=[1]Elasticities!$D:$D) * ($C34=[1]Elasticities!$E:$E) * ('2.1 LABOR STRUCTURE'!$E$4=[1]Elasticities!$G:$G), [1]Elasticities!$F:$F)</f>
        <v>-0.24523423612117767</v>
      </c>
      <c r="T34" s="344" cm="1">
        <f t="array" ref="T34">_xlfn.XLOOKUP(1, ('0. GUIDELINES'!$E$3=[1]Elasticities!$A:$A) * ("Middle"=[1]Elasticities!$B:$B) * ($B$31=[1]Elasticities!$D:$D) * ($C34=[1]Elasticities!$E:$E) * ('2.1 LABOR STRUCTURE'!$E$4=[1]Elasticities!$G:$G), [1]Elasticities!$F:$F)</f>
        <v>-6.5231643617153168E-2</v>
      </c>
      <c r="U34" s="454" cm="1">
        <f t="array" ref="U34">_xlfn.XLOOKUP(1, ('0. GUIDELINES'!$E$3=[1]Elasticities!$A:$A) * ("Short"=[1]Elasticities!$B:$B) * ($B$31=[1]Elasticities!$D:$D) * ($C34=[1]Elasticities!$E:$E) * ('2.1 LABOR STRUCTURE'!$E$4=[1]Elasticities!$G:$G), [1]Elasticities!$F:$F)</f>
        <v>-0.95516574382781982</v>
      </c>
      <c r="V34" s="350"/>
      <c r="W34" s="350"/>
      <c r="X34" s="162" t="e" cm="1">
        <f t="array" ref="X34">_xlfn.XLOOKUP(1, ('0. GUIDELINES'!$E$3='[1]Elasticities by year'!$A:$A) * (X$10='[1]Elasticities by year'!$B:$B)* ($C35='[1]Elasticities by year'!$C:$C), '[1]Elasticities by year'!$D:$D)</f>
        <v>#N/A</v>
      </c>
      <c r="Y34" s="162" t="e" cm="1">
        <f t="array" ref="Y34">_xlfn.XLOOKUP(1, ('0. GUIDELINES'!$E$3='[1]Elasticities by year'!$A:$A) * (Y$10='[1]Elasticities by year'!$B:$B)* ($C35='[1]Elasticities by year'!$C:$C), '[1]Elasticities by year'!$D:$D)</f>
        <v>#N/A</v>
      </c>
      <c r="Z34" s="162" t="e" cm="1">
        <f t="array" ref="Z34">_xlfn.XLOOKUP(1, ('0. GUIDELINES'!$E$3='[1]Elasticities by year'!$A:$A) * (Z$10='[1]Elasticities by year'!$B:$B)* ($C35='[1]Elasticities by year'!$C:$C), '[1]Elasticities by year'!$D:$D)</f>
        <v>#N/A</v>
      </c>
      <c r="AA34" s="162" t="e" cm="1">
        <f t="array" ref="AA34">_xlfn.XLOOKUP(1, ('0. GUIDELINES'!$E$3='[1]Elasticities by year'!$A:$A) * (AA$10='[1]Elasticities by year'!$B:$B)* ($C35='[1]Elasticities by year'!$C:$C), '[1]Elasticities by year'!$D:$D)</f>
        <v>#N/A</v>
      </c>
      <c r="AB34" s="162" t="e" cm="1">
        <f t="array" ref="AB34">_xlfn.XLOOKUP(1, ('0. GUIDELINES'!$E$3='[1]Elasticities by year'!$A:$A) * (AB$10='[1]Elasticities by year'!$B:$B)* ($C35='[1]Elasticities by year'!$C:$C), '[1]Elasticities by year'!$D:$D)</f>
        <v>#N/A</v>
      </c>
      <c r="AC34" s="162" t="e" cm="1">
        <f t="array" ref="AC34">_xlfn.XLOOKUP(1, ('0. GUIDELINES'!$E$3='[1]Elasticities by year'!$A:$A) * (AC$10='[1]Elasticities by year'!$B:$B)* ($C35='[1]Elasticities by year'!$C:$C), '[1]Elasticities by year'!$D:$D)</f>
        <v>#N/A</v>
      </c>
      <c r="AD34" s="162" t="e" cm="1">
        <f t="array" ref="AD34">_xlfn.XLOOKUP(1, ('0. GUIDELINES'!$E$3='[1]Elasticities by year'!$A:$A) * (AD$10='[1]Elasticities by year'!$B:$B)* ($C35='[1]Elasticities by year'!$C:$C), '[1]Elasticities by year'!$D:$D)</f>
        <v>#N/A</v>
      </c>
      <c r="AE34" s="162" t="e" cm="1">
        <f t="array" ref="AE34">_xlfn.XLOOKUP(1, ('0. GUIDELINES'!$E$3='[1]Elasticities by year'!$A:$A) * (AE$10='[1]Elasticities by year'!$B:$B)* ($C35='[1]Elasticities by year'!$C:$C), '[1]Elasticities by year'!$D:$D)</f>
        <v>#N/A</v>
      </c>
      <c r="AF34" s="162" t="e" cm="1">
        <f t="array" ref="AF34">_xlfn.XLOOKUP(1, ('0. GUIDELINES'!$E$3='[1]Elasticities by year'!$A:$A) * (AF$10='[1]Elasticities by year'!$B:$B)* ($C35='[1]Elasticities by year'!$C:$C), '[1]Elasticities by year'!$D:$D)</f>
        <v>#N/A</v>
      </c>
      <c r="AG34" s="162" t="e" cm="1">
        <f t="array" ref="AG34">_xlfn.XLOOKUP(1, ('0. GUIDELINES'!$E$3='[1]Elasticities by year'!$A:$A) * (AG$10='[1]Elasticities by year'!$B:$B)* ($C35='[1]Elasticities by year'!$C:$C), '[1]Elasticities by year'!$D:$D)</f>
        <v>#N/A</v>
      </c>
      <c r="AH34" s="162" t="e" cm="1">
        <f t="array" ref="AH34">_xlfn.XLOOKUP(1, ('0. GUIDELINES'!$E$3='[1]Elasticities by year'!$A:$A) * (AH$10='[1]Elasticities by year'!$B:$B)* ($C35='[1]Elasticities by year'!$C:$C), '[1]Elasticities by year'!$D:$D)</f>
        <v>#N/A</v>
      </c>
      <c r="AI34" s="162" t="e" cm="1">
        <f t="array" ref="AI34">_xlfn.XLOOKUP(1, ('0. GUIDELINES'!$E$3='[1]Elasticities by year'!$A:$A) * (AI$10='[1]Elasticities by year'!$B:$B)* ($C35='[1]Elasticities by year'!$C:$C), '[1]Elasticities by year'!$D:$D)</f>
        <v>#N/A</v>
      </c>
      <c r="AJ34" s="162" t="e" cm="1">
        <f t="array" ref="AJ34">_xlfn.XLOOKUP(1, ('0. GUIDELINES'!$E$3='[1]Elasticities by year'!$A:$A) * (AJ$10='[1]Elasticities by year'!$B:$B)* ($C35='[1]Elasticities by year'!$C:$C), '[1]Elasticities by year'!$D:$D)</f>
        <v>#N/A</v>
      </c>
      <c r="AK34" s="162" t="e" cm="1">
        <f t="array" ref="AK34">_xlfn.XLOOKUP(1, ('0. GUIDELINES'!$E$3='[1]Elasticities by year'!$A:$A) * (AK$10='[1]Elasticities by year'!$B:$B)* ($C35='[1]Elasticities by year'!$C:$C), '[1]Elasticities by year'!$D:$D)</f>
        <v>#N/A</v>
      </c>
      <c r="AL34" s="162" t="e" cm="1">
        <f t="array" ref="AL34">_xlfn.XLOOKUP(1, ('0. GUIDELINES'!$E$3='[1]Elasticities by year'!$A:$A) * (AL$10='[1]Elasticities by year'!$B:$B)* ($C35='[1]Elasticities by year'!$C:$C), '[1]Elasticities by year'!$D:$D)</f>
        <v>#N/A</v>
      </c>
      <c r="AM34" s="162" t="e" cm="1">
        <f t="array" ref="AM34">_xlfn.XLOOKUP(1, ('0. GUIDELINES'!$E$3='[1]Elasticities by year'!$A:$A) * (AM$10='[1]Elasticities by year'!$B:$B)* ($C35='[1]Elasticities by year'!$C:$C), '[1]Elasticities by year'!$D:$D)</f>
        <v>#N/A</v>
      </c>
      <c r="AN34" s="162" t="e" cm="1">
        <f t="array" ref="AN34">_xlfn.XLOOKUP(1, ('0. GUIDELINES'!$E$3='[1]Elasticities by year'!$A:$A) * (AN$10='[1]Elasticities by year'!$B:$B)* ($C35='[1]Elasticities by year'!$C:$C), '[1]Elasticities by year'!$D:$D)</f>
        <v>#N/A</v>
      </c>
      <c r="AP34" s="343"/>
      <c r="AQ34" s="343"/>
      <c r="AR34" s="343"/>
      <c r="AU34" s="84"/>
      <c r="AV34" s="84"/>
      <c r="AW34" s="84"/>
      <c r="AX34" s="84"/>
      <c r="AY34" s="84"/>
      <c r="AZ34" s="84"/>
      <c r="BA34" s="84"/>
      <c r="BB34" s="84"/>
    </row>
    <row r="35" spans="1:54" ht="14.25" x14ac:dyDescent="0.2">
      <c r="A35" s="87"/>
      <c r="B35" s="87"/>
      <c r="C35" s="87" t="str">
        <f>IF($S$27="LFS",CONCATENATE("lf",'CONTROL '!$C19),CONCATENATE("hs",'CONTROL '!$C19))</f>
        <v>lfprod_s0_a3</v>
      </c>
      <c r="D35" s="123"/>
      <c r="E35" s="130"/>
      <c r="F35" s="84"/>
      <c r="G35" s="84"/>
      <c r="H35" s="84"/>
      <c r="I35" s="134" t="s">
        <v>612</v>
      </c>
      <c r="J35" s="133"/>
      <c r="K35" s="133">
        <v>-0.22</v>
      </c>
      <c r="L35" s="133">
        <v>-0.41353761539247058</v>
      </c>
      <c r="M35" s="133">
        <v>-0.65</v>
      </c>
      <c r="N35" s="133">
        <v>1.25</v>
      </c>
      <c r="O35" s="406"/>
      <c r="P35" s="344" cm="1">
        <f t="array" ref="P35">_xlfn.XLOOKUP(1, ('0. GUIDELINES'!$E$3=[1]Elasticities!$A:$A) * ("Long"=[1]Elasticities!$B:$B) * ($A$31=[1]Elasticities!$D:$D) * ($C35=[1]Elasticities!$E:$E) * ('2.1 LABOR STRUCTURE'!$E$4=[1]Elasticities!$G:$G), [1]Elasticities!$F:$F)</f>
        <v>-0.33893957734107971</v>
      </c>
      <c r="Q35" s="344" cm="1">
        <f t="array" ref="Q35">_xlfn.XLOOKUP(1, ('0. GUIDELINES'!$E$3=[1]Elasticities!$A:$A) * ("Middle"=[1]Elasticities!$B:$B) * ($A$31=[1]Elasticities!$D:$D) * ($C35=[1]Elasticities!$E:$E) * ('2.1 LABOR STRUCTURE'!$E$4=[1]Elasticities!$G:$G), [1]Elasticities!$F:$F)</f>
        <v>-0.33893957734107971</v>
      </c>
      <c r="R35" s="345" cm="1">
        <f t="array" ref="R35">_xlfn.XLOOKUP(1, ('0. GUIDELINES'!$E$3=[1]Elasticities!$A:$A) * ("Short"=[1]Elasticities!$B:$B) * ($A$31=[1]Elasticities!$D:$D) * ($C35=[1]Elasticities!$E:$E) * ('2.1 LABOR STRUCTURE'!$E$4=[1]Elasticities!$G:$G), [1]Elasticities!$F:$F)</f>
        <v>-5.1201559603214264E-2</v>
      </c>
      <c r="S35" s="344" cm="1">
        <f t="array" ref="S35">_xlfn.XLOOKUP(1, ('0. GUIDELINES'!$E$3=[1]Elasticities!$A:$A) * ("Long"=[1]Elasticities!$B:$B) * ($B$31=[1]Elasticities!$D:$D) * ($C35=[1]Elasticities!$E:$E) * ('2.1 LABOR STRUCTURE'!$E$4=[1]Elasticities!$G:$G), [1]Elasticities!$F:$F)</f>
        <v>-0.6295698881149292</v>
      </c>
      <c r="T35" s="344" cm="1">
        <f t="array" ref="T35">_xlfn.XLOOKUP(1, ('0. GUIDELINES'!$E$3=[1]Elasticities!$A:$A) * ("Middle"=[1]Elasticities!$B:$B) * ($B$31=[1]Elasticities!$D:$D) * ($C35=[1]Elasticities!$E:$E) * ('2.1 LABOR STRUCTURE'!$E$4=[1]Elasticities!$G:$G), [1]Elasticities!$F:$F)</f>
        <v>-0.52099990844726563</v>
      </c>
      <c r="U35" s="454" cm="1">
        <f t="array" ref="U35">_xlfn.XLOOKUP(1, ('0. GUIDELINES'!$E$3=[1]Elasticities!$A:$A) * ("Short"=[1]Elasticities!$B:$B) * ($B$31=[1]Elasticities!$D:$D) * ($C35=[1]Elasticities!$E:$E) * ('2.1 LABOR STRUCTURE'!$E$4=[1]Elasticities!$G:$G), [1]Elasticities!$F:$F)</f>
        <v>-0.54343724250793457</v>
      </c>
      <c r="V35" s="350"/>
      <c r="W35" s="350"/>
      <c r="X35" s="162" t="e" cm="1">
        <f t="array" ref="X35">_xlfn.XLOOKUP(1, ('0. GUIDELINES'!$E$3='[1]Elasticities by year'!$A:$A) * (X$10='[1]Elasticities by year'!$B:$B)* ($C36='[1]Elasticities by year'!$C:$C), '[1]Elasticities by year'!$D:$D)</f>
        <v>#N/A</v>
      </c>
      <c r="Y35" s="162" t="e" cm="1">
        <f t="array" ref="Y35">_xlfn.XLOOKUP(1, ('0. GUIDELINES'!$E$3='[1]Elasticities by year'!$A:$A) * (Y$10='[1]Elasticities by year'!$B:$B)* ($C36='[1]Elasticities by year'!$C:$C), '[1]Elasticities by year'!$D:$D)</f>
        <v>#N/A</v>
      </c>
      <c r="Z35" s="162" t="e" cm="1">
        <f t="array" ref="Z35">_xlfn.XLOOKUP(1, ('0. GUIDELINES'!$E$3='[1]Elasticities by year'!$A:$A) * (Z$10='[1]Elasticities by year'!$B:$B)* ($C36='[1]Elasticities by year'!$C:$C), '[1]Elasticities by year'!$D:$D)</f>
        <v>#N/A</v>
      </c>
      <c r="AA35" s="162" t="e" cm="1">
        <f t="array" ref="AA35">_xlfn.XLOOKUP(1, ('0. GUIDELINES'!$E$3='[1]Elasticities by year'!$A:$A) * (AA$10='[1]Elasticities by year'!$B:$B)* ($C36='[1]Elasticities by year'!$C:$C), '[1]Elasticities by year'!$D:$D)</f>
        <v>#N/A</v>
      </c>
      <c r="AB35" s="162" t="e" cm="1">
        <f t="array" ref="AB35">_xlfn.XLOOKUP(1, ('0. GUIDELINES'!$E$3='[1]Elasticities by year'!$A:$A) * (AB$10='[1]Elasticities by year'!$B:$B)* ($C36='[1]Elasticities by year'!$C:$C), '[1]Elasticities by year'!$D:$D)</f>
        <v>#N/A</v>
      </c>
      <c r="AC35" s="162" t="e" cm="1">
        <f t="array" ref="AC35">_xlfn.XLOOKUP(1, ('0. GUIDELINES'!$E$3='[1]Elasticities by year'!$A:$A) * (AC$10='[1]Elasticities by year'!$B:$B)* ($C36='[1]Elasticities by year'!$C:$C), '[1]Elasticities by year'!$D:$D)</f>
        <v>#N/A</v>
      </c>
      <c r="AD35" s="162" t="e" cm="1">
        <f t="array" ref="AD35">_xlfn.XLOOKUP(1, ('0. GUIDELINES'!$E$3='[1]Elasticities by year'!$A:$A) * (AD$10='[1]Elasticities by year'!$B:$B)* ($C36='[1]Elasticities by year'!$C:$C), '[1]Elasticities by year'!$D:$D)</f>
        <v>#N/A</v>
      </c>
      <c r="AE35" s="162" t="e" cm="1">
        <f t="array" ref="AE35">_xlfn.XLOOKUP(1, ('0. GUIDELINES'!$E$3='[1]Elasticities by year'!$A:$A) * (AE$10='[1]Elasticities by year'!$B:$B)* ($C36='[1]Elasticities by year'!$C:$C), '[1]Elasticities by year'!$D:$D)</f>
        <v>#N/A</v>
      </c>
      <c r="AF35" s="162" t="e" cm="1">
        <f t="array" ref="AF35">_xlfn.XLOOKUP(1, ('0. GUIDELINES'!$E$3='[1]Elasticities by year'!$A:$A) * (AF$10='[1]Elasticities by year'!$B:$B)* ($C36='[1]Elasticities by year'!$C:$C), '[1]Elasticities by year'!$D:$D)</f>
        <v>#N/A</v>
      </c>
      <c r="AG35" s="162" t="e" cm="1">
        <f t="array" ref="AG35">_xlfn.XLOOKUP(1, ('0. GUIDELINES'!$E$3='[1]Elasticities by year'!$A:$A) * (AG$10='[1]Elasticities by year'!$B:$B)* ($C36='[1]Elasticities by year'!$C:$C), '[1]Elasticities by year'!$D:$D)</f>
        <v>#N/A</v>
      </c>
      <c r="AH35" s="162" t="e" cm="1">
        <f t="array" ref="AH35">_xlfn.XLOOKUP(1, ('0. GUIDELINES'!$E$3='[1]Elasticities by year'!$A:$A) * (AH$10='[1]Elasticities by year'!$B:$B)* ($C36='[1]Elasticities by year'!$C:$C), '[1]Elasticities by year'!$D:$D)</f>
        <v>#N/A</v>
      </c>
      <c r="AI35" s="162" t="e" cm="1">
        <f t="array" ref="AI35">_xlfn.XLOOKUP(1, ('0. GUIDELINES'!$E$3='[1]Elasticities by year'!$A:$A) * (AI$10='[1]Elasticities by year'!$B:$B)* ($C36='[1]Elasticities by year'!$C:$C), '[1]Elasticities by year'!$D:$D)</f>
        <v>#N/A</v>
      </c>
      <c r="AJ35" s="162" t="e" cm="1">
        <f t="array" ref="AJ35">_xlfn.XLOOKUP(1, ('0. GUIDELINES'!$E$3='[1]Elasticities by year'!$A:$A) * (AJ$10='[1]Elasticities by year'!$B:$B)* ($C36='[1]Elasticities by year'!$C:$C), '[1]Elasticities by year'!$D:$D)</f>
        <v>#N/A</v>
      </c>
      <c r="AK35" s="162" t="e" cm="1">
        <f t="array" ref="AK35">_xlfn.XLOOKUP(1, ('0. GUIDELINES'!$E$3='[1]Elasticities by year'!$A:$A) * (AK$10='[1]Elasticities by year'!$B:$B)* ($C36='[1]Elasticities by year'!$C:$C), '[1]Elasticities by year'!$D:$D)</f>
        <v>#N/A</v>
      </c>
      <c r="AL35" s="162" t="e" cm="1">
        <f t="array" ref="AL35">_xlfn.XLOOKUP(1, ('0. GUIDELINES'!$E$3='[1]Elasticities by year'!$A:$A) * (AL$10='[1]Elasticities by year'!$B:$B)* ($C36='[1]Elasticities by year'!$C:$C), '[1]Elasticities by year'!$D:$D)</f>
        <v>#N/A</v>
      </c>
      <c r="AM35" s="162" t="e" cm="1">
        <f t="array" ref="AM35">_xlfn.XLOOKUP(1, ('0. GUIDELINES'!$E$3='[1]Elasticities by year'!$A:$A) * (AM$10='[1]Elasticities by year'!$B:$B)* ($C36='[1]Elasticities by year'!$C:$C), '[1]Elasticities by year'!$D:$D)</f>
        <v>#N/A</v>
      </c>
      <c r="AN35" s="162" t="e" cm="1">
        <f t="array" ref="AN35">_xlfn.XLOOKUP(1, ('0. GUIDELINES'!$E$3='[1]Elasticities by year'!$A:$A) * (AN$10='[1]Elasticities by year'!$B:$B)* ($C36='[1]Elasticities by year'!$C:$C), '[1]Elasticities by year'!$D:$D)</f>
        <v>#N/A</v>
      </c>
      <c r="AP35" s="343"/>
      <c r="AQ35" s="343"/>
      <c r="AR35" s="343"/>
      <c r="AU35" s="84"/>
      <c r="AV35" s="84"/>
      <c r="AW35" s="84"/>
      <c r="AX35" s="84"/>
      <c r="AY35" s="84"/>
      <c r="AZ35" s="84"/>
      <c r="BA35" s="84"/>
      <c r="BB35" s="84"/>
    </row>
    <row r="36" spans="1:54" ht="14.25" x14ac:dyDescent="0.2">
      <c r="A36" s="87"/>
      <c r="B36" s="87"/>
      <c r="C36" s="87" t="str">
        <f>IF($S$27="LFS",CONCATENATE("lf",'CONTROL '!$C20),CONCATENATE("hs",'CONTROL '!$C20))</f>
        <v>lfprod_s1_a3</v>
      </c>
      <c r="D36" s="123"/>
      <c r="E36" s="130"/>
      <c r="F36" s="84"/>
      <c r="G36" s="84"/>
      <c r="H36" s="84"/>
      <c r="I36" s="134" t="s">
        <v>613</v>
      </c>
      <c r="J36" s="133"/>
      <c r="K36" s="133">
        <v>-0.05</v>
      </c>
      <c r="L36" s="133">
        <v>-0.02</v>
      </c>
      <c r="M36" s="133">
        <v>-0.6</v>
      </c>
      <c r="N36" s="133">
        <v>0.45</v>
      </c>
      <c r="O36" s="406"/>
      <c r="P36" s="344" cm="1">
        <f t="array" ref="P36">_xlfn.XLOOKUP(1, ('0. GUIDELINES'!$E$3=[1]Elasticities!$A:$A) * ("Long"=[1]Elasticities!$B:$B) * ($A$31=[1]Elasticities!$D:$D) * ($C36=[1]Elasticities!$E:$E) * ('2.1 LABOR STRUCTURE'!$E$4=[1]Elasticities!$G:$G), [1]Elasticities!$F:$F)</f>
        <v>0.13680732250213623</v>
      </c>
      <c r="Q36" s="344" cm="1">
        <f t="array" ref="Q36">_xlfn.XLOOKUP(1, ('0. GUIDELINES'!$E$3=[1]Elasticities!$A:$A) * ("Middle"=[1]Elasticities!$B:$B) * ($A$31=[1]Elasticities!$D:$D) * ($C36=[1]Elasticities!$E:$E) * ('2.1 LABOR STRUCTURE'!$E$4=[1]Elasticities!$G:$G), [1]Elasticities!$F:$F)</f>
        <v>0.13680732250213623</v>
      </c>
      <c r="R36" s="345" cm="1">
        <f t="array" ref="R36">_xlfn.XLOOKUP(1, ('0. GUIDELINES'!$E$3=[1]Elasticities!$A:$A) * ("Short"=[1]Elasticities!$B:$B) * ($A$31=[1]Elasticities!$D:$D) * ($C36=[1]Elasticities!$E:$E) * ('2.1 LABOR STRUCTURE'!$E$4=[1]Elasticities!$G:$G), [1]Elasticities!$F:$F)</f>
        <v>-5.4674252867698669E-2</v>
      </c>
      <c r="S36" s="344" cm="1">
        <f t="array" ref="S36">_xlfn.XLOOKUP(1, ('0. GUIDELINES'!$E$3=[1]Elasticities!$A:$A) * ("Long"=[1]Elasticities!$B:$B) * ($B$31=[1]Elasticities!$D:$D) * ($C36=[1]Elasticities!$E:$E) * ('2.1 LABOR STRUCTURE'!$E$4=[1]Elasticities!$G:$G), [1]Elasticities!$F:$F)</f>
        <v>0.28552675247192383</v>
      </c>
      <c r="T36" s="344" cm="1">
        <f t="array" ref="T36">_xlfn.XLOOKUP(1, ('0. GUIDELINES'!$E$3=[1]Elasticities!$A:$A) * ("Middle"=[1]Elasticities!$B:$B) * ($B$31=[1]Elasticities!$D:$D) * ($C36=[1]Elasticities!$E:$E) * ('2.1 LABOR STRUCTURE'!$E$4=[1]Elasticities!$G:$G), [1]Elasticities!$F:$F)</f>
        <v>0.40208545327186584</v>
      </c>
      <c r="U36" s="454" cm="1">
        <f t="array" ref="U36">_xlfn.XLOOKUP(1, ('0. GUIDELINES'!$E$3=[1]Elasticities!$A:$A) * ("Short"=[1]Elasticities!$B:$B) * ($B$31=[1]Elasticities!$D:$D) * ($C36=[1]Elasticities!$E:$E) * ('2.1 LABOR STRUCTURE'!$E$4=[1]Elasticities!$G:$G), [1]Elasticities!$F:$F)</f>
        <v>0.3708035945892334</v>
      </c>
      <c r="V36" s="350"/>
      <c r="W36" s="350"/>
      <c r="X36" s="162" t="e" cm="1">
        <f t="array" ref="X36">_xlfn.XLOOKUP(1, ('0. GUIDELINES'!$E$3='[1]Elasticities by year'!$A:$A) * (X$10='[1]Elasticities by year'!$B:$B)* ($C37='[1]Elasticities by year'!$C:$C), '[1]Elasticities by year'!$D:$D)</f>
        <v>#N/A</v>
      </c>
      <c r="Y36" s="162" t="e" cm="1">
        <f t="array" ref="Y36">_xlfn.XLOOKUP(1, ('0. GUIDELINES'!$E$3='[1]Elasticities by year'!$A:$A) * (Y$10='[1]Elasticities by year'!$B:$B)* ($C37='[1]Elasticities by year'!$C:$C), '[1]Elasticities by year'!$D:$D)</f>
        <v>#N/A</v>
      </c>
      <c r="Z36" s="162" t="e" cm="1">
        <f t="array" ref="Z36">_xlfn.XLOOKUP(1, ('0. GUIDELINES'!$E$3='[1]Elasticities by year'!$A:$A) * (Z$10='[1]Elasticities by year'!$B:$B)* ($C37='[1]Elasticities by year'!$C:$C), '[1]Elasticities by year'!$D:$D)</f>
        <v>#N/A</v>
      </c>
      <c r="AA36" s="162" t="e" cm="1">
        <f t="array" ref="AA36">_xlfn.XLOOKUP(1, ('0. GUIDELINES'!$E$3='[1]Elasticities by year'!$A:$A) * (AA$10='[1]Elasticities by year'!$B:$B)* ($C37='[1]Elasticities by year'!$C:$C), '[1]Elasticities by year'!$D:$D)</f>
        <v>#N/A</v>
      </c>
      <c r="AB36" s="162" t="e" cm="1">
        <f t="array" ref="AB36">_xlfn.XLOOKUP(1, ('0. GUIDELINES'!$E$3='[1]Elasticities by year'!$A:$A) * (AB$10='[1]Elasticities by year'!$B:$B)* ($C37='[1]Elasticities by year'!$C:$C), '[1]Elasticities by year'!$D:$D)</f>
        <v>#N/A</v>
      </c>
      <c r="AC36" s="162" t="e" cm="1">
        <f t="array" ref="AC36">_xlfn.XLOOKUP(1, ('0. GUIDELINES'!$E$3='[1]Elasticities by year'!$A:$A) * (AC$10='[1]Elasticities by year'!$B:$B)* ($C37='[1]Elasticities by year'!$C:$C), '[1]Elasticities by year'!$D:$D)</f>
        <v>#N/A</v>
      </c>
      <c r="AD36" s="162" t="e" cm="1">
        <f t="array" ref="AD36">_xlfn.XLOOKUP(1, ('0. GUIDELINES'!$E$3='[1]Elasticities by year'!$A:$A) * (AD$10='[1]Elasticities by year'!$B:$B)* ($C37='[1]Elasticities by year'!$C:$C), '[1]Elasticities by year'!$D:$D)</f>
        <v>#N/A</v>
      </c>
      <c r="AE36" s="162" t="e" cm="1">
        <f t="array" ref="AE36">_xlfn.XLOOKUP(1, ('0. GUIDELINES'!$E$3='[1]Elasticities by year'!$A:$A) * (AE$10='[1]Elasticities by year'!$B:$B)* ($C37='[1]Elasticities by year'!$C:$C), '[1]Elasticities by year'!$D:$D)</f>
        <v>#N/A</v>
      </c>
      <c r="AF36" s="162" t="e" cm="1">
        <f t="array" ref="AF36">_xlfn.XLOOKUP(1, ('0. GUIDELINES'!$E$3='[1]Elasticities by year'!$A:$A) * (AF$10='[1]Elasticities by year'!$B:$B)* ($C37='[1]Elasticities by year'!$C:$C), '[1]Elasticities by year'!$D:$D)</f>
        <v>#N/A</v>
      </c>
      <c r="AG36" s="162" t="e" cm="1">
        <f t="array" ref="AG36">_xlfn.XLOOKUP(1, ('0. GUIDELINES'!$E$3='[1]Elasticities by year'!$A:$A) * (AG$10='[1]Elasticities by year'!$B:$B)* ($C37='[1]Elasticities by year'!$C:$C), '[1]Elasticities by year'!$D:$D)</f>
        <v>#N/A</v>
      </c>
      <c r="AH36" s="162" t="e" cm="1">
        <f t="array" ref="AH36">_xlfn.XLOOKUP(1, ('0. GUIDELINES'!$E$3='[1]Elasticities by year'!$A:$A) * (AH$10='[1]Elasticities by year'!$B:$B)* ($C37='[1]Elasticities by year'!$C:$C), '[1]Elasticities by year'!$D:$D)</f>
        <v>#N/A</v>
      </c>
      <c r="AI36" s="162" t="e" cm="1">
        <f t="array" ref="AI36">_xlfn.XLOOKUP(1, ('0. GUIDELINES'!$E$3='[1]Elasticities by year'!$A:$A) * (AI$10='[1]Elasticities by year'!$B:$B)* ($C37='[1]Elasticities by year'!$C:$C), '[1]Elasticities by year'!$D:$D)</f>
        <v>#N/A</v>
      </c>
      <c r="AJ36" s="162" t="e" cm="1">
        <f t="array" ref="AJ36">_xlfn.XLOOKUP(1, ('0. GUIDELINES'!$E$3='[1]Elasticities by year'!$A:$A) * (AJ$10='[1]Elasticities by year'!$B:$B)* ($C37='[1]Elasticities by year'!$C:$C), '[1]Elasticities by year'!$D:$D)</f>
        <v>#N/A</v>
      </c>
      <c r="AK36" s="162" t="e" cm="1">
        <f t="array" ref="AK36">_xlfn.XLOOKUP(1, ('0. GUIDELINES'!$E$3='[1]Elasticities by year'!$A:$A) * (AK$10='[1]Elasticities by year'!$B:$B)* ($C37='[1]Elasticities by year'!$C:$C), '[1]Elasticities by year'!$D:$D)</f>
        <v>#N/A</v>
      </c>
      <c r="AL36" s="162" t="e" cm="1">
        <f t="array" ref="AL36">_xlfn.XLOOKUP(1, ('0. GUIDELINES'!$E$3='[1]Elasticities by year'!$A:$A) * (AL$10='[1]Elasticities by year'!$B:$B)* ($C37='[1]Elasticities by year'!$C:$C), '[1]Elasticities by year'!$D:$D)</f>
        <v>#N/A</v>
      </c>
      <c r="AM36" s="162" t="e" cm="1">
        <f t="array" ref="AM36">_xlfn.XLOOKUP(1, ('0. GUIDELINES'!$E$3='[1]Elasticities by year'!$A:$A) * (AM$10='[1]Elasticities by year'!$B:$B)* ($C37='[1]Elasticities by year'!$C:$C), '[1]Elasticities by year'!$D:$D)</f>
        <v>#N/A</v>
      </c>
      <c r="AN36" s="162" t="e" cm="1">
        <f t="array" ref="AN36">_xlfn.XLOOKUP(1, ('0. GUIDELINES'!$E$3='[1]Elasticities by year'!$A:$A) * (AN$10='[1]Elasticities by year'!$B:$B)* ($C37='[1]Elasticities by year'!$C:$C), '[1]Elasticities by year'!$D:$D)</f>
        <v>#N/A</v>
      </c>
      <c r="AP36" s="343"/>
      <c r="AQ36" s="343"/>
      <c r="AR36" s="343"/>
      <c r="AU36" s="84"/>
      <c r="AV36" s="84"/>
      <c r="AW36" s="84"/>
      <c r="AX36" s="84"/>
      <c r="AY36" s="84"/>
      <c r="AZ36" s="84"/>
      <c r="BA36" s="84"/>
      <c r="BB36" s="84"/>
    </row>
    <row r="37" spans="1:54" ht="14.25" x14ac:dyDescent="0.2">
      <c r="A37" s="87"/>
      <c r="B37" s="87"/>
      <c r="C37" s="87"/>
      <c r="D37" s="123"/>
      <c r="E37" s="130"/>
      <c r="F37" s="84"/>
      <c r="G37" s="84"/>
      <c r="H37" s="84"/>
      <c r="I37" s="134"/>
      <c r="J37" s="133"/>
      <c r="K37" s="133"/>
      <c r="L37" s="133"/>
      <c r="M37" s="133"/>
      <c r="N37" s="133"/>
      <c r="O37" s="406"/>
      <c r="P37" s="344"/>
      <c r="Q37" s="344"/>
      <c r="R37" s="345"/>
      <c r="S37" s="344"/>
      <c r="T37" s="344"/>
      <c r="U37" s="454"/>
      <c r="V37" s="350"/>
      <c r="W37" s="350"/>
      <c r="X37" s="162"/>
      <c r="Y37" s="162"/>
      <c r="Z37" s="162"/>
      <c r="AA37" s="162"/>
      <c r="AB37" s="162"/>
      <c r="AC37" s="162"/>
      <c r="AD37" s="162"/>
      <c r="AE37" s="162"/>
      <c r="AF37" s="162"/>
      <c r="AG37" s="162"/>
      <c r="AH37" s="162"/>
      <c r="AI37" s="162"/>
      <c r="AJ37" s="162"/>
      <c r="AK37" s="162"/>
      <c r="AL37" s="162"/>
      <c r="AM37" s="162"/>
      <c r="AN37" s="162"/>
      <c r="AP37" s="343"/>
      <c r="AQ37" s="343"/>
      <c r="AR37" s="343"/>
      <c r="AU37" s="84"/>
      <c r="AV37" s="84"/>
      <c r="AW37" s="84"/>
      <c r="AX37" s="84"/>
      <c r="AY37" s="84"/>
      <c r="AZ37" s="84"/>
      <c r="BA37" s="84"/>
      <c r="BB37" s="84"/>
    </row>
    <row r="38" spans="1:54" ht="14.25" x14ac:dyDescent="0.2">
      <c r="A38" s="87"/>
      <c r="B38" s="87"/>
      <c r="C38" s="87"/>
      <c r="D38" s="123"/>
      <c r="E38" s="130"/>
      <c r="F38" s="84"/>
      <c r="G38" s="84"/>
      <c r="H38" s="84"/>
      <c r="I38" s="134"/>
      <c r="J38" s="133"/>
      <c r="K38" s="133"/>
      <c r="L38" s="133"/>
      <c r="M38" s="133"/>
      <c r="N38" s="133"/>
      <c r="O38" s="406"/>
      <c r="P38" s="344"/>
      <c r="Q38" s="344"/>
      <c r="R38" s="345"/>
      <c r="S38" s="344"/>
      <c r="T38" s="344"/>
      <c r="U38" s="454"/>
      <c r="V38" s="350"/>
      <c r="X38" s="162"/>
      <c r="Y38" s="162"/>
      <c r="Z38" s="162"/>
      <c r="AA38" s="162"/>
      <c r="AB38" s="162"/>
      <c r="AC38" s="162"/>
      <c r="AD38" s="162"/>
      <c r="AE38" s="162"/>
      <c r="AF38" s="162"/>
      <c r="AG38" s="162"/>
      <c r="AH38" s="162"/>
      <c r="AI38" s="162"/>
      <c r="AJ38" s="162"/>
      <c r="AK38" s="162"/>
      <c r="AL38" s="162"/>
      <c r="AM38" s="162"/>
      <c r="AN38" s="162"/>
      <c r="AP38" s="343"/>
      <c r="AQ38" s="343"/>
      <c r="AR38" s="343"/>
      <c r="AU38" s="84"/>
      <c r="AV38" s="84"/>
      <c r="AW38" s="84"/>
      <c r="AX38" s="84"/>
      <c r="AY38" s="84"/>
      <c r="AZ38" s="84"/>
      <c r="BA38" s="84"/>
      <c r="BB38" s="84"/>
    </row>
    <row r="39" spans="1:54" ht="14.25" x14ac:dyDescent="0.2">
      <c r="A39" s="87"/>
      <c r="B39" s="87"/>
      <c r="C39" s="87"/>
      <c r="D39" s="123"/>
      <c r="E39" s="130"/>
      <c r="F39" s="84"/>
      <c r="G39" s="84"/>
      <c r="H39" s="84"/>
      <c r="I39" s="134"/>
      <c r="J39" s="133"/>
      <c r="K39" s="133"/>
      <c r="L39" s="133"/>
      <c r="M39" s="133"/>
      <c r="N39" s="133"/>
      <c r="O39" s="341"/>
      <c r="P39" s="344"/>
      <c r="Q39" s="344"/>
      <c r="R39" s="345"/>
      <c r="S39" s="344"/>
      <c r="T39" s="344"/>
      <c r="U39" s="454"/>
      <c r="V39" s="350"/>
      <c r="W39" s="350"/>
      <c r="X39" s="162"/>
      <c r="Y39" s="162"/>
      <c r="Z39" s="162"/>
      <c r="AA39" s="162"/>
      <c r="AB39" s="162"/>
      <c r="AC39" s="162"/>
      <c r="AD39" s="162"/>
      <c r="AE39" s="162"/>
      <c r="AF39" s="162"/>
      <c r="AG39" s="162"/>
      <c r="AH39" s="162"/>
      <c r="AI39" s="162"/>
      <c r="AJ39" s="162"/>
      <c r="AK39" s="162"/>
      <c r="AL39" s="162"/>
      <c r="AM39" s="162"/>
      <c r="AN39" s="162"/>
      <c r="AP39" s="343"/>
      <c r="AQ39" s="343"/>
      <c r="AR39" s="343"/>
      <c r="AU39" s="84"/>
      <c r="AV39" s="84"/>
      <c r="AW39" s="84"/>
      <c r="AX39" s="84"/>
      <c r="AY39" s="84"/>
      <c r="AZ39" s="84"/>
      <c r="BA39" s="84"/>
      <c r="BB39" s="84"/>
    </row>
    <row r="40" spans="1:54" ht="14.25" x14ac:dyDescent="0.2">
      <c r="A40" s="87"/>
      <c r="B40" s="87"/>
      <c r="C40" s="87"/>
      <c r="D40" s="123"/>
      <c r="E40" s="130"/>
      <c r="F40" s="84"/>
      <c r="G40" s="84"/>
      <c r="H40" s="84"/>
      <c r="I40" s="134"/>
      <c r="J40" s="133"/>
      <c r="K40" s="133"/>
      <c r="L40" s="133"/>
      <c r="M40" s="133"/>
      <c r="N40" s="133"/>
      <c r="O40" s="341"/>
      <c r="P40" s="344"/>
      <c r="Q40" s="344"/>
      <c r="R40" s="345"/>
      <c r="S40" s="344"/>
      <c r="T40" s="344"/>
      <c r="U40" s="454"/>
      <c r="X40" s="162"/>
      <c r="Y40" s="162"/>
      <c r="Z40" s="162"/>
      <c r="AA40" s="162"/>
      <c r="AB40" s="162"/>
      <c r="AC40" s="162"/>
      <c r="AD40" s="162"/>
      <c r="AE40" s="162"/>
      <c r="AF40" s="162"/>
      <c r="AG40" s="162"/>
      <c r="AH40" s="162"/>
      <c r="AI40" s="162"/>
      <c r="AJ40" s="162"/>
      <c r="AK40" s="162"/>
      <c r="AL40" s="162"/>
      <c r="AM40" s="162"/>
      <c r="AN40" s="162"/>
      <c r="AP40" s="343"/>
      <c r="AQ40" s="343"/>
      <c r="AR40" s="343"/>
      <c r="AT40" s="562"/>
      <c r="AU40" s="562"/>
      <c r="AV40" s="84"/>
      <c r="AW40" s="84"/>
      <c r="AX40" s="84"/>
      <c r="AY40" s="84"/>
      <c r="AZ40" s="84"/>
      <c r="BA40" s="84"/>
      <c r="BB40" s="84"/>
    </row>
    <row r="41" spans="1:54" ht="14.25" x14ac:dyDescent="0.2">
      <c r="A41" s="87"/>
      <c r="B41" s="87"/>
      <c r="C41" s="87"/>
      <c r="D41" s="123"/>
      <c r="E41" s="130"/>
      <c r="F41" s="84"/>
      <c r="G41" s="84"/>
      <c r="H41" s="84"/>
      <c r="I41" s="134"/>
      <c r="J41" s="133"/>
      <c r="K41" s="133"/>
      <c r="L41" s="133"/>
      <c r="M41" s="133"/>
      <c r="N41" s="133"/>
      <c r="O41" s="341"/>
      <c r="P41" s="344"/>
      <c r="Q41" s="344"/>
      <c r="R41" s="345"/>
      <c r="S41" s="344"/>
      <c r="T41" s="344"/>
      <c r="U41" s="454"/>
      <c r="X41" s="163"/>
      <c r="Y41" s="163"/>
      <c r="Z41" s="163"/>
      <c r="AA41" s="163"/>
      <c r="AB41" s="163"/>
      <c r="AC41" s="163"/>
      <c r="AD41" s="163"/>
      <c r="AE41" s="163"/>
      <c r="AF41" s="163"/>
      <c r="AG41" s="163"/>
      <c r="AH41" s="163"/>
      <c r="AI41" s="163"/>
      <c r="AJ41" s="163"/>
      <c r="AK41" s="163"/>
      <c r="AL41" s="163"/>
      <c r="AM41" s="163"/>
      <c r="AN41" s="163"/>
      <c r="AP41" s="343"/>
      <c r="AQ41" s="343"/>
      <c r="AR41" s="343"/>
      <c r="AT41" s="131"/>
      <c r="AU41" s="131"/>
      <c r="AV41" s="84"/>
      <c r="AW41" s="84"/>
      <c r="AX41" s="84"/>
      <c r="AY41" s="84"/>
      <c r="AZ41" s="84"/>
      <c r="BA41" s="84"/>
      <c r="BB41" s="84"/>
    </row>
    <row r="42" spans="1:54" ht="14.25" x14ac:dyDescent="0.2">
      <c r="A42" s="87"/>
      <c r="B42" s="87"/>
      <c r="C42" s="87"/>
      <c r="D42" s="123"/>
      <c r="E42" s="130"/>
      <c r="F42" s="84"/>
      <c r="G42" s="84"/>
      <c r="H42" s="84"/>
      <c r="I42" s="160"/>
      <c r="J42" s="161"/>
      <c r="K42" s="133"/>
      <c r="L42" s="133"/>
      <c r="M42" s="133"/>
      <c r="N42" s="133"/>
      <c r="O42" s="341"/>
      <c r="P42" s="346"/>
      <c r="Q42" s="346"/>
      <c r="R42" s="347"/>
      <c r="S42" s="346"/>
      <c r="T42" s="346"/>
      <c r="U42" s="454"/>
      <c r="X42" s="84"/>
      <c r="Y42" s="84"/>
      <c r="Z42" s="84"/>
      <c r="AA42" s="84"/>
      <c r="AB42" s="84"/>
      <c r="AC42" s="84"/>
      <c r="AD42" s="84"/>
      <c r="AE42" s="84"/>
      <c r="AF42" s="84"/>
      <c r="AG42" s="84"/>
      <c r="AH42" s="84"/>
      <c r="AI42" s="84"/>
      <c r="AJ42" s="84"/>
      <c r="AK42" s="84"/>
      <c r="AL42" s="84"/>
      <c r="AM42" s="84"/>
      <c r="AN42" s="84"/>
      <c r="AP42" s="343"/>
      <c r="AQ42" s="343"/>
      <c r="AR42" s="343"/>
      <c r="AU42" s="84"/>
      <c r="AV42" s="84"/>
      <c r="AW42" s="84"/>
      <c r="AX42" s="84"/>
      <c r="AY42" s="84"/>
      <c r="AZ42" s="84"/>
      <c r="BA42" s="84"/>
      <c r="BB42" s="84"/>
    </row>
    <row r="43" spans="1:54" ht="14.25" x14ac:dyDescent="0.2">
      <c r="A43" s="81"/>
      <c r="B43" s="81"/>
      <c r="C43" s="81"/>
      <c r="D43" s="130"/>
      <c r="E43" s="130"/>
      <c r="F43" s="84"/>
      <c r="G43" s="84"/>
      <c r="H43" s="84"/>
      <c r="I43" s="557" t="s">
        <v>194</v>
      </c>
      <c r="J43" s="557"/>
      <c r="K43" s="557"/>
      <c r="L43" s="557"/>
      <c r="M43" s="557"/>
      <c r="N43" s="557"/>
      <c r="O43" s="341"/>
      <c r="P43" s="342" t="s">
        <v>190</v>
      </c>
      <c r="Q43" s="84"/>
      <c r="R43" s="84"/>
      <c r="S43" s="84"/>
      <c r="T43" s="84"/>
      <c r="U43" s="84"/>
      <c r="X43" s="84"/>
      <c r="Y43" s="84"/>
      <c r="Z43" s="84"/>
      <c r="AA43" s="84"/>
      <c r="AB43" s="84"/>
      <c r="AC43" s="84"/>
      <c r="AD43" s="84"/>
      <c r="AE43" s="84"/>
      <c r="AF43" s="84"/>
      <c r="AG43" s="84"/>
      <c r="AH43" s="84"/>
      <c r="AI43" s="84"/>
      <c r="AJ43" s="84"/>
      <c r="AK43" s="84"/>
      <c r="AL43" s="84"/>
      <c r="AM43" s="84"/>
      <c r="AN43" s="84"/>
      <c r="AU43" s="84"/>
      <c r="AV43" s="84"/>
      <c r="AW43" s="84"/>
      <c r="AX43" s="84"/>
      <c r="AY43" s="84"/>
      <c r="AZ43" s="84"/>
      <c r="BA43" s="84"/>
      <c r="BB43" s="84"/>
    </row>
    <row r="44" spans="1:54" s="84" customFormat="1" ht="14.25" x14ac:dyDescent="0.2">
      <c r="A44" s="130"/>
      <c r="B44" s="130"/>
      <c r="C44" s="130"/>
      <c r="D44" s="130"/>
      <c r="E44" s="130"/>
      <c r="I44" s="553"/>
      <c r="J44" s="553"/>
      <c r="K44" s="553"/>
      <c r="L44" s="553"/>
      <c r="M44" s="341"/>
      <c r="N44" s="341"/>
      <c r="O44" s="341"/>
      <c r="V44" s="125"/>
      <c r="W44" s="125"/>
    </row>
    <row r="45" spans="1:54" ht="14.25" hidden="1" x14ac:dyDescent="0.2">
      <c r="A45" s="130"/>
      <c r="B45" s="130"/>
      <c r="C45" s="130"/>
      <c r="D45" s="130"/>
      <c r="E45" s="130"/>
      <c r="F45" s="84"/>
      <c r="G45" s="84"/>
      <c r="H45" s="84"/>
      <c r="I45" s="84"/>
      <c r="J45" s="84"/>
      <c r="K45" s="84"/>
      <c r="L45" s="84"/>
      <c r="M45" s="84"/>
      <c r="N45" s="84"/>
      <c r="O45" s="84"/>
      <c r="P45" s="84"/>
      <c r="Q45" s="84"/>
      <c r="R45" s="84"/>
      <c r="S45" s="84"/>
      <c r="T45" s="84"/>
      <c r="U45" s="84"/>
    </row>
    <row r="46" spans="1:54" ht="0" hidden="1" customHeight="1" x14ac:dyDescent="0.2">
      <c r="R46" s="85"/>
    </row>
  </sheetData>
  <sheetProtection formatCells="0" formatColumns="0" formatRows="0" insertColumns="0" insertRows="0" insertHyperlinks="0" deleteColumns="0" deleteRows="0" sort="0" autoFilter="0" pivotTables="0"/>
  <customSheetViews>
    <customSheetView guid="{5EB6DE45-64D9-4581-AE55-A519683B64F2}" hiddenRows="1" hiddenColumns="1">
      <selection activeCell="K30" sqref="K30"/>
      <pageMargins left="0.7" right="0.7" top="0.75" bottom="0.75" header="0.3" footer="0.3"/>
      <pageSetup paperSize="9" orientation="portrait" r:id="rId1"/>
    </customSheetView>
  </customSheetViews>
  <mergeCells count="27">
    <mergeCell ref="I2:U2"/>
    <mergeCell ref="E2:G2"/>
    <mergeCell ref="X27:AN28"/>
    <mergeCell ref="X8:AN9"/>
    <mergeCell ref="X2:AN2"/>
    <mergeCell ref="E5:G8"/>
    <mergeCell ref="E9:F10"/>
    <mergeCell ref="P7:R7"/>
    <mergeCell ref="P27:R27"/>
    <mergeCell ref="S7:U7"/>
    <mergeCell ref="S27:U27"/>
    <mergeCell ref="AT4:BA4"/>
    <mergeCell ref="G9:G10"/>
    <mergeCell ref="I3:U5"/>
    <mergeCell ref="AT40:AU40"/>
    <mergeCell ref="I43:N43"/>
    <mergeCell ref="I44:L44"/>
    <mergeCell ref="S8:U9"/>
    <mergeCell ref="S28:U29"/>
    <mergeCell ref="I28:I30"/>
    <mergeCell ref="J28:N29"/>
    <mergeCell ref="P28:R29"/>
    <mergeCell ref="I24:N24"/>
    <mergeCell ref="I25:N25"/>
    <mergeCell ref="I8:I10"/>
    <mergeCell ref="P8:R9"/>
    <mergeCell ref="P26:U26"/>
  </mergeCells>
  <hyperlinks>
    <hyperlink ref="I24:L24" location="'2.1 LABOR MARKET STRUCTURE'!C27" display="Click to go to Labor Market " xr:uid="{1FA9E95E-ECD4-43E5-947E-58B1A5EB0C0D}"/>
    <hyperlink ref="I43:L43"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3:N43" location="'2.2 LABOR INCOME &amp; PRODUCTIVITY'!A1" display="Click to revise Labor Income and Productivity" xr:uid="{32B0B4F1-AEE7-418A-84E1-8A6EE81E5B7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7" r:id="rId5"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E866466-0F40-4B96-A9EB-3B2D26B77D87}">
          <x14:formula1>
            <xm:f>'CONTROL '!$D$2:$D$4</xm:f>
          </x14:formula1>
          <xm:sqref>P28:Q28 P8:Q8</xm:sqref>
        </x14:dataValidation>
        <x14:dataValidation type="list" allowBlank="1" showInputMessage="1" showErrorMessage="1" promptTitle="Select Regression Elasticity" xr:uid="{FA6913CC-615E-4856-9311-3884FC9CDCE1}">
          <x14:formula1>
            <xm:f>'CONTROL '!$D$5:$D$8</xm:f>
          </x14:formula1>
          <xm:sqref>S28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topLeftCell="B20" zoomScale="115" zoomScaleNormal="115" workbookViewId="0">
      <selection activeCell="Y36" sqref="Y36"/>
    </sheetView>
  </sheetViews>
  <sheetFormatPr defaultColWidth="0" defaultRowHeight="14.25" zeroHeight="1" x14ac:dyDescent="0.2"/>
  <cols>
    <col min="1" max="1" width="2.85546875" style="165" customWidth="1"/>
    <col min="2" max="2" width="24.42578125" style="164" customWidth="1"/>
    <col min="3" max="3" width="10" style="164" customWidth="1"/>
    <col min="4" max="4" width="7.42578125" style="165" customWidth="1"/>
    <col min="5" max="5" width="26" style="164" customWidth="1"/>
    <col min="6" max="22" width="8.5703125" style="164" hidden="1" customWidth="1"/>
    <col min="23" max="44" width="8.5703125" style="164" customWidth="1"/>
    <col min="45" max="50" width="0" style="164" hidden="1" customWidth="1"/>
    <col min="51" max="16384" width="8.5703125" style="164" hidden="1"/>
  </cols>
  <sheetData>
    <row r="1" spans="2:44" s="165" customFormat="1" ht="15" customHeight="1" x14ac:dyDescent="0.2">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row>
    <row r="2" spans="2:44" ht="18" customHeight="1" x14ac:dyDescent="0.2">
      <c r="B2" s="165"/>
      <c r="C2" s="165"/>
      <c r="E2" s="569" t="s">
        <v>195</v>
      </c>
      <c r="F2" s="569"/>
      <c r="G2" s="569"/>
      <c r="H2" s="569"/>
      <c r="I2" s="569"/>
      <c r="J2" s="569"/>
      <c r="K2" s="569"/>
      <c r="L2" s="569"/>
      <c r="M2" s="569"/>
      <c r="N2" s="569"/>
      <c r="O2" s="569"/>
      <c r="P2" s="569"/>
      <c r="Q2" s="569"/>
      <c r="R2" s="569"/>
      <c r="S2" s="569"/>
      <c r="T2" s="569"/>
      <c r="U2" s="569"/>
      <c r="V2" s="569"/>
      <c r="W2" s="569"/>
      <c r="X2" s="569"/>
      <c r="Y2" s="569"/>
      <c r="Z2" s="569"/>
      <c r="AA2" s="569"/>
      <c r="AB2" s="569"/>
      <c r="AC2" s="569"/>
      <c r="AD2" s="569"/>
      <c r="AE2" s="569"/>
      <c r="AF2" s="569"/>
      <c r="AG2" s="569"/>
      <c r="AH2" s="569"/>
      <c r="AI2" s="569"/>
      <c r="AJ2" s="569"/>
      <c r="AK2" s="569"/>
      <c r="AL2" s="569"/>
      <c r="AM2" s="569"/>
      <c r="AN2" s="569"/>
      <c r="AO2" s="569"/>
      <c r="AP2" s="569"/>
      <c r="AQ2" s="569"/>
    </row>
    <row r="3" spans="2:44" s="165" customFormat="1" ht="20.25" x14ac:dyDescent="0.2">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row>
    <row r="4" spans="2:44" ht="20.25" customHeight="1" x14ac:dyDescent="0.2">
      <c r="B4" s="567" t="s">
        <v>196</v>
      </c>
      <c r="C4" s="567"/>
      <c r="E4" s="570" t="s">
        <v>498</v>
      </c>
      <c r="F4" s="570"/>
      <c r="G4" s="570"/>
      <c r="H4" s="570"/>
      <c r="I4" s="570"/>
      <c r="J4" s="570"/>
      <c r="K4" s="570"/>
      <c r="L4" s="570"/>
      <c r="M4" s="570"/>
      <c r="N4" s="570"/>
      <c r="O4" s="570"/>
      <c r="P4" s="570"/>
      <c r="Q4" s="570"/>
      <c r="R4" s="570"/>
      <c r="S4" s="570"/>
      <c r="T4" s="570"/>
      <c r="U4" s="570"/>
      <c r="V4" s="570"/>
      <c r="W4" s="570"/>
      <c r="X4" s="570"/>
      <c r="Y4" s="570"/>
      <c r="Z4" s="570"/>
      <c r="AA4" s="570"/>
      <c r="AB4" s="570"/>
      <c r="AC4" s="570"/>
      <c r="AD4" s="570"/>
      <c r="AE4" s="570"/>
      <c r="AF4" s="570"/>
      <c r="AG4" s="570"/>
      <c r="AH4" s="570"/>
      <c r="AI4" s="570"/>
      <c r="AJ4" s="570"/>
      <c r="AK4" s="570"/>
      <c r="AL4" s="570"/>
      <c r="AM4" s="570"/>
      <c r="AN4" s="570"/>
      <c r="AO4" s="570"/>
      <c r="AP4" s="570"/>
      <c r="AQ4" s="570"/>
    </row>
    <row r="5" spans="2:44" x14ac:dyDescent="0.2">
      <c r="B5" s="567"/>
      <c r="C5" s="567"/>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row>
    <row r="6" spans="2:44" x14ac:dyDescent="0.2">
      <c r="B6" s="567"/>
      <c r="C6" s="567"/>
      <c r="E6" s="568" t="s">
        <v>130</v>
      </c>
      <c r="F6" s="169"/>
      <c r="G6" s="169"/>
      <c r="H6" s="169"/>
      <c r="I6" s="169"/>
      <c r="J6" s="169"/>
      <c r="K6" s="169"/>
      <c r="L6" s="169"/>
      <c r="M6" s="169"/>
      <c r="N6" s="169"/>
      <c r="O6" s="169"/>
      <c r="P6" s="169"/>
      <c r="Q6" s="169"/>
      <c r="R6" s="169"/>
      <c r="S6" s="169"/>
      <c r="T6" s="169"/>
      <c r="U6" s="169"/>
      <c r="V6" s="169"/>
      <c r="W6" s="169"/>
      <c r="X6" s="169"/>
      <c r="Y6" s="572" t="s">
        <v>7</v>
      </c>
      <c r="Z6" s="572"/>
      <c r="AA6" s="572"/>
      <c r="AB6" s="165"/>
      <c r="AC6" s="165"/>
      <c r="AD6" s="165"/>
      <c r="AE6" s="165"/>
      <c r="AF6" s="165"/>
      <c r="AG6" s="165"/>
      <c r="AH6" s="165"/>
      <c r="AI6" s="165"/>
      <c r="AJ6" s="165"/>
      <c r="AK6" s="165"/>
      <c r="AL6" s="165"/>
      <c r="AM6" s="165"/>
      <c r="AN6" s="165"/>
      <c r="AO6" s="165"/>
      <c r="AP6" s="165"/>
      <c r="AQ6" s="165"/>
      <c r="AR6" s="165"/>
    </row>
    <row r="7" spans="2:44" x14ac:dyDescent="0.2">
      <c r="B7" s="550" t="s">
        <v>197</v>
      </c>
      <c r="C7" s="571"/>
      <c r="E7" s="568"/>
      <c r="F7" s="170">
        <v>2005</v>
      </c>
      <c r="G7" s="170">
        <v>2006</v>
      </c>
      <c r="H7" s="170">
        <v>2007</v>
      </c>
      <c r="I7" s="170">
        <v>2008</v>
      </c>
      <c r="J7" s="170">
        <v>2009</v>
      </c>
      <c r="K7" s="170">
        <v>2010</v>
      </c>
      <c r="L7" s="170">
        <v>2011</v>
      </c>
      <c r="M7" s="170">
        <v>2012</v>
      </c>
      <c r="N7" s="170">
        <v>2013</v>
      </c>
      <c r="O7" s="170">
        <v>2014</v>
      </c>
      <c r="P7" s="170">
        <v>2015</v>
      </c>
      <c r="Q7" s="170">
        <v>2016</v>
      </c>
      <c r="R7" s="170">
        <v>2017</v>
      </c>
      <c r="S7" s="170">
        <v>2018</v>
      </c>
      <c r="T7" s="170">
        <v>2019</v>
      </c>
      <c r="U7" s="170">
        <v>2020</v>
      </c>
      <c r="V7" s="170">
        <v>2021</v>
      </c>
      <c r="W7" s="170">
        <v>2022</v>
      </c>
      <c r="X7" s="283">
        <v>2023</v>
      </c>
      <c r="Y7" s="171">
        <v>2024</v>
      </c>
      <c r="Z7" s="171">
        <v>2025</v>
      </c>
      <c r="AA7" s="171">
        <v>2026</v>
      </c>
      <c r="AB7" s="165"/>
      <c r="AC7" s="165"/>
      <c r="AD7" s="165"/>
      <c r="AE7" s="165"/>
      <c r="AF7" s="165"/>
      <c r="AG7" s="165"/>
      <c r="AH7" s="165"/>
      <c r="AI7" s="165"/>
      <c r="AJ7" s="165"/>
      <c r="AK7" s="165"/>
      <c r="AL7" s="165"/>
      <c r="AM7" s="165"/>
      <c r="AN7" s="165"/>
      <c r="AO7" s="165"/>
      <c r="AP7" s="165"/>
      <c r="AQ7" s="165"/>
      <c r="AR7" s="165"/>
    </row>
    <row r="8" spans="2:44" x14ac:dyDescent="0.2">
      <c r="B8" s="550"/>
      <c r="C8" s="571"/>
      <c r="E8" s="353" t="s">
        <v>17</v>
      </c>
      <c r="F8" s="354" t="e">
        <v>#N/A</v>
      </c>
      <c r="G8" s="354" t="e">
        <f>+('2.1 LABOR STRUCTURE'!J9/'2.1 LABOR STRUCTURE'!I9-1)*100</f>
        <v>#N/A</v>
      </c>
      <c r="H8" s="354" t="e">
        <f>+('2.1 LABOR STRUCTURE'!K9/'2.1 LABOR STRUCTURE'!J9-1)*100</f>
        <v>#N/A</v>
      </c>
      <c r="I8" s="354" t="e">
        <f>+('2.1 LABOR STRUCTURE'!L9/'2.1 LABOR STRUCTURE'!K9-1)*100</f>
        <v>#N/A</v>
      </c>
      <c r="J8" s="354" t="e">
        <f>+('2.1 LABOR STRUCTURE'!M9/'2.1 LABOR STRUCTURE'!L9-1)*100</f>
        <v>#N/A</v>
      </c>
      <c r="K8" s="354" t="e">
        <f>+('2.1 LABOR STRUCTURE'!N9/'2.1 LABOR STRUCTURE'!M9-1)*100</f>
        <v>#N/A</v>
      </c>
      <c r="L8" s="354" t="e">
        <f>+('2.1 LABOR STRUCTURE'!O9/'2.1 LABOR STRUCTURE'!N9-1)*100</f>
        <v>#N/A</v>
      </c>
      <c r="M8" s="354" t="e">
        <f>+('2.1 LABOR STRUCTURE'!P9/'2.1 LABOR STRUCTURE'!O9-1)*100</f>
        <v>#N/A</v>
      </c>
      <c r="N8" s="354" t="e">
        <f>+('2.1 LABOR STRUCTURE'!Q9/'2.1 LABOR STRUCTURE'!P9-1)*100</f>
        <v>#N/A</v>
      </c>
      <c r="O8" s="354" t="e">
        <f>+('2.1 LABOR STRUCTURE'!R9/'2.1 LABOR STRUCTURE'!Q9-1)*100</f>
        <v>#N/A</v>
      </c>
      <c r="P8" s="354" t="e">
        <f>+('2.1 LABOR STRUCTURE'!S9/'2.1 LABOR STRUCTURE'!R9-1)*100</f>
        <v>#N/A</v>
      </c>
      <c r="Q8" s="354" t="e">
        <f>+('2.1 LABOR STRUCTURE'!T9/'2.1 LABOR STRUCTURE'!S9-1)*100</f>
        <v>#N/A</v>
      </c>
      <c r="R8" s="354" t="e">
        <f>+('2.1 LABOR STRUCTURE'!U9/'2.1 LABOR STRUCTURE'!T9-1)*100</f>
        <v>#N/A</v>
      </c>
      <c r="S8" s="355" t="e">
        <f>+('2.1 LABOR STRUCTURE'!V9/'2.1 LABOR STRUCTURE'!U9-1)*100</f>
        <v>#N/A</v>
      </c>
      <c r="T8" s="355" t="e">
        <f>+('2.1 LABOR STRUCTURE'!W9/'2.1 LABOR STRUCTURE'!V9-1)*100</f>
        <v>#N/A</v>
      </c>
      <c r="U8" s="355" t="e">
        <f>+('2.1 LABOR STRUCTURE'!X9/'2.1 LABOR STRUCTURE'!W9-1)*100</f>
        <v>#N/A</v>
      </c>
      <c r="V8" s="355" t="e">
        <f>+('2.1 LABOR STRUCTURE'!Y9/'2.1 LABOR STRUCTURE'!X9-1)*100</f>
        <v>#N/A</v>
      </c>
      <c r="W8" s="355" t="e">
        <f>+('2.1 LABOR STRUCTURE'!Z9/'2.1 LABOR STRUCTURE'!Y9-1)*100</f>
        <v>#N/A</v>
      </c>
      <c r="X8" s="355">
        <f>'1. GDP'!Z40*ELASTICITY!K$11</f>
        <v>-0.17325327226045117</v>
      </c>
      <c r="Y8" s="172">
        <f>'1. GDP'!AA40*ELASTICITY!L$11</f>
        <v>-1.0435507262447619</v>
      </c>
      <c r="Z8" s="172">
        <f>'1. GDP'!AB40*ELASTICITY!M$11</f>
        <v>-0.59270972221203477</v>
      </c>
      <c r="AA8" s="172">
        <f>'1. GDP'!AC40*ELASTICITY!N$11</f>
        <v>3.0083315527129852</v>
      </c>
      <c r="AB8" s="165"/>
      <c r="AC8" s="165"/>
      <c r="AD8" s="165"/>
      <c r="AE8" s="165"/>
      <c r="AF8" s="165"/>
      <c r="AG8" s="165"/>
      <c r="AH8" s="165"/>
      <c r="AI8" s="165"/>
      <c r="AJ8" s="165"/>
      <c r="AK8" s="165"/>
      <c r="AL8" s="165"/>
      <c r="AM8" s="165"/>
      <c r="AN8" s="165"/>
      <c r="AO8" s="165"/>
      <c r="AP8" s="165"/>
      <c r="AQ8" s="165"/>
      <c r="AR8" s="165"/>
    </row>
    <row r="9" spans="2:44" x14ac:dyDescent="0.2">
      <c r="B9" s="165"/>
      <c r="C9" s="165"/>
      <c r="E9" s="353" t="s">
        <v>19</v>
      </c>
      <c r="F9" s="354" t="e">
        <v>#N/A</v>
      </c>
      <c r="G9" s="354" t="e">
        <f>+('2.1 LABOR STRUCTURE'!J10/'2.1 LABOR STRUCTURE'!I10-1)*100</f>
        <v>#N/A</v>
      </c>
      <c r="H9" s="354" t="e">
        <f>+('2.1 LABOR STRUCTURE'!K10/'2.1 LABOR STRUCTURE'!J10-1)*100</f>
        <v>#N/A</v>
      </c>
      <c r="I9" s="354" t="e">
        <f>+('2.1 LABOR STRUCTURE'!L10/'2.1 LABOR STRUCTURE'!K10-1)*100</f>
        <v>#N/A</v>
      </c>
      <c r="J9" s="354" t="e">
        <f>+('2.1 LABOR STRUCTURE'!M10/'2.1 LABOR STRUCTURE'!L10-1)*100</f>
        <v>#N/A</v>
      </c>
      <c r="K9" s="354" t="e">
        <f>+('2.1 LABOR STRUCTURE'!N10/'2.1 LABOR STRUCTURE'!M10-1)*100</f>
        <v>#N/A</v>
      </c>
      <c r="L9" s="354" t="e">
        <f>+('2.1 LABOR STRUCTURE'!O10/'2.1 LABOR STRUCTURE'!N10-1)*100</f>
        <v>#N/A</v>
      </c>
      <c r="M9" s="354" t="e">
        <f>+('2.1 LABOR STRUCTURE'!P10/'2.1 LABOR STRUCTURE'!O10-1)*100</f>
        <v>#N/A</v>
      </c>
      <c r="N9" s="354" t="e">
        <f>+('2.1 LABOR STRUCTURE'!Q10/'2.1 LABOR STRUCTURE'!P10-1)*100</f>
        <v>#N/A</v>
      </c>
      <c r="O9" s="354" t="e">
        <f>+('2.1 LABOR STRUCTURE'!R10/'2.1 LABOR STRUCTURE'!Q10-1)*100</f>
        <v>#N/A</v>
      </c>
      <c r="P9" s="354" t="e">
        <f>+('2.1 LABOR STRUCTURE'!S10/'2.1 LABOR STRUCTURE'!R10-1)*100</f>
        <v>#N/A</v>
      </c>
      <c r="Q9" s="354" t="e">
        <f>+('2.1 LABOR STRUCTURE'!T10/'2.1 LABOR STRUCTURE'!S10-1)*100</f>
        <v>#N/A</v>
      </c>
      <c r="R9" s="354" t="e">
        <f>+('2.1 LABOR STRUCTURE'!U10/'2.1 LABOR STRUCTURE'!T10-1)*100</f>
        <v>#N/A</v>
      </c>
      <c r="S9" s="355" t="e">
        <f>+('2.1 LABOR STRUCTURE'!V10/'2.1 LABOR STRUCTURE'!U10-1)*100</f>
        <v>#N/A</v>
      </c>
      <c r="T9" s="355" t="e">
        <f>+('2.1 LABOR STRUCTURE'!W10/'2.1 LABOR STRUCTURE'!V10-1)*100</f>
        <v>#N/A</v>
      </c>
      <c r="U9" s="355" t="e">
        <f>+('2.1 LABOR STRUCTURE'!X10/'2.1 LABOR STRUCTURE'!W10-1)*100</f>
        <v>#N/A</v>
      </c>
      <c r="V9" s="355" t="e">
        <f>+('2.1 LABOR STRUCTURE'!Y10/'2.1 LABOR STRUCTURE'!X10-1)*100</f>
        <v>#N/A</v>
      </c>
      <c r="W9" s="355" t="e">
        <f>+('2.1 LABOR STRUCTURE'!Z10/'2.1 LABOR STRUCTURE'!Y10-1)*100</f>
        <v>#N/A</v>
      </c>
      <c r="X9" s="355">
        <f>('2.1 LABOR STRUCTURE'!AA10/'2.1 LABOR STRUCTURE'!Z10-1)*100</f>
        <v>3.5052897319316934</v>
      </c>
      <c r="Y9" s="173">
        <f>('2.1 LABOR STRUCTURE'!AB10/'2.1 LABOR STRUCTURE'!AA10-1)*100</f>
        <v>4.1152246850923557</v>
      </c>
      <c r="Z9" s="173">
        <f>('2.1 LABOR STRUCTURE'!AC10/'2.1 LABOR STRUCTURE'!AB10-1)*100</f>
        <v>3.3701129609919223</v>
      </c>
      <c r="AA9" s="173">
        <f>('2.1 LABOR STRUCTURE'!AD10/'2.1 LABOR STRUCTURE'!AC10-1)*100</f>
        <v>-0.16309013679123296</v>
      </c>
      <c r="AB9" s="165"/>
      <c r="AC9" s="165"/>
      <c r="AD9" s="165"/>
      <c r="AE9" s="165"/>
      <c r="AF9" s="165"/>
      <c r="AG9" s="165"/>
      <c r="AH9" s="165"/>
      <c r="AI9" s="165"/>
      <c r="AJ9" s="165"/>
      <c r="AK9" s="165"/>
      <c r="AL9" s="165"/>
      <c r="AM9" s="165"/>
      <c r="AN9" s="165"/>
      <c r="AO9" s="165"/>
      <c r="AP9" s="165"/>
      <c r="AQ9" s="165"/>
      <c r="AR9" s="165"/>
    </row>
    <row r="10" spans="2:44" x14ac:dyDescent="0.2">
      <c r="B10" s="165"/>
      <c r="C10" s="165"/>
      <c r="E10" s="353" t="s">
        <v>139</v>
      </c>
      <c r="F10" s="354" t="e">
        <v>#N/A</v>
      </c>
      <c r="G10" s="354" t="e">
        <f>+('2.1 LABOR STRUCTURE'!J11/'2.1 LABOR STRUCTURE'!I11-1)*100</f>
        <v>#N/A</v>
      </c>
      <c r="H10" s="354" t="e">
        <f>+('2.1 LABOR STRUCTURE'!K11/'2.1 LABOR STRUCTURE'!J11-1)*100</f>
        <v>#N/A</v>
      </c>
      <c r="I10" s="354" t="e">
        <f>+('2.1 LABOR STRUCTURE'!L11/'2.1 LABOR STRUCTURE'!K11-1)*100</f>
        <v>#N/A</v>
      </c>
      <c r="J10" s="354" t="e">
        <f>+('2.1 LABOR STRUCTURE'!M11/'2.1 LABOR STRUCTURE'!L11-1)*100</f>
        <v>#N/A</v>
      </c>
      <c r="K10" s="354" t="e">
        <f>+('2.1 LABOR STRUCTURE'!N11/'2.1 LABOR STRUCTURE'!M11-1)*100</f>
        <v>#N/A</v>
      </c>
      <c r="L10" s="354" t="e">
        <f>+('2.1 LABOR STRUCTURE'!O11/'2.1 LABOR STRUCTURE'!N11-1)*100</f>
        <v>#N/A</v>
      </c>
      <c r="M10" s="354" t="e">
        <f>+('2.1 LABOR STRUCTURE'!P11/'2.1 LABOR STRUCTURE'!O11-1)*100</f>
        <v>#N/A</v>
      </c>
      <c r="N10" s="354" t="e">
        <f>+('2.1 LABOR STRUCTURE'!Q11/'2.1 LABOR STRUCTURE'!P11-1)*100</f>
        <v>#N/A</v>
      </c>
      <c r="O10" s="354" t="e">
        <f>+('2.1 LABOR STRUCTURE'!R11/'2.1 LABOR STRUCTURE'!Q11-1)*100</f>
        <v>#N/A</v>
      </c>
      <c r="P10" s="354" t="e">
        <f>+('2.1 LABOR STRUCTURE'!S11/'2.1 LABOR STRUCTURE'!R11-1)*100</f>
        <v>#N/A</v>
      </c>
      <c r="Q10" s="354" t="e">
        <f>+('2.1 LABOR STRUCTURE'!T11/'2.1 LABOR STRUCTURE'!S11-1)*100</f>
        <v>#N/A</v>
      </c>
      <c r="R10" s="354" t="e">
        <f>+('2.1 LABOR STRUCTURE'!U11/'2.1 LABOR STRUCTURE'!T11-1)*100</f>
        <v>#N/A</v>
      </c>
      <c r="S10" s="355" t="e">
        <f>+('2.1 LABOR STRUCTURE'!V11/'2.1 LABOR STRUCTURE'!U11-1)*100</f>
        <v>#N/A</v>
      </c>
      <c r="T10" s="355" t="e">
        <f>+('2.1 LABOR STRUCTURE'!W11/'2.1 LABOR STRUCTURE'!V11-1)*100</f>
        <v>#N/A</v>
      </c>
      <c r="U10" s="355" t="e">
        <f>+('2.1 LABOR STRUCTURE'!X11/'2.1 LABOR STRUCTURE'!W11-1)*100</f>
        <v>#N/A</v>
      </c>
      <c r="V10" s="355" t="e">
        <f>+('2.1 LABOR STRUCTURE'!Y11/'2.1 LABOR STRUCTURE'!X11-1)*100</f>
        <v>#N/A</v>
      </c>
      <c r="W10" s="355" t="e">
        <f>+('2.1 LABOR STRUCTURE'!Z11/'2.1 LABOR STRUCTURE'!Y11-1)*100</f>
        <v>#N/A</v>
      </c>
      <c r="X10" s="355">
        <f>('2.1 LABOR STRUCTURE'!AA12/'2.1 LABOR STRUCTURE'!Z12-1)*100</f>
        <v>-11.231583866943817</v>
      </c>
      <c r="Y10" s="174">
        <f>('2.1 LABOR STRUCTURE'!AB12/'2.1 LABOR STRUCTURE'!AA12-1)*100</f>
        <v>15.03354385647102</v>
      </c>
      <c r="Z10" s="174">
        <f>('2.1 LABOR STRUCTURE'!AC12/'2.1 LABOR STRUCTURE'!AB12-1)*100</f>
        <v>4.4519339612680175</v>
      </c>
      <c r="AA10" s="174">
        <f>('2.1 LABOR STRUCTURE'!AD12/'2.1 LABOR STRUCTURE'!AC12-1)*100</f>
        <v>-3.1917721493556872</v>
      </c>
      <c r="AB10" s="165"/>
      <c r="AC10" s="165"/>
      <c r="AD10" s="165"/>
      <c r="AE10" s="165"/>
      <c r="AF10" s="165"/>
      <c r="AG10" s="165"/>
      <c r="AH10" s="165"/>
      <c r="AI10" s="165"/>
      <c r="AJ10" s="165"/>
      <c r="AK10" s="165"/>
      <c r="AL10" s="165"/>
      <c r="AM10" s="165"/>
      <c r="AN10" s="165"/>
      <c r="AO10" s="165"/>
      <c r="AP10" s="165"/>
      <c r="AQ10" s="165"/>
      <c r="AR10" s="165"/>
    </row>
    <row r="11" spans="2:44" ht="16.5" customHeight="1" x14ac:dyDescent="0.2">
      <c r="B11" s="165"/>
      <c r="C11" s="165"/>
      <c r="E11" s="353" t="s">
        <v>23</v>
      </c>
      <c r="F11" s="354" t="e">
        <v>#N/A</v>
      </c>
      <c r="G11" s="354" t="e">
        <f>+('2.1 LABOR STRUCTURE'!J12/'2.1 LABOR STRUCTURE'!I12-1)*100</f>
        <v>#N/A</v>
      </c>
      <c r="H11" s="354" t="e">
        <f>+('2.1 LABOR STRUCTURE'!K12/'2.1 LABOR STRUCTURE'!J12-1)*100</f>
        <v>#N/A</v>
      </c>
      <c r="I11" s="354" t="e">
        <f>+('2.1 LABOR STRUCTURE'!L12/'2.1 LABOR STRUCTURE'!K12-1)*100</f>
        <v>#N/A</v>
      </c>
      <c r="J11" s="354" t="e">
        <f>+('2.1 LABOR STRUCTURE'!M12/'2.1 LABOR STRUCTURE'!L12-1)*100</f>
        <v>#N/A</v>
      </c>
      <c r="K11" s="354" t="e">
        <f>+('2.1 LABOR STRUCTURE'!N12/'2.1 LABOR STRUCTURE'!M12-1)*100</f>
        <v>#N/A</v>
      </c>
      <c r="L11" s="354" t="e">
        <f>+('2.1 LABOR STRUCTURE'!O12/'2.1 LABOR STRUCTURE'!N12-1)*100</f>
        <v>#N/A</v>
      </c>
      <c r="M11" s="354" t="e">
        <f>+('2.1 LABOR STRUCTURE'!P12/'2.1 LABOR STRUCTURE'!O12-1)*100</f>
        <v>#N/A</v>
      </c>
      <c r="N11" s="354" t="e">
        <f>+('2.1 LABOR STRUCTURE'!Q12/'2.1 LABOR STRUCTURE'!P12-1)*100</f>
        <v>#N/A</v>
      </c>
      <c r="O11" s="354" t="e">
        <f>+('2.1 LABOR STRUCTURE'!R12/'2.1 LABOR STRUCTURE'!Q12-1)*100</f>
        <v>#N/A</v>
      </c>
      <c r="P11" s="354" t="e">
        <f>+('2.1 LABOR STRUCTURE'!S12/'2.1 LABOR STRUCTURE'!R12-1)*100</f>
        <v>#N/A</v>
      </c>
      <c r="Q11" s="354" t="e">
        <f>+('2.1 LABOR STRUCTURE'!T12/'2.1 LABOR STRUCTURE'!S12-1)*100</f>
        <v>#N/A</v>
      </c>
      <c r="R11" s="354" t="e">
        <f>+('2.1 LABOR STRUCTURE'!U12/'2.1 LABOR STRUCTURE'!T12-1)*100</f>
        <v>#N/A</v>
      </c>
      <c r="S11" s="355" t="e">
        <f>+('2.1 LABOR STRUCTURE'!V12/'2.1 LABOR STRUCTURE'!U12-1)*100</f>
        <v>#N/A</v>
      </c>
      <c r="T11" s="355" t="e">
        <f>+('2.1 LABOR STRUCTURE'!W12/'2.1 LABOR STRUCTURE'!V12-1)*100</f>
        <v>#N/A</v>
      </c>
      <c r="U11" s="355" t="e">
        <f>+('2.1 LABOR STRUCTURE'!X12/'2.1 LABOR STRUCTURE'!W12-1)*100</f>
        <v>#N/A</v>
      </c>
      <c r="V11" s="355" t="e">
        <f>+('2.1 LABOR STRUCTURE'!Y12/'2.1 LABOR STRUCTURE'!X12-1)*100</f>
        <v>#N/A</v>
      </c>
      <c r="W11" s="355" t="e">
        <f>+('2.1 LABOR STRUCTURE'!Z12/'2.1 LABOR STRUCTURE'!Y12-1)*100</f>
        <v>#N/A</v>
      </c>
      <c r="X11" s="355">
        <f>('2.1 LABOR STRUCTURE'!AA11/'2.1 LABOR STRUCTURE'!Z11-1)*100</f>
        <v>0.29158080000546427</v>
      </c>
      <c r="Y11" s="174">
        <f>('2.1 LABOR STRUCTURE'!AB11/'2.1 LABOR STRUCTURE'!AA11-1)*100</f>
        <v>-1.6417005044013222</v>
      </c>
      <c r="Z11" s="174">
        <f>('2.1 LABOR STRUCTURE'!AC11/'2.1 LABOR STRUCTURE'!AB11-1)*100</f>
        <v>-0.81221570575872315</v>
      </c>
      <c r="AA11" s="174">
        <f>('2.1 LABOR STRUCTURE'!AD11/'2.1 LABOR STRUCTURE'!AC11-1)*100</f>
        <v>3.2924327847312362</v>
      </c>
      <c r="AB11" s="165"/>
      <c r="AC11" s="165"/>
      <c r="AD11" s="165"/>
      <c r="AE11" s="165"/>
      <c r="AF11" s="165"/>
      <c r="AG11" s="165"/>
      <c r="AH11" s="165"/>
      <c r="AI11" s="165"/>
      <c r="AJ11" s="165"/>
      <c r="AK11" s="165"/>
      <c r="AL11" s="165"/>
      <c r="AM11" s="165"/>
      <c r="AN11" s="165"/>
      <c r="AO11" s="165"/>
      <c r="AP11" s="165"/>
      <c r="AQ11" s="165"/>
      <c r="AR11" s="165"/>
    </row>
    <row r="12" spans="2:44" x14ac:dyDescent="0.2">
      <c r="B12" s="165"/>
      <c r="C12" s="165"/>
      <c r="E12" s="356" t="s">
        <v>390</v>
      </c>
      <c r="F12" s="354" t="e">
        <f>+(('2.1 LABOR STRUCTURE'!I23)/('2.1 LABOR STRUCTURE'!H23)-1)*100</f>
        <v>#N/A</v>
      </c>
      <c r="G12" s="354" t="e">
        <f>+(('2.1 LABOR STRUCTURE'!J23)/('2.1 LABOR STRUCTURE'!I23)-1)*100</f>
        <v>#N/A</v>
      </c>
      <c r="H12" s="354" t="e">
        <f>+(('2.1 LABOR STRUCTURE'!K23)/('2.1 LABOR STRUCTURE'!J23)-1)*100</f>
        <v>#N/A</v>
      </c>
      <c r="I12" s="354" t="e">
        <f>+(('2.1 LABOR STRUCTURE'!L23)/('2.1 LABOR STRUCTURE'!K23)-1)*100</f>
        <v>#N/A</v>
      </c>
      <c r="J12" s="354" t="e">
        <f>+(('2.1 LABOR STRUCTURE'!M23)/('2.1 LABOR STRUCTURE'!L23)-1)*100</f>
        <v>#N/A</v>
      </c>
      <c r="K12" s="354" t="e">
        <f>+(('2.1 LABOR STRUCTURE'!N23)/('2.1 LABOR STRUCTURE'!M23)-1)*100</f>
        <v>#N/A</v>
      </c>
      <c r="L12" s="354" t="e">
        <f>+(('2.1 LABOR STRUCTURE'!O23)/('2.1 LABOR STRUCTURE'!N23)-1)*100</f>
        <v>#N/A</v>
      </c>
      <c r="M12" s="354" t="e">
        <f>+(('2.1 LABOR STRUCTURE'!P23)/('2.1 LABOR STRUCTURE'!O23)-1)*100</f>
        <v>#N/A</v>
      </c>
      <c r="N12" s="354" t="e">
        <f>+(('2.1 LABOR STRUCTURE'!Q23)/('2.1 LABOR STRUCTURE'!P23)-1)*100</f>
        <v>#N/A</v>
      </c>
      <c r="O12" s="354" t="e">
        <f>+(('2.1 LABOR STRUCTURE'!R23)/('2.1 LABOR STRUCTURE'!Q23)-1)*100</f>
        <v>#N/A</v>
      </c>
      <c r="P12" s="354" t="e">
        <f>+(('2.1 LABOR STRUCTURE'!S23)/('2.1 LABOR STRUCTURE'!R23)-1)*100</f>
        <v>#N/A</v>
      </c>
      <c r="Q12" s="354" t="e">
        <f>+(('2.1 LABOR STRUCTURE'!T23)/('2.1 LABOR STRUCTURE'!S23)-1)*100</f>
        <v>#N/A</v>
      </c>
      <c r="R12" s="354" t="e">
        <f>+(('2.1 LABOR STRUCTURE'!U23)/('2.1 LABOR STRUCTURE'!T23)-1)*100</f>
        <v>#N/A</v>
      </c>
      <c r="S12" s="354" t="e">
        <f>+(('2.1 LABOR STRUCTURE'!V23)/('2.1 LABOR STRUCTURE'!U23)-1)*100</f>
        <v>#N/A</v>
      </c>
      <c r="T12" s="354" t="e">
        <f>+(('2.1 LABOR STRUCTURE'!W23)/('2.1 LABOR STRUCTURE'!V23)-1)*100</f>
        <v>#N/A</v>
      </c>
      <c r="U12" s="354" t="e">
        <f>+(('2.1 LABOR STRUCTURE'!X23)/('2.1 LABOR STRUCTURE'!W23)-1)*100</f>
        <v>#N/A</v>
      </c>
      <c r="V12" s="354" t="e">
        <f>+(('2.1 LABOR STRUCTURE'!Y23)/('2.1 LABOR STRUCTURE'!X23)-1)*100</f>
        <v>#N/A</v>
      </c>
      <c r="W12" s="354" t="e">
        <f>+(('2.1 LABOR STRUCTURE'!Z23)/('2.1 LABOR STRUCTURE'!Y23)-1)*100</f>
        <v>#N/A</v>
      </c>
      <c r="X12" s="354">
        <f>'1. GDP'!Z47*ELASTICITY!K12</f>
        <v>-2.5285794155077479</v>
      </c>
      <c r="Y12" s="175">
        <f>'1. GDP'!AA47*ELASTICITY!L12</f>
        <v>-0.9900000171156198</v>
      </c>
      <c r="Z12" s="175">
        <f>'1. GDP'!AB47*ELASTICITY!M12</f>
        <v>1.4999999972385436</v>
      </c>
      <c r="AA12" s="175">
        <f>'1. GDP'!AC47*ELASTICITY!N12</f>
        <v>0.46499999215798171</v>
      </c>
      <c r="AB12" s="165"/>
      <c r="AC12" s="165"/>
      <c r="AD12" s="165"/>
      <c r="AE12" s="165"/>
      <c r="AF12" s="165"/>
      <c r="AG12" s="165"/>
      <c r="AH12" s="165"/>
      <c r="AI12" s="165"/>
      <c r="AJ12" s="165"/>
      <c r="AK12" s="165"/>
      <c r="AL12" s="165"/>
      <c r="AM12" s="165"/>
      <c r="AN12" s="165"/>
      <c r="AO12" s="165"/>
      <c r="AP12" s="165"/>
      <c r="AQ12" s="165"/>
      <c r="AR12" s="165"/>
    </row>
    <row r="13" spans="2:44" x14ac:dyDescent="0.2">
      <c r="B13" s="165"/>
      <c r="C13" s="165"/>
      <c r="E13" s="356" t="s">
        <v>389</v>
      </c>
      <c r="F13" s="354" t="e">
        <f>+(('2.1 LABOR STRUCTURE'!I24)/('2.1 LABOR STRUCTURE'!H24)-1)*100</f>
        <v>#N/A</v>
      </c>
      <c r="G13" s="354" t="e">
        <f>+(('2.1 LABOR STRUCTURE'!J24)/('2.1 LABOR STRUCTURE'!I24)-1)*100</f>
        <v>#N/A</v>
      </c>
      <c r="H13" s="354" t="e">
        <f>+(('2.1 LABOR STRUCTURE'!K24)/('2.1 LABOR STRUCTURE'!J24)-1)*100</f>
        <v>#N/A</v>
      </c>
      <c r="I13" s="354" t="e">
        <f>+(('2.1 LABOR STRUCTURE'!L24)/('2.1 LABOR STRUCTURE'!K24)-1)*100</f>
        <v>#N/A</v>
      </c>
      <c r="J13" s="354" t="e">
        <f>+(('2.1 LABOR STRUCTURE'!M24)/('2.1 LABOR STRUCTURE'!L24)-1)*100</f>
        <v>#N/A</v>
      </c>
      <c r="K13" s="354" t="e">
        <f>+(('2.1 LABOR STRUCTURE'!N24)/('2.1 LABOR STRUCTURE'!M24)-1)*100</f>
        <v>#N/A</v>
      </c>
      <c r="L13" s="354" t="e">
        <f>+(('2.1 LABOR STRUCTURE'!O24)/('2.1 LABOR STRUCTURE'!N24)-1)*100</f>
        <v>#N/A</v>
      </c>
      <c r="M13" s="354" t="e">
        <f>+(('2.1 LABOR STRUCTURE'!P24)/('2.1 LABOR STRUCTURE'!O24)-1)*100</f>
        <v>#N/A</v>
      </c>
      <c r="N13" s="354" t="e">
        <f>+(('2.1 LABOR STRUCTURE'!Q24)/('2.1 LABOR STRUCTURE'!P24)-1)*100</f>
        <v>#N/A</v>
      </c>
      <c r="O13" s="354" t="e">
        <f>+(('2.1 LABOR STRUCTURE'!R24)/('2.1 LABOR STRUCTURE'!Q24)-1)*100</f>
        <v>#N/A</v>
      </c>
      <c r="P13" s="354" t="e">
        <f>+(('2.1 LABOR STRUCTURE'!S24)/('2.1 LABOR STRUCTURE'!R24)-1)*100</f>
        <v>#N/A</v>
      </c>
      <c r="Q13" s="354" t="e">
        <f>+(('2.1 LABOR STRUCTURE'!T24)/('2.1 LABOR STRUCTURE'!S24)-1)*100</f>
        <v>#N/A</v>
      </c>
      <c r="R13" s="354" t="e">
        <f>+(('2.1 LABOR STRUCTURE'!U24)/('2.1 LABOR STRUCTURE'!T24)-1)*100</f>
        <v>#N/A</v>
      </c>
      <c r="S13" s="354" t="e">
        <f>+(('2.1 LABOR STRUCTURE'!V24)/('2.1 LABOR STRUCTURE'!U24)-1)*100</f>
        <v>#N/A</v>
      </c>
      <c r="T13" s="354" t="e">
        <f>+(('2.1 LABOR STRUCTURE'!W24)/('2.1 LABOR STRUCTURE'!V24)-1)*100</f>
        <v>#N/A</v>
      </c>
      <c r="U13" s="354" t="e">
        <f>+(('2.1 LABOR STRUCTURE'!X24)/('2.1 LABOR STRUCTURE'!W24)-1)*100</f>
        <v>#N/A</v>
      </c>
      <c r="V13" s="354" t="e">
        <f>+(('2.1 LABOR STRUCTURE'!Y24)/('2.1 LABOR STRUCTURE'!X24)-1)*100</f>
        <v>#N/A</v>
      </c>
      <c r="W13" s="354" t="e">
        <f>+(('2.1 LABOR STRUCTURE'!Z24)/('2.1 LABOR STRUCTURE'!Y24)-1)*100</f>
        <v>#N/A</v>
      </c>
      <c r="X13" s="354">
        <f>'1. GDP'!Z47*ELASTICITY!K13</f>
        <v>-2.5285794155077479</v>
      </c>
      <c r="Y13" s="175">
        <f>'1. GDP'!AA47*ELASTICITY!L13</f>
        <v>-0.6600000114104132</v>
      </c>
      <c r="Z13" s="175">
        <f>'1. GDP'!AB47*ELASTICITY!M13</f>
        <v>1.1999999977908349</v>
      </c>
      <c r="AA13" s="175">
        <f>'1. GDP'!AC47*ELASTICITY!N13</f>
        <v>0.1549999973859939</v>
      </c>
      <c r="AB13" s="165"/>
      <c r="AC13" s="165"/>
      <c r="AD13" s="165"/>
      <c r="AE13" s="165"/>
      <c r="AF13" s="165"/>
      <c r="AG13" s="165"/>
      <c r="AH13" s="165"/>
      <c r="AI13" s="165"/>
      <c r="AJ13" s="165"/>
      <c r="AK13" s="165"/>
      <c r="AL13" s="165"/>
      <c r="AM13" s="165"/>
      <c r="AN13" s="165"/>
      <c r="AO13" s="165"/>
      <c r="AP13" s="165"/>
      <c r="AQ13" s="165"/>
      <c r="AR13" s="165"/>
    </row>
    <row r="14" spans="2:44" x14ac:dyDescent="0.2">
      <c r="B14" s="165"/>
      <c r="C14" s="165"/>
      <c r="E14" s="356" t="s">
        <v>610</v>
      </c>
      <c r="F14" s="354" t="e">
        <f>+(('2.1 LABOR STRUCTURE'!I25)/('2.1 LABOR STRUCTURE'!H25)-1)*100</f>
        <v>#N/A</v>
      </c>
      <c r="G14" s="354" t="e">
        <f>+(('2.1 LABOR STRUCTURE'!J25)/('2.1 LABOR STRUCTURE'!I25)-1)*100</f>
        <v>#N/A</v>
      </c>
      <c r="H14" s="354" t="e">
        <f>+(('2.1 LABOR STRUCTURE'!K25)/('2.1 LABOR STRUCTURE'!J25)-1)*100</f>
        <v>#N/A</v>
      </c>
      <c r="I14" s="354" t="e">
        <f>+(('2.1 LABOR STRUCTURE'!L25)/('2.1 LABOR STRUCTURE'!K25)-1)*100</f>
        <v>#N/A</v>
      </c>
      <c r="J14" s="354" t="e">
        <f>+(('2.1 LABOR STRUCTURE'!M25)/('2.1 LABOR STRUCTURE'!L25)-1)*100</f>
        <v>#N/A</v>
      </c>
      <c r="K14" s="354" t="e">
        <f>+(('2.1 LABOR STRUCTURE'!N25)/('2.1 LABOR STRUCTURE'!M25)-1)*100</f>
        <v>#N/A</v>
      </c>
      <c r="L14" s="354" t="e">
        <f>+(('2.1 LABOR STRUCTURE'!O25)/('2.1 LABOR STRUCTURE'!N25)-1)*100</f>
        <v>#N/A</v>
      </c>
      <c r="M14" s="354" t="e">
        <f>+(('2.1 LABOR STRUCTURE'!P25)/('2.1 LABOR STRUCTURE'!O25)-1)*100</f>
        <v>#N/A</v>
      </c>
      <c r="N14" s="354" t="e">
        <f>+(('2.1 LABOR STRUCTURE'!Q25)/('2.1 LABOR STRUCTURE'!P25)-1)*100</f>
        <v>#N/A</v>
      </c>
      <c r="O14" s="354" t="e">
        <f>+(('2.1 LABOR STRUCTURE'!R25)/('2.1 LABOR STRUCTURE'!Q25)-1)*100</f>
        <v>#N/A</v>
      </c>
      <c r="P14" s="354" t="e">
        <f>+(('2.1 LABOR STRUCTURE'!S25)/('2.1 LABOR STRUCTURE'!R25)-1)*100</f>
        <v>#N/A</v>
      </c>
      <c r="Q14" s="354" t="e">
        <f>+(('2.1 LABOR STRUCTURE'!T25)/('2.1 LABOR STRUCTURE'!S25)-1)*100</f>
        <v>#N/A</v>
      </c>
      <c r="R14" s="354" t="e">
        <f>+(('2.1 LABOR STRUCTURE'!U25)/('2.1 LABOR STRUCTURE'!T25)-1)*100</f>
        <v>#N/A</v>
      </c>
      <c r="S14" s="354" t="e">
        <f>+(('2.1 LABOR STRUCTURE'!V25)/('2.1 LABOR STRUCTURE'!U25)-1)*100</f>
        <v>#N/A</v>
      </c>
      <c r="T14" s="354" t="e">
        <f>+(('2.1 LABOR STRUCTURE'!W25)/('2.1 LABOR STRUCTURE'!V25)-1)*100</f>
        <v>#N/A</v>
      </c>
      <c r="U14" s="354" t="e">
        <f>+(('2.1 LABOR STRUCTURE'!X25)/('2.1 LABOR STRUCTURE'!W25)-1)*100</f>
        <v>#N/A</v>
      </c>
      <c r="V14" s="354" t="e">
        <f>+(('2.1 LABOR STRUCTURE'!Y25)/('2.1 LABOR STRUCTURE'!X25)-1)*100</f>
        <v>#N/A</v>
      </c>
      <c r="W14" s="354" t="e">
        <f>+(('2.1 LABOR STRUCTURE'!Z25)/('2.1 LABOR STRUCTURE'!Y25)-1)*100</f>
        <v>#N/A</v>
      </c>
      <c r="X14" s="354">
        <f>'1. GDP'!Z48*ELASTICITY!K14</f>
        <v>0.20943892376903417</v>
      </c>
      <c r="Y14" s="175">
        <f>'1. GDP'!AA48*ELASTICITY!L14</f>
        <v>-1.7400000102691404</v>
      </c>
      <c r="Z14" s="175">
        <f>'1. GDP'!AB48*ELASTICITY!M14</f>
        <v>-9.8999998102440969</v>
      </c>
      <c r="AA14" s="175">
        <f>'1. GDP'!AC48*ELASTICITY!N14</f>
        <v>11.340000144700122</v>
      </c>
      <c r="AB14" s="165"/>
      <c r="AC14" s="165"/>
      <c r="AD14" s="165"/>
      <c r="AE14" s="165"/>
      <c r="AF14" s="165"/>
      <c r="AG14" s="165"/>
      <c r="AH14" s="165"/>
      <c r="AI14" s="165"/>
      <c r="AJ14" s="165"/>
      <c r="AK14" s="165"/>
      <c r="AL14" s="165"/>
      <c r="AM14" s="165"/>
      <c r="AN14" s="165"/>
      <c r="AO14" s="165"/>
      <c r="AP14" s="165"/>
      <c r="AQ14" s="165"/>
      <c r="AR14" s="165"/>
    </row>
    <row r="15" spans="2:44" x14ac:dyDescent="0.2">
      <c r="B15" s="165"/>
      <c r="C15" s="165"/>
      <c r="E15" s="356" t="s">
        <v>611</v>
      </c>
      <c r="F15" s="354" t="e">
        <f>+(('2.1 LABOR STRUCTURE'!I26)/('2.1 LABOR STRUCTURE'!H26)-1)*100</f>
        <v>#N/A</v>
      </c>
      <c r="G15" s="354" t="e">
        <f>+(('2.1 LABOR STRUCTURE'!J26)/('2.1 LABOR STRUCTURE'!I26)-1)*100</f>
        <v>#N/A</v>
      </c>
      <c r="H15" s="354" t="e">
        <f>+(('2.1 LABOR STRUCTURE'!K26)/('2.1 LABOR STRUCTURE'!J26)-1)*100</f>
        <v>#N/A</v>
      </c>
      <c r="I15" s="354" t="e">
        <f>+(('2.1 LABOR STRUCTURE'!L26)/('2.1 LABOR STRUCTURE'!K26)-1)*100</f>
        <v>#N/A</v>
      </c>
      <c r="J15" s="354" t="e">
        <f>+(('2.1 LABOR STRUCTURE'!M26)/('2.1 LABOR STRUCTURE'!L26)-1)*100</f>
        <v>#N/A</v>
      </c>
      <c r="K15" s="354" t="e">
        <f>+(('2.1 LABOR STRUCTURE'!N26)/('2.1 LABOR STRUCTURE'!M26)-1)*100</f>
        <v>#N/A</v>
      </c>
      <c r="L15" s="354" t="e">
        <f>+(('2.1 LABOR STRUCTURE'!O26)/('2.1 LABOR STRUCTURE'!N26)-1)*100</f>
        <v>#N/A</v>
      </c>
      <c r="M15" s="354" t="e">
        <f>+(('2.1 LABOR STRUCTURE'!P26)/('2.1 LABOR STRUCTURE'!O26)-1)*100</f>
        <v>#N/A</v>
      </c>
      <c r="N15" s="354" t="e">
        <f>+(('2.1 LABOR STRUCTURE'!Q26)/('2.1 LABOR STRUCTURE'!P26)-1)*100</f>
        <v>#N/A</v>
      </c>
      <c r="O15" s="354" t="e">
        <f>+(('2.1 LABOR STRUCTURE'!R26)/('2.1 LABOR STRUCTURE'!Q26)-1)*100</f>
        <v>#N/A</v>
      </c>
      <c r="P15" s="354" t="e">
        <f>+(('2.1 LABOR STRUCTURE'!S26)/('2.1 LABOR STRUCTURE'!R26)-1)*100</f>
        <v>#N/A</v>
      </c>
      <c r="Q15" s="354" t="e">
        <f>+(('2.1 LABOR STRUCTURE'!T26)/('2.1 LABOR STRUCTURE'!S26)-1)*100</f>
        <v>#N/A</v>
      </c>
      <c r="R15" s="354" t="e">
        <f>+(('2.1 LABOR STRUCTURE'!U26)/('2.1 LABOR STRUCTURE'!T26)-1)*100</f>
        <v>#N/A</v>
      </c>
      <c r="S15" s="354" t="e">
        <f>+(('2.1 LABOR STRUCTURE'!V26)/('2.1 LABOR STRUCTURE'!U26)-1)*100</f>
        <v>#N/A</v>
      </c>
      <c r="T15" s="354" t="e">
        <f>+(('2.1 LABOR STRUCTURE'!W26)/('2.1 LABOR STRUCTURE'!V26)-1)*100</f>
        <v>#N/A</v>
      </c>
      <c r="U15" s="354" t="e">
        <f>+(('2.1 LABOR STRUCTURE'!X26)/('2.1 LABOR STRUCTURE'!W26)-1)*100</f>
        <v>#N/A</v>
      </c>
      <c r="V15" s="354" t="e">
        <f>+(('2.1 LABOR STRUCTURE'!Y26)/('2.1 LABOR STRUCTURE'!X26)-1)*100</f>
        <v>#N/A</v>
      </c>
      <c r="W15" s="354" t="e">
        <f>+(('2.1 LABOR STRUCTURE'!Z26)/('2.1 LABOR STRUCTURE'!Y26)-1)*100</f>
        <v>#N/A</v>
      </c>
      <c r="X15" s="354">
        <f>'1. GDP'!Z48*ELASTICITY!K15</f>
        <v>2.792518983587132</v>
      </c>
      <c r="Y15" s="175">
        <f>'1. GDP'!AA48*ELASTICITY!L15</f>
        <v>-0.2900000017115234</v>
      </c>
      <c r="Z15" s="175">
        <f>'1. GDP'!AB48*ELASTICITY!M15</f>
        <v>-4.9499999051220485</v>
      </c>
      <c r="AA15" s="175">
        <f>'1. GDP'!AC48*ELASTICITY!N15</f>
        <v>4.860000062014338</v>
      </c>
      <c r="AB15" s="165"/>
      <c r="AC15" s="165"/>
      <c r="AD15" s="165"/>
      <c r="AE15" s="165"/>
      <c r="AF15" s="165"/>
      <c r="AG15" s="165"/>
      <c r="AH15" s="165"/>
      <c r="AI15" s="165"/>
      <c r="AJ15" s="165"/>
      <c r="AK15" s="165"/>
      <c r="AL15" s="165"/>
      <c r="AM15" s="165"/>
      <c r="AN15" s="165"/>
      <c r="AO15" s="165"/>
      <c r="AP15" s="165"/>
      <c r="AQ15" s="165"/>
      <c r="AR15" s="165"/>
    </row>
    <row r="16" spans="2:44" x14ac:dyDescent="0.2">
      <c r="B16" s="165"/>
      <c r="C16" s="165"/>
      <c r="E16" s="356" t="s">
        <v>612</v>
      </c>
      <c r="F16" s="354" t="e">
        <f>+(('2.1 LABOR STRUCTURE'!I27)/('2.1 LABOR STRUCTURE'!H27)-1)*100</f>
        <v>#N/A</v>
      </c>
      <c r="G16" s="354" t="e">
        <f>+(('2.1 LABOR STRUCTURE'!J27)/('2.1 LABOR STRUCTURE'!I27)-1)*100</f>
        <v>#N/A</v>
      </c>
      <c r="H16" s="354" t="e">
        <f>+(('2.1 LABOR STRUCTURE'!K27)/('2.1 LABOR STRUCTURE'!J27)-1)*100</f>
        <v>#N/A</v>
      </c>
      <c r="I16" s="354" t="e">
        <f>+(('2.1 LABOR STRUCTURE'!L27)/('2.1 LABOR STRUCTURE'!K27)-1)*100</f>
        <v>#N/A</v>
      </c>
      <c r="J16" s="354" t="e">
        <f>+(('2.1 LABOR STRUCTURE'!M27)/('2.1 LABOR STRUCTURE'!L27)-1)*100</f>
        <v>#N/A</v>
      </c>
      <c r="K16" s="354" t="e">
        <f>+(('2.1 LABOR STRUCTURE'!N27)/('2.1 LABOR STRUCTURE'!M27)-1)*100</f>
        <v>#N/A</v>
      </c>
      <c r="L16" s="354" t="e">
        <f>+(('2.1 LABOR STRUCTURE'!O27)/('2.1 LABOR STRUCTURE'!N27)-1)*100</f>
        <v>#N/A</v>
      </c>
      <c r="M16" s="354" t="e">
        <f>+(('2.1 LABOR STRUCTURE'!P27)/('2.1 LABOR STRUCTURE'!O27)-1)*100</f>
        <v>#N/A</v>
      </c>
      <c r="N16" s="354" t="e">
        <f>+(('2.1 LABOR STRUCTURE'!Q27)/('2.1 LABOR STRUCTURE'!P27)-1)*100</f>
        <v>#N/A</v>
      </c>
      <c r="O16" s="354" t="e">
        <f>+(('2.1 LABOR STRUCTURE'!R27)/('2.1 LABOR STRUCTURE'!Q27)-1)*100</f>
        <v>#N/A</v>
      </c>
      <c r="P16" s="354" t="e">
        <f>+(('2.1 LABOR STRUCTURE'!S27)/('2.1 LABOR STRUCTURE'!R27)-1)*100</f>
        <v>#N/A</v>
      </c>
      <c r="Q16" s="354" t="e">
        <f>+(('2.1 LABOR STRUCTURE'!T27)/('2.1 LABOR STRUCTURE'!S27)-1)*100</f>
        <v>#N/A</v>
      </c>
      <c r="R16" s="354" t="e">
        <f>+(('2.1 LABOR STRUCTURE'!U27)/('2.1 LABOR STRUCTURE'!T27)-1)*100</f>
        <v>#N/A</v>
      </c>
      <c r="S16" s="354" t="e">
        <f>+(('2.1 LABOR STRUCTURE'!V27)/('2.1 LABOR STRUCTURE'!U27)-1)*100</f>
        <v>#N/A</v>
      </c>
      <c r="T16" s="354" t="e">
        <f>+(('2.1 LABOR STRUCTURE'!W27)/('2.1 LABOR STRUCTURE'!V27)-1)*100</f>
        <v>#N/A</v>
      </c>
      <c r="U16" s="354" t="e">
        <f>+(('2.1 LABOR STRUCTURE'!X27)/('2.1 LABOR STRUCTURE'!W27)-1)*100</f>
        <v>#N/A</v>
      </c>
      <c r="V16" s="354" t="e">
        <f>+(('2.1 LABOR STRUCTURE'!Y27)/('2.1 LABOR STRUCTURE'!X27)-1)*100</f>
        <v>#N/A</v>
      </c>
      <c r="W16" s="354" t="e">
        <f>+(('2.1 LABOR STRUCTURE'!Z27)/('2.1 LABOR STRUCTURE'!Y27)-1)*100</f>
        <v>#N/A</v>
      </c>
      <c r="X16" s="354">
        <f>'1. GDP'!Z51*ELASTICITY!K16</f>
        <v>2.4780676254612297</v>
      </c>
      <c r="Y16" s="175">
        <f>'1. GDP'!AA51*ELASTICITY!L16</f>
        <v>-3.4597869182798413</v>
      </c>
      <c r="Z16" s="175">
        <f>'1. GDP'!AB51*ELASTICITY!M16</f>
        <v>2.0991211086192454</v>
      </c>
      <c r="AA16" s="175">
        <f>'1. GDP'!AC51*ELASTICITY!N16</f>
        <v>3.0168872229007215</v>
      </c>
      <c r="AB16" s="165"/>
      <c r="AC16" s="165"/>
      <c r="AD16" s="165"/>
      <c r="AE16" s="165"/>
      <c r="AF16" s="165"/>
      <c r="AG16" s="165"/>
      <c r="AH16" s="165"/>
      <c r="AI16" s="165"/>
      <c r="AJ16" s="165"/>
      <c r="AK16" s="165"/>
      <c r="AL16" s="165"/>
      <c r="AM16" s="165"/>
      <c r="AN16" s="165"/>
      <c r="AO16" s="165"/>
      <c r="AP16" s="165"/>
      <c r="AQ16" s="165"/>
      <c r="AR16" s="165"/>
    </row>
    <row r="17" spans="2:44" x14ac:dyDescent="0.2">
      <c r="B17" s="165"/>
      <c r="C17" s="165"/>
      <c r="E17" s="356" t="s">
        <v>613</v>
      </c>
      <c r="F17" s="354" t="e">
        <f>+(('2.1 LABOR STRUCTURE'!I28)/('2.1 LABOR STRUCTURE'!H28)-1)*100</f>
        <v>#N/A</v>
      </c>
      <c r="G17" s="354" t="e">
        <f>+(('2.1 LABOR STRUCTURE'!J28)/('2.1 LABOR STRUCTURE'!I28)-1)*100</f>
        <v>#N/A</v>
      </c>
      <c r="H17" s="354" t="e">
        <f>+(('2.1 LABOR STRUCTURE'!K28)/('2.1 LABOR STRUCTURE'!J28)-1)*100</f>
        <v>#N/A</v>
      </c>
      <c r="I17" s="354" t="e">
        <f>+(('2.1 LABOR STRUCTURE'!L28)/('2.1 LABOR STRUCTURE'!K28)-1)*100</f>
        <v>#N/A</v>
      </c>
      <c r="J17" s="354" t="e">
        <f>+(('2.1 LABOR STRUCTURE'!M28)/('2.1 LABOR STRUCTURE'!L28)-1)*100</f>
        <v>#N/A</v>
      </c>
      <c r="K17" s="354" t="e">
        <f>+(('2.1 LABOR STRUCTURE'!N28)/('2.1 LABOR STRUCTURE'!M28)-1)*100</f>
        <v>#N/A</v>
      </c>
      <c r="L17" s="354" t="e">
        <f>+(('2.1 LABOR STRUCTURE'!O28)/('2.1 LABOR STRUCTURE'!N28)-1)*100</f>
        <v>#N/A</v>
      </c>
      <c r="M17" s="354" t="e">
        <f>+(('2.1 LABOR STRUCTURE'!P28)/('2.1 LABOR STRUCTURE'!O28)-1)*100</f>
        <v>#N/A</v>
      </c>
      <c r="N17" s="354" t="e">
        <f>+(('2.1 LABOR STRUCTURE'!Q28)/('2.1 LABOR STRUCTURE'!P28)-1)*100</f>
        <v>#N/A</v>
      </c>
      <c r="O17" s="354" t="e">
        <f>+(('2.1 LABOR STRUCTURE'!R28)/('2.1 LABOR STRUCTURE'!Q28)-1)*100</f>
        <v>#N/A</v>
      </c>
      <c r="P17" s="354" t="e">
        <f>+(('2.1 LABOR STRUCTURE'!S28)/('2.1 LABOR STRUCTURE'!R28)-1)*100</f>
        <v>#N/A</v>
      </c>
      <c r="Q17" s="354" t="e">
        <f>+(('2.1 LABOR STRUCTURE'!T28)/('2.1 LABOR STRUCTURE'!S28)-1)*100</f>
        <v>#N/A</v>
      </c>
      <c r="R17" s="354" t="e">
        <f>+(('2.1 LABOR STRUCTURE'!U28)/('2.1 LABOR STRUCTURE'!T28)-1)*100</f>
        <v>#N/A</v>
      </c>
      <c r="S17" s="354" t="e">
        <f>+(('2.1 LABOR STRUCTURE'!V28)/('2.1 LABOR STRUCTURE'!U28)-1)*100</f>
        <v>#N/A</v>
      </c>
      <c r="T17" s="354" t="e">
        <f>+(('2.1 LABOR STRUCTURE'!W28)/('2.1 LABOR STRUCTURE'!V28)-1)*100</f>
        <v>#N/A</v>
      </c>
      <c r="U17" s="354" t="e">
        <f>+(('2.1 LABOR STRUCTURE'!X28)/('2.1 LABOR STRUCTURE'!W28)-1)*100</f>
        <v>#N/A</v>
      </c>
      <c r="V17" s="354" t="e">
        <f>+(('2.1 LABOR STRUCTURE'!Y28)/('2.1 LABOR STRUCTURE'!X28)-1)*100</f>
        <v>#N/A</v>
      </c>
      <c r="W17" s="354" t="e">
        <f>+(('2.1 LABOR STRUCTURE'!Z28)/('2.1 LABOR STRUCTURE'!Y28)-1)*100</f>
        <v>#N/A</v>
      </c>
      <c r="X17" s="354">
        <f>'1. GDP'!Z51*ELASTICITY!K17</f>
        <v>1.1505313975355735</v>
      </c>
      <c r="Y17" s="175">
        <f>'1. GDP'!AA51*ELASTICITY!L17</f>
        <v>-1.5968247315137729</v>
      </c>
      <c r="Z17" s="175">
        <f>'1. GDP'!AB51*ELASTICITY!M17</f>
        <v>3.2652995022966036</v>
      </c>
      <c r="AA17" s="175">
        <f>'1. GDP'!AC51*ELASTICITY!N17</f>
        <v>1.2067548891602886</v>
      </c>
      <c r="AB17" s="165"/>
      <c r="AC17" s="165"/>
      <c r="AD17" s="165"/>
      <c r="AE17" s="165"/>
      <c r="AF17" s="165"/>
      <c r="AG17" s="165"/>
      <c r="AH17" s="165"/>
      <c r="AI17" s="165"/>
      <c r="AJ17" s="165"/>
      <c r="AK17" s="165"/>
      <c r="AL17" s="165"/>
      <c r="AM17" s="165"/>
      <c r="AN17" s="165"/>
      <c r="AO17" s="165"/>
      <c r="AP17" s="165"/>
      <c r="AQ17" s="165"/>
      <c r="AR17" s="165"/>
    </row>
    <row r="18" spans="2:44" x14ac:dyDescent="0.2">
      <c r="B18" s="165"/>
      <c r="C18" s="165"/>
      <c r="E18" s="356"/>
      <c r="F18" s="354"/>
      <c r="G18" s="354"/>
      <c r="H18" s="354"/>
      <c r="I18" s="354"/>
      <c r="J18" s="354"/>
      <c r="K18" s="354"/>
      <c r="L18" s="354"/>
      <c r="M18" s="354"/>
      <c r="N18" s="354"/>
      <c r="O18" s="354"/>
      <c r="P18" s="354"/>
      <c r="Q18" s="354"/>
      <c r="R18" s="354"/>
      <c r="S18" s="354"/>
      <c r="T18" s="354"/>
      <c r="U18" s="354"/>
      <c r="V18" s="354"/>
      <c r="W18" s="354"/>
      <c r="X18" s="354"/>
      <c r="Y18" s="175"/>
      <c r="Z18" s="175"/>
      <c r="AA18" s="175"/>
      <c r="AB18" s="165"/>
      <c r="AC18" s="165"/>
      <c r="AD18" s="165"/>
      <c r="AE18" s="165"/>
      <c r="AF18" s="165"/>
      <c r="AG18" s="165"/>
      <c r="AH18" s="165"/>
      <c r="AI18" s="165"/>
      <c r="AJ18" s="165"/>
      <c r="AK18" s="165"/>
      <c r="AL18" s="165"/>
      <c r="AM18" s="165"/>
      <c r="AN18" s="165"/>
      <c r="AO18" s="165"/>
      <c r="AP18" s="165"/>
      <c r="AQ18" s="165"/>
      <c r="AR18" s="165"/>
    </row>
    <row r="19" spans="2:44" x14ac:dyDescent="0.2">
      <c r="B19" s="165"/>
      <c r="C19" s="165"/>
      <c r="E19" s="356"/>
      <c r="F19" s="354"/>
      <c r="G19" s="354"/>
      <c r="H19" s="354"/>
      <c r="I19" s="354"/>
      <c r="J19" s="354"/>
      <c r="K19" s="354"/>
      <c r="L19" s="354"/>
      <c r="M19" s="354"/>
      <c r="N19" s="354"/>
      <c r="O19" s="354"/>
      <c r="P19" s="354"/>
      <c r="Q19" s="354"/>
      <c r="R19" s="354"/>
      <c r="S19" s="354"/>
      <c r="T19" s="354"/>
      <c r="U19" s="354"/>
      <c r="V19" s="354"/>
      <c r="W19" s="354"/>
      <c r="X19" s="354"/>
      <c r="Y19" s="175"/>
      <c r="Z19" s="175"/>
      <c r="AA19" s="175"/>
      <c r="AB19" s="165"/>
      <c r="AC19" s="165"/>
      <c r="AD19" s="165"/>
      <c r="AE19" s="165"/>
      <c r="AF19" s="165"/>
      <c r="AG19" s="165"/>
      <c r="AH19" s="165"/>
      <c r="AI19" s="165"/>
      <c r="AJ19" s="165"/>
      <c r="AK19" s="165"/>
      <c r="AL19" s="165"/>
      <c r="AM19" s="165"/>
      <c r="AN19" s="165"/>
      <c r="AO19" s="165"/>
      <c r="AP19" s="165"/>
      <c r="AQ19" s="165"/>
      <c r="AR19" s="165"/>
    </row>
    <row r="20" spans="2:44" x14ac:dyDescent="0.2">
      <c r="B20" s="165"/>
      <c r="C20" s="165"/>
      <c r="E20" s="356"/>
      <c r="F20" s="354"/>
      <c r="G20" s="354"/>
      <c r="H20" s="354"/>
      <c r="I20" s="354"/>
      <c r="J20" s="354"/>
      <c r="K20" s="354"/>
      <c r="L20" s="354"/>
      <c r="M20" s="354"/>
      <c r="N20" s="354"/>
      <c r="O20" s="354"/>
      <c r="P20" s="354"/>
      <c r="Q20" s="354"/>
      <c r="R20" s="354"/>
      <c r="S20" s="354"/>
      <c r="T20" s="354"/>
      <c r="U20" s="354"/>
      <c r="V20" s="354"/>
      <c r="W20" s="354"/>
      <c r="X20" s="354"/>
      <c r="Y20" s="175"/>
      <c r="Z20" s="175"/>
      <c r="AA20" s="175"/>
      <c r="AB20" s="165"/>
      <c r="AC20" s="165"/>
      <c r="AD20" s="165"/>
      <c r="AE20" s="165"/>
      <c r="AF20" s="165"/>
      <c r="AG20" s="165"/>
      <c r="AH20" s="165"/>
      <c r="AI20" s="165"/>
      <c r="AJ20" s="165"/>
      <c r="AK20" s="165"/>
      <c r="AL20" s="165"/>
      <c r="AM20" s="165"/>
      <c r="AN20" s="165"/>
      <c r="AO20" s="165"/>
      <c r="AP20" s="165"/>
      <c r="AQ20" s="165"/>
      <c r="AR20" s="165"/>
    </row>
    <row r="21" spans="2:44" x14ac:dyDescent="0.2">
      <c r="B21" s="165"/>
      <c r="C21" s="165"/>
      <c r="E21" s="356"/>
      <c r="F21" s="354"/>
      <c r="G21" s="354"/>
      <c r="H21" s="354"/>
      <c r="I21" s="354"/>
      <c r="J21" s="354"/>
      <c r="K21" s="354"/>
      <c r="L21" s="354"/>
      <c r="M21" s="354"/>
      <c r="N21" s="354"/>
      <c r="O21" s="354"/>
      <c r="P21" s="354"/>
      <c r="Q21" s="354"/>
      <c r="R21" s="354"/>
      <c r="S21" s="354"/>
      <c r="T21" s="354"/>
      <c r="U21" s="354"/>
      <c r="V21" s="354"/>
      <c r="W21" s="354"/>
      <c r="X21" s="354"/>
      <c r="Y21" s="175"/>
      <c r="Z21" s="175"/>
      <c r="AA21" s="175"/>
      <c r="AB21" s="165"/>
      <c r="AC21" s="165"/>
      <c r="AD21" s="165"/>
      <c r="AE21" s="165"/>
      <c r="AF21" s="165"/>
      <c r="AG21" s="165"/>
      <c r="AH21" s="165"/>
      <c r="AI21" s="165"/>
      <c r="AJ21" s="165"/>
      <c r="AK21" s="165"/>
      <c r="AL21" s="165"/>
      <c r="AM21" s="165"/>
      <c r="AN21" s="165"/>
      <c r="AO21" s="165"/>
      <c r="AP21" s="165"/>
      <c r="AQ21" s="165"/>
      <c r="AR21" s="165"/>
    </row>
    <row r="22" spans="2:44" x14ac:dyDescent="0.2">
      <c r="B22" s="165"/>
      <c r="C22" s="165"/>
      <c r="E22" s="356"/>
      <c r="F22" s="354"/>
      <c r="G22" s="354"/>
      <c r="H22" s="354"/>
      <c r="I22" s="354"/>
      <c r="J22" s="354"/>
      <c r="K22" s="354"/>
      <c r="L22" s="354"/>
      <c r="M22" s="354"/>
      <c r="N22" s="354"/>
      <c r="O22" s="354"/>
      <c r="P22" s="354"/>
      <c r="Q22" s="354"/>
      <c r="R22" s="354"/>
      <c r="S22" s="354"/>
      <c r="T22" s="354"/>
      <c r="U22" s="354"/>
      <c r="V22" s="354"/>
      <c r="W22" s="354"/>
      <c r="X22" s="354"/>
      <c r="Y22" s="175"/>
      <c r="Z22" s="175"/>
      <c r="AA22" s="175"/>
      <c r="AB22" s="165"/>
      <c r="AC22" s="165"/>
      <c r="AD22" s="165"/>
      <c r="AE22" s="165"/>
      <c r="AF22" s="165"/>
      <c r="AG22" s="165"/>
      <c r="AH22" s="165"/>
      <c r="AI22" s="165"/>
      <c r="AJ22" s="165"/>
      <c r="AK22" s="165"/>
      <c r="AL22" s="165"/>
      <c r="AM22" s="165"/>
      <c r="AN22" s="165"/>
      <c r="AO22" s="165"/>
      <c r="AP22" s="165"/>
      <c r="AQ22" s="165"/>
      <c r="AR22" s="165"/>
    </row>
    <row r="23" spans="2:44" x14ac:dyDescent="0.2">
      <c r="B23" s="165"/>
      <c r="C23" s="165"/>
      <c r="E23" s="357"/>
      <c r="F23" s="358"/>
      <c r="G23" s="358"/>
      <c r="H23" s="358"/>
      <c r="I23" s="358"/>
      <c r="J23" s="358"/>
      <c r="K23" s="358"/>
      <c r="L23" s="358"/>
      <c r="M23" s="358"/>
      <c r="N23" s="358"/>
      <c r="O23" s="358"/>
      <c r="P23" s="358"/>
      <c r="Q23" s="358"/>
      <c r="R23" s="358"/>
      <c r="S23" s="358"/>
      <c r="T23" s="358"/>
      <c r="U23" s="358"/>
      <c r="V23" s="358"/>
      <c r="W23" s="358"/>
      <c r="X23" s="358"/>
      <c r="Y23" s="176"/>
      <c r="Z23" s="176"/>
      <c r="AA23" s="176"/>
      <c r="AB23" s="165"/>
      <c r="AC23" s="165"/>
      <c r="AD23" s="165"/>
      <c r="AE23" s="165"/>
      <c r="AF23" s="165"/>
      <c r="AG23" s="165"/>
      <c r="AH23" s="165"/>
      <c r="AI23" s="165"/>
      <c r="AJ23" s="165"/>
      <c r="AK23" s="165"/>
      <c r="AL23" s="165"/>
      <c r="AM23" s="165"/>
      <c r="AN23" s="165"/>
      <c r="AO23" s="165"/>
      <c r="AP23" s="165"/>
      <c r="AQ23" s="165"/>
      <c r="AR23" s="165"/>
    </row>
    <row r="24" spans="2:44" s="165" customFormat="1" x14ac:dyDescent="0.2">
      <c r="E24" s="359"/>
      <c r="F24" s="360"/>
      <c r="G24" s="360"/>
      <c r="H24" s="360"/>
      <c r="I24" s="360"/>
      <c r="J24" s="360"/>
      <c r="K24" s="360"/>
      <c r="L24" s="360"/>
      <c r="M24" s="360"/>
      <c r="N24" s="360"/>
      <c r="O24" s="360"/>
      <c r="P24" s="360"/>
      <c r="Q24" s="360"/>
      <c r="R24" s="360"/>
      <c r="S24" s="360"/>
      <c r="T24" s="360"/>
      <c r="U24" s="360"/>
      <c r="V24" s="360"/>
      <c r="W24" s="360"/>
      <c r="X24" s="360"/>
      <c r="Y24" s="360"/>
      <c r="Z24" s="360"/>
      <c r="AA24" s="360"/>
    </row>
    <row r="25" spans="2:44" s="165" customFormat="1" x14ac:dyDescent="0.2">
      <c r="E25" s="359"/>
      <c r="F25" s="360"/>
      <c r="G25" s="360"/>
      <c r="H25" s="360"/>
      <c r="I25" s="360"/>
      <c r="J25" s="360"/>
      <c r="K25" s="360"/>
      <c r="L25" s="360"/>
      <c r="M25" s="360"/>
      <c r="N25" s="360"/>
      <c r="O25" s="360"/>
      <c r="P25" s="360"/>
      <c r="Q25" s="360"/>
      <c r="R25" s="360"/>
      <c r="S25" s="360"/>
      <c r="T25" s="360"/>
      <c r="U25" s="360"/>
      <c r="V25" s="360"/>
      <c r="W25" s="360"/>
      <c r="X25" s="360"/>
      <c r="Y25" s="360"/>
      <c r="Z25" s="360"/>
      <c r="AA25" s="360"/>
    </row>
    <row r="26" spans="2:44" s="165" customFormat="1" x14ac:dyDescent="0.2"/>
    <row r="27" spans="2:44" s="165" customFormat="1" x14ac:dyDescent="0.2"/>
    <row r="28" spans="2:44" ht="20.100000000000001" customHeight="1" x14ac:dyDescent="0.2">
      <c r="B28" s="165"/>
      <c r="C28" s="165"/>
      <c r="E28" s="570" t="s">
        <v>499</v>
      </c>
      <c r="F28" s="570"/>
      <c r="G28" s="570"/>
      <c r="H28" s="570"/>
      <c r="I28" s="570"/>
      <c r="J28" s="570"/>
      <c r="K28" s="570"/>
      <c r="L28" s="570"/>
      <c r="M28" s="570"/>
      <c r="N28" s="570"/>
      <c r="O28" s="570"/>
      <c r="P28" s="570"/>
      <c r="Q28" s="570"/>
      <c r="R28" s="570"/>
      <c r="S28" s="570"/>
      <c r="T28" s="570"/>
      <c r="U28" s="570"/>
      <c r="V28" s="570"/>
      <c r="W28" s="570"/>
      <c r="X28" s="570"/>
      <c r="Y28" s="570"/>
      <c r="Z28" s="570"/>
      <c r="AA28" s="570"/>
      <c r="AB28" s="570"/>
      <c r="AC28" s="570"/>
      <c r="AD28" s="570"/>
      <c r="AE28" s="570"/>
      <c r="AF28" s="570"/>
      <c r="AG28" s="570"/>
      <c r="AH28" s="570"/>
      <c r="AI28" s="570"/>
      <c r="AJ28" s="570"/>
      <c r="AK28" s="570"/>
      <c r="AL28" s="570"/>
      <c r="AM28" s="570"/>
      <c r="AN28" s="570"/>
      <c r="AO28" s="570"/>
      <c r="AP28" s="570"/>
      <c r="AQ28" s="570"/>
      <c r="AR28" s="165"/>
    </row>
    <row r="29" spans="2:44" x14ac:dyDescent="0.2">
      <c r="B29" s="165"/>
      <c r="C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row>
    <row r="30" spans="2:44" x14ac:dyDescent="0.2">
      <c r="B30" s="165"/>
      <c r="C30" s="165"/>
      <c r="E30" s="568" t="s">
        <v>130</v>
      </c>
      <c r="F30" s="169"/>
      <c r="G30" s="169"/>
      <c r="H30" s="169"/>
      <c r="I30" s="169"/>
      <c r="J30" s="169"/>
      <c r="K30" s="169"/>
      <c r="L30" s="169"/>
      <c r="M30" s="169"/>
      <c r="N30" s="169"/>
      <c r="O30" s="169"/>
      <c r="P30" s="169"/>
      <c r="Q30" s="169"/>
      <c r="R30" s="169"/>
      <c r="S30" s="169"/>
      <c r="T30" s="169"/>
      <c r="U30" s="169"/>
      <c r="V30" s="169"/>
      <c r="W30" s="169"/>
      <c r="X30" s="169"/>
      <c r="Y30" s="572" t="s">
        <v>7</v>
      </c>
      <c r="Z30" s="572"/>
      <c r="AA30" s="572"/>
      <c r="AB30" s="165"/>
      <c r="AC30" s="165"/>
      <c r="AD30" s="165"/>
      <c r="AE30" s="165"/>
      <c r="AF30" s="165"/>
      <c r="AG30" s="165"/>
      <c r="AH30" s="165"/>
      <c r="AI30" s="165"/>
      <c r="AJ30" s="165"/>
      <c r="AK30" s="165"/>
      <c r="AL30" s="165"/>
      <c r="AM30" s="165"/>
      <c r="AN30" s="165"/>
      <c r="AO30" s="165"/>
      <c r="AP30" s="165"/>
      <c r="AQ30" s="165"/>
      <c r="AR30" s="165"/>
    </row>
    <row r="31" spans="2:44" x14ac:dyDescent="0.2">
      <c r="B31" s="550" t="s">
        <v>198</v>
      </c>
      <c r="C31" s="571"/>
      <c r="E31" s="568"/>
      <c r="F31" s="170">
        <v>2005</v>
      </c>
      <c r="G31" s="170">
        <v>2006</v>
      </c>
      <c r="H31" s="170">
        <v>2007</v>
      </c>
      <c r="I31" s="170">
        <v>2008</v>
      </c>
      <c r="J31" s="170">
        <v>2009</v>
      </c>
      <c r="K31" s="170">
        <v>2010</v>
      </c>
      <c r="L31" s="170">
        <v>2011</v>
      </c>
      <c r="M31" s="170">
        <v>2012</v>
      </c>
      <c r="N31" s="170">
        <v>2013</v>
      </c>
      <c r="O31" s="170">
        <v>2014</v>
      </c>
      <c r="P31" s="170">
        <v>2015</v>
      </c>
      <c r="Q31" s="170">
        <v>2016</v>
      </c>
      <c r="R31" s="170">
        <v>2017</v>
      </c>
      <c r="S31" s="170">
        <v>2018</v>
      </c>
      <c r="T31" s="170">
        <v>2019</v>
      </c>
      <c r="U31" s="170">
        <v>2020</v>
      </c>
      <c r="V31" s="170">
        <v>2021</v>
      </c>
      <c r="W31" s="170">
        <v>2022</v>
      </c>
      <c r="X31" s="283">
        <v>2023</v>
      </c>
      <c r="Y31" s="171">
        <v>2024</v>
      </c>
      <c r="Z31" s="171">
        <v>2025</v>
      </c>
      <c r="AA31" s="171">
        <v>2026</v>
      </c>
      <c r="AB31" s="165"/>
      <c r="AC31" s="165"/>
      <c r="AD31" s="165"/>
      <c r="AE31" s="165"/>
      <c r="AF31" s="165"/>
      <c r="AG31" s="165"/>
      <c r="AH31" s="165"/>
      <c r="AI31" s="165"/>
      <c r="AJ31" s="165"/>
      <c r="AK31" s="165"/>
      <c r="AL31" s="165"/>
      <c r="AM31" s="165"/>
      <c r="AN31" s="165"/>
      <c r="AO31" s="165"/>
      <c r="AP31" s="165"/>
      <c r="AQ31" s="165"/>
      <c r="AR31" s="165"/>
    </row>
    <row r="32" spans="2:44" x14ac:dyDescent="0.2">
      <c r="B32" s="550"/>
      <c r="C32" s="571"/>
      <c r="E32" s="356" t="s">
        <v>390</v>
      </c>
      <c r="F32" s="354" t="e">
        <f>('2.2 LABOR INCOME &amp; PRODUCTIVITY'!I21/'2.2 LABOR INCOME &amp; PRODUCTIVITY'!H21-1)*100</f>
        <v>#N/A</v>
      </c>
      <c r="G32" s="354" t="e">
        <f>('2.2 LABOR INCOME &amp; PRODUCTIVITY'!J21/'2.2 LABOR INCOME &amp; PRODUCTIVITY'!I21-1)*100</f>
        <v>#N/A</v>
      </c>
      <c r="H32" s="354" t="e">
        <f>('2.2 LABOR INCOME &amp; PRODUCTIVITY'!K21/'2.2 LABOR INCOME &amp; PRODUCTIVITY'!J21-1)*100</f>
        <v>#N/A</v>
      </c>
      <c r="I32" s="354" t="e">
        <f>('2.2 LABOR INCOME &amp; PRODUCTIVITY'!L21/'2.2 LABOR INCOME &amp; PRODUCTIVITY'!K21-1)*100</f>
        <v>#N/A</v>
      </c>
      <c r="J32" s="354" t="e">
        <f>('2.2 LABOR INCOME &amp; PRODUCTIVITY'!M21/'2.2 LABOR INCOME &amp; PRODUCTIVITY'!L21-1)*100</f>
        <v>#N/A</v>
      </c>
      <c r="K32" s="354" t="e">
        <f>('2.2 LABOR INCOME &amp; PRODUCTIVITY'!N21/'2.2 LABOR INCOME &amp; PRODUCTIVITY'!M21-1)*100</f>
        <v>#N/A</v>
      </c>
      <c r="L32" s="354" t="e">
        <f>('2.2 LABOR INCOME &amp; PRODUCTIVITY'!O21/'2.2 LABOR INCOME &amp; PRODUCTIVITY'!N21-1)*100</f>
        <v>#N/A</v>
      </c>
      <c r="M32" s="354" t="e">
        <f>('2.2 LABOR INCOME &amp; PRODUCTIVITY'!P21/'2.2 LABOR INCOME &amp; PRODUCTIVITY'!O21-1)*100</f>
        <v>#N/A</v>
      </c>
      <c r="N32" s="354" t="e">
        <f>('2.2 LABOR INCOME &amp; PRODUCTIVITY'!Q21/'2.2 LABOR INCOME &amp; PRODUCTIVITY'!P21-1)*100</f>
        <v>#N/A</v>
      </c>
      <c r="O32" s="354" t="e">
        <f>('2.2 LABOR INCOME &amp; PRODUCTIVITY'!R21/'2.2 LABOR INCOME &amp; PRODUCTIVITY'!Q21-1)*100</f>
        <v>#N/A</v>
      </c>
      <c r="P32" s="354" t="e">
        <f>('2.2 LABOR INCOME &amp; PRODUCTIVITY'!S21/'2.2 LABOR INCOME &amp; PRODUCTIVITY'!R21-1)*100</f>
        <v>#N/A</v>
      </c>
      <c r="Q32" s="354" t="e">
        <f>('2.2 LABOR INCOME &amp; PRODUCTIVITY'!T21/'2.2 LABOR INCOME &amp; PRODUCTIVITY'!S21-1)*100</f>
        <v>#N/A</v>
      </c>
      <c r="R32" s="354" t="e">
        <f>('2.2 LABOR INCOME &amp; PRODUCTIVITY'!U21/'2.2 LABOR INCOME &amp; PRODUCTIVITY'!T21-1)*100</f>
        <v>#N/A</v>
      </c>
      <c r="S32" s="354" t="e">
        <f>('2.2 LABOR INCOME &amp; PRODUCTIVITY'!V21/'2.2 LABOR INCOME &amp; PRODUCTIVITY'!U21-1)*100</f>
        <v>#N/A</v>
      </c>
      <c r="T32" s="354" t="e">
        <f>('2.2 LABOR INCOME &amp; PRODUCTIVITY'!W21/'2.2 LABOR INCOME &amp; PRODUCTIVITY'!V21-1)*100</f>
        <v>#N/A</v>
      </c>
      <c r="U32" s="354" t="e">
        <f>('2.2 LABOR INCOME &amp; PRODUCTIVITY'!X21/'2.2 LABOR INCOME &amp; PRODUCTIVITY'!W21-1)*100</f>
        <v>#N/A</v>
      </c>
      <c r="V32" s="354" t="e">
        <f>('2.2 LABOR INCOME &amp; PRODUCTIVITY'!Y21/'2.2 LABOR INCOME &amp; PRODUCTIVITY'!X21-1)*100</f>
        <v>#N/A</v>
      </c>
      <c r="W32" s="354" t="e">
        <f>('2.2 LABOR INCOME &amp; PRODUCTIVITY'!Z21/'2.2 LABOR INCOME &amp; PRODUCTIVITY'!Y21-1)*100</f>
        <v>#N/A</v>
      </c>
      <c r="X32" s="354">
        <f>'2.2 LABOR INCOME &amp; PRODUCTIVITY'!AA10*ELASTICITY!K31</f>
        <v>-7.142629038286179</v>
      </c>
      <c r="Y32" s="175">
        <f>'2.2 LABOR INCOME &amp; PRODUCTIVITY'!AB10*ELASTICITY!L31</f>
        <v>-3.4499999999999993</v>
      </c>
      <c r="Z32" s="175">
        <f>'2.2 LABOR INCOME &amp; PRODUCTIVITY'!AC10*ELASTICITY!M31</f>
        <v>-0.17361793975967155</v>
      </c>
      <c r="AA32" s="175">
        <f>'2.2 LABOR INCOME &amp; PRODUCTIVITY'!AD10*ELASTICITY!N31</f>
        <v>0.28954721059148314</v>
      </c>
      <c r="AB32" s="165"/>
      <c r="AC32" s="165"/>
      <c r="AD32" s="165"/>
      <c r="AE32" s="165"/>
      <c r="AF32" s="165"/>
      <c r="AG32" s="165"/>
      <c r="AH32" s="165"/>
      <c r="AI32" s="165"/>
      <c r="AJ32" s="165"/>
      <c r="AK32" s="165"/>
      <c r="AL32" s="165"/>
      <c r="AM32" s="165"/>
      <c r="AN32" s="165"/>
      <c r="AO32" s="165"/>
      <c r="AP32" s="165"/>
      <c r="AQ32" s="165"/>
      <c r="AR32" s="165"/>
    </row>
    <row r="33" spans="2:44" ht="15" customHeight="1" x14ac:dyDescent="0.2">
      <c r="B33" s="167"/>
      <c r="C33" s="168"/>
      <c r="E33" s="356" t="s">
        <v>389</v>
      </c>
      <c r="F33" s="354" t="e">
        <f>('2.2 LABOR INCOME &amp; PRODUCTIVITY'!I22/'2.2 LABOR INCOME &amp; PRODUCTIVITY'!H22-1)*100</f>
        <v>#N/A</v>
      </c>
      <c r="G33" s="354" t="e">
        <f>('2.2 LABOR INCOME &amp; PRODUCTIVITY'!J22/'2.2 LABOR INCOME &amp; PRODUCTIVITY'!I22-1)*100</f>
        <v>#N/A</v>
      </c>
      <c r="H33" s="354" t="e">
        <f>('2.2 LABOR INCOME &amp; PRODUCTIVITY'!K22/'2.2 LABOR INCOME &amp; PRODUCTIVITY'!J22-1)*100</f>
        <v>#N/A</v>
      </c>
      <c r="I33" s="354" t="e">
        <f>('2.2 LABOR INCOME &amp; PRODUCTIVITY'!L22/'2.2 LABOR INCOME &amp; PRODUCTIVITY'!K22-1)*100</f>
        <v>#N/A</v>
      </c>
      <c r="J33" s="354" t="e">
        <f>('2.2 LABOR INCOME &amp; PRODUCTIVITY'!M22/'2.2 LABOR INCOME &amp; PRODUCTIVITY'!L22-1)*100</f>
        <v>#N/A</v>
      </c>
      <c r="K33" s="354" t="e">
        <f>('2.2 LABOR INCOME &amp; PRODUCTIVITY'!N22/'2.2 LABOR INCOME &amp; PRODUCTIVITY'!M22-1)*100</f>
        <v>#N/A</v>
      </c>
      <c r="L33" s="354" t="e">
        <f>('2.2 LABOR INCOME &amp; PRODUCTIVITY'!O22/'2.2 LABOR INCOME &amp; PRODUCTIVITY'!N22-1)*100</f>
        <v>#N/A</v>
      </c>
      <c r="M33" s="354" t="e">
        <f>('2.2 LABOR INCOME &amp; PRODUCTIVITY'!P22/'2.2 LABOR INCOME &amp; PRODUCTIVITY'!O22-1)*100</f>
        <v>#N/A</v>
      </c>
      <c r="N33" s="354" t="e">
        <f>('2.2 LABOR INCOME &amp; PRODUCTIVITY'!Q22/'2.2 LABOR INCOME &amp; PRODUCTIVITY'!P22-1)*100</f>
        <v>#N/A</v>
      </c>
      <c r="O33" s="354" t="e">
        <f>('2.2 LABOR INCOME &amp; PRODUCTIVITY'!R22/'2.2 LABOR INCOME &amp; PRODUCTIVITY'!Q22-1)*100</f>
        <v>#N/A</v>
      </c>
      <c r="P33" s="354" t="e">
        <f>('2.2 LABOR INCOME &amp; PRODUCTIVITY'!S22/'2.2 LABOR INCOME &amp; PRODUCTIVITY'!R22-1)*100</f>
        <v>#N/A</v>
      </c>
      <c r="Q33" s="354" t="e">
        <f>('2.2 LABOR INCOME &amp; PRODUCTIVITY'!T22/'2.2 LABOR INCOME &amp; PRODUCTIVITY'!S22-1)*100</f>
        <v>#N/A</v>
      </c>
      <c r="R33" s="354" t="e">
        <f>('2.2 LABOR INCOME &amp; PRODUCTIVITY'!U22/'2.2 LABOR INCOME &amp; PRODUCTIVITY'!T22-1)*100</f>
        <v>#N/A</v>
      </c>
      <c r="S33" s="354" t="e">
        <f>('2.2 LABOR INCOME &amp; PRODUCTIVITY'!V22/'2.2 LABOR INCOME &amp; PRODUCTIVITY'!U22-1)*100</f>
        <v>#N/A</v>
      </c>
      <c r="T33" s="354" t="e">
        <f>('2.2 LABOR INCOME &amp; PRODUCTIVITY'!W22/'2.2 LABOR INCOME &amp; PRODUCTIVITY'!V22-1)*100</f>
        <v>#N/A</v>
      </c>
      <c r="U33" s="354" t="e">
        <f>('2.2 LABOR INCOME &amp; PRODUCTIVITY'!X22/'2.2 LABOR INCOME &amp; PRODUCTIVITY'!W22-1)*100</f>
        <v>#N/A</v>
      </c>
      <c r="V33" s="354" t="e">
        <f>('2.2 LABOR INCOME &amp; PRODUCTIVITY'!Y22/'2.2 LABOR INCOME &amp; PRODUCTIVITY'!X22-1)*100</f>
        <v>#N/A</v>
      </c>
      <c r="W33" s="354" t="e">
        <f>('2.2 LABOR INCOME &amp; PRODUCTIVITY'!Z22/'2.2 LABOR INCOME &amp; PRODUCTIVITY'!Y22-1)*100</f>
        <v>#N/A</v>
      </c>
      <c r="X33" s="354">
        <f>'2.2 LABOR INCOME &amp; PRODUCTIVITY'!AA10*ELASTICITY!K32</f>
        <v>1.8159226368524184</v>
      </c>
      <c r="Y33" s="175">
        <f>'2.2 LABOR INCOME &amp; PRODUCTIVITY'!AB10*ELASTICITY!L32</f>
        <v>0.80702477682353724</v>
      </c>
      <c r="Z33" s="175">
        <f>'2.2 LABOR INCOME &amp; PRODUCTIVITY'!AC10*ELASTICITY!M32</f>
        <v>-1.7361793975967155</v>
      </c>
      <c r="AA33" s="175">
        <f>'2.2 LABOR INCOME &amp; PRODUCTIVITY'!AD10*ELASTICITY!N32</f>
        <v>0.43432081588722471</v>
      </c>
      <c r="AB33" s="165"/>
      <c r="AC33" s="165"/>
      <c r="AD33" s="165"/>
      <c r="AE33" s="165"/>
      <c r="AF33" s="165"/>
      <c r="AG33" s="165"/>
      <c r="AH33" s="165"/>
      <c r="AI33" s="165"/>
      <c r="AJ33" s="165"/>
      <c r="AK33" s="165"/>
      <c r="AL33" s="165"/>
      <c r="AM33" s="165"/>
      <c r="AN33" s="165"/>
      <c r="AO33" s="165"/>
      <c r="AP33" s="165"/>
      <c r="AQ33" s="165"/>
      <c r="AR33" s="165"/>
    </row>
    <row r="34" spans="2:44" ht="15" customHeight="1" x14ac:dyDescent="0.2">
      <c r="B34" s="167"/>
      <c r="C34" s="168"/>
      <c r="E34" s="356" t="s">
        <v>610</v>
      </c>
      <c r="F34" s="354" t="e">
        <f>('2.2 LABOR INCOME &amp; PRODUCTIVITY'!I25/'2.2 LABOR INCOME &amp; PRODUCTIVITY'!H25-1)*100</f>
        <v>#N/A</v>
      </c>
      <c r="G34" s="354" t="e">
        <f>('2.2 LABOR INCOME &amp; PRODUCTIVITY'!J25/'2.2 LABOR INCOME &amp; PRODUCTIVITY'!I25-1)*100</f>
        <v>#N/A</v>
      </c>
      <c r="H34" s="354" t="e">
        <f>('2.2 LABOR INCOME &amp; PRODUCTIVITY'!K25/'2.2 LABOR INCOME &amp; PRODUCTIVITY'!J25-1)*100</f>
        <v>#N/A</v>
      </c>
      <c r="I34" s="354" t="e">
        <f>('2.2 LABOR INCOME &amp; PRODUCTIVITY'!L25/'2.2 LABOR INCOME &amp; PRODUCTIVITY'!K25-1)*100</f>
        <v>#N/A</v>
      </c>
      <c r="J34" s="354" t="e">
        <f>('2.2 LABOR INCOME &amp; PRODUCTIVITY'!M25/'2.2 LABOR INCOME &amp; PRODUCTIVITY'!L25-1)*100</f>
        <v>#N/A</v>
      </c>
      <c r="K34" s="354" t="e">
        <f>('2.2 LABOR INCOME &amp; PRODUCTIVITY'!N25/'2.2 LABOR INCOME &amp; PRODUCTIVITY'!M25-1)*100</f>
        <v>#N/A</v>
      </c>
      <c r="L34" s="354" t="e">
        <f>('2.2 LABOR INCOME &amp; PRODUCTIVITY'!O25/'2.2 LABOR INCOME &amp; PRODUCTIVITY'!N25-1)*100</f>
        <v>#N/A</v>
      </c>
      <c r="M34" s="354" t="e">
        <f>('2.2 LABOR INCOME &amp; PRODUCTIVITY'!P25/'2.2 LABOR INCOME &amp; PRODUCTIVITY'!O25-1)*100</f>
        <v>#N/A</v>
      </c>
      <c r="N34" s="354" t="e">
        <f>('2.2 LABOR INCOME &amp; PRODUCTIVITY'!Q25/'2.2 LABOR INCOME &amp; PRODUCTIVITY'!P25-1)*100</f>
        <v>#N/A</v>
      </c>
      <c r="O34" s="354" t="e">
        <f>('2.2 LABOR INCOME &amp; PRODUCTIVITY'!R25/'2.2 LABOR INCOME &amp; PRODUCTIVITY'!Q25-1)*100</f>
        <v>#N/A</v>
      </c>
      <c r="P34" s="354" t="e">
        <f>('2.2 LABOR INCOME &amp; PRODUCTIVITY'!S25/'2.2 LABOR INCOME &amp; PRODUCTIVITY'!R25-1)*100</f>
        <v>#N/A</v>
      </c>
      <c r="Q34" s="354" t="e">
        <f>('2.2 LABOR INCOME &amp; PRODUCTIVITY'!T25/'2.2 LABOR INCOME &amp; PRODUCTIVITY'!S25-1)*100</f>
        <v>#N/A</v>
      </c>
      <c r="R34" s="354" t="e">
        <f>('2.2 LABOR INCOME &amp; PRODUCTIVITY'!U25/'2.2 LABOR INCOME &amp; PRODUCTIVITY'!T25-1)*100</f>
        <v>#N/A</v>
      </c>
      <c r="S34" s="354" t="e">
        <f>('2.2 LABOR INCOME &amp; PRODUCTIVITY'!V25/'2.2 LABOR INCOME &amp; PRODUCTIVITY'!U25-1)*100</f>
        <v>#N/A</v>
      </c>
      <c r="T34" s="354" t="e">
        <f>('2.2 LABOR INCOME &amp; PRODUCTIVITY'!W25/'2.2 LABOR INCOME &amp; PRODUCTIVITY'!V25-1)*100</f>
        <v>#N/A</v>
      </c>
      <c r="U34" s="354" t="e">
        <f>('2.2 LABOR INCOME &amp; PRODUCTIVITY'!X25/'2.2 LABOR INCOME &amp; PRODUCTIVITY'!W25-1)*100</f>
        <v>#N/A</v>
      </c>
      <c r="V34" s="354" t="e">
        <f>('2.2 LABOR INCOME &amp; PRODUCTIVITY'!Y25/'2.2 LABOR INCOME &amp; PRODUCTIVITY'!X25-1)*100</f>
        <v>#N/A</v>
      </c>
      <c r="W34" s="354" t="e">
        <f>('2.2 LABOR INCOME &amp; PRODUCTIVITY'!Z23/'2.2 LABOR INCOME &amp; PRODUCTIVITY'!Y23-1)*100</f>
        <v>#N/A</v>
      </c>
      <c r="X34" s="354">
        <f>'2.2 LABOR INCOME &amp; PRODUCTIVITY'!AA11*ELASTICITY!K33</f>
        <v>-4.619220224243124</v>
      </c>
      <c r="Y34" s="175">
        <f>'2.2 LABOR INCOME &amp; PRODUCTIVITY'!AB11*ELASTICITY!L33</f>
        <v>-4.1399999999999988</v>
      </c>
      <c r="Z34" s="175">
        <f>'2.2 LABOR INCOME &amp; PRODUCTIVITY'!AC11*ELASTICITY!M33</f>
        <v>-12.28108021427623</v>
      </c>
      <c r="AA34" s="175">
        <f>'2.2 LABOR INCOME &amp; PRODUCTIVITY'!AD11*ELASTICITY!N33</f>
        <v>9.2911279441891601</v>
      </c>
      <c r="AB34" s="165"/>
      <c r="AC34" s="165"/>
      <c r="AD34" s="165"/>
      <c r="AE34" s="165"/>
      <c r="AF34" s="165"/>
      <c r="AG34" s="165"/>
      <c r="AH34" s="165"/>
      <c r="AI34" s="165"/>
      <c r="AJ34" s="165"/>
      <c r="AK34" s="165"/>
      <c r="AL34" s="165"/>
      <c r="AM34" s="165"/>
      <c r="AN34" s="165"/>
      <c r="AO34" s="165"/>
      <c r="AP34" s="165"/>
      <c r="AQ34" s="165"/>
      <c r="AR34" s="165"/>
    </row>
    <row r="35" spans="2:44" ht="15" customHeight="1" x14ac:dyDescent="0.2">
      <c r="B35" s="167"/>
      <c r="C35" s="168"/>
      <c r="E35" s="356" t="s">
        <v>611</v>
      </c>
      <c r="F35" s="354" t="e">
        <f>('2.2 LABOR INCOME &amp; PRODUCTIVITY'!I26/'2.2 LABOR INCOME &amp; PRODUCTIVITY'!H26-1)*100</f>
        <v>#N/A</v>
      </c>
      <c r="G35" s="354" t="e">
        <f>('2.2 LABOR INCOME &amp; PRODUCTIVITY'!J26/'2.2 LABOR INCOME &amp; PRODUCTIVITY'!I26-1)*100</f>
        <v>#N/A</v>
      </c>
      <c r="H35" s="354" t="e">
        <f>('2.2 LABOR INCOME &amp; PRODUCTIVITY'!K26/'2.2 LABOR INCOME &amp; PRODUCTIVITY'!J26-1)*100</f>
        <v>#N/A</v>
      </c>
      <c r="I35" s="354" t="e">
        <f>('2.2 LABOR INCOME &amp; PRODUCTIVITY'!L26/'2.2 LABOR INCOME &amp; PRODUCTIVITY'!K26-1)*100</f>
        <v>#N/A</v>
      </c>
      <c r="J35" s="354" t="e">
        <f>('2.2 LABOR INCOME &amp; PRODUCTIVITY'!M26/'2.2 LABOR INCOME &amp; PRODUCTIVITY'!L26-1)*100</f>
        <v>#N/A</v>
      </c>
      <c r="K35" s="354" t="e">
        <f>('2.2 LABOR INCOME &amp; PRODUCTIVITY'!N26/'2.2 LABOR INCOME &amp; PRODUCTIVITY'!M26-1)*100</f>
        <v>#N/A</v>
      </c>
      <c r="L35" s="354" t="e">
        <f>('2.2 LABOR INCOME &amp; PRODUCTIVITY'!O26/'2.2 LABOR INCOME &amp; PRODUCTIVITY'!N26-1)*100</f>
        <v>#N/A</v>
      </c>
      <c r="M35" s="354" t="e">
        <f>('2.2 LABOR INCOME &amp; PRODUCTIVITY'!P26/'2.2 LABOR INCOME &amp; PRODUCTIVITY'!O26-1)*100</f>
        <v>#N/A</v>
      </c>
      <c r="N35" s="354" t="e">
        <f>('2.2 LABOR INCOME &amp; PRODUCTIVITY'!Q26/'2.2 LABOR INCOME &amp; PRODUCTIVITY'!P26-1)*100</f>
        <v>#N/A</v>
      </c>
      <c r="O35" s="354" t="e">
        <f>('2.2 LABOR INCOME &amp; PRODUCTIVITY'!R26/'2.2 LABOR INCOME &amp; PRODUCTIVITY'!Q26-1)*100</f>
        <v>#N/A</v>
      </c>
      <c r="P35" s="354" t="e">
        <f>('2.2 LABOR INCOME &amp; PRODUCTIVITY'!S26/'2.2 LABOR INCOME &amp; PRODUCTIVITY'!R26-1)*100</f>
        <v>#N/A</v>
      </c>
      <c r="Q35" s="354" t="e">
        <f>('2.2 LABOR INCOME &amp; PRODUCTIVITY'!T26/'2.2 LABOR INCOME &amp; PRODUCTIVITY'!S26-1)*100</f>
        <v>#N/A</v>
      </c>
      <c r="R35" s="354" t="e">
        <f>('2.2 LABOR INCOME &amp; PRODUCTIVITY'!U26/'2.2 LABOR INCOME &amp; PRODUCTIVITY'!T26-1)*100</f>
        <v>#N/A</v>
      </c>
      <c r="S35" s="354" t="e">
        <f>('2.2 LABOR INCOME &amp; PRODUCTIVITY'!V26/'2.2 LABOR INCOME &amp; PRODUCTIVITY'!U26-1)*100</f>
        <v>#N/A</v>
      </c>
      <c r="T35" s="354" t="e">
        <f>('2.2 LABOR INCOME &amp; PRODUCTIVITY'!W26/'2.2 LABOR INCOME &amp; PRODUCTIVITY'!V26-1)*100</f>
        <v>#N/A</v>
      </c>
      <c r="U35" s="354" t="e">
        <f>('2.2 LABOR INCOME &amp; PRODUCTIVITY'!X26/'2.2 LABOR INCOME &amp; PRODUCTIVITY'!W26-1)*100</f>
        <v>#N/A</v>
      </c>
      <c r="V35" s="354" t="e">
        <f>('2.2 LABOR INCOME &amp; PRODUCTIVITY'!Y26/'2.2 LABOR INCOME &amp; PRODUCTIVITY'!X26-1)*100</f>
        <v>#N/A</v>
      </c>
      <c r="W35" s="354" t="e">
        <f>('2.2 LABOR INCOME &amp; PRODUCTIVITY'!Z24/'2.2 LABOR INCOME &amp; PRODUCTIVITY'!Y24-1)*100</f>
        <v>#N/A</v>
      </c>
      <c r="X35" s="354">
        <f>'2.2 LABOR INCOME &amp; PRODUCTIVITY'!AA11*ELASTICITY!K34</f>
        <v>-0.49745448568772105</v>
      </c>
      <c r="Y35" s="175">
        <f>'2.2 LABOR INCOME &amp; PRODUCTIVITY'!AB11*ELASTICITY!L34</f>
        <v>-0.70721064019031665</v>
      </c>
      <c r="Z35" s="175">
        <f>'2.2 LABOR INCOME &amp; PRODUCTIVITY'!AC11*ELASTICITY!M34</f>
        <v>-9.8248641714209839</v>
      </c>
      <c r="AA35" s="175">
        <f>'2.2 LABOR INCOME &amp; PRODUCTIVITY'!AD11*ELASTICITY!N34</f>
        <v>9.9105364738017698</v>
      </c>
      <c r="AB35" s="165"/>
      <c r="AC35" s="165"/>
      <c r="AD35" s="165"/>
      <c r="AE35" s="165"/>
      <c r="AF35" s="165"/>
      <c r="AG35" s="165"/>
      <c r="AH35" s="165"/>
      <c r="AI35" s="165"/>
      <c r="AJ35" s="165"/>
      <c r="AK35" s="165"/>
      <c r="AL35" s="165"/>
      <c r="AM35" s="165"/>
      <c r="AN35" s="165"/>
      <c r="AO35" s="165"/>
      <c r="AP35" s="165"/>
      <c r="AQ35" s="165"/>
      <c r="AR35" s="165"/>
    </row>
    <row r="36" spans="2:44" x14ac:dyDescent="0.2">
      <c r="B36" s="167"/>
      <c r="C36" s="168"/>
      <c r="E36" s="356" t="s">
        <v>612</v>
      </c>
      <c r="F36" s="354" t="e">
        <f>('2.2 LABOR INCOME &amp; PRODUCTIVITY'!#REF!/'2.2 LABOR INCOME &amp; PRODUCTIVITY'!#REF!-1)*100</f>
        <v>#REF!</v>
      </c>
      <c r="G36" s="354" t="e">
        <f>('2.2 LABOR INCOME &amp; PRODUCTIVITY'!#REF!/'2.2 LABOR INCOME &amp; PRODUCTIVITY'!#REF!-1)*100</f>
        <v>#REF!</v>
      </c>
      <c r="H36" s="354" t="e">
        <f>('2.2 LABOR INCOME &amp; PRODUCTIVITY'!#REF!/'2.2 LABOR INCOME &amp; PRODUCTIVITY'!#REF!-1)*100</f>
        <v>#REF!</v>
      </c>
      <c r="I36" s="354" t="e">
        <f>('2.2 LABOR INCOME &amp; PRODUCTIVITY'!#REF!/'2.2 LABOR INCOME &amp; PRODUCTIVITY'!#REF!-1)*100</f>
        <v>#REF!</v>
      </c>
      <c r="J36" s="354" t="e">
        <f>('2.2 LABOR INCOME &amp; PRODUCTIVITY'!#REF!/'2.2 LABOR INCOME &amp; PRODUCTIVITY'!#REF!-1)*100</f>
        <v>#REF!</v>
      </c>
      <c r="K36" s="354" t="e">
        <f>('2.2 LABOR INCOME &amp; PRODUCTIVITY'!#REF!/'2.2 LABOR INCOME &amp; PRODUCTIVITY'!#REF!-1)*100</f>
        <v>#REF!</v>
      </c>
      <c r="L36" s="354" t="e">
        <f>('2.2 LABOR INCOME &amp; PRODUCTIVITY'!#REF!/'2.2 LABOR INCOME &amp; PRODUCTIVITY'!#REF!-1)*100</f>
        <v>#REF!</v>
      </c>
      <c r="M36" s="354" t="e">
        <f>('2.2 LABOR INCOME &amp; PRODUCTIVITY'!#REF!/'2.2 LABOR INCOME &amp; PRODUCTIVITY'!#REF!-1)*100</f>
        <v>#REF!</v>
      </c>
      <c r="N36" s="354" t="e">
        <f>('2.2 LABOR INCOME &amp; PRODUCTIVITY'!#REF!/'2.2 LABOR INCOME &amp; PRODUCTIVITY'!#REF!-1)*100</f>
        <v>#REF!</v>
      </c>
      <c r="O36" s="354" t="e">
        <f>('2.2 LABOR INCOME &amp; PRODUCTIVITY'!#REF!/'2.2 LABOR INCOME &amp; PRODUCTIVITY'!#REF!-1)*100</f>
        <v>#REF!</v>
      </c>
      <c r="P36" s="354" t="e">
        <f>('2.2 LABOR INCOME &amp; PRODUCTIVITY'!#REF!/'2.2 LABOR INCOME &amp; PRODUCTIVITY'!#REF!-1)*100</f>
        <v>#REF!</v>
      </c>
      <c r="Q36" s="354" t="e">
        <f>('2.2 LABOR INCOME &amp; PRODUCTIVITY'!#REF!/'2.2 LABOR INCOME &amp; PRODUCTIVITY'!#REF!-1)*100</f>
        <v>#REF!</v>
      </c>
      <c r="R36" s="354" t="e">
        <f>('2.2 LABOR INCOME &amp; PRODUCTIVITY'!#REF!/'2.2 LABOR INCOME &amp; PRODUCTIVITY'!#REF!-1)*100</f>
        <v>#REF!</v>
      </c>
      <c r="S36" s="354" t="e">
        <f>('2.2 LABOR INCOME &amp; PRODUCTIVITY'!#REF!/'2.2 LABOR INCOME &amp; PRODUCTIVITY'!#REF!-1)*100</f>
        <v>#REF!</v>
      </c>
      <c r="T36" s="354" t="e">
        <f>('2.2 LABOR INCOME &amp; PRODUCTIVITY'!#REF!/'2.2 LABOR INCOME &amp; PRODUCTIVITY'!#REF!-1)*100</f>
        <v>#REF!</v>
      </c>
      <c r="U36" s="354" t="e">
        <f>('2.2 LABOR INCOME &amp; PRODUCTIVITY'!#REF!/'2.2 LABOR INCOME &amp; PRODUCTIVITY'!#REF!-1)*100</f>
        <v>#REF!</v>
      </c>
      <c r="V36" s="354" t="e">
        <f>('2.2 LABOR INCOME &amp; PRODUCTIVITY'!#REF!/'2.2 LABOR INCOME &amp; PRODUCTIVITY'!#REF!-1)*100</f>
        <v>#REF!</v>
      </c>
      <c r="W36" s="354" t="e">
        <f>('2.2 LABOR INCOME &amp; PRODUCTIVITY'!Z25/'2.2 LABOR INCOME &amp; PRODUCTIVITY'!Y25-1)*100</f>
        <v>#N/A</v>
      </c>
      <c r="X36" s="354">
        <f>'2.2 LABOR INCOME &amp; PRODUCTIVITY'!AA12*ELASTICITY!K35</f>
        <v>-0.74903981742206938</v>
      </c>
      <c r="Y36" s="175">
        <f>'2.2 LABOR INCOME &amp; PRODUCTIVITY'!AB12*ELASTICITY!L35</f>
        <v>-3.39</v>
      </c>
      <c r="Z36" s="175">
        <f>'2.2 LABOR INCOME &amp; PRODUCTIVITY'!AC12*ELASTICITY!M35</f>
        <v>-1.3034522360195089</v>
      </c>
      <c r="AA36" s="175">
        <f>'2.2 LABOR INCOME &amp; PRODUCTIVITY'!AD12*ELASTICITY!N35</f>
        <v>4.6594790926728358</v>
      </c>
      <c r="AB36" s="165"/>
      <c r="AC36" s="165"/>
      <c r="AD36" s="165"/>
      <c r="AE36" s="165"/>
      <c r="AF36" s="165"/>
      <c r="AG36" s="165"/>
      <c r="AH36" s="165"/>
      <c r="AI36" s="165"/>
      <c r="AJ36" s="165"/>
      <c r="AK36" s="165"/>
      <c r="AL36" s="165"/>
      <c r="AM36" s="165"/>
      <c r="AN36" s="165"/>
      <c r="AO36" s="165"/>
      <c r="AP36" s="165"/>
      <c r="AQ36" s="165"/>
      <c r="AR36" s="165"/>
    </row>
    <row r="37" spans="2:44" x14ac:dyDescent="0.2">
      <c r="B37" s="167"/>
      <c r="C37" s="168"/>
      <c r="E37" s="356" t="s">
        <v>613</v>
      </c>
      <c r="F37" s="354" t="e">
        <f>('2.2 LABOR INCOME &amp; PRODUCTIVITY'!#REF!/'2.2 LABOR INCOME &amp; PRODUCTIVITY'!#REF!-1)*100</f>
        <v>#REF!</v>
      </c>
      <c r="G37" s="354" t="e">
        <f>('2.2 LABOR INCOME &amp; PRODUCTIVITY'!#REF!/'2.2 LABOR INCOME &amp; PRODUCTIVITY'!#REF!-1)*100</f>
        <v>#REF!</v>
      </c>
      <c r="H37" s="354" t="e">
        <f>('2.2 LABOR INCOME &amp; PRODUCTIVITY'!#REF!/'2.2 LABOR INCOME &amp; PRODUCTIVITY'!#REF!-1)*100</f>
        <v>#REF!</v>
      </c>
      <c r="I37" s="354" t="e">
        <f>('2.2 LABOR INCOME &amp; PRODUCTIVITY'!#REF!/'2.2 LABOR INCOME &amp; PRODUCTIVITY'!#REF!-1)*100</f>
        <v>#REF!</v>
      </c>
      <c r="J37" s="354" t="e">
        <f>('2.2 LABOR INCOME &amp; PRODUCTIVITY'!#REF!/'2.2 LABOR INCOME &amp; PRODUCTIVITY'!#REF!-1)*100</f>
        <v>#REF!</v>
      </c>
      <c r="K37" s="354" t="e">
        <f>('2.2 LABOR INCOME &amp; PRODUCTIVITY'!#REF!/'2.2 LABOR INCOME &amp; PRODUCTIVITY'!#REF!-1)*100</f>
        <v>#REF!</v>
      </c>
      <c r="L37" s="354" t="e">
        <f>('2.2 LABOR INCOME &amp; PRODUCTIVITY'!#REF!/'2.2 LABOR INCOME &amp; PRODUCTIVITY'!#REF!-1)*100</f>
        <v>#REF!</v>
      </c>
      <c r="M37" s="354" t="e">
        <f>('2.2 LABOR INCOME &amp; PRODUCTIVITY'!#REF!/'2.2 LABOR INCOME &amp; PRODUCTIVITY'!#REF!-1)*100</f>
        <v>#REF!</v>
      </c>
      <c r="N37" s="354" t="e">
        <f>('2.2 LABOR INCOME &amp; PRODUCTIVITY'!#REF!/'2.2 LABOR INCOME &amp; PRODUCTIVITY'!#REF!-1)*100</f>
        <v>#REF!</v>
      </c>
      <c r="O37" s="354" t="e">
        <f>('2.2 LABOR INCOME &amp; PRODUCTIVITY'!#REF!/'2.2 LABOR INCOME &amp; PRODUCTIVITY'!#REF!-1)*100</f>
        <v>#REF!</v>
      </c>
      <c r="P37" s="354" t="e">
        <f>('2.2 LABOR INCOME &amp; PRODUCTIVITY'!#REF!/'2.2 LABOR INCOME &amp; PRODUCTIVITY'!#REF!-1)*100</f>
        <v>#REF!</v>
      </c>
      <c r="Q37" s="354" t="e">
        <f>('2.2 LABOR INCOME &amp; PRODUCTIVITY'!#REF!/'2.2 LABOR INCOME &amp; PRODUCTIVITY'!#REF!-1)*100</f>
        <v>#REF!</v>
      </c>
      <c r="R37" s="354" t="e">
        <f>('2.2 LABOR INCOME &amp; PRODUCTIVITY'!#REF!/'2.2 LABOR INCOME &amp; PRODUCTIVITY'!#REF!-1)*100</f>
        <v>#REF!</v>
      </c>
      <c r="S37" s="354" t="e">
        <f>('2.2 LABOR INCOME &amp; PRODUCTIVITY'!#REF!/'2.2 LABOR INCOME &amp; PRODUCTIVITY'!#REF!-1)*100</f>
        <v>#REF!</v>
      </c>
      <c r="T37" s="354" t="e">
        <f>('2.2 LABOR INCOME &amp; PRODUCTIVITY'!#REF!/'2.2 LABOR INCOME &amp; PRODUCTIVITY'!#REF!-1)*100</f>
        <v>#REF!</v>
      </c>
      <c r="U37" s="354" t="e">
        <f>('2.2 LABOR INCOME &amp; PRODUCTIVITY'!#REF!/'2.2 LABOR INCOME &amp; PRODUCTIVITY'!#REF!-1)*100</f>
        <v>#REF!</v>
      </c>
      <c r="V37" s="354" t="e">
        <f>('2.2 LABOR INCOME &amp; PRODUCTIVITY'!#REF!/'2.2 LABOR INCOME &amp; PRODUCTIVITY'!#REF!-1)*100</f>
        <v>#REF!</v>
      </c>
      <c r="W37" s="354" t="e">
        <f>('2.2 LABOR INCOME &amp; PRODUCTIVITY'!Z26/'2.2 LABOR INCOME &amp; PRODUCTIVITY'!Y26-1)*100</f>
        <v>#N/A</v>
      </c>
      <c r="X37" s="354">
        <f>'2.2 LABOR INCOME &amp; PRODUCTIVITY'!AA12*ELASTICITY!K36</f>
        <v>-0.1702363221413794</v>
      </c>
      <c r="Y37" s="175">
        <f>'2.2 LABOR INCOME &amp; PRODUCTIVITY'!AB12*ELASTICITY!L36</f>
        <v>-0.16395122831971154</v>
      </c>
      <c r="Z37" s="175">
        <f>'2.2 LABOR INCOME &amp; PRODUCTIVITY'!AC12*ELASTICITY!M36</f>
        <v>-1.2031866794026236</v>
      </c>
      <c r="AA37" s="175">
        <f>'2.2 LABOR INCOME &amp; PRODUCTIVITY'!AD12*ELASTICITY!N36</f>
        <v>1.6774124733622209</v>
      </c>
      <c r="AB37" s="165"/>
      <c r="AC37" s="165"/>
      <c r="AD37" s="165"/>
      <c r="AE37" s="165"/>
      <c r="AF37" s="165"/>
      <c r="AG37" s="165"/>
      <c r="AH37" s="165"/>
      <c r="AI37" s="165"/>
      <c r="AJ37" s="165"/>
      <c r="AK37" s="165"/>
      <c r="AL37" s="165"/>
      <c r="AM37" s="165"/>
      <c r="AN37" s="165"/>
      <c r="AO37" s="165"/>
      <c r="AP37" s="165"/>
      <c r="AQ37" s="165"/>
      <c r="AR37" s="165"/>
    </row>
    <row r="38" spans="2:44" x14ac:dyDescent="0.2">
      <c r="B38" s="167"/>
      <c r="C38" s="168"/>
      <c r="E38" s="361" t="s">
        <v>200</v>
      </c>
      <c r="F38" s="354" t="e">
        <f>('2.2 LABOR INCOME &amp; PRODUCTIVITY'!I28/'2.2 LABOR INCOME &amp; PRODUCTIVITY'!#REF!-1)*100</f>
        <v>#N/A</v>
      </c>
      <c r="G38" s="354" t="e">
        <f>('2.2 LABOR INCOME &amp; PRODUCTIVITY'!J28/'2.2 LABOR INCOME &amp; PRODUCTIVITY'!I28-1)*100</f>
        <v>#N/A</v>
      </c>
      <c r="H38" s="354" t="e">
        <f>('2.2 LABOR INCOME &amp; PRODUCTIVITY'!K28/'2.2 LABOR INCOME &amp; PRODUCTIVITY'!J28-1)*100</f>
        <v>#N/A</v>
      </c>
      <c r="I38" s="354" t="e">
        <f>('2.2 LABOR INCOME &amp; PRODUCTIVITY'!L28/'2.2 LABOR INCOME &amp; PRODUCTIVITY'!K28-1)*100</f>
        <v>#N/A</v>
      </c>
      <c r="J38" s="354" t="e">
        <f>('2.2 LABOR INCOME &amp; PRODUCTIVITY'!M28/'2.2 LABOR INCOME &amp; PRODUCTIVITY'!L28-1)*100</f>
        <v>#N/A</v>
      </c>
      <c r="K38" s="354" t="e">
        <f>('2.2 LABOR INCOME &amp; PRODUCTIVITY'!N28/'2.2 LABOR INCOME &amp; PRODUCTIVITY'!M28-1)*100</f>
        <v>#N/A</v>
      </c>
      <c r="L38" s="354" t="e">
        <f>('2.2 LABOR INCOME &amp; PRODUCTIVITY'!O28/'2.2 LABOR INCOME &amp; PRODUCTIVITY'!N28-1)*100</f>
        <v>#N/A</v>
      </c>
      <c r="M38" s="354" t="e">
        <f>('2.2 LABOR INCOME &amp; PRODUCTIVITY'!P28/'2.2 LABOR INCOME &amp; PRODUCTIVITY'!O28-1)*100</f>
        <v>#N/A</v>
      </c>
      <c r="N38" s="354" t="e">
        <f>('2.2 LABOR INCOME &amp; PRODUCTIVITY'!Q28/'2.2 LABOR INCOME &amp; PRODUCTIVITY'!P28-1)*100</f>
        <v>#N/A</v>
      </c>
      <c r="O38" s="354" t="e">
        <f>('2.2 LABOR INCOME &amp; PRODUCTIVITY'!R28/'2.2 LABOR INCOME &amp; PRODUCTIVITY'!Q28-1)*100</f>
        <v>#N/A</v>
      </c>
      <c r="P38" s="354" t="e">
        <f>('2.2 LABOR INCOME &amp; PRODUCTIVITY'!S28/'2.2 LABOR INCOME &amp; PRODUCTIVITY'!R28-1)*100</f>
        <v>#N/A</v>
      </c>
      <c r="Q38" s="354" t="e">
        <f>('2.2 LABOR INCOME &amp; PRODUCTIVITY'!U28/'2.2 LABOR INCOME &amp; PRODUCTIVITY'!S28-1)*100</f>
        <v>#N/A</v>
      </c>
      <c r="R38" s="354" t="e">
        <f>('2.2 LABOR INCOME &amp; PRODUCTIVITY'!V28/'2.2 LABOR INCOME &amp; PRODUCTIVITY'!U28-1)*100</f>
        <v>#N/A</v>
      </c>
      <c r="S38" s="355" t="e">
        <f>('2.2 LABOR INCOME &amp; PRODUCTIVITY'!V28/'2.2 LABOR INCOME &amp; PRODUCTIVITY'!U28-1)*100</f>
        <v>#N/A</v>
      </c>
      <c r="T38" s="355" t="e">
        <f>('2.2 LABOR INCOME &amp; PRODUCTIVITY'!W28/'2.2 LABOR INCOME &amp; PRODUCTIVITY'!V28-1)*100</f>
        <v>#N/A</v>
      </c>
      <c r="U38" s="355" t="e">
        <f>('2.2 LABOR INCOME &amp; PRODUCTIVITY'!X28/'2.2 LABOR INCOME &amp; PRODUCTIVITY'!W28-1)*100</f>
        <v>#N/A</v>
      </c>
      <c r="V38" s="355" t="e">
        <f>('2.2 LABOR INCOME &amp; PRODUCTIVITY'!Y28/'2.2 LABOR INCOME &amp; PRODUCTIVITY'!X28-1)*100</f>
        <v>#N/A</v>
      </c>
      <c r="W38" s="355" t="e">
        <f>('2.2 LABOR INCOME &amp; PRODUCTIVITY'!Z27/'2.2 LABOR INCOME &amp; PRODUCTIVITY'!Y27-1)*100</f>
        <v>#N/A</v>
      </c>
      <c r="X38" s="355">
        <f>'2.2 LABOR INCOME &amp; PRODUCTIVITY'!AA16*ELASTICITY!K37</f>
        <v>0</v>
      </c>
      <c r="Y38" s="174">
        <f>'2.2 LABOR INCOME &amp; PRODUCTIVITY'!AB16*ELASTICITY!L37</f>
        <v>0</v>
      </c>
      <c r="Z38" s="174">
        <f>'2.2 LABOR INCOME &amp; PRODUCTIVITY'!AC16*ELASTICITY!M37</f>
        <v>0</v>
      </c>
      <c r="AA38" s="174">
        <f>'2.2 LABOR INCOME &amp; PRODUCTIVITY'!AD16*ELASTICITY!N37</f>
        <v>0</v>
      </c>
      <c r="AB38" s="165"/>
      <c r="AC38" s="165"/>
      <c r="AD38" s="165"/>
      <c r="AE38" s="165"/>
      <c r="AF38" s="165"/>
      <c r="AG38" s="165"/>
      <c r="AH38" s="165"/>
      <c r="AI38" s="165"/>
      <c r="AJ38" s="165"/>
      <c r="AK38" s="165"/>
      <c r="AL38" s="165"/>
      <c r="AM38" s="165"/>
      <c r="AN38" s="165"/>
      <c r="AO38" s="165"/>
      <c r="AP38" s="165"/>
      <c r="AQ38" s="165"/>
      <c r="AR38" s="165"/>
    </row>
    <row r="39" spans="2:44" x14ac:dyDescent="0.2">
      <c r="B39" s="167"/>
      <c r="C39" s="168"/>
      <c r="E39" s="362" t="s">
        <v>201</v>
      </c>
      <c r="F39" s="358" t="e">
        <f>('2.2 LABOR INCOME &amp; PRODUCTIVITY'!I29/'2.2 LABOR INCOME &amp; PRODUCTIVITY'!#REF!-1)*100</f>
        <v>#N/A</v>
      </c>
      <c r="G39" s="358" t="e">
        <f>('2.2 LABOR INCOME &amp; PRODUCTIVITY'!J29/'2.2 LABOR INCOME &amp; PRODUCTIVITY'!I29-1)*100</f>
        <v>#N/A</v>
      </c>
      <c r="H39" s="358" t="e">
        <f>('2.2 LABOR INCOME &amp; PRODUCTIVITY'!K29/'2.2 LABOR INCOME &amp; PRODUCTIVITY'!J29-1)*100</f>
        <v>#N/A</v>
      </c>
      <c r="I39" s="358" t="e">
        <f>('2.2 LABOR INCOME &amp; PRODUCTIVITY'!L29/'2.2 LABOR INCOME &amp; PRODUCTIVITY'!K29-1)*100</f>
        <v>#N/A</v>
      </c>
      <c r="J39" s="358" t="e">
        <f>('2.2 LABOR INCOME &amp; PRODUCTIVITY'!M29/'2.2 LABOR INCOME &amp; PRODUCTIVITY'!L29-1)*100</f>
        <v>#N/A</v>
      </c>
      <c r="K39" s="358" t="e">
        <f>('2.2 LABOR INCOME &amp; PRODUCTIVITY'!N29/'2.2 LABOR INCOME &amp; PRODUCTIVITY'!M29-1)*100</f>
        <v>#N/A</v>
      </c>
      <c r="L39" s="358" t="e">
        <f>('2.2 LABOR INCOME &amp; PRODUCTIVITY'!O29/'2.2 LABOR INCOME &amp; PRODUCTIVITY'!N29-1)*100</f>
        <v>#N/A</v>
      </c>
      <c r="M39" s="358" t="e">
        <f>('2.2 LABOR INCOME &amp; PRODUCTIVITY'!P29/'2.2 LABOR INCOME &amp; PRODUCTIVITY'!O29-1)*100</f>
        <v>#N/A</v>
      </c>
      <c r="N39" s="358" t="e">
        <f>('2.2 LABOR INCOME &amp; PRODUCTIVITY'!Q29/'2.2 LABOR INCOME &amp; PRODUCTIVITY'!P29-1)*100</f>
        <v>#N/A</v>
      </c>
      <c r="O39" s="358" t="e">
        <f>('2.2 LABOR INCOME &amp; PRODUCTIVITY'!R29/'2.2 LABOR INCOME &amp; PRODUCTIVITY'!Q29-1)*100</f>
        <v>#N/A</v>
      </c>
      <c r="P39" s="358" t="e">
        <f>('2.2 LABOR INCOME &amp; PRODUCTIVITY'!S29/'2.2 LABOR INCOME &amp; PRODUCTIVITY'!R29-1)*100</f>
        <v>#N/A</v>
      </c>
      <c r="Q39" s="358" t="e">
        <f>('2.2 LABOR INCOME &amp; PRODUCTIVITY'!U29/'2.2 LABOR INCOME &amp; PRODUCTIVITY'!S29-1)*100</f>
        <v>#N/A</v>
      </c>
      <c r="R39" s="358" t="e">
        <f>('2.2 LABOR INCOME &amp; PRODUCTIVITY'!V29/'2.2 LABOR INCOME &amp; PRODUCTIVITY'!U29-1)*100</f>
        <v>#N/A</v>
      </c>
      <c r="S39" s="363" t="e">
        <f>('2.2 LABOR INCOME &amp; PRODUCTIVITY'!V29/'2.2 LABOR INCOME &amp; PRODUCTIVITY'!U29-1)*100</f>
        <v>#N/A</v>
      </c>
      <c r="T39" s="363" t="e">
        <f>('2.2 LABOR INCOME &amp; PRODUCTIVITY'!W29/'2.2 LABOR INCOME &amp; PRODUCTIVITY'!V29-1)*100</f>
        <v>#N/A</v>
      </c>
      <c r="U39" s="363" t="e">
        <f>('2.2 LABOR INCOME &amp; PRODUCTIVITY'!X29/'2.2 LABOR INCOME &amp; PRODUCTIVITY'!W29-1)*100</f>
        <v>#N/A</v>
      </c>
      <c r="V39" s="363" t="e">
        <f>('2.2 LABOR INCOME &amp; PRODUCTIVITY'!Y29/'2.2 LABOR INCOME &amp; PRODUCTIVITY'!X29-1)*100</f>
        <v>#N/A</v>
      </c>
      <c r="W39" s="363" t="e">
        <f>('2.2 LABOR INCOME &amp; PRODUCTIVITY'!Z28/'2.2 LABOR INCOME &amp; PRODUCTIVITY'!Y28-1)*100</f>
        <v>#N/A</v>
      </c>
      <c r="X39" s="363">
        <f>'2.2 LABOR INCOME &amp; PRODUCTIVITY'!AA17*ELASTICITY!K38</f>
        <v>0</v>
      </c>
      <c r="Y39" s="177">
        <f>'2.2 LABOR INCOME &amp; PRODUCTIVITY'!AB17*ELASTICITY!L38</f>
        <v>0</v>
      </c>
      <c r="Z39" s="177">
        <f>'2.2 LABOR INCOME &amp; PRODUCTIVITY'!AC17*ELASTICITY!M38</f>
        <v>0</v>
      </c>
      <c r="AA39" s="177">
        <f>'2.2 LABOR INCOME &amp; PRODUCTIVITY'!AD17*ELASTICITY!N38</f>
        <v>0</v>
      </c>
      <c r="AB39" s="165"/>
      <c r="AC39" s="165"/>
      <c r="AD39" s="165"/>
      <c r="AE39" s="165"/>
      <c r="AF39" s="165"/>
      <c r="AG39" s="165"/>
      <c r="AH39" s="165"/>
      <c r="AI39" s="165"/>
      <c r="AJ39" s="165"/>
      <c r="AK39" s="165"/>
      <c r="AL39" s="165"/>
      <c r="AM39" s="165"/>
      <c r="AN39" s="165"/>
      <c r="AO39" s="165"/>
      <c r="AP39" s="165"/>
      <c r="AQ39" s="165"/>
      <c r="AR39" s="165"/>
    </row>
    <row r="40" spans="2:44" x14ac:dyDescent="0.2">
      <c r="B40" s="167"/>
      <c r="C40" s="168"/>
      <c r="E40" s="364"/>
      <c r="F40" s="165"/>
      <c r="G40" s="165"/>
      <c r="H40" s="165"/>
      <c r="I40" s="165"/>
      <c r="J40" s="165"/>
      <c r="K40" s="165"/>
      <c r="L40" s="165"/>
      <c r="M40" s="365"/>
      <c r="N40" s="365"/>
      <c r="O40" s="365"/>
      <c r="P40" s="365"/>
      <c r="Q40" s="365"/>
      <c r="R40" s="366"/>
      <c r="S40" s="365"/>
      <c r="T40" s="366"/>
      <c r="U40" s="366"/>
      <c r="V40" s="365"/>
      <c r="W40" s="365"/>
      <c r="X40" s="365"/>
      <c r="Y40" s="165"/>
      <c r="Z40" s="165"/>
      <c r="AA40" s="165"/>
      <c r="AB40" s="165"/>
      <c r="AC40" s="165"/>
      <c r="AD40" s="165"/>
      <c r="AE40" s="165"/>
      <c r="AF40" s="165"/>
      <c r="AG40" s="165"/>
      <c r="AH40" s="165"/>
      <c r="AI40" s="165"/>
      <c r="AJ40" s="165"/>
      <c r="AK40" s="165"/>
      <c r="AL40" s="165"/>
      <c r="AM40" s="165"/>
      <c r="AN40" s="165"/>
      <c r="AO40" s="165"/>
      <c r="AP40" s="165"/>
      <c r="AQ40" s="165"/>
      <c r="AR40" s="165"/>
    </row>
    <row r="41" spans="2:44" x14ac:dyDescent="0.2">
      <c r="B41" s="165"/>
      <c r="C41" s="165"/>
      <c r="E41" s="364"/>
      <c r="F41" s="165"/>
      <c r="G41" s="165"/>
      <c r="H41" s="165"/>
      <c r="I41" s="165"/>
      <c r="J41" s="165"/>
      <c r="K41" s="165"/>
      <c r="L41" s="165"/>
      <c r="M41" s="365"/>
      <c r="N41" s="365"/>
      <c r="O41" s="365"/>
      <c r="P41" s="365"/>
      <c r="Q41" s="365"/>
      <c r="R41" s="366"/>
      <c r="S41" s="365"/>
      <c r="T41" s="366"/>
      <c r="U41" s="366"/>
      <c r="V41" s="365"/>
      <c r="W41" s="365"/>
      <c r="X41" s="365"/>
      <c r="Y41" s="165"/>
      <c r="Z41" s="165"/>
      <c r="AA41" s="165"/>
      <c r="AB41" s="165"/>
      <c r="AC41" s="165"/>
      <c r="AD41" s="165"/>
      <c r="AE41" s="165"/>
      <c r="AF41" s="165"/>
      <c r="AG41" s="165"/>
      <c r="AH41" s="165"/>
      <c r="AI41" s="165"/>
      <c r="AJ41" s="165"/>
      <c r="AK41" s="165"/>
      <c r="AL41" s="165"/>
      <c r="AM41" s="165"/>
      <c r="AN41" s="165"/>
      <c r="AO41" s="165"/>
      <c r="AP41" s="165"/>
      <c r="AQ41" s="165"/>
      <c r="AR41" s="165"/>
    </row>
    <row r="42" spans="2:44" x14ac:dyDescent="0.2">
      <c r="B42" s="165"/>
      <c r="C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row>
    <row r="43" spans="2:44" x14ac:dyDescent="0.2">
      <c r="B43" s="165"/>
      <c r="C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row>
    <row r="44" spans="2:44" x14ac:dyDescent="0.2">
      <c r="B44" s="165"/>
      <c r="C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row>
    <row r="45" spans="2:44" x14ac:dyDescent="0.2">
      <c r="B45" s="165"/>
      <c r="C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row>
    <row r="46" spans="2:44" x14ac:dyDescent="0.2">
      <c r="B46" s="165"/>
      <c r="C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row>
    <row r="47" spans="2:44" x14ac:dyDescent="0.2">
      <c r="B47" s="165"/>
      <c r="C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row>
    <row r="48" spans="2:44" x14ac:dyDescent="0.2">
      <c r="B48" s="165"/>
      <c r="C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2:44" x14ac:dyDescent="0.2">
      <c r="B49" s="165"/>
      <c r="C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row>
    <row r="50" spans="2:44" x14ac:dyDescent="0.2">
      <c r="B50" s="165"/>
      <c r="C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row>
  </sheetData>
  <sheetProtection formatCells="0" formatColumns="0" formatRows="0"/>
  <customSheetViews>
    <customSheetView guid="{5EB6DE45-64D9-4581-AE55-A519683B64F2}" hiddenRows="1" hiddenColumns="1">
      <selection activeCell="W25" sqref="W25"/>
      <pageMargins left="0.7" right="0.7" top="0.75" bottom="0.75" header="0.3" footer="0.3"/>
      <pageSetup orientation="portrait" r:id="rId1"/>
    </customSheetView>
  </customSheetViews>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39">
    <cfRule type="cellIs" dxfId="23" priority="45" operator="lessThan">
      <formula>0</formula>
    </cfRule>
  </conditionalFormatting>
  <conditionalFormatting sqref="V24:AA25">
    <cfRule type="cellIs" dxfId="22" priority="44" operator="lessThan">
      <formula>0</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9633" r:id="rId5"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6"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44"/>
  <sheetViews>
    <sheetView topLeftCell="D7" zoomScaleNormal="100" workbookViewId="0">
      <selection activeCell="AE31" sqref="AE31"/>
    </sheetView>
  </sheetViews>
  <sheetFormatPr defaultColWidth="0" defaultRowHeight="14.25" zeroHeight="1" x14ac:dyDescent="0.2"/>
  <cols>
    <col min="1" max="1" width="12.7109375" style="37" customWidth="1"/>
    <col min="2" max="2" width="2.85546875" style="115" customWidth="1"/>
    <col min="3" max="3" width="49.5703125" style="115" customWidth="1"/>
    <col min="4" max="4" width="9.140625" style="115" customWidth="1"/>
    <col min="5" max="5" width="11.140625" style="93" customWidth="1"/>
    <col min="6" max="7" width="9.140625" style="93" customWidth="1"/>
    <col min="8" max="8" width="30.5703125" style="31" customWidth="1"/>
    <col min="9" max="19" width="10" style="31" hidden="1" customWidth="1"/>
    <col min="20" max="20" width="10" style="31" customWidth="1"/>
    <col min="21" max="25" width="10" style="31" hidden="1" customWidth="1"/>
    <col min="26" max="26" width="10.85546875" style="31" customWidth="1"/>
    <col min="27" max="30" width="10" style="31" customWidth="1"/>
    <col min="31" max="31" width="9.140625" style="93" customWidth="1"/>
    <col min="32" max="32" width="19.5703125" style="93" customWidth="1"/>
    <col min="33" max="42" width="10" style="93" hidden="1" customWidth="1"/>
    <col min="43" max="43" width="10" style="93" customWidth="1"/>
    <col min="44" max="48" width="10" style="93" hidden="1" customWidth="1"/>
    <col min="49" max="53" width="10" style="93" customWidth="1"/>
    <col min="54" max="54" width="8.5703125" style="93" customWidth="1"/>
    <col min="55" max="61" width="0" style="31" hidden="1" customWidth="1"/>
    <col min="62" max="16384" width="9.140625" style="31" hidden="1"/>
  </cols>
  <sheetData>
    <row r="1" spans="1:53" s="93" customFormat="1" x14ac:dyDescent="0.2">
      <c r="A1" s="115"/>
      <c r="B1" s="115"/>
      <c r="C1" s="115"/>
      <c r="D1" s="115"/>
    </row>
    <row r="2" spans="1:53" ht="24.75" customHeight="1" x14ac:dyDescent="0.2">
      <c r="C2" s="585" t="s">
        <v>202</v>
      </c>
      <c r="D2" s="585"/>
      <c r="E2" s="585"/>
      <c r="H2" s="586" t="s">
        <v>203</v>
      </c>
      <c r="I2" s="586"/>
      <c r="J2" s="586"/>
      <c r="K2" s="586"/>
      <c r="L2" s="586"/>
      <c r="M2" s="586"/>
      <c r="N2" s="586"/>
      <c r="O2" s="586"/>
      <c r="P2" s="586"/>
      <c r="Q2" s="586"/>
      <c r="R2" s="586"/>
      <c r="S2" s="586"/>
      <c r="T2" s="586"/>
      <c r="U2" s="586"/>
      <c r="V2" s="586"/>
      <c r="W2" s="586"/>
      <c r="X2" s="586"/>
      <c r="Y2" s="586"/>
      <c r="Z2" s="586"/>
      <c r="AA2" s="586"/>
      <c r="AB2" s="586"/>
      <c r="AC2" s="586"/>
      <c r="AD2" s="586"/>
      <c r="AE2" s="586"/>
      <c r="AF2" s="586"/>
      <c r="AG2" s="586"/>
      <c r="AH2" s="586"/>
      <c r="AI2" s="586"/>
      <c r="AJ2" s="586"/>
      <c r="AK2" s="586"/>
      <c r="AL2" s="586"/>
      <c r="AM2" s="586"/>
      <c r="AN2" s="586"/>
      <c r="AO2" s="586"/>
      <c r="AP2" s="586"/>
      <c r="AQ2" s="586"/>
      <c r="AR2" s="586"/>
      <c r="AS2" s="586"/>
      <c r="AT2" s="586"/>
      <c r="AU2" s="586"/>
      <c r="AV2" s="586"/>
      <c r="AW2" s="586"/>
      <c r="AX2" s="586"/>
      <c r="AY2" s="586"/>
      <c r="AZ2" s="586"/>
      <c r="BA2" s="586"/>
    </row>
    <row r="3" spans="1:53" x14ac:dyDescent="0.2">
      <c r="H3" s="93"/>
      <c r="I3" s="93"/>
      <c r="J3" s="93"/>
      <c r="K3" s="93"/>
      <c r="L3" s="93"/>
      <c r="M3" s="93"/>
      <c r="N3" s="93"/>
      <c r="O3" s="93"/>
      <c r="P3" s="93"/>
      <c r="Q3" s="93"/>
      <c r="R3" s="93"/>
      <c r="S3" s="93"/>
      <c r="T3" s="93"/>
      <c r="U3" s="93"/>
      <c r="V3" s="93"/>
      <c r="W3" s="93"/>
      <c r="X3" s="93"/>
      <c r="Y3" s="93"/>
      <c r="Z3" s="93"/>
      <c r="AA3" s="93"/>
      <c r="AB3" s="93"/>
      <c r="AC3" s="93"/>
      <c r="AD3" s="102"/>
      <c r="AE3" s="102"/>
    </row>
    <row r="4" spans="1:53" ht="18" x14ac:dyDescent="0.25">
      <c r="C4" s="587"/>
      <c r="D4" s="587"/>
      <c r="E4" s="587"/>
      <c r="H4" s="581" t="s">
        <v>204</v>
      </c>
      <c r="I4" s="581"/>
      <c r="J4" s="581"/>
      <c r="K4" s="581"/>
      <c r="L4" s="581"/>
      <c r="M4" s="581"/>
      <c r="N4" s="581"/>
      <c r="O4" s="581"/>
      <c r="P4" s="581"/>
      <c r="Q4" s="581"/>
      <c r="R4" s="581"/>
      <c r="S4" s="581"/>
      <c r="T4" s="581"/>
      <c r="U4" s="581"/>
      <c r="V4" s="581"/>
      <c r="W4" s="581"/>
      <c r="X4" s="581"/>
      <c r="Y4" s="581"/>
      <c r="Z4" s="581"/>
      <c r="AA4" s="581"/>
      <c r="AB4" s="581"/>
      <c r="AC4" s="581"/>
      <c r="AD4" s="581"/>
      <c r="AE4" s="581"/>
      <c r="AF4" s="581"/>
      <c r="AG4" s="581"/>
      <c r="AH4" s="581"/>
      <c r="AI4" s="581"/>
      <c r="AJ4" s="581"/>
      <c r="AK4" s="581"/>
      <c r="AL4" s="581"/>
      <c r="AM4" s="581"/>
      <c r="AN4" s="581"/>
      <c r="AO4" s="581"/>
      <c r="AP4" s="581"/>
      <c r="AQ4" s="581"/>
      <c r="AR4" s="581"/>
      <c r="AS4" s="581"/>
      <c r="AT4" s="581"/>
      <c r="AU4" s="581"/>
      <c r="AV4" s="581"/>
      <c r="AW4" s="581"/>
      <c r="AX4" s="581"/>
      <c r="AY4" s="581"/>
      <c r="AZ4" s="581"/>
      <c r="BA4" s="581"/>
    </row>
    <row r="5" spans="1:53" ht="15" customHeight="1" x14ac:dyDescent="0.2">
      <c r="C5" s="588" t="s">
        <v>205</v>
      </c>
      <c r="D5" s="588"/>
      <c r="E5" s="588"/>
      <c r="G5" s="367"/>
      <c r="H5" s="590" t="s">
        <v>206</v>
      </c>
      <c r="I5" s="590"/>
      <c r="J5" s="590"/>
      <c r="K5" s="590"/>
      <c r="L5" s="590"/>
      <c r="M5" s="590"/>
      <c r="N5" s="590"/>
      <c r="O5" s="590"/>
      <c r="P5" s="590"/>
      <c r="Q5" s="590"/>
      <c r="R5" s="590"/>
      <c r="S5" s="590"/>
      <c r="T5" s="590"/>
      <c r="U5" s="590"/>
      <c r="V5" s="590"/>
      <c r="W5" s="590"/>
      <c r="X5" s="590"/>
      <c r="Y5" s="590"/>
      <c r="Z5" s="590"/>
      <c r="AA5" s="590"/>
      <c r="AB5" s="590"/>
      <c r="AC5" s="590"/>
      <c r="AD5" s="590"/>
      <c r="AE5" s="590"/>
      <c r="AF5" s="590"/>
      <c r="AG5" s="590"/>
      <c r="AH5" s="590"/>
      <c r="AI5" s="590"/>
      <c r="AJ5" s="590"/>
      <c r="AK5" s="590"/>
      <c r="AL5" s="590"/>
      <c r="AM5" s="590"/>
      <c r="AN5" s="590"/>
      <c r="AO5" s="590"/>
      <c r="AP5" s="590"/>
      <c r="AQ5" s="590"/>
      <c r="AR5" s="590"/>
      <c r="AS5" s="590"/>
      <c r="AT5" s="590"/>
      <c r="AU5" s="590"/>
      <c r="AV5" s="590"/>
      <c r="AW5" s="590"/>
      <c r="AX5" s="590"/>
      <c r="AY5" s="590"/>
      <c r="AZ5" s="590"/>
      <c r="BA5" s="590"/>
    </row>
    <row r="6" spans="1:53" ht="30.75" customHeight="1" x14ac:dyDescent="0.2">
      <c r="C6" s="588"/>
      <c r="D6" s="588"/>
      <c r="E6" s="588"/>
      <c r="G6" s="367"/>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row>
    <row r="7" spans="1:53" ht="16.5" customHeight="1" x14ac:dyDescent="0.2">
      <c r="C7" s="579" t="s">
        <v>207</v>
      </c>
      <c r="D7" s="579"/>
      <c r="E7" s="181"/>
      <c r="F7" s="367"/>
      <c r="G7" s="367"/>
      <c r="H7" s="591" t="s">
        <v>208</v>
      </c>
      <c r="I7" s="389" t="s">
        <v>133</v>
      </c>
      <c r="J7" s="389" t="s">
        <v>133</v>
      </c>
      <c r="K7" s="389" t="s">
        <v>133</v>
      </c>
      <c r="L7" s="389" t="s">
        <v>133</v>
      </c>
      <c r="M7" s="389" t="s">
        <v>133</v>
      </c>
      <c r="N7" s="389" t="s">
        <v>133</v>
      </c>
      <c r="O7" s="389" t="s">
        <v>133</v>
      </c>
      <c r="P7" s="389" t="s">
        <v>133</v>
      </c>
      <c r="Q7" s="389" t="s">
        <v>133</v>
      </c>
      <c r="R7" s="389" t="s">
        <v>133</v>
      </c>
      <c r="S7" s="389" t="s">
        <v>133</v>
      </c>
      <c r="T7" s="389" t="s">
        <v>133</v>
      </c>
      <c r="U7" s="389" t="s">
        <v>133</v>
      </c>
      <c r="V7" s="389" t="s">
        <v>133</v>
      </c>
      <c r="W7" s="389" t="s">
        <v>133</v>
      </c>
      <c r="X7" s="389" t="s">
        <v>133</v>
      </c>
      <c r="Y7" s="389" t="s">
        <v>133</v>
      </c>
      <c r="Z7" s="389" t="s">
        <v>133</v>
      </c>
      <c r="AA7" s="389" t="s">
        <v>133</v>
      </c>
      <c r="AB7" s="584" t="s">
        <v>209</v>
      </c>
      <c r="AC7" s="584"/>
      <c r="AD7" s="584"/>
      <c r="AE7" s="102"/>
      <c r="AF7" s="582" t="s">
        <v>210</v>
      </c>
      <c r="AG7" s="389"/>
      <c r="AH7" s="389"/>
      <c r="AI7" s="389"/>
      <c r="AJ7" s="389"/>
      <c r="AK7" s="389"/>
      <c r="AL7" s="389"/>
      <c r="AM7" s="389"/>
      <c r="AN7" s="389"/>
      <c r="AO7" s="389"/>
      <c r="AP7" s="389"/>
      <c r="AQ7" s="389"/>
      <c r="AR7" s="389"/>
      <c r="AS7" s="389" t="s">
        <v>133</v>
      </c>
      <c r="AT7" s="389" t="s">
        <v>133</v>
      </c>
      <c r="AU7" s="389" t="s">
        <v>133</v>
      </c>
      <c r="AV7" s="389" t="s">
        <v>133</v>
      </c>
      <c r="AW7" s="389" t="s">
        <v>133</v>
      </c>
      <c r="AX7" s="389" t="s">
        <v>133</v>
      </c>
      <c r="AY7" s="584" t="s">
        <v>7</v>
      </c>
      <c r="AZ7" s="584"/>
      <c r="BA7" s="584"/>
    </row>
    <row r="8" spans="1:53" ht="22.5" x14ac:dyDescent="0.2">
      <c r="C8" s="579"/>
      <c r="D8" s="579"/>
      <c r="E8" s="182" t="s">
        <v>211</v>
      </c>
      <c r="F8" s="368"/>
      <c r="G8" s="367"/>
      <c r="H8" s="591"/>
      <c r="I8" s="185">
        <v>2005</v>
      </c>
      <c r="J8" s="185">
        <v>2006</v>
      </c>
      <c r="K8" s="185">
        <v>2007</v>
      </c>
      <c r="L8" s="185">
        <v>2008</v>
      </c>
      <c r="M8" s="185">
        <v>2009</v>
      </c>
      <c r="N8" s="185">
        <v>2010</v>
      </c>
      <c r="O8" s="185">
        <v>2011</v>
      </c>
      <c r="P8" s="185">
        <v>2012</v>
      </c>
      <c r="Q8" s="185">
        <v>2013</v>
      </c>
      <c r="R8" s="185">
        <v>2014</v>
      </c>
      <c r="S8" s="185">
        <v>2015</v>
      </c>
      <c r="T8" s="185">
        <v>2016</v>
      </c>
      <c r="U8" s="185">
        <v>2017</v>
      </c>
      <c r="V8" s="185">
        <v>2018</v>
      </c>
      <c r="W8" s="185">
        <v>2019</v>
      </c>
      <c r="X8" s="185">
        <v>2020</v>
      </c>
      <c r="Y8" s="185">
        <v>2021</v>
      </c>
      <c r="Z8" s="185">
        <v>2022</v>
      </c>
      <c r="AA8" s="285">
        <v>2023</v>
      </c>
      <c r="AB8" s="186">
        <v>2024</v>
      </c>
      <c r="AC8" s="186">
        <v>2025</v>
      </c>
      <c r="AD8" s="186">
        <v>2026</v>
      </c>
      <c r="AF8" s="582"/>
      <c r="AG8" s="185">
        <v>2006</v>
      </c>
      <c r="AH8" s="185">
        <v>2007</v>
      </c>
      <c r="AI8" s="185">
        <v>2008</v>
      </c>
      <c r="AJ8" s="185">
        <v>2009</v>
      </c>
      <c r="AK8" s="185">
        <v>2010</v>
      </c>
      <c r="AL8" s="185">
        <v>2011</v>
      </c>
      <c r="AM8" s="185">
        <v>2012</v>
      </c>
      <c r="AN8" s="185">
        <v>2013</v>
      </c>
      <c r="AO8" s="185">
        <v>2014</v>
      </c>
      <c r="AP8" s="185">
        <v>2015</v>
      </c>
      <c r="AQ8" s="185">
        <v>2016</v>
      </c>
      <c r="AR8" s="185">
        <v>2017</v>
      </c>
      <c r="AS8" s="185">
        <v>2018</v>
      </c>
      <c r="AT8" s="185">
        <v>2019</v>
      </c>
      <c r="AU8" s="185">
        <v>2020</v>
      </c>
      <c r="AV8" s="185">
        <v>2021</v>
      </c>
      <c r="AW8" s="185">
        <v>2022</v>
      </c>
      <c r="AX8" s="285">
        <v>2023</v>
      </c>
      <c r="AY8" s="185">
        <v>2024</v>
      </c>
      <c r="AZ8" s="185">
        <v>2025</v>
      </c>
      <c r="BA8" s="185">
        <v>2026</v>
      </c>
    </row>
    <row r="9" spans="1:53" ht="15.75" customHeight="1" x14ac:dyDescent="0.2">
      <c r="C9" s="579" t="s">
        <v>212</v>
      </c>
      <c r="D9" s="579"/>
      <c r="E9" s="589"/>
      <c r="F9" s="367"/>
      <c r="G9" s="367"/>
      <c r="H9" s="441" t="s">
        <v>213</v>
      </c>
      <c r="I9" s="369" t="e">
        <v>#N/A</v>
      </c>
      <c r="J9" s="369" t="e">
        <v>#N/A</v>
      </c>
      <c r="K9" s="369" t="e">
        <f>+(AH9/AG9-1)*100</f>
        <v>#N/A</v>
      </c>
      <c r="L9" s="369" t="e">
        <f t="shared" ref="L9:Y9" si="0">+(AI9/AH9-1)*100</f>
        <v>#N/A</v>
      </c>
      <c r="M9" s="369" t="e">
        <f t="shared" si="0"/>
        <v>#N/A</v>
      </c>
      <c r="N9" s="369" t="e">
        <f t="shared" si="0"/>
        <v>#N/A</v>
      </c>
      <c r="O9" s="369" t="e">
        <f t="shared" si="0"/>
        <v>#N/A</v>
      </c>
      <c r="P9" s="369" t="e">
        <f t="shared" si="0"/>
        <v>#N/A</v>
      </c>
      <c r="Q9" s="369" t="e">
        <f t="shared" si="0"/>
        <v>#N/A</v>
      </c>
      <c r="R9" s="369" t="e">
        <f t="shared" si="0"/>
        <v>#N/A</v>
      </c>
      <c r="S9" s="369" t="e">
        <f t="shared" si="0"/>
        <v>#N/A</v>
      </c>
      <c r="T9" s="369" t="e">
        <f t="shared" si="0"/>
        <v>#N/A</v>
      </c>
      <c r="U9" s="369" t="e">
        <f t="shared" si="0"/>
        <v>#N/A</v>
      </c>
      <c r="V9" s="369" t="e">
        <f t="shared" si="0"/>
        <v>#N/A</v>
      </c>
      <c r="W9" s="369" t="e">
        <f t="shared" si="0"/>
        <v>#N/A</v>
      </c>
      <c r="X9" s="369" t="e">
        <f t="shared" si="0"/>
        <v>#N/A</v>
      </c>
      <c r="Y9" s="369" t="e">
        <f t="shared" si="0"/>
        <v>#N/A</v>
      </c>
      <c r="Z9" s="369" t="e">
        <f t="shared" ref="Z9:AC9" si="1">+(AW9/AV9-1)*100</f>
        <v>#N/A</v>
      </c>
      <c r="AA9" s="247">
        <f>+(AX9/AW9-1)*100</f>
        <v>5.4675858447956749</v>
      </c>
      <c r="AB9" s="247">
        <f t="shared" si="1"/>
        <v>6.9739454329749595</v>
      </c>
      <c r="AC9" s="247">
        <f t="shared" si="1"/>
        <v>4.8026214999496775</v>
      </c>
      <c r="AD9" s="247">
        <f>+(BA9/AZ9-1)*100</f>
        <v>2.1078610395514064</v>
      </c>
      <c r="AF9" s="284" t="s">
        <v>213</v>
      </c>
      <c r="AG9" s="385" t="e">
        <f>+'1. GDP'!I8*1000/'2.1 LABOR STRUCTURE'!J11</f>
        <v>#N/A</v>
      </c>
      <c r="AH9" s="385" t="e">
        <f>+'1. GDP'!J8*1000/'2.1 LABOR STRUCTURE'!K11</f>
        <v>#N/A</v>
      </c>
      <c r="AI9" s="385" t="e">
        <f>+'1. GDP'!K8*1000/'2.1 LABOR STRUCTURE'!L11</f>
        <v>#N/A</v>
      </c>
      <c r="AJ9" s="385" t="e">
        <f>+'1. GDP'!L8*1000/'2.1 LABOR STRUCTURE'!M11</f>
        <v>#N/A</v>
      </c>
      <c r="AK9" s="385" t="e">
        <f>+'1. GDP'!M8*1000/'2.1 LABOR STRUCTURE'!N11</f>
        <v>#N/A</v>
      </c>
      <c r="AL9" s="385" t="e">
        <f>+'1. GDP'!N8*1000/'2.1 LABOR STRUCTURE'!O11</f>
        <v>#N/A</v>
      </c>
      <c r="AM9" s="385" t="e">
        <f>+'1. GDP'!O8*1000/'2.1 LABOR STRUCTURE'!P11</f>
        <v>#N/A</v>
      </c>
      <c r="AN9" s="385" t="e">
        <f>+'1. GDP'!P8*1000/'2.1 LABOR STRUCTURE'!Q11</f>
        <v>#N/A</v>
      </c>
      <c r="AO9" s="385" t="e">
        <f>+'1. GDP'!Q8*1000/'2.1 LABOR STRUCTURE'!R11</f>
        <v>#N/A</v>
      </c>
      <c r="AP9" s="385" t="e">
        <f>+'1. GDP'!R8*1000/'2.1 LABOR STRUCTURE'!S11</f>
        <v>#N/A</v>
      </c>
      <c r="AQ9" s="385">
        <f>+'1. GDP'!S8*1000/'2.1 LABOR STRUCTURE'!T11</f>
        <v>415.7606741354237</v>
      </c>
      <c r="AR9" s="385" t="e">
        <f>+'1. GDP'!T8*1000/'2.1 LABOR STRUCTURE'!U11</f>
        <v>#N/A</v>
      </c>
      <c r="AS9" s="385" t="e">
        <f>+'1. GDP'!U8*1000/'2.1 LABOR STRUCTURE'!V11</f>
        <v>#N/A</v>
      </c>
      <c r="AT9" s="385" t="e">
        <f>+'1. GDP'!V8*1000/'2.1 LABOR STRUCTURE'!W11</f>
        <v>#N/A</v>
      </c>
      <c r="AU9" s="385" t="e">
        <f>+'1. GDP'!W8*1000/'2.1 LABOR STRUCTURE'!X11</f>
        <v>#N/A</v>
      </c>
      <c r="AV9" s="385" t="e">
        <f>+'1. GDP'!X8*1000/'2.1 LABOR STRUCTURE'!Y11</f>
        <v>#N/A</v>
      </c>
      <c r="AW9" s="385">
        <f>+'1. GDP'!Y8*1000/'2.1 LABOR STRUCTURE'!Z11</f>
        <v>522.04708601659763</v>
      </c>
      <c r="AX9" s="385">
        <f>+'1. GDP'!Z8*1000/'2.1 LABOR STRUCTURE'!AA11</f>
        <v>550.59045859480943</v>
      </c>
      <c r="AY9" s="249">
        <f>+'1. GDP'!AA8*1000/'2.1 LABOR STRUCTURE'!AB11</f>
        <v>588.98833673637807</v>
      </c>
      <c r="AZ9" s="249">
        <f>+'1. GDP'!AB8*1000/'2.1 LABOR STRUCTURE'!AC11</f>
        <v>617.27521722867539</v>
      </c>
      <c r="BA9" s="249">
        <f>+'1. GDP'!AC8*1000/'2.1 LABOR STRUCTURE'!AD11</f>
        <v>630.28652103944501</v>
      </c>
    </row>
    <row r="10" spans="1:53" ht="15.75" customHeight="1" x14ac:dyDescent="0.2">
      <c r="C10" s="579"/>
      <c r="D10" s="579"/>
      <c r="E10" s="589"/>
      <c r="H10" s="447" t="s">
        <v>29</v>
      </c>
      <c r="I10" s="369" t="e">
        <v>#N/A</v>
      </c>
      <c r="J10" s="369" t="e">
        <v>#N/A</v>
      </c>
      <c r="K10" s="369" t="e">
        <f t="shared" ref="K10:K11" si="2">+(AH10/AG10-1)*100</f>
        <v>#N/A</v>
      </c>
      <c r="L10" s="369" t="e">
        <f t="shared" ref="L10:L11" si="3">+(AI10/AH10-1)*100</f>
        <v>#N/A</v>
      </c>
      <c r="M10" s="369" t="e">
        <f t="shared" ref="M10:M11" si="4">+(AJ10/AI10-1)*100</f>
        <v>#N/A</v>
      </c>
      <c r="N10" s="369" t="e">
        <f t="shared" ref="N10:N11" si="5">+(AK10/AJ10-1)*100</f>
        <v>#N/A</v>
      </c>
      <c r="O10" s="369" t="e">
        <f t="shared" ref="O10:O11" si="6">+(AL10/AK10-1)*100</f>
        <v>#N/A</v>
      </c>
      <c r="P10" s="369" t="e">
        <f t="shared" ref="P10:P11" si="7">+(AM10/AL10-1)*100</f>
        <v>#N/A</v>
      </c>
      <c r="Q10" s="369" t="e">
        <f t="shared" ref="Q10:Q11" si="8">+(AN10/AM10-1)*100</f>
        <v>#N/A</v>
      </c>
      <c r="R10" s="369" t="e">
        <f t="shared" ref="R10:R11" si="9">+(AO10/AN10-1)*100</f>
        <v>#N/A</v>
      </c>
      <c r="S10" s="369" t="e">
        <f t="shared" ref="S10:S11" si="10">+(AP10/AO10-1)*100</f>
        <v>#N/A</v>
      </c>
      <c r="T10" s="369" t="e">
        <f t="shared" ref="T10:T11" si="11">+(AQ10/AP10-1)*100</f>
        <v>#N/A</v>
      </c>
      <c r="U10" s="369" t="e">
        <f t="shared" ref="U10:U11" si="12">+(AR10/AQ10-1)*100</f>
        <v>#N/A</v>
      </c>
      <c r="V10" s="369" t="e">
        <f t="shared" ref="V10:V11" si="13">+(AS10/AR10-1)*100</f>
        <v>#N/A</v>
      </c>
      <c r="W10" s="369" t="e">
        <f t="shared" ref="W10:W11" si="14">+(AT10/AS10-1)*100</f>
        <v>#N/A</v>
      </c>
      <c r="X10" s="369" t="e">
        <f t="shared" ref="X10:X11" si="15">+(AU10/AT10-1)*100</f>
        <v>#N/A</v>
      </c>
      <c r="Y10" s="369" t="e">
        <f t="shared" ref="Y10:Y11" si="16">+(AV10/AU10-1)*100</f>
        <v>#N/A</v>
      </c>
      <c r="Z10" s="369" t="e">
        <f t="shared" ref="Z10:Z11" si="17">+(AW10/AV10-1)*100</f>
        <v>#N/A</v>
      </c>
      <c r="AA10" s="247">
        <f>+(AX10/AW10-1)*100</f>
        <v>6.053075456174728</v>
      </c>
      <c r="AB10" s="247">
        <f t="shared" ref="AB10:AB11" si="18">+(AY10/AX10-1)*100</f>
        <v>4.0351238841176862</v>
      </c>
      <c r="AC10" s="247">
        <f t="shared" ref="AC10:AC11" si="19">+(AZ10/AY10-1)*100</f>
        <v>1.7361793975967155</v>
      </c>
      <c r="AD10" s="247">
        <f>+(BA10/AZ10-1)*100</f>
        <v>2.8954721059148314</v>
      </c>
      <c r="AF10" s="447" t="s">
        <v>29</v>
      </c>
      <c r="AG10" s="386" t="e">
        <f>'1. GDP'!I17*1000/'2.1 LABOR STRUCTURE'!J14</f>
        <v>#N/A</v>
      </c>
      <c r="AH10" s="386" t="e">
        <f>'1. GDP'!J17*1000/'2.1 LABOR STRUCTURE'!K14</f>
        <v>#N/A</v>
      </c>
      <c r="AI10" s="386" t="e">
        <f>'1. GDP'!K17*1000/'2.1 LABOR STRUCTURE'!L14</f>
        <v>#N/A</v>
      </c>
      <c r="AJ10" s="386" t="e">
        <f>'1. GDP'!L17*1000/'2.1 LABOR STRUCTURE'!M14</f>
        <v>#N/A</v>
      </c>
      <c r="AK10" s="386" t="e">
        <f>'1. GDP'!M17*1000/'2.1 LABOR STRUCTURE'!N14</f>
        <v>#N/A</v>
      </c>
      <c r="AL10" s="386" t="e">
        <f>'1. GDP'!N17*1000/'2.1 LABOR STRUCTURE'!O14</f>
        <v>#N/A</v>
      </c>
      <c r="AM10" s="386" t="e">
        <f>'1. GDP'!O17*1000/'2.1 LABOR STRUCTURE'!P14</f>
        <v>#N/A</v>
      </c>
      <c r="AN10" s="386" t="e">
        <f>'1. GDP'!P17*1000/'2.1 LABOR STRUCTURE'!Q14</f>
        <v>#N/A</v>
      </c>
      <c r="AO10" s="386" t="e">
        <f>'1. GDP'!Q17*1000/'2.1 LABOR STRUCTURE'!R14</f>
        <v>#N/A</v>
      </c>
      <c r="AP10" s="386" t="e">
        <f>'1. GDP'!R17*1000/'2.1 LABOR STRUCTURE'!S14</f>
        <v>#N/A</v>
      </c>
      <c r="AQ10" s="386">
        <f>'1. GDP'!S17*1000/'2.1 LABOR STRUCTURE'!T14</f>
        <v>169.04805962457314</v>
      </c>
      <c r="AR10" s="386" t="e">
        <f>'1. GDP'!T17*1000/'2.1 LABOR STRUCTURE'!U14</f>
        <v>#N/A</v>
      </c>
      <c r="AS10" s="385" t="e">
        <f>'1. GDP'!U17*1000/'2.1 LABOR STRUCTURE'!V14</f>
        <v>#N/A</v>
      </c>
      <c r="AT10" s="385" t="e">
        <f>'1. GDP'!V17*1000/'2.1 LABOR STRUCTURE'!W14</f>
        <v>#N/A</v>
      </c>
      <c r="AU10" s="385" t="e">
        <f>'1. GDP'!W17*1000/'2.1 LABOR STRUCTURE'!X14</f>
        <v>#N/A</v>
      </c>
      <c r="AV10" s="385" t="e">
        <f>'1. GDP'!X17*1000/'2.1 LABOR STRUCTURE'!Y14</f>
        <v>#N/A</v>
      </c>
      <c r="AW10" s="385">
        <f>'1. GDP'!Y17*1000/'2.1 LABOR STRUCTURE'!Z14</f>
        <v>183.48751325261949</v>
      </c>
      <c r="AX10" s="385">
        <f>'1. GDP'!Z17*1000/'2.1 LABOR STRUCTURE'!AA14</f>
        <v>194.59415088245916</v>
      </c>
      <c r="AY10" s="250">
        <f>'1. GDP'!AA17*1000/'2.1 LABOR STRUCTURE'!AB14</f>
        <v>202.44626594181327</v>
      </c>
      <c r="AZ10" s="250">
        <f>'1. GDP'!AB17*1000/'2.1 LABOR STRUCTURE'!AC14</f>
        <v>205.9610963022989</v>
      </c>
      <c r="BA10" s="250">
        <f>'1. GDP'!AC17*1000/'2.1 LABOR STRUCTURE'!AD14</f>
        <v>211.92464239476834</v>
      </c>
    </row>
    <row r="11" spans="1:53" ht="15" customHeight="1" x14ac:dyDescent="0.2">
      <c r="C11" s="579" t="s">
        <v>214</v>
      </c>
      <c r="D11" s="579"/>
      <c r="E11" s="181"/>
      <c r="H11" s="447" t="s">
        <v>31</v>
      </c>
      <c r="I11" s="369" t="e">
        <v>#N/A</v>
      </c>
      <c r="J11" s="369" t="e">
        <v>#N/A</v>
      </c>
      <c r="K11" s="369" t="e">
        <f t="shared" si="2"/>
        <v>#N/A</v>
      </c>
      <c r="L11" s="369" t="e">
        <f t="shared" si="3"/>
        <v>#N/A</v>
      </c>
      <c r="M11" s="369" t="e">
        <f t="shared" si="4"/>
        <v>#N/A</v>
      </c>
      <c r="N11" s="369" t="e">
        <f t="shared" si="5"/>
        <v>#N/A</v>
      </c>
      <c r="O11" s="369" t="e">
        <f t="shared" si="6"/>
        <v>#N/A</v>
      </c>
      <c r="P11" s="369" t="e">
        <f t="shared" si="7"/>
        <v>#N/A</v>
      </c>
      <c r="Q11" s="369" t="e">
        <f t="shared" si="8"/>
        <v>#N/A</v>
      </c>
      <c r="R11" s="369" t="e">
        <f t="shared" si="9"/>
        <v>#N/A</v>
      </c>
      <c r="S11" s="369" t="e">
        <f t="shared" si="10"/>
        <v>#N/A</v>
      </c>
      <c r="T11" s="369" t="e">
        <f t="shared" si="11"/>
        <v>#N/A</v>
      </c>
      <c r="U11" s="369" t="e">
        <f t="shared" si="12"/>
        <v>#N/A</v>
      </c>
      <c r="V11" s="369" t="e">
        <f t="shared" si="13"/>
        <v>#N/A</v>
      </c>
      <c r="W11" s="369" t="e">
        <f t="shared" si="14"/>
        <v>#N/A</v>
      </c>
      <c r="X11" s="369" t="e">
        <f t="shared" si="15"/>
        <v>#N/A</v>
      </c>
      <c r="Y11" s="369" t="e">
        <f t="shared" si="16"/>
        <v>#N/A</v>
      </c>
      <c r="Z11" s="369" t="e">
        <f t="shared" si="17"/>
        <v>#N/A</v>
      </c>
      <c r="AA11" s="247">
        <f t="shared" ref="AA11" si="20">+(AX11/AW11-1)*100</f>
        <v>7.1064926526817285</v>
      </c>
      <c r="AB11" s="247">
        <f t="shared" si="18"/>
        <v>7.0721064019031665</v>
      </c>
      <c r="AC11" s="247">
        <f t="shared" si="19"/>
        <v>12.28108021427623</v>
      </c>
      <c r="AD11" s="247">
        <f>+(BA11/AZ11-1)*100</f>
        <v>-3.0970426480630531</v>
      </c>
      <c r="AF11" s="447" t="s">
        <v>31</v>
      </c>
      <c r="AG11" s="386" t="e">
        <f>'1. GDP'!I18*1000/'2.1 LABOR STRUCTURE'!J15</f>
        <v>#N/A</v>
      </c>
      <c r="AH11" s="386" t="e">
        <f>'1. GDP'!J18*1000/'2.1 LABOR STRUCTURE'!K15</f>
        <v>#N/A</v>
      </c>
      <c r="AI11" s="386" t="e">
        <f>'1. GDP'!K18*1000/'2.1 LABOR STRUCTURE'!L15</f>
        <v>#N/A</v>
      </c>
      <c r="AJ11" s="386" t="e">
        <f>'1. GDP'!L18*1000/'2.1 LABOR STRUCTURE'!M15</f>
        <v>#N/A</v>
      </c>
      <c r="AK11" s="386" t="e">
        <f>'1. GDP'!M18*1000/'2.1 LABOR STRUCTURE'!N15</f>
        <v>#N/A</v>
      </c>
      <c r="AL11" s="386" t="e">
        <f>'1. GDP'!N18*1000/'2.1 LABOR STRUCTURE'!O15</f>
        <v>#N/A</v>
      </c>
      <c r="AM11" s="386" t="e">
        <f>'1. GDP'!O18*1000/'2.1 LABOR STRUCTURE'!P15</f>
        <v>#N/A</v>
      </c>
      <c r="AN11" s="386" t="e">
        <f>'1. GDP'!P18*1000/'2.1 LABOR STRUCTURE'!Q15</f>
        <v>#N/A</v>
      </c>
      <c r="AO11" s="386" t="e">
        <f>'1. GDP'!Q18*1000/'2.1 LABOR STRUCTURE'!R15</f>
        <v>#N/A</v>
      </c>
      <c r="AP11" s="386" t="e">
        <f>'1. GDP'!R18*1000/'2.1 LABOR STRUCTURE'!S15</f>
        <v>#N/A</v>
      </c>
      <c r="AQ11" s="386">
        <f>'1. GDP'!S18*1000/'2.1 LABOR STRUCTURE'!T15</f>
        <v>0</v>
      </c>
      <c r="AR11" s="386" t="e">
        <f>'1. GDP'!T18*1000/'2.1 LABOR STRUCTURE'!U15</f>
        <v>#N/A</v>
      </c>
      <c r="AS11" s="385" t="e">
        <f>'1. GDP'!U18*1000/'2.1 LABOR STRUCTURE'!V15</f>
        <v>#N/A</v>
      </c>
      <c r="AT11" s="385" t="e">
        <f>'1. GDP'!V18*1000/'2.1 LABOR STRUCTURE'!W15</f>
        <v>#N/A</v>
      </c>
      <c r="AU11" s="385" t="e">
        <f>'1. GDP'!W18*1000/'2.1 LABOR STRUCTURE'!X15</f>
        <v>#N/A</v>
      </c>
      <c r="AV11" s="385" t="e">
        <f>'1. GDP'!X18*1000/'2.1 LABOR STRUCTURE'!Y15</f>
        <v>#N/A</v>
      </c>
      <c r="AW11" s="385">
        <f>'1. GDP'!Y18*1000/'2.1 LABOR STRUCTURE'!Z15</f>
        <v>665.94848482715031</v>
      </c>
      <c r="AX11" s="385">
        <f>'1. GDP'!Z18*1000/'2.1 LABOR STRUCTURE'!AA15</f>
        <v>713.27406497203708</v>
      </c>
      <c r="AY11" s="250">
        <f>'1. GDP'!AA18*1000/'2.1 LABOR STRUCTURE'!AB15</f>
        <v>763.71756578403949</v>
      </c>
      <c r="AZ11" s="250">
        <f>'1. GDP'!AB18*1000/'2.1 LABOR STRUCTURE'!AC15</f>
        <v>857.51033264849525</v>
      </c>
      <c r="BA11" s="250">
        <f>'1. GDP'!AC18*1000/'2.1 LABOR STRUCTURE'!AD15</f>
        <v>830.95287193482397</v>
      </c>
    </row>
    <row r="12" spans="1:53" ht="21.75" customHeight="1" x14ac:dyDescent="0.2">
      <c r="C12" s="579"/>
      <c r="D12" s="579"/>
      <c r="E12" s="182" t="s">
        <v>140</v>
      </c>
      <c r="H12" s="447" t="s">
        <v>33</v>
      </c>
      <c r="I12" s="369" t="e">
        <v>#N/A</v>
      </c>
      <c r="J12" s="369" t="e">
        <v>#N/A</v>
      </c>
      <c r="K12" s="369" t="e">
        <f t="shared" ref="K12:AD12" si="21">+(AH12/AG12-1)*100</f>
        <v>#N/A</v>
      </c>
      <c r="L12" s="369" t="e">
        <f t="shared" si="21"/>
        <v>#N/A</v>
      </c>
      <c r="M12" s="369" t="e">
        <f t="shared" si="21"/>
        <v>#N/A</v>
      </c>
      <c r="N12" s="369" t="e">
        <f t="shared" si="21"/>
        <v>#N/A</v>
      </c>
      <c r="O12" s="369" t="e">
        <f t="shared" si="21"/>
        <v>#N/A</v>
      </c>
      <c r="P12" s="369" t="e">
        <f t="shared" si="21"/>
        <v>#N/A</v>
      </c>
      <c r="Q12" s="369" t="e">
        <f t="shared" si="21"/>
        <v>#N/A</v>
      </c>
      <c r="R12" s="369" t="e">
        <f t="shared" si="21"/>
        <v>#N/A</v>
      </c>
      <c r="S12" s="369" t="e">
        <f t="shared" si="21"/>
        <v>#N/A</v>
      </c>
      <c r="T12" s="369" t="e">
        <f t="shared" si="21"/>
        <v>#N/A</v>
      </c>
      <c r="U12" s="369" t="e">
        <f t="shared" si="21"/>
        <v>#N/A</v>
      </c>
      <c r="V12" s="369" t="e">
        <f t="shared" si="21"/>
        <v>#N/A</v>
      </c>
      <c r="W12" s="369" t="e">
        <f t="shared" si="21"/>
        <v>#N/A</v>
      </c>
      <c r="X12" s="369" t="e">
        <f t="shared" si="21"/>
        <v>#N/A</v>
      </c>
      <c r="Y12" s="369" t="e">
        <f t="shared" si="21"/>
        <v>#N/A</v>
      </c>
      <c r="Z12" s="369" t="e">
        <f t="shared" si="21"/>
        <v>#N/A</v>
      </c>
      <c r="AA12" s="247">
        <f t="shared" si="21"/>
        <v>3.4047264428275881</v>
      </c>
      <c r="AB12" s="247">
        <f t="shared" si="21"/>
        <v>8.197561415985577</v>
      </c>
      <c r="AC12" s="247">
        <f t="shared" si="21"/>
        <v>2.005311132337706</v>
      </c>
      <c r="AD12" s="247">
        <f t="shared" si="21"/>
        <v>3.7275832741382686</v>
      </c>
      <c r="AF12" s="447" t="s">
        <v>33</v>
      </c>
      <c r="AG12" s="386" t="e">
        <f>'1. GDP'!I21*1000/'2.1 LABOR STRUCTURE'!J18</f>
        <v>#N/A</v>
      </c>
      <c r="AH12" s="386" t="e">
        <f>'1. GDP'!J21*1000/'2.1 LABOR STRUCTURE'!K18</f>
        <v>#N/A</v>
      </c>
      <c r="AI12" s="386" t="e">
        <f>'1. GDP'!K21*1000/'2.1 LABOR STRUCTURE'!L18</f>
        <v>#N/A</v>
      </c>
      <c r="AJ12" s="386" t="e">
        <f>'1. GDP'!L21*1000/'2.1 LABOR STRUCTURE'!M18</f>
        <v>#N/A</v>
      </c>
      <c r="AK12" s="386" t="e">
        <f>'1. GDP'!M21*1000/'2.1 LABOR STRUCTURE'!N18</f>
        <v>#N/A</v>
      </c>
      <c r="AL12" s="386" t="e">
        <f>'1. GDP'!N21*1000/'2.1 LABOR STRUCTURE'!O18</f>
        <v>#N/A</v>
      </c>
      <c r="AM12" s="386" t="e">
        <f>'1. GDP'!O21*1000/'2.1 LABOR STRUCTURE'!P18</f>
        <v>#N/A</v>
      </c>
      <c r="AN12" s="386" t="e">
        <f>'1. GDP'!P21*1000/'2.1 LABOR STRUCTURE'!Q18</f>
        <v>#N/A</v>
      </c>
      <c r="AO12" s="386" t="e">
        <f>'1. GDP'!Q21*1000/'2.1 LABOR STRUCTURE'!R18</f>
        <v>#N/A</v>
      </c>
      <c r="AP12" s="386" t="e">
        <f>'1. GDP'!R21*1000/'2.1 LABOR STRUCTURE'!S18</f>
        <v>#N/A</v>
      </c>
      <c r="AQ12" s="386">
        <f>'1. GDP'!S21*1000/'2.1 LABOR STRUCTURE'!T18</f>
        <v>0</v>
      </c>
      <c r="AR12" s="386" t="e">
        <f>'1. GDP'!T21*1000/'2.1 LABOR STRUCTURE'!U18</f>
        <v>#N/A</v>
      </c>
      <c r="AS12" s="385" t="e">
        <f>'1. GDP'!U21*1000/'2.1 LABOR STRUCTURE'!V18</f>
        <v>#N/A</v>
      </c>
      <c r="AT12" s="385" t="e">
        <f>'1. GDP'!V21*1000/'2.1 LABOR STRUCTURE'!W18</f>
        <v>#N/A</v>
      </c>
      <c r="AU12" s="385" t="e">
        <f>'1. GDP'!W21*1000/'2.1 LABOR STRUCTURE'!X18</f>
        <v>#N/A</v>
      </c>
      <c r="AV12" s="385" t="e">
        <f>'1. GDP'!X21*1000/'2.1 LABOR STRUCTURE'!Y18</f>
        <v>#N/A</v>
      </c>
      <c r="AW12" s="385">
        <f>'1. GDP'!Y21*1000/'2.1 LABOR STRUCTURE'!Z18</f>
        <v>640.80639385335837</v>
      </c>
      <c r="AX12" s="385">
        <f>'1. GDP'!Z21*1000/'2.1 LABOR STRUCTURE'!AA18</f>
        <v>662.6240985922135</v>
      </c>
      <c r="AY12" s="250">
        <f>'1. GDP'!AA21*1000/'2.1 LABOR STRUCTURE'!AB18</f>
        <v>716.94311603143103</v>
      </c>
      <c r="AZ12" s="250">
        <f>'1. GDP'!AB21*1000/'2.1 LABOR STRUCTURE'!AC18</f>
        <v>731.32005614973821</v>
      </c>
      <c r="BA12" s="250">
        <f>'1. GDP'!AC21*1000/'2.1 LABOR STRUCTURE'!AD18</f>
        <v>758.58062024319452</v>
      </c>
    </row>
    <row r="13" spans="1:53" s="93" customFormat="1" ht="15" customHeight="1" x14ac:dyDescent="0.2">
      <c r="A13" s="37"/>
      <c r="B13" s="115"/>
      <c r="C13" s="579" t="s">
        <v>215</v>
      </c>
      <c r="D13" s="579"/>
      <c r="E13" s="181"/>
      <c r="H13" s="370"/>
      <c r="I13" s="371"/>
      <c r="J13" s="371"/>
      <c r="K13" s="371"/>
      <c r="L13" s="371"/>
      <c r="M13" s="371"/>
      <c r="N13" s="371"/>
      <c r="O13" s="371"/>
      <c r="P13" s="371"/>
      <c r="Q13" s="371"/>
      <c r="R13" s="371"/>
      <c r="S13" s="371"/>
      <c r="T13" s="371"/>
      <c r="U13" s="371"/>
      <c r="V13" s="371"/>
      <c r="W13" s="371"/>
      <c r="X13" s="371"/>
      <c r="Y13" s="371"/>
      <c r="Z13" s="371"/>
      <c r="AA13" s="248"/>
      <c r="AB13" s="248"/>
      <c r="AC13" s="248"/>
      <c r="AD13" s="248"/>
      <c r="AF13" s="370"/>
      <c r="AG13" s="387"/>
      <c r="AH13" s="387"/>
      <c r="AI13" s="387"/>
      <c r="AJ13" s="387"/>
      <c r="AK13" s="387"/>
      <c r="AL13" s="387"/>
      <c r="AM13" s="387"/>
      <c r="AN13" s="387"/>
      <c r="AO13" s="387"/>
      <c r="AP13" s="387"/>
      <c r="AQ13" s="387"/>
      <c r="AR13" s="387"/>
      <c r="AS13" s="388"/>
      <c r="AT13" s="388"/>
      <c r="AU13" s="388"/>
      <c r="AV13" s="388"/>
      <c r="AW13" s="388"/>
      <c r="AX13" s="388"/>
      <c r="AY13" s="251"/>
      <c r="AZ13" s="251"/>
      <c r="BA13" s="251"/>
    </row>
    <row r="14" spans="1:53" s="93" customFormat="1" ht="15" customHeight="1" x14ac:dyDescent="0.2">
      <c r="A14" s="88"/>
      <c r="B14" s="292"/>
      <c r="C14" s="579"/>
      <c r="D14" s="579"/>
      <c r="E14" s="580" t="s">
        <v>144</v>
      </c>
      <c r="Y14" s="292"/>
    </row>
    <row r="15" spans="1:53" s="93" customFormat="1" x14ac:dyDescent="0.2">
      <c r="A15" s="88"/>
      <c r="B15" s="292"/>
      <c r="C15" s="579"/>
      <c r="D15" s="579"/>
      <c r="E15" s="580"/>
    </row>
    <row r="16" spans="1:53" ht="21" customHeight="1" x14ac:dyDescent="0.25">
      <c r="A16" s="88"/>
      <c r="B16" s="292"/>
      <c r="H16" s="372"/>
      <c r="I16" s="93"/>
      <c r="J16" s="93"/>
      <c r="K16" s="93"/>
      <c r="L16" s="93"/>
      <c r="M16" s="93"/>
      <c r="N16" s="93"/>
      <c r="O16" s="93"/>
      <c r="P16" s="93"/>
      <c r="Q16" s="93"/>
      <c r="R16" s="93"/>
      <c r="S16" s="93"/>
      <c r="T16" s="93"/>
      <c r="U16" s="93"/>
      <c r="V16" s="93"/>
      <c r="W16" s="93"/>
      <c r="X16" s="93"/>
      <c r="Y16" s="93"/>
      <c r="Z16" s="93"/>
      <c r="AA16" s="93"/>
      <c r="AB16" s="93"/>
      <c r="AC16" s="93"/>
      <c r="AD16" s="93"/>
      <c r="AX16" s="448"/>
    </row>
    <row r="17" spans="1:53" ht="13.5" customHeight="1" x14ac:dyDescent="0.25">
      <c r="A17" s="88"/>
      <c r="B17" s="292"/>
      <c r="C17" s="93"/>
      <c r="D17" s="93"/>
      <c r="H17" s="581" t="s">
        <v>216</v>
      </c>
      <c r="I17" s="581"/>
      <c r="J17" s="581"/>
      <c r="K17" s="581"/>
      <c r="L17" s="581"/>
      <c r="M17" s="581"/>
      <c r="N17" s="581"/>
      <c r="O17" s="581"/>
      <c r="P17" s="581"/>
      <c r="Q17" s="581"/>
      <c r="R17" s="581"/>
      <c r="S17" s="581"/>
      <c r="T17" s="581"/>
      <c r="U17" s="581"/>
      <c r="V17" s="581"/>
      <c r="W17" s="581"/>
      <c r="X17" s="581"/>
      <c r="Y17" s="581"/>
      <c r="Z17" s="581"/>
      <c r="AA17" s="581"/>
      <c r="AB17" s="581"/>
      <c r="AC17" s="581"/>
      <c r="AD17" s="581"/>
      <c r="AX17" s="448"/>
    </row>
    <row r="18" spans="1:53" ht="15.6" customHeight="1" x14ac:dyDescent="0.2">
      <c r="A18" s="88"/>
      <c r="B18" s="292"/>
      <c r="C18" s="93"/>
      <c r="D18" s="93"/>
      <c r="H18" s="93"/>
      <c r="I18" s="93"/>
      <c r="J18" s="93"/>
      <c r="K18" s="93"/>
      <c r="L18" s="93"/>
      <c r="M18" s="93"/>
      <c r="N18" s="93"/>
      <c r="O18" s="93"/>
      <c r="P18" s="93"/>
      <c r="Q18" s="93"/>
      <c r="R18" s="93"/>
      <c r="S18" s="93"/>
      <c r="T18" s="93"/>
      <c r="U18" s="93"/>
      <c r="V18" s="93"/>
      <c r="W18" s="93"/>
      <c r="X18" s="93"/>
      <c r="Y18" s="93"/>
      <c r="Z18" s="93"/>
      <c r="AA18" s="93"/>
      <c r="AB18" s="93"/>
      <c r="AC18" s="93"/>
      <c r="AD18" s="93"/>
    </row>
    <row r="19" spans="1:53" ht="14.45" customHeight="1" x14ac:dyDescent="0.25">
      <c r="A19" s="88"/>
      <c r="B19" s="292"/>
      <c r="H19" s="582" t="s">
        <v>217</v>
      </c>
      <c r="I19" s="389" t="s">
        <v>133</v>
      </c>
      <c r="J19" s="389" t="s">
        <v>133</v>
      </c>
      <c r="K19" s="389" t="s">
        <v>133</v>
      </c>
      <c r="L19" s="389" t="s">
        <v>133</v>
      </c>
      <c r="M19" s="389" t="s">
        <v>133</v>
      </c>
      <c r="N19" s="389" t="s">
        <v>133</v>
      </c>
      <c r="O19" s="389" t="s">
        <v>133</v>
      </c>
      <c r="P19" s="389" t="s">
        <v>133</v>
      </c>
      <c r="Q19" s="389" t="s">
        <v>133</v>
      </c>
      <c r="R19" s="389" t="s">
        <v>133</v>
      </c>
      <c r="S19" s="389" t="s">
        <v>133</v>
      </c>
      <c r="T19" s="389" t="s">
        <v>133</v>
      </c>
      <c r="U19" s="389" t="s">
        <v>133</v>
      </c>
      <c r="V19" s="389" t="s">
        <v>133</v>
      </c>
      <c r="W19" s="389" t="s">
        <v>133</v>
      </c>
      <c r="X19" s="389" t="s">
        <v>133</v>
      </c>
      <c r="Y19" s="389" t="s">
        <v>133</v>
      </c>
      <c r="Z19" s="389" t="s">
        <v>133</v>
      </c>
      <c r="AA19" s="389" t="s">
        <v>133</v>
      </c>
      <c r="AB19" s="584" t="s">
        <v>7</v>
      </c>
      <c r="AC19" s="584"/>
      <c r="AD19" s="584"/>
      <c r="AW19" s="372" t="s">
        <v>618</v>
      </c>
    </row>
    <row r="20" spans="1:53" ht="15" customHeight="1" x14ac:dyDescent="0.2">
      <c r="A20" s="88"/>
      <c r="B20" s="292"/>
      <c r="H20" s="582"/>
      <c r="I20" s="185">
        <v>2005</v>
      </c>
      <c r="J20" s="185">
        <v>2006</v>
      </c>
      <c r="K20" s="185">
        <v>2007</v>
      </c>
      <c r="L20" s="185">
        <v>2008</v>
      </c>
      <c r="M20" s="185">
        <v>2009</v>
      </c>
      <c r="N20" s="185">
        <v>2010</v>
      </c>
      <c r="O20" s="185">
        <v>2011</v>
      </c>
      <c r="P20" s="185">
        <v>2012</v>
      </c>
      <c r="Q20" s="185">
        <v>2013</v>
      </c>
      <c r="R20" s="185">
        <v>2014</v>
      </c>
      <c r="S20" s="185">
        <v>2015</v>
      </c>
      <c r="T20" s="185">
        <v>2016</v>
      </c>
      <c r="U20" s="185">
        <v>2017</v>
      </c>
      <c r="V20" s="185">
        <v>2018</v>
      </c>
      <c r="W20" s="185">
        <v>2019</v>
      </c>
      <c r="X20" s="185">
        <v>2020</v>
      </c>
      <c r="Y20" s="185">
        <v>2021</v>
      </c>
      <c r="Z20" s="285">
        <v>2022</v>
      </c>
      <c r="AA20" s="285">
        <v>2023</v>
      </c>
      <c r="AB20" s="185">
        <v>2024</v>
      </c>
      <c r="AC20" s="185">
        <v>2025</v>
      </c>
      <c r="AD20" s="185">
        <v>2026</v>
      </c>
      <c r="AW20" s="93">
        <v>2022</v>
      </c>
      <c r="AX20" s="93">
        <v>2023</v>
      </c>
      <c r="AY20" s="93">
        <v>2024</v>
      </c>
      <c r="AZ20" s="93">
        <v>2025</v>
      </c>
      <c r="BA20" s="93">
        <v>2026</v>
      </c>
    </row>
    <row r="21" spans="1:53" ht="15" customHeight="1" x14ac:dyDescent="0.2">
      <c r="A21" s="88" t="s">
        <v>511</v>
      </c>
      <c r="B21" s="292"/>
      <c r="H21" s="375" t="s">
        <v>390</v>
      </c>
      <c r="I21" s="376" t="e" cm="1">
        <f t="array" ref="I21">_xlfn.XLOOKUP(1, ('0. GUIDELINES'!$E$3='[1]input-labor'!$A:$A) * (I$20='[1]input-labor'!$B:$B) * ($A21='[1]input-labor'!$C:$C) * ('2.1 LABOR STRUCTURE'!$E$4='[1]input-labor'!$G:$G), '[1]input-labor'!$D:$D)</f>
        <v>#N/A</v>
      </c>
      <c r="J21" s="376" t="e" cm="1">
        <f t="array" ref="J21">_xlfn.XLOOKUP(1, ('0. GUIDELINES'!$E$3='[1]input-labor'!$A:$A) * (J$20='[1]input-labor'!$B:$B) * ($A21='[1]input-labor'!$C:$C) * ('2.1 LABOR STRUCTURE'!$E$4='[1]input-labor'!$G:$G), '[1]input-labor'!$D:$D)</f>
        <v>#N/A</v>
      </c>
      <c r="K21" s="376" t="e" cm="1">
        <f t="array" ref="K21">_xlfn.XLOOKUP(1, ('0. GUIDELINES'!$E$3='[1]input-labor'!$A:$A) * (K$20='[1]input-labor'!$B:$B) * ($A21='[1]input-labor'!$C:$C) * ('2.1 LABOR STRUCTURE'!$E$4='[1]input-labor'!$G:$G), '[1]input-labor'!$D:$D)</f>
        <v>#N/A</v>
      </c>
      <c r="L21" s="376" t="e" cm="1">
        <f t="array" ref="L21">_xlfn.XLOOKUP(1, ('0. GUIDELINES'!$E$3='[1]input-labor'!$A:$A) * (L$20='[1]input-labor'!$B:$B) * ($A21='[1]input-labor'!$C:$C) * ('2.1 LABOR STRUCTURE'!$E$4='[1]input-labor'!$G:$G), '[1]input-labor'!$D:$D)</f>
        <v>#N/A</v>
      </c>
      <c r="M21" s="376" t="e" cm="1">
        <f t="array" ref="M21">_xlfn.XLOOKUP(1, ('0. GUIDELINES'!$E$3='[1]input-labor'!$A:$A) * (M$20='[1]input-labor'!$B:$B) * ($A21='[1]input-labor'!$C:$C) * ('2.1 LABOR STRUCTURE'!$E$4='[1]input-labor'!$G:$G), '[1]input-labor'!$D:$D)</f>
        <v>#N/A</v>
      </c>
      <c r="N21" s="376" t="e" cm="1">
        <f t="array" ref="N21">_xlfn.XLOOKUP(1, ('0. GUIDELINES'!$E$3='[1]input-labor'!$A:$A) * (N$20='[1]input-labor'!$B:$B) * ($A21='[1]input-labor'!$C:$C) * ('2.1 LABOR STRUCTURE'!$E$4='[1]input-labor'!$G:$G), '[1]input-labor'!$D:$D)</f>
        <v>#N/A</v>
      </c>
      <c r="O21" s="376" t="e" cm="1">
        <f t="array" ref="O21">_xlfn.XLOOKUP(1, ('0. GUIDELINES'!$E$3='[1]input-labor'!$A:$A) * (O$20='[1]input-labor'!$B:$B) * ($A21='[1]input-labor'!$C:$C) * ('2.1 LABOR STRUCTURE'!$E$4='[1]input-labor'!$G:$G), '[1]input-labor'!$D:$D)</f>
        <v>#N/A</v>
      </c>
      <c r="P21" s="376" t="e" cm="1">
        <f t="array" ref="P21">_xlfn.XLOOKUP(1, ('0. GUIDELINES'!$E$3='[1]input-labor'!$A:$A) * (P$20='[1]input-labor'!$B:$B) * ($A21='[1]input-labor'!$C:$C) * ('2.1 LABOR STRUCTURE'!$E$4='[1]input-labor'!$G:$G), '[1]input-labor'!$D:$D)</f>
        <v>#N/A</v>
      </c>
      <c r="Q21" s="376" t="e" cm="1">
        <f t="array" ref="Q21">_xlfn.XLOOKUP(1, ('0. GUIDELINES'!$E$3='[1]input-labor'!$A:$A) * (Q$20='[1]input-labor'!$B:$B) * ($A21='[1]input-labor'!$C:$C) * ('2.1 LABOR STRUCTURE'!$E$4='[1]input-labor'!$G:$G), '[1]input-labor'!$D:$D)</f>
        <v>#N/A</v>
      </c>
      <c r="R21" s="376" t="e" cm="1">
        <f t="array" ref="R21">_xlfn.XLOOKUP(1, ('0. GUIDELINES'!$E$3='[1]input-labor'!$A:$A) * (R$20='[1]input-labor'!$B:$B) * ($A21='[1]input-labor'!$C:$C) * ('2.1 LABOR STRUCTURE'!$E$4='[1]input-labor'!$G:$G), '[1]input-labor'!$D:$D)</f>
        <v>#N/A</v>
      </c>
      <c r="S21" s="376" t="e" cm="1">
        <f t="array" ref="S21">_xlfn.XLOOKUP(1, ('0. GUIDELINES'!$E$3='[1]input-labor'!$A:$A) * (S$20='[1]input-labor'!$B:$B) * ($A21='[1]input-labor'!$C:$C) * ('2.1 LABOR STRUCTURE'!$E$4='[1]input-labor'!$G:$G), '[1]input-labor'!$D:$D)</f>
        <v>#N/A</v>
      </c>
      <c r="T21" s="376" cm="1">
        <f t="array" ref="T21">_xlfn.XLOOKUP(1, ('0. GUIDELINES'!$E$3='[1]input-labor'!$A:$A) * (T$20='[1]input-labor'!$B:$B) * ($A21='[1]input-labor'!$C:$C) * ('2.1 LABOR STRUCTURE'!$E$4='[1]input-labor'!$G:$G), '[1]input-labor'!$D:$D)</f>
        <v>179.61456298828125</v>
      </c>
      <c r="U21" s="376" t="e" cm="1">
        <f t="array" ref="U21">_xlfn.XLOOKUP(1, ('0. GUIDELINES'!$E$3='[1]input-labor'!$A:$A) * (U$20='[1]input-labor'!$B:$B) * ($A21='[1]input-labor'!$C:$C) * ('2.1 LABOR STRUCTURE'!$E$4='[1]input-labor'!$G:$G), '[1]input-labor'!$D:$D)</f>
        <v>#N/A</v>
      </c>
      <c r="V21" s="376" t="e" cm="1">
        <f t="array" ref="V21">_xlfn.XLOOKUP(1, ('0. GUIDELINES'!$E$3='[1]input-labor'!$A:$A) * (V$20='[1]input-labor'!$B:$B) * ($A21='[1]input-labor'!$C:$C) * ('2.1 LABOR STRUCTURE'!$E$4='[1]input-labor'!$G:$G), '[1]input-labor'!$D:$D)</f>
        <v>#N/A</v>
      </c>
      <c r="W21" s="376" t="e" cm="1">
        <f t="array" ref="W21">_xlfn.XLOOKUP(1, ('0. GUIDELINES'!$E$3='[1]input-labor'!$A:$A) * (W$20='[1]input-labor'!$B:$B) * ($A21='[1]input-labor'!$C:$C) * ('2.1 LABOR STRUCTURE'!$E$4='[1]input-labor'!$G:$G), '[1]input-labor'!$D:$D)</f>
        <v>#N/A</v>
      </c>
      <c r="X21" s="376" t="e" cm="1">
        <f t="array" ref="X21">_xlfn.XLOOKUP(1, ('0. GUIDELINES'!$E$3='[1]input-labor'!$A:$A) * (X$20='[1]input-labor'!$B:$B) * ($A21='[1]input-labor'!$C:$C) * ('2.1 LABOR STRUCTURE'!$E$4='[1]input-labor'!$G:$G), '[1]input-labor'!$D:$D)</f>
        <v>#N/A</v>
      </c>
      <c r="Y21" s="376" t="e" cm="1">
        <f t="array" ref="Y21">_xlfn.XLOOKUP(1, ('0. GUIDELINES'!$E$3='[1]input-labor'!$A:$A) * (Y$20='[1]input-labor'!$B:$B) * ($A21='[1]input-labor'!$C:$C) * ('2.1 LABOR STRUCTURE'!$E$4='[1]input-labor'!$G:$G), '[1]input-labor'!$D:$D)</f>
        <v>#N/A</v>
      </c>
      <c r="Z21" s="376" cm="1">
        <f t="array" ref="Z21">_xlfn.XLOOKUP(1, ('0. GUIDELINES'!$E$3='[1]input-labor'!$A:$A) * (Z$20='[1]input-labor'!$B:$B) * ($A21='[1]input-labor'!$C:$C) * ('2.1 LABOR STRUCTURE'!$E$4='[1]input-labor'!$G:$G), '[1]input-labor'!$D:$D)</f>
        <v>293.2978515625</v>
      </c>
      <c r="AA21" s="183">
        <f>+Z21*(1+(AA10*(ELASTICITY!K31))/100)</f>
        <v>272.34867404812741</v>
      </c>
      <c r="AB21" s="183">
        <f>+AA21*(1+(AB10*(ELASTICITY!L31))/100)</f>
        <v>262.95264479346702</v>
      </c>
      <c r="AC21" s="183">
        <f>+AB21*(1+(AC10*(ELASTICITY!M31))/100)</f>
        <v>262.496111829033</v>
      </c>
      <c r="AD21" s="183">
        <f>+AC21*(1+(AD10*(ELASTICITY!N31))/100)</f>
        <v>263.25616199874509</v>
      </c>
      <c r="AE21" s="506">
        <f>+AD21/AC21-1</f>
        <v>2.895472105914898E-3</v>
      </c>
      <c r="AF21" s="93" t="s">
        <v>390</v>
      </c>
      <c r="AG21" s="93">
        <f t="shared" ref="AG21:AV21" si="22">AB21/AA21-1</f>
        <v>-3.4499999999999975E-2</v>
      </c>
      <c r="AH21" s="93">
        <f t="shared" si="22"/>
        <v>-1.7361793975968487E-3</v>
      </c>
      <c r="AI21" s="93">
        <f t="shared" si="22"/>
        <v>2.895472105914898E-3</v>
      </c>
      <c r="AJ21" s="93">
        <f t="shared" si="22"/>
        <v>-0.99998900131307877</v>
      </c>
      <c r="AK21" s="93" t="e">
        <f>#REF!/AE21-1</f>
        <v>#REF!</v>
      </c>
      <c r="AL21" s="93" t="e">
        <f>AG21/#REF!-1</f>
        <v>#REF!</v>
      </c>
      <c r="AM21" s="93">
        <f t="shared" si="22"/>
        <v>-0.94967595948994643</v>
      </c>
      <c r="AN21" s="93">
        <f t="shared" si="22"/>
        <v>-2.6677263363006709</v>
      </c>
      <c r="AO21" s="93">
        <f t="shared" si="22"/>
        <v>-346.36302362239707</v>
      </c>
      <c r="AP21" s="93" t="e">
        <f t="shared" si="22"/>
        <v>#REF!</v>
      </c>
      <c r="AR21" s="93" t="e">
        <f t="shared" si="22"/>
        <v>#REF!</v>
      </c>
      <c r="AS21" s="93">
        <f t="shared" si="22"/>
        <v>1.8090911532955491</v>
      </c>
      <c r="AT21" s="93">
        <f t="shared" si="22"/>
        <v>128.83454071330937</v>
      </c>
      <c r="AU21" s="93" t="e">
        <f t="shared" si="22"/>
        <v>#REF!</v>
      </c>
      <c r="AV21" s="93" t="e">
        <f t="shared" si="22"/>
        <v>#REF!</v>
      </c>
      <c r="AX21" s="506"/>
      <c r="AY21" s="506"/>
      <c r="AZ21" s="506"/>
      <c r="BA21" s="506"/>
    </row>
    <row r="22" spans="1:53" ht="12.75" customHeight="1" x14ac:dyDescent="0.2">
      <c r="A22" s="88" t="s">
        <v>512</v>
      </c>
      <c r="B22" s="292"/>
      <c r="H22" s="375" t="s">
        <v>389</v>
      </c>
      <c r="I22" s="376" t="e" cm="1">
        <f t="array" ref="I22">_xlfn.XLOOKUP(1, ('0. GUIDELINES'!$E$3='[1]input-labor'!$A:$A) * (I$20='[1]input-labor'!$B:$B) * ($A22='[1]input-labor'!$C:$C)  * ('2.1 LABOR STRUCTURE'!$E$4='[1]input-labor'!$G:$G), '[1]input-labor'!$D:$D)</f>
        <v>#N/A</v>
      </c>
      <c r="J22" s="376" t="e" cm="1">
        <f t="array" ref="J22">_xlfn.XLOOKUP(1, ('0. GUIDELINES'!$E$3='[1]input-labor'!$A:$A) * (J$20='[1]input-labor'!$B:$B) * ($A22='[1]input-labor'!$C:$C)  * ('2.1 LABOR STRUCTURE'!$E$4='[1]input-labor'!$G:$G), '[1]input-labor'!$D:$D)</f>
        <v>#N/A</v>
      </c>
      <c r="K22" s="376" t="e" cm="1">
        <f t="array" ref="K22">_xlfn.XLOOKUP(1, ('0. GUIDELINES'!$E$3='[1]input-labor'!$A:$A) * (K$20='[1]input-labor'!$B:$B) * ($A22='[1]input-labor'!$C:$C)  * ('2.1 LABOR STRUCTURE'!$E$4='[1]input-labor'!$G:$G), '[1]input-labor'!$D:$D)</f>
        <v>#N/A</v>
      </c>
      <c r="L22" s="376" t="e" cm="1">
        <f t="array" ref="L22">_xlfn.XLOOKUP(1, ('0. GUIDELINES'!$E$3='[1]input-labor'!$A:$A) * (L$20='[1]input-labor'!$B:$B) * ($A22='[1]input-labor'!$C:$C)  * ('2.1 LABOR STRUCTURE'!$E$4='[1]input-labor'!$G:$G), '[1]input-labor'!$D:$D)</f>
        <v>#N/A</v>
      </c>
      <c r="M22" s="376" t="e" cm="1">
        <f t="array" ref="M22">_xlfn.XLOOKUP(1, ('0. GUIDELINES'!$E$3='[1]input-labor'!$A:$A) * (M$20='[1]input-labor'!$B:$B) * ($A22='[1]input-labor'!$C:$C)  * ('2.1 LABOR STRUCTURE'!$E$4='[1]input-labor'!$G:$G), '[1]input-labor'!$D:$D)</f>
        <v>#N/A</v>
      </c>
      <c r="N22" s="376" t="e" cm="1">
        <f t="array" ref="N22">_xlfn.XLOOKUP(1, ('0. GUIDELINES'!$E$3='[1]input-labor'!$A:$A) * (N$20='[1]input-labor'!$B:$B) * ($A22='[1]input-labor'!$C:$C)  * ('2.1 LABOR STRUCTURE'!$E$4='[1]input-labor'!$G:$G), '[1]input-labor'!$D:$D)</f>
        <v>#N/A</v>
      </c>
      <c r="O22" s="376" t="e" cm="1">
        <f t="array" ref="O22">_xlfn.XLOOKUP(1, ('0. GUIDELINES'!$E$3='[1]input-labor'!$A:$A) * (O$20='[1]input-labor'!$B:$B) * ($A22='[1]input-labor'!$C:$C)  * ('2.1 LABOR STRUCTURE'!$E$4='[1]input-labor'!$G:$G), '[1]input-labor'!$D:$D)</f>
        <v>#N/A</v>
      </c>
      <c r="P22" s="376" t="e" cm="1">
        <f t="array" ref="P22">_xlfn.XLOOKUP(1, ('0. GUIDELINES'!$E$3='[1]input-labor'!$A:$A) * (P$20='[1]input-labor'!$B:$B) * ($A22='[1]input-labor'!$C:$C)  * ('2.1 LABOR STRUCTURE'!$E$4='[1]input-labor'!$G:$G), '[1]input-labor'!$D:$D)</f>
        <v>#N/A</v>
      </c>
      <c r="Q22" s="376" t="e" cm="1">
        <f t="array" ref="Q22">_xlfn.XLOOKUP(1, ('0. GUIDELINES'!$E$3='[1]input-labor'!$A:$A) * (Q$20='[1]input-labor'!$B:$B) * ($A22='[1]input-labor'!$C:$C)  * ('2.1 LABOR STRUCTURE'!$E$4='[1]input-labor'!$G:$G), '[1]input-labor'!$D:$D)</f>
        <v>#N/A</v>
      </c>
      <c r="R22" s="376" t="e" cm="1">
        <f t="array" ref="R22">_xlfn.XLOOKUP(1, ('0. GUIDELINES'!$E$3='[1]input-labor'!$A:$A) * (R$20='[1]input-labor'!$B:$B) * ($A22='[1]input-labor'!$C:$C)  * ('2.1 LABOR STRUCTURE'!$E$4='[1]input-labor'!$G:$G), '[1]input-labor'!$D:$D)</f>
        <v>#N/A</v>
      </c>
      <c r="S22" s="376" t="e" cm="1">
        <f t="array" ref="S22">_xlfn.XLOOKUP(1, ('0. GUIDELINES'!$E$3='[1]input-labor'!$A:$A) * (S$20='[1]input-labor'!$B:$B) * ($A22='[1]input-labor'!$C:$C)  * ('2.1 LABOR STRUCTURE'!$E$4='[1]input-labor'!$G:$G), '[1]input-labor'!$D:$D)</f>
        <v>#N/A</v>
      </c>
      <c r="T22" s="376" cm="1">
        <f t="array" ref="T22">_xlfn.XLOOKUP(1, ('0. GUIDELINES'!$E$3='[1]input-labor'!$A:$A) * (T$20='[1]input-labor'!$B:$B) * ($A22='[1]input-labor'!$C:$C)  * ('2.1 LABOR STRUCTURE'!$E$4='[1]input-labor'!$G:$G), '[1]input-labor'!$D:$D)</f>
        <v>211.47543334960938</v>
      </c>
      <c r="U22" s="376" t="e" cm="1">
        <f t="array" ref="U22">_xlfn.XLOOKUP(1, ('0. GUIDELINES'!$E$3='[1]input-labor'!$A:$A) * (U$20='[1]input-labor'!$B:$B) * ($A22='[1]input-labor'!$C:$C)  * ('2.1 LABOR STRUCTURE'!$E$4='[1]input-labor'!$G:$G), '[1]input-labor'!$D:$D)</f>
        <v>#N/A</v>
      </c>
      <c r="V22" s="376" t="e" cm="1">
        <f t="array" ref="V22">_xlfn.XLOOKUP(1, ('0. GUIDELINES'!$E$3='[1]input-labor'!$A:$A) * (V$20='[1]input-labor'!$B:$B) * ($A22='[1]input-labor'!$C:$C)  * ('2.1 LABOR STRUCTURE'!$E$4='[1]input-labor'!$G:$G), '[1]input-labor'!$D:$D)</f>
        <v>#N/A</v>
      </c>
      <c r="W22" s="376" t="e" cm="1">
        <f t="array" ref="W22">_xlfn.XLOOKUP(1, ('0. GUIDELINES'!$E$3='[1]input-labor'!$A:$A) * (W$20='[1]input-labor'!$B:$B) * ($A22='[1]input-labor'!$C:$C)  * ('2.1 LABOR STRUCTURE'!$E$4='[1]input-labor'!$G:$G), '[1]input-labor'!$D:$D)</f>
        <v>#N/A</v>
      </c>
      <c r="X22" s="376" t="e" cm="1">
        <f t="array" ref="X22">_xlfn.XLOOKUP(1, ('0. GUIDELINES'!$E$3='[1]input-labor'!$A:$A) * (X$20='[1]input-labor'!$B:$B) * ($A22='[1]input-labor'!$C:$C)  * ('2.1 LABOR STRUCTURE'!$E$4='[1]input-labor'!$G:$G), '[1]input-labor'!$D:$D)</f>
        <v>#N/A</v>
      </c>
      <c r="Y22" s="376" t="e" cm="1">
        <f t="array" ref="Y22">_xlfn.XLOOKUP(1, ('0. GUIDELINES'!$E$3='[1]input-labor'!$A:$A) * (Y$20='[1]input-labor'!$B:$B) * ($A22='[1]input-labor'!$C:$C)  * ('2.1 LABOR STRUCTURE'!$E$4='[1]input-labor'!$G:$G), '[1]input-labor'!$D:$D)</f>
        <v>#N/A</v>
      </c>
      <c r="Z22" s="376" cm="1">
        <f t="array" ref="Z22">_xlfn.XLOOKUP(1, ('0. GUIDELINES'!$E$3='[1]input-labor'!$A:$A) * (Z$20='[1]input-labor'!$B:$B) * ($A22='[1]input-labor'!$C:$C)  * ('2.1 LABOR STRUCTURE'!$E$4='[1]input-labor'!$G:$G), '[1]input-labor'!$D:$D)</f>
        <v>395.90869140625</v>
      </c>
      <c r="AA22" s="183">
        <f>+Z22*(1+(AA10*(ELASTICITY!K32))/100)</f>
        <v>403.09808695476227</v>
      </c>
      <c r="AB22" s="183">
        <f>+AA22*(1+(AB10*(ELASTICITY!L32))/100)</f>
        <v>406.35118839138886</v>
      </c>
      <c r="AC22" s="183">
        <f>+AB22*(1+(AC10*(ELASTICITY!M32))/100)</f>
        <v>399.29620277664816</v>
      </c>
      <c r="AD22" s="183">
        <f>+AC22*(1+(AD10*(ELASTICITY!N32))/100)</f>
        <v>401.03042930235443</v>
      </c>
      <c r="AE22" s="506">
        <f t="shared" ref="AE22:AE27" si="23">+AD22/AC22-1</f>
        <v>4.343208158872347E-3</v>
      </c>
      <c r="AF22" s="93" t="s">
        <v>389</v>
      </c>
      <c r="AK22" s="453"/>
      <c r="AL22" s="453"/>
      <c r="AM22" s="453"/>
      <c r="AN22" s="453"/>
      <c r="AW22" s="93">
        <f>Z22/Z21</f>
        <v>1.3498519995871305</v>
      </c>
      <c r="AX22" s="93">
        <f t="shared" ref="AX22:BA22" si="24">AA22/AA21</f>
        <v>1.4800809600546461</v>
      </c>
      <c r="AY22" s="93">
        <f t="shared" si="24"/>
        <v>1.5453398033343704</v>
      </c>
      <c r="AZ22" s="93">
        <f t="shared" si="24"/>
        <v>1.5211509229390596</v>
      </c>
      <c r="BA22" s="93">
        <f t="shared" si="24"/>
        <v>1.5233467899006523</v>
      </c>
    </row>
    <row r="23" spans="1:53" ht="15" customHeight="1" x14ac:dyDescent="0.2">
      <c r="A23" s="88" t="s">
        <v>513</v>
      </c>
      <c r="B23" s="292"/>
      <c r="H23" s="375" t="s">
        <v>610</v>
      </c>
      <c r="I23" s="376" t="e" cm="1">
        <f t="array" ref="I23">_xlfn.XLOOKUP(1, ('0. GUIDELINES'!$E$3='[1]input-labor'!$A:$A) * (I$20='[1]input-labor'!$B:$B) * ($A23='[1]input-labor'!$C:$C)  * ('2.1 LABOR STRUCTURE'!$E$4='[1]input-labor'!$G:$G), '[1]input-labor'!$D:$D)</f>
        <v>#N/A</v>
      </c>
      <c r="J23" s="376" t="e" cm="1">
        <f t="array" ref="J23">_xlfn.XLOOKUP(1, ('0. GUIDELINES'!$E$3='[1]input-labor'!$A:$A) * (J$20='[1]input-labor'!$B:$B) * ($A23='[1]input-labor'!$C:$C)  * ('2.1 LABOR STRUCTURE'!$E$4='[1]input-labor'!$G:$G), '[1]input-labor'!$D:$D)</f>
        <v>#N/A</v>
      </c>
      <c r="K23" s="376" t="e" cm="1">
        <f t="array" ref="K23">_xlfn.XLOOKUP(1, ('0. GUIDELINES'!$E$3='[1]input-labor'!$A:$A) * (K$20='[1]input-labor'!$B:$B) * ($A23='[1]input-labor'!$C:$C)  * ('2.1 LABOR STRUCTURE'!$E$4='[1]input-labor'!$G:$G), '[1]input-labor'!$D:$D)</f>
        <v>#N/A</v>
      </c>
      <c r="L23" s="376" t="e" cm="1">
        <f t="array" ref="L23">_xlfn.XLOOKUP(1, ('0. GUIDELINES'!$E$3='[1]input-labor'!$A:$A) * (L$20='[1]input-labor'!$B:$B) * ($A23='[1]input-labor'!$C:$C)  * ('2.1 LABOR STRUCTURE'!$E$4='[1]input-labor'!$G:$G), '[1]input-labor'!$D:$D)</f>
        <v>#N/A</v>
      </c>
      <c r="M23" s="376" t="e" cm="1">
        <f t="array" ref="M23">_xlfn.XLOOKUP(1, ('0. GUIDELINES'!$E$3='[1]input-labor'!$A:$A) * (M$20='[1]input-labor'!$B:$B) * ($A23='[1]input-labor'!$C:$C)  * ('2.1 LABOR STRUCTURE'!$E$4='[1]input-labor'!$G:$G), '[1]input-labor'!$D:$D)</f>
        <v>#N/A</v>
      </c>
      <c r="N23" s="376" t="e" cm="1">
        <f t="array" ref="N23">_xlfn.XLOOKUP(1, ('0. GUIDELINES'!$E$3='[1]input-labor'!$A:$A) * (N$20='[1]input-labor'!$B:$B) * ($A23='[1]input-labor'!$C:$C)  * ('2.1 LABOR STRUCTURE'!$E$4='[1]input-labor'!$G:$G), '[1]input-labor'!$D:$D)</f>
        <v>#N/A</v>
      </c>
      <c r="O23" s="376" t="e" cm="1">
        <f t="array" ref="O23">_xlfn.XLOOKUP(1, ('0. GUIDELINES'!$E$3='[1]input-labor'!$A:$A) * (O$20='[1]input-labor'!$B:$B) * ($A23='[1]input-labor'!$C:$C)  * ('2.1 LABOR STRUCTURE'!$E$4='[1]input-labor'!$G:$G), '[1]input-labor'!$D:$D)</f>
        <v>#N/A</v>
      </c>
      <c r="P23" s="376" t="e" cm="1">
        <f t="array" ref="P23">_xlfn.XLOOKUP(1, ('0. GUIDELINES'!$E$3='[1]input-labor'!$A:$A) * (P$20='[1]input-labor'!$B:$B) * ($A23='[1]input-labor'!$C:$C)  * ('2.1 LABOR STRUCTURE'!$E$4='[1]input-labor'!$G:$G), '[1]input-labor'!$D:$D)</f>
        <v>#N/A</v>
      </c>
      <c r="Q23" s="376" t="e" cm="1">
        <f t="array" ref="Q23">_xlfn.XLOOKUP(1, ('0. GUIDELINES'!$E$3='[1]input-labor'!$A:$A) * (Q$20='[1]input-labor'!$B:$B) * ($A23='[1]input-labor'!$C:$C)  * ('2.1 LABOR STRUCTURE'!$E$4='[1]input-labor'!$G:$G), '[1]input-labor'!$D:$D)</f>
        <v>#N/A</v>
      </c>
      <c r="R23" s="376" t="e" cm="1">
        <f t="array" ref="R23">_xlfn.XLOOKUP(1, ('0. GUIDELINES'!$E$3='[1]input-labor'!$A:$A) * (R$20='[1]input-labor'!$B:$B) * ($A23='[1]input-labor'!$C:$C)  * ('2.1 LABOR STRUCTURE'!$E$4='[1]input-labor'!$G:$G), '[1]input-labor'!$D:$D)</f>
        <v>#N/A</v>
      </c>
      <c r="S23" s="376" t="e" cm="1">
        <f t="array" ref="S23">_xlfn.XLOOKUP(1, ('0. GUIDELINES'!$E$3='[1]input-labor'!$A:$A) * (S$20='[1]input-labor'!$B:$B) * ($A23='[1]input-labor'!$C:$C)  * ('2.1 LABOR STRUCTURE'!$E$4='[1]input-labor'!$G:$G), '[1]input-labor'!$D:$D)</f>
        <v>#N/A</v>
      </c>
      <c r="T23" s="376" cm="1">
        <f t="array" ref="T23">_xlfn.XLOOKUP(1, ('0. GUIDELINES'!$E$3='[1]input-labor'!$A:$A) * (T$20='[1]input-labor'!$B:$B) * ($A23='[1]input-labor'!$C:$C)  * ('2.1 LABOR STRUCTURE'!$E$4='[1]input-labor'!$G:$G), '[1]input-labor'!$D:$D)</f>
        <v>287.7081298828125</v>
      </c>
      <c r="U23" s="376" t="e" cm="1">
        <f t="array" ref="U23">_xlfn.XLOOKUP(1, ('0. GUIDELINES'!$E$3='[1]input-labor'!$A:$A) * (U$20='[1]input-labor'!$B:$B) * ($A23='[1]input-labor'!$C:$C)  * ('2.1 LABOR STRUCTURE'!$E$4='[1]input-labor'!$G:$G), '[1]input-labor'!$D:$D)</f>
        <v>#N/A</v>
      </c>
      <c r="V23" s="376" t="e" cm="1">
        <f t="array" ref="V23">_xlfn.XLOOKUP(1, ('0. GUIDELINES'!$E$3='[1]input-labor'!$A:$A) * (V$20='[1]input-labor'!$B:$B) * ($A23='[1]input-labor'!$C:$C)  * ('2.1 LABOR STRUCTURE'!$E$4='[1]input-labor'!$G:$G), '[1]input-labor'!$D:$D)</f>
        <v>#N/A</v>
      </c>
      <c r="W23" s="376" t="e" cm="1">
        <f t="array" ref="W23">_xlfn.XLOOKUP(1, ('0. GUIDELINES'!$E$3='[1]input-labor'!$A:$A) * (W$20='[1]input-labor'!$B:$B) * ($A23='[1]input-labor'!$C:$C)  * ('2.1 LABOR STRUCTURE'!$E$4='[1]input-labor'!$G:$G), '[1]input-labor'!$D:$D)</f>
        <v>#N/A</v>
      </c>
      <c r="X23" s="376" t="e" cm="1">
        <f t="array" ref="X23">_xlfn.XLOOKUP(1, ('0. GUIDELINES'!$E$3='[1]input-labor'!$A:$A) * (X$20='[1]input-labor'!$B:$B) * ($A23='[1]input-labor'!$C:$C)  * ('2.1 LABOR STRUCTURE'!$E$4='[1]input-labor'!$G:$G), '[1]input-labor'!$D:$D)</f>
        <v>#N/A</v>
      </c>
      <c r="Y23" s="376" t="e" cm="1">
        <f t="array" ref="Y23">_xlfn.XLOOKUP(1, ('0. GUIDELINES'!$E$3='[1]input-labor'!$A:$A) * (Y$20='[1]input-labor'!$B:$B) * ($A23='[1]input-labor'!$C:$C)  * ('2.1 LABOR STRUCTURE'!$E$4='[1]input-labor'!$G:$G), '[1]input-labor'!$D:$D)</f>
        <v>#N/A</v>
      </c>
      <c r="Z23" s="376" cm="1">
        <f t="array" ref="Z23">_xlfn.XLOOKUP(1, ('0. GUIDELINES'!$E$3='[1]input-labor'!$A:$A) * (Z$20='[1]input-labor'!$B:$B) * ($A23='[1]input-labor'!$C:$C)  * ('2.1 LABOR STRUCTURE'!$E$4='[1]input-labor'!$G:$G), '[1]input-labor'!$D:$D)</f>
        <v>614.328125</v>
      </c>
      <c r="AA23" s="183">
        <f>+Z23*(1+(AA11*(ELASTICITY!K33))/100)</f>
        <v>585.95095600678644</v>
      </c>
      <c r="AB23" s="183">
        <f>+AA23*(1+(AB11*(ELASTICITY!L33))/100)</f>
        <v>561.69258642810553</v>
      </c>
      <c r="AC23" s="183">
        <f>+AB23*(1+(AC11*(ELASTICITY!M33))/100)</f>
        <v>492.71066933122705</v>
      </c>
      <c r="AD23" s="183">
        <f>+AC23*(1+(AD11*(ELASTICITY!N33))/100)</f>
        <v>538.48904801346214</v>
      </c>
      <c r="AE23" s="506">
        <f t="shared" si="23"/>
        <v>9.2911279441891592E-2</v>
      </c>
      <c r="AF23" s="93" t="s">
        <v>610</v>
      </c>
    </row>
    <row r="24" spans="1:53" ht="15" customHeight="1" x14ac:dyDescent="0.2">
      <c r="A24" s="88" t="s">
        <v>514</v>
      </c>
      <c r="B24" s="292"/>
      <c r="H24" s="375" t="s">
        <v>611</v>
      </c>
      <c r="I24" s="376" t="e" cm="1">
        <f t="array" ref="I24">_xlfn.XLOOKUP(1, ('0. GUIDELINES'!$E$3='[1]input-labor'!$A:$A) * (I$20='[1]input-labor'!$B:$B) * ($A24='[1]input-labor'!$C:$C)  * ('2.1 LABOR STRUCTURE'!$E$4='[1]input-labor'!$G:$G), '[1]input-labor'!$D:$D)</f>
        <v>#N/A</v>
      </c>
      <c r="J24" s="376" t="e" cm="1">
        <f t="array" ref="J24">_xlfn.XLOOKUP(1, ('0. GUIDELINES'!$E$3='[1]input-labor'!$A:$A) * (J$20='[1]input-labor'!$B:$B) * ($A24='[1]input-labor'!$C:$C)  * ('2.1 LABOR STRUCTURE'!$E$4='[1]input-labor'!$G:$G), '[1]input-labor'!$D:$D)</f>
        <v>#N/A</v>
      </c>
      <c r="K24" s="376" t="e" cm="1">
        <f t="array" ref="K24">_xlfn.XLOOKUP(1, ('0. GUIDELINES'!$E$3='[1]input-labor'!$A:$A) * (K$20='[1]input-labor'!$B:$B) * ($A24='[1]input-labor'!$C:$C)  * ('2.1 LABOR STRUCTURE'!$E$4='[1]input-labor'!$G:$G), '[1]input-labor'!$D:$D)</f>
        <v>#N/A</v>
      </c>
      <c r="L24" s="376" t="e" cm="1">
        <f t="array" ref="L24">_xlfn.XLOOKUP(1, ('0. GUIDELINES'!$E$3='[1]input-labor'!$A:$A) * (L$20='[1]input-labor'!$B:$B) * ($A24='[1]input-labor'!$C:$C)  * ('2.1 LABOR STRUCTURE'!$E$4='[1]input-labor'!$G:$G), '[1]input-labor'!$D:$D)</f>
        <v>#N/A</v>
      </c>
      <c r="M24" s="376" t="e" cm="1">
        <f t="array" ref="M24">_xlfn.XLOOKUP(1, ('0. GUIDELINES'!$E$3='[1]input-labor'!$A:$A) * (M$20='[1]input-labor'!$B:$B) * ($A24='[1]input-labor'!$C:$C)  * ('2.1 LABOR STRUCTURE'!$E$4='[1]input-labor'!$G:$G), '[1]input-labor'!$D:$D)</f>
        <v>#N/A</v>
      </c>
      <c r="N24" s="376" t="e" cm="1">
        <f t="array" ref="N24">_xlfn.XLOOKUP(1, ('0. GUIDELINES'!$E$3='[1]input-labor'!$A:$A) * (N$20='[1]input-labor'!$B:$B) * ($A24='[1]input-labor'!$C:$C)  * ('2.1 LABOR STRUCTURE'!$E$4='[1]input-labor'!$G:$G), '[1]input-labor'!$D:$D)</f>
        <v>#N/A</v>
      </c>
      <c r="O24" s="376" t="e" cm="1">
        <f t="array" ref="O24">_xlfn.XLOOKUP(1, ('0. GUIDELINES'!$E$3='[1]input-labor'!$A:$A) * (O$20='[1]input-labor'!$B:$B) * ($A24='[1]input-labor'!$C:$C)  * ('2.1 LABOR STRUCTURE'!$E$4='[1]input-labor'!$G:$G), '[1]input-labor'!$D:$D)</f>
        <v>#N/A</v>
      </c>
      <c r="P24" s="376" t="e" cm="1">
        <f t="array" ref="P24">_xlfn.XLOOKUP(1, ('0. GUIDELINES'!$E$3='[1]input-labor'!$A:$A) * (P$20='[1]input-labor'!$B:$B) * ($A24='[1]input-labor'!$C:$C)  * ('2.1 LABOR STRUCTURE'!$E$4='[1]input-labor'!$G:$G), '[1]input-labor'!$D:$D)</f>
        <v>#N/A</v>
      </c>
      <c r="Q24" s="376" t="e" cm="1">
        <f t="array" ref="Q24">_xlfn.XLOOKUP(1, ('0. GUIDELINES'!$E$3='[1]input-labor'!$A:$A) * (Q$20='[1]input-labor'!$B:$B) * ($A24='[1]input-labor'!$C:$C)  * ('2.1 LABOR STRUCTURE'!$E$4='[1]input-labor'!$G:$G), '[1]input-labor'!$D:$D)</f>
        <v>#N/A</v>
      </c>
      <c r="R24" s="376" t="e" cm="1">
        <f t="array" ref="R24">_xlfn.XLOOKUP(1, ('0. GUIDELINES'!$E$3='[1]input-labor'!$A:$A) * (R$20='[1]input-labor'!$B:$B) * ($A24='[1]input-labor'!$C:$C)  * ('2.1 LABOR STRUCTURE'!$E$4='[1]input-labor'!$G:$G), '[1]input-labor'!$D:$D)</f>
        <v>#N/A</v>
      </c>
      <c r="S24" s="376" t="e" cm="1">
        <f t="array" ref="S24">_xlfn.XLOOKUP(1, ('0. GUIDELINES'!$E$3='[1]input-labor'!$A:$A) * (S$20='[1]input-labor'!$B:$B) * ($A24='[1]input-labor'!$C:$C)  * ('2.1 LABOR STRUCTURE'!$E$4='[1]input-labor'!$G:$G), '[1]input-labor'!$D:$D)</f>
        <v>#N/A</v>
      </c>
      <c r="T24" s="376" cm="1">
        <f t="array" ref="T24">_xlfn.XLOOKUP(1, ('0. GUIDELINES'!$E$3='[1]input-labor'!$A:$A) * (T$20='[1]input-labor'!$B:$B) * ($A24='[1]input-labor'!$C:$C)  * ('2.1 LABOR STRUCTURE'!$E$4='[1]input-labor'!$G:$G), '[1]input-labor'!$D:$D)</f>
        <v>416.73294067382813</v>
      </c>
      <c r="U24" s="376" t="e" cm="1">
        <f t="array" ref="U24">_xlfn.XLOOKUP(1, ('0. GUIDELINES'!$E$3='[1]input-labor'!$A:$A) * (U$20='[1]input-labor'!$B:$B) * ($A24='[1]input-labor'!$C:$C)  * ('2.1 LABOR STRUCTURE'!$E$4='[1]input-labor'!$G:$G), '[1]input-labor'!$D:$D)</f>
        <v>#N/A</v>
      </c>
      <c r="V24" s="376" t="e" cm="1">
        <f t="array" ref="V24">_xlfn.XLOOKUP(1, ('0. GUIDELINES'!$E$3='[1]input-labor'!$A:$A) * (V$20='[1]input-labor'!$B:$B) * ($A24='[1]input-labor'!$C:$C)  * ('2.1 LABOR STRUCTURE'!$E$4='[1]input-labor'!$G:$G), '[1]input-labor'!$D:$D)</f>
        <v>#N/A</v>
      </c>
      <c r="W24" s="376" t="e" cm="1">
        <f t="array" ref="W24">_xlfn.XLOOKUP(1, ('0. GUIDELINES'!$E$3='[1]input-labor'!$A:$A) * (W$20='[1]input-labor'!$B:$B) * ($A24='[1]input-labor'!$C:$C)  * ('2.1 LABOR STRUCTURE'!$E$4='[1]input-labor'!$G:$G), '[1]input-labor'!$D:$D)</f>
        <v>#N/A</v>
      </c>
      <c r="X24" s="376" t="e" cm="1">
        <f t="array" ref="X24">_xlfn.XLOOKUP(1, ('0. GUIDELINES'!$E$3='[1]input-labor'!$A:$A) * (X$20='[1]input-labor'!$B:$B) * ($A24='[1]input-labor'!$C:$C)  * ('2.1 LABOR STRUCTURE'!$E$4='[1]input-labor'!$G:$G), '[1]input-labor'!$D:$D)</f>
        <v>#N/A</v>
      </c>
      <c r="Y24" s="376" t="e" cm="1">
        <f t="array" ref="Y24">_xlfn.XLOOKUP(1, ('0. GUIDELINES'!$E$3='[1]input-labor'!$A:$A) * (Y$20='[1]input-labor'!$B:$B) * ($A24='[1]input-labor'!$C:$C)  * ('2.1 LABOR STRUCTURE'!$E$4='[1]input-labor'!$G:$G), '[1]input-labor'!$D:$D)</f>
        <v>#N/A</v>
      </c>
      <c r="Z24" s="376" cm="1">
        <f t="array" ref="Z24">_xlfn.XLOOKUP(1, ('0. GUIDELINES'!$E$3='[1]input-labor'!$A:$A) * (Z$20='[1]input-labor'!$B:$B) * ($A24='[1]input-labor'!$C:$C)  * ('2.1 LABOR STRUCTURE'!$E$4='[1]input-labor'!$G:$G), '[1]input-labor'!$D:$D)</f>
        <v>866.3953857421875</v>
      </c>
      <c r="AA24" s="183">
        <f>+Z24*(1+(AA11*(ELASTICITY!K34))/100)</f>
        <v>862.08546303202161</v>
      </c>
      <c r="AB24" s="183">
        <f>+AA24*(1+(AB11*(ELASTICITY!L34))/100)</f>
        <v>855.98870290992522</v>
      </c>
      <c r="AC24" s="183">
        <f>+AB24*(1+(AC11*(ELASTICITY!M34))/100)</f>
        <v>771.8889755263167</v>
      </c>
      <c r="AD24" s="183">
        <f>+AC24*(1+(AD11*(ELASTICITY!N34))/100)</f>
        <v>848.38731398310722</v>
      </c>
      <c r="AE24" s="506">
        <f t="shared" si="23"/>
        <v>9.9105364738017787E-2</v>
      </c>
      <c r="AF24" s="93" t="s">
        <v>611</v>
      </c>
      <c r="AK24" s="453"/>
      <c r="AL24" s="453"/>
      <c r="AM24" s="453"/>
      <c r="AN24" s="453"/>
      <c r="AW24" s="93">
        <f>Z24/Z23</f>
        <v>1.4103137240252308</v>
      </c>
      <c r="AX24" s="93">
        <f t="shared" ref="AX24:BA24" si="25">AA24/AA23</f>
        <v>1.4712587362380496</v>
      </c>
      <c r="AY24" s="93">
        <f t="shared" si="25"/>
        <v>1.5239451678600506</v>
      </c>
      <c r="AZ24" s="93">
        <f t="shared" si="25"/>
        <v>1.5666171316607125</v>
      </c>
      <c r="BA24" s="93">
        <f t="shared" si="25"/>
        <v>1.5754959494773191</v>
      </c>
    </row>
    <row r="25" spans="1:53" ht="15.75" customHeight="1" x14ac:dyDescent="0.2">
      <c r="A25" s="88" t="s">
        <v>515</v>
      </c>
      <c r="B25" s="292"/>
      <c r="H25" s="375" t="s">
        <v>612</v>
      </c>
      <c r="I25" s="376" t="e" cm="1">
        <f t="array" ref="I25">_xlfn.XLOOKUP(1, ('0. GUIDELINES'!$E$3='[1]input-labor'!$A:$A) * (I$20='[1]input-labor'!$B:$B) * ($A25='[1]input-labor'!$C:$C)  * ('2.1 LABOR STRUCTURE'!$E$4='[1]input-labor'!$G:$G), '[1]input-labor'!$D:$D)</f>
        <v>#N/A</v>
      </c>
      <c r="J25" s="376" t="e" cm="1">
        <f t="array" ref="J25">_xlfn.XLOOKUP(1, ('0. GUIDELINES'!$E$3='[1]input-labor'!$A:$A) * (J$20='[1]input-labor'!$B:$B) * ($A25='[1]input-labor'!$C:$C)  * ('2.1 LABOR STRUCTURE'!$E$4='[1]input-labor'!$G:$G), '[1]input-labor'!$D:$D)</f>
        <v>#N/A</v>
      </c>
      <c r="K25" s="376" t="e" cm="1">
        <f t="array" ref="K25">_xlfn.XLOOKUP(1, ('0. GUIDELINES'!$E$3='[1]input-labor'!$A:$A) * (K$20='[1]input-labor'!$B:$B) * ($A25='[1]input-labor'!$C:$C)  * ('2.1 LABOR STRUCTURE'!$E$4='[1]input-labor'!$G:$G), '[1]input-labor'!$D:$D)</f>
        <v>#N/A</v>
      </c>
      <c r="L25" s="376" t="e" cm="1">
        <f t="array" ref="L25">_xlfn.XLOOKUP(1, ('0. GUIDELINES'!$E$3='[1]input-labor'!$A:$A) * (L$20='[1]input-labor'!$B:$B) * ($A25='[1]input-labor'!$C:$C)  * ('2.1 LABOR STRUCTURE'!$E$4='[1]input-labor'!$G:$G), '[1]input-labor'!$D:$D)</f>
        <v>#N/A</v>
      </c>
      <c r="M25" s="376" t="e" cm="1">
        <f t="array" ref="M25">_xlfn.XLOOKUP(1, ('0. GUIDELINES'!$E$3='[1]input-labor'!$A:$A) * (M$20='[1]input-labor'!$B:$B) * ($A25='[1]input-labor'!$C:$C)  * ('2.1 LABOR STRUCTURE'!$E$4='[1]input-labor'!$G:$G), '[1]input-labor'!$D:$D)</f>
        <v>#N/A</v>
      </c>
      <c r="N25" s="376" t="e" cm="1">
        <f t="array" ref="N25">_xlfn.XLOOKUP(1, ('0. GUIDELINES'!$E$3='[1]input-labor'!$A:$A) * (N$20='[1]input-labor'!$B:$B) * ($A25='[1]input-labor'!$C:$C)  * ('2.1 LABOR STRUCTURE'!$E$4='[1]input-labor'!$G:$G), '[1]input-labor'!$D:$D)</f>
        <v>#N/A</v>
      </c>
      <c r="O25" s="376" t="e" cm="1">
        <f t="array" ref="O25">_xlfn.XLOOKUP(1, ('0. GUIDELINES'!$E$3='[1]input-labor'!$A:$A) * (O$20='[1]input-labor'!$B:$B) * ($A25='[1]input-labor'!$C:$C)  * ('2.1 LABOR STRUCTURE'!$E$4='[1]input-labor'!$G:$G), '[1]input-labor'!$D:$D)</f>
        <v>#N/A</v>
      </c>
      <c r="P25" s="376" t="e" cm="1">
        <f t="array" ref="P25">_xlfn.XLOOKUP(1, ('0. GUIDELINES'!$E$3='[1]input-labor'!$A:$A) * (P$20='[1]input-labor'!$B:$B) * ($A25='[1]input-labor'!$C:$C)  * ('2.1 LABOR STRUCTURE'!$E$4='[1]input-labor'!$G:$G), '[1]input-labor'!$D:$D)</f>
        <v>#N/A</v>
      </c>
      <c r="Q25" s="376" t="e" cm="1">
        <f t="array" ref="Q25">_xlfn.XLOOKUP(1, ('0. GUIDELINES'!$E$3='[1]input-labor'!$A:$A) * (Q$20='[1]input-labor'!$B:$B) * ($A25='[1]input-labor'!$C:$C)  * ('2.1 LABOR STRUCTURE'!$E$4='[1]input-labor'!$G:$G), '[1]input-labor'!$D:$D)</f>
        <v>#N/A</v>
      </c>
      <c r="R25" s="376" t="e" cm="1">
        <f t="array" ref="R25">_xlfn.XLOOKUP(1, ('0. GUIDELINES'!$E$3='[1]input-labor'!$A:$A) * (R$20='[1]input-labor'!$B:$B) * ($A25='[1]input-labor'!$C:$C)  * ('2.1 LABOR STRUCTURE'!$E$4='[1]input-labor'!$G:$G), '[1]input-labor'!$D:$D)</f>
        <v>#N/A</v>
      </c>
      <c r="S25" s="376" t="e" cm="1">
        <f t="array" ref="S25">_xlfn.XLOOKUP(1, ('0. GUIDELINES'!$E$3='[1]input-labor'!$A:$A) * (S$20='[1]input-labor'!$B:$B) * ($A25='[1]input-labor'!$C:$C)  * ('2.1 LABOR STRUCTURE'!$E$4='[1]input-labor'!$G:$G), '[1]input-labor'!$D:$D)</f>
        <v>#N/A</v>
      </c>
      <c r="T25" s="376" cm="1">
        <f t="array" ref="T25">_xlfn.XLOOKUP(1, ('0. GUIDELINES'!$E$3='[1]input-labor'!$A:$A) * (T$20='[1]input-labor'!$B:$B) * ($A25='[1]input-labor'!$C:$C)  * ('2.1 LABOR STRUCTURE'!$E$4='[1]input-labor'!$G:$G), '[1]input-labor'!$D:$D)</f>
        <v>334.06631469726563</v>
      </c>
      <c r="U25" s="376" t="e" cm="1">
        <f t="array" ref="U25">_xlfn.XLOOKUP(1, ('0. GUIDELINES'!$E$3='[1]input-labor'!$A:$A) * (U$20='[1]input-labor'!$B:$B) * ($A25='[1]input-labor'!$C:$C)  * ('2.1 LABOR STRUCTURE'!$E$4='[1]input-labor'!$G:$G), '[1]input-labor'!$D:$D)</f>
        <v>#N/A</v>
      </c>
      <c r="V25" s="376" t="e" cm="1">
        <f t="array" ref="V25">_xlfn.XLOOKUP(1, ('0. GUIDELINES'!$E$3='[1]input-labor'!$A:$A) * (V$20='[1]input-labor'!$B:$B) * ($A25='[1]input-labor'!$C:$C)  * ('2.1 LABOR STRUCTURE'!$E$4='[1]input-labor'!$G:$G), '[1]input-labor'!$D:$D)</f>
        <v>#N/A</v>
      </c>
      <c r="W25" s="376" t="e" cm="1">
        <f t="array" ref="W25">_xlfn.XLOOKUP(1, ('0. GUIDELINES'!$E$3='[1]input-labor'!$A:$A) * (W$20='[1]input-labor'!$B:$B) * ($A25='[1]input-labor'!$C:$C)  * ('2.1 LABOR STRUCTURE'!$E$4='[1]input-labor'!$G:$G), '[1]input-labor'!$D:$D)</f>
        <v>#N/A</v>
      </c>
      <c r="X25" s="376" t="e" cm="1">
        <f t="array" ref="X25">_xlfn.XLOOKUP(1, ('0. GUIDELINES'!$E$3='[1]input-labor'!$A:$A) * (X$20='[1]input-labor'!$B:$B) * ($A25='[1]input-labor'!$C:$C)  * ('2.1 LABOR STRUCTURE'!$E$4='[1]input-labor'!$G:$G), '[1]input-labor'!$D:$D)</f>
        <v>#N/A</v>
      </c>
      <c r="Y25" s="376" t="e" cm="1">
        <f t="array" ref="Y25">_xlfn.XLOOKUP(1, ('0. GUIDELINES'!$E$3='[1]input-labor'!$A:$A) * (Y$20='[1]input-labor'!$B:$B) * ($A25='[1]input-labor'!$C:$C)  * ('2.1 LABOR STRUCTURE'!$E$4='[1]input-labor'!$G:$G), '[1]input-labor'!$D:$D)</f>
        <v>#N/A</v>
      </c>
      <c r="Z25" s="376" cm="1">
        <f t="array" ref="Z25">_xlfn.XLOOKUP(1, ('0. GUIDELINES'!$E$3='[1]input-labor'!$A:$A) * (Z$20='[1]input-labor'!$B:$B) * ($A25='[1]input-labor'!$C:$C)  * ('2.1 LABOR STRUCTURE'!$E$4='[1]input-labor'!$G:$G), '[1]input-labor'!$D:$D)</f>
        <v>502.22030639648438</v>
      </c>
      <c r="AA25" s="183">
        <f>+Z25*(1+(AA12*(ELASTICITY!K35))/100)</f>
        <v>498.45847633039557</v>
      </c>
      <c r="AB25" s="183">
        <f>+AA25*(1+(AB12*(ELASTICITY!L35))/100)</f>
        <v>481.56073398279511</v>
      </c>
      <c r="AC25" s="183">
        <f>+AB25*(1+(AC12*(ELASTICITY!M35))/100)</f>
        <v>475.28381982790444</v>
      </c>
      <c r="AD25" s="183">
        <f>+AC25*(1+(AD12*(ELASTICITY!N35))/100)</f>
        <v>497.42957004364246</v>
      </c>
      <c r="AE25" s="506">
        <f t="shared" si="23"/>
        <v>4.6594790926728358E-2</v>
      </c>
      <c r="AF25" s="93" t="s">
        <v>612</v>
      </c>
    </row>
    <row r="26" spans="1:53" x14ac:dyDescent="0.2">
      <c r="A26" s="88" t="s">
        <v>516</v>
      </c>
      <c r="B26" s="292"/>
      <c r="H26" s="375" t="s">
        <v>613</v>
      </c>
      <c r="I26" s="376" t="e" cm="1">
        <f t="array" ref="I26">_xlfn.XLOOKUP(1, ('0. GUIDELINES'!$E$3='[1]input-labor'!$A:$A) * (I$20='[1]input-labor'!$B:$B) * ($A26='[1]input-labor'!$C:$C)  * ('2.1 LABOR STRUCTURE'!$E$4='[1]input-labor'!$G:$G), '[1]input-labor'!$D:$D)</f>
        <v>#N/A</v>
      </c>
      <c r="J26" s="376" t="e" cm="1">
        <f t="array" ref="J26">_xlfn.XLOOKUP(1, ('0. GUIDELINES'!$E$3='[1]input-labor'!$A:$A) * (J$20='[1]input-labor'!$B:$B) * ($A26='[1]input-labor'!$C:$C)  * ('2.1 LABOR STRUCTURE'!$E$4='[1]input-labor'!$G:$G), '[1]input-labor'!$D:$D)</f>
        <v>#N/A</v>
      </c>
      <c r="K26" s="376" t="e" cm="1">
        <f t="array" ref="K26">_xlfn.XLOOKUP(1, ('0. GUIDELINES'!$E$3='[1]input-labor'!$A:$A) * (K$20='[1]input-labor'!$B:$B) * ($A26='[1]input-labor'!$C:$C)  * ('2.1 LABOR STRUCTURE'!$E$4='[1]input-labor'!$G:$G), '[1]input-labor'!$D:$D)</f>
        <v>#N/A</v>
      </c>
      <c r="L26" s="376" t="e" cm="1">
        <f t="array" ref="L26">_xlfn.XLOOKUP(1, ('0. GUIDELINES'!$E$3='[1]input-labor'!$A:$A) * (L$20='[1]input-labor'!$B:$B) * ($A26='[1]input-labor'!$C:$C)  * ('2.1 LABOR STRUCTURE'!$E$4='[1]input-labor'!$G:$G), '[1]input-labor'!$D:$D)</f>
        <v>#N/A</v>
      </c>
      <c r="M26" s="376" t="e" cm="1">
        <f t="array" ref="M26">_xlfn.XLOOKUP(1, ('0. GUIDELINES'!$E$3='[1]input-labor'!$A:$A) * (M$20='[1]input-labor'!$B:$B) * ($A26='[1]input-labor'!$C:$C)  * ('2.1 LABOR STRUCTURE'!$E$4='[1]input-labor'!$G:$G), '[1]input-labor'!$D:$D)</f>
        <v>#N/A</v>
      </c>
      <c r="N26" s="376" t="e" cm="1">
        <f t="array" ref="N26">_xlfn.XLOOKUP(1, ('0. GUIDELINES'!$E$3='[1]input-labor'!$A:$A) * (N$20='[1]input-labor'!$B:$B) * ($A26='[1]input-labor'!$C:$C)  * ('2.1 LABOR STRUCTURE'!$E$4='[1]input-labor'!$G:$G), '[1]input-labor'!$D:$D)</f>
        <v>#N/A</v>
      </c>
      <c r="O26" s="376" t="e" cm="1">
        <f t="array" ref="O26">_xlfn.XLOOKUP(1, ('0. GUIDELINES'!$E$3='[1]input-labor'!$A:$A) * (O$20='[1]input-labor'!$B:$B) * ($A26='[1]input-labor'!$C:$C)  * ('2.1 LABOR STRUCTURE'!$E$4='[1]input-labor'!$G:$G), '[1]input-labor'!$D:$D)</f>
        <v>#N/A</v>
      </c>
      <c r="P26" s="376" t="e" cm="1">
        <f t="array" ref="P26">_xlfn.XLOOKUP(1, ('0. GUIDELINES'!$E$3='[1]input-labor'!$A:$A) * (P$20='[1]input-labor'!$B:$B) * ($A26='[1]input-labor'!$C:$C)  * ('2.1 LABOR STRUCTURE'!$E$4='[1]input-labor'!$G:$G), '[1]input-labor'!$D:$D)</f>
        <v>#N/A</v>
      </c>
      <c r="Q26" s="376" t="e" cm="1">
        <f t="array" ref="Q26">_xlfn.XLOOKUP(1, ('0. GUIDELINES'!$E$3='[1]input-labor'!$A:$A) * (Q$20='[1]input-labor'!$B:$B) * ($A26='[1]input-labor'!$C:$C)  * ('2.1 LABOR STRUCTURE'!$E$4='[1]input-labor'!$G:$G), '[1]input-labor'!$D:$D)</f>
        <v>#N/A</v>
      </c>
      <c r="R26" s="376" t="e" cm="1">
        <f t="array" ref="R26">_xlfn.XLOOKUP(1, ('0. GUIDELINES'!$E$3='[1]input-labor'!$A:$A) * (R$20='[1]input-labor'!$B:$B) * ($A26='[1]input-labor'!$C:$C)  * ('2.1 LABOR STRUCTURE'!$E$4='[1]input-labor'!$G:$G), '[1]input-labor'!$D:$D)</f>
        <v>#N/A</v>
      </c>
      <c r="S26" s="376" t="e" cm="1">
        <f t="array" ref="S26">_xlfn.XLOOKUP(1, ('0. GUIDELINES'!$E$3='[1]input-labor'!$A:$A) * (S$20='[1]input-labor'!$B:$B) * ($A26='[1]input-labor'!$C:$C)  * ('2.1 LABOR STRUCTURE'!$E$4='[1]input-labor'!$G:$G), '[1]input-labor'!$D:$D)</f>
        <v>#N/A</v>
      </c>
      <c r="T26" s="376" cm="1">
        <f t="array" ref="T26">_xlfn.XLOOKUP(1, ('0. GUIDELINES'!$E$3='[1]input-labor'!$A:$A) * (T$20='[1]input-labor'!$B:$B) * ($A26='[1]input-labor'!$C:$C)  * ('2.1 LABOR STRUCTURE'!$E$4='[1]input-labor'!$G:$G), '[1]input-labor'!$D:$D)</f>
        <v>591.46917724609375</v>
      </c>
      <c r="U26" s="376" t="e" cm="1">
        <f t="array" ref="U26">_xlfn.XLOOKUP(1, ('0. GUIDELINES'!$E$3='[1]input-labor'!$A:$A) * (U$20='[1]input-labor'!$B:$B) * ($A26='[1]input-labor'!$C:$C)  * ('2.1 LABOR STRUCTURE'!$E$4='[1]input-labor'!$G:$G), '[1]input-labor'!$D:$D)</f>
        <v>#N/A</v>
      </c>
      <c r="V26" s="376" t="e" cm="1">
        <f t="array" ref="V26">_xlfn.XLOOKUP(1, ('0. GUIDELINES'!$E$3='[1]input-labor'!$A:$A) * (V$20='[1]input-labor'!$B:$B) * ($A26='[1]input-labor'!$C:$C)  * ('2.1 LABOR STRUCTURE'!$E$4='[1]input-labor'!$G:$G), '[1]input-labor'!$D:$D)</f>
        <v>#N/A</v>
      </c>
      <c r="W26" s="376" t="e" cm="1">
        <f t="array" ref="W26">_xlfn.XLOOKUP(1, ('0. GUIDELINES'!$E$3='[1]input-labor'!$A:$A) * (W$20='[1]input-labor'!$B:$B) * ($A26='[1]input-labor'!$C:$C)  * ('2.1 LABOR STRUCTURE'!$E$4='[1]input-labor'!$G:$G), '[1]input-labor'!$D:$D)</f>
        <v>#N/A</v>
      </c>
      <c r="X26" s="376" t="e" cm="1">
        <f t="array" ref="X26">_xlfn.XLOOKUP(1, ('0. GUIDELINES'!$E$3='[1]input-labor'!$A:$A) * (X$20='[1]input-labor'!$B:$B) * ($A26='[1]input-labor'!$C:$C)  * ('2.1 LABOR STRUCTURE'!$E$4='[1]input-labor'!$G:$G), '[1]input-labor'!$D:$D)</f>
        <v>#N/A</v>
      </c>
      <c r="Y26" s="376" t="e" cm="1">
        <f t="array" ref="Y26">_xlfn.XLOOKUP(1, ('0. GUIDELINES'!$E$3='[1]input-labor'!$A:$A) * (Y$20='[1]input-labor'!$B:$B) * ($A26='[1]input-labor'!$C:$C)  * ('2.1 LABOR STRUCTURE'!$E$4='[1]input-labor'!$G:$G), '[1]input-labor'!$D:$D)</f>
        <v>#N/A</v>
      </c>
      <c r="Z26" s="376" cm="1">
        <f t="array" ref="Z26">_xlfn.XLOOKUP(1, ('0. GUIDELINES'!$E$3='[1]input-labor'!$A:$A) * (Z$20='[1]input-labor'!$B:$B) * ($A26='[1]input-labor'!$C:$C)  * ('2.1 LABOR STRUCTURE'!$E$4='[1]input-labor'!$G:$G), '[1]input-labor'!$D:$D)</f>
        <v>1200.75146484375</v>
      </c>
      <c r="AA26" s="183">
        <f>+Z26*(1+(AA12*(ELASTICITY!K36))/100)</f>
        <v>1198.7073497119413</v>
      </c>
      <c r="AB26" s="183">
        <f>+AA26*(1+(AB12*(ELASTICITY!L36))/100)</f>
        <v>1196.74205428813</v>
      </c>
      <c r="AC26" s="183">
        <f>+AB26*(1+(AC12*(ELASTICITY!M36))/100)</f>
        <v>1182.3430133041259</v>
      </c>
      <c r="AD26" s="183">
        <f>+AC26*(1+(AD12*(ELASTICITY!N36))/100)</f>
        <v>1202.1757824872159</v>
      </c>
      <c r="AE26" s="506">
        <f t="shared" si="23"/>
        <v>1.6774124733622164E-2</v>
      </c>
      <c r="AF26" s="93" t="s">
        <v>613</v>
      </c>
      <c r="AK26" s="453"/>
      <c r="AL26" s="453"/>
      <c r="AM26" s="453"/>
      <c r="AN26" s="453"/>
      <c r="AW26" s="93">
        <f>Z26/Z25</f>
        <v>2.3908859310356143</v>
      </c>
      <c r="AX26" s="93">
        <f t="shared" ref="AX26:BA26" si="26">AA26/AA25</f>
        <v>2.4048289007676469</v>
      </c>
      <c r="AY26" s="93">
        <f t="shared" si="26"/>
        <v>2.4851321335740102</v>
      </c>
      <c r="AZ26" s="93">
        <f t="shared" si="26"/>
        <v>2.4876567726042946</v>
      </c>
      <c r="BA26" s="93">
        <f t="shared" si="26"/>
        <v>2.416775871168539</v>
      </c>
    </row>
    <row r="27" spans="1:53" x14ac:dyDescent="0.2">
      <c r="A27" s="88"/>
      <c r="B27" s="292"/>
      <c r="H27" s="377" t="s">
        <v>199</v>
      </c>
      <c r="I27" s="378" t="e">
        <f>(I21*('2.1 LABOR STRUCTURE'!I52)+I22*(1-'2.1 LABOR STRUCTURE'!I52))*'2.1 LABOR STRUCTURE'!I45+(I23*('2.1 LABOR STRUCTURE'!I53)+I24*(1-'2.1 LABOR STRUCTURE'!I53))*'2.1 LABOR STRUCTURE'!I46+(I25*('2.1 LABOR STRUCTURE'!I54)+I26*(1-'2.1 LABOR STRUCTURE'!I54))*'2.1 LABOR STRUCTURE'!I47+(#REF!*('2.1 LABOR STRUCTURE'!I55)+#REF!*(1-'2.1 LABOR STRUCTURE'!I55))*'2.1 LABOR STRUCTURE'!I48+(#REF!*('2.1 LABOR STRUCTURE'!I56)+#REF!*(1-'2.1 LABOR STRUCTURE'!I56))*'2.1 LABOR STRUCTURE'!I49+(#REF!*('2.1 LABOR STRUCTURE'!I57)+#REF!*(1-'2.1 LABOR STRUCTURE'!I57))*'2.1 LABOR STRUCTURE'!I50</f>
        <v>#N/A</v>
      </c>
      <c r="J27" s="378" t="e">
        <f>(J21*('2.1 LABOR STRUCTURE'!J52)+J22*(1-'2.1 LABOR STRUCTURE'!J52))*'2.1 LABOR STRUCTURE'!J45+(J23*('2.1 LABOR STRUCTURE'!J53)+J24*(1-'2.1 LABOR STRUCTURE'!J53))*'2.1 LABOR STRUCTURE'!J46+(J25*('2.1 LABOR STRUCTURE'!J54)+J26*(1-'2.1 LABOR STRUCTURE'!J54))*'2.1 LABOR STRUCTURE'!J47+(#REF!*('2.1 LABOR STRUCTURE'!J55)+#REF!*(1-'2.1 LABOR STRUCTURE'!J55))*'2.1 LABOR STRUCTURE'!J48+(#REF!*('2.1 LABOR STRUCTURE'!J56)+#REF!*(1-'2.1 LABOR STRUCTURE'!J56))*'2.1 LABOR STRUCTURE'!J49+(#REF!*('2.1 LABOR STRUCTURE'!J57)+#REF!*(1-'2.1 LABOR STRUCTURE'!J57))*'2.1 LABOR STRUCTURE'!J50</f>
        <v>#N/A</v>
      </c>
      <c r="K27" s="378" t="e">
        <f>(K21*('2.1 LABOR STRUCTURE'!K52)+K22*(1-'2.1 LABOR STRUCTURE'!K52))*'2.1 LABOR STRUCTURE'!K45+(K23*('2.1 LABOR STRUCTURE'!K53)+K24*(1-'2.1 LABOR STRUCTURE'!K53))*'2.1 LABOR STRUCTURE'!K46+(K25*('2.1 LABOR STRUCTURE'!K54)+K26*(1-'2.1 LABOR STRUCTURE'!K54))*'2.1 LABOR STRUCTURE'!K47+(#REF!*('2.1 LABOR STRUCTURE'!K55)+#REF!*(1-'2.1 LABOR STRUCTURE'!K55))*'2.1 LABOR STRUCTURE'!K48+(#REF!*('2.1 LABOR STRUCTURE'!K56)+#REF!*(1-'2.1 LABOR STRUCTURE'!K56))*'2.1 LABOR STRUCTURE'!K49+(#REF!*('2.1 LABOR STRUCTURE'!K57)+#REF!*(1-'2.1 LABOR STRUCTURE'!K57))*'2.1 LABOR STRUCTURE'!K50</f>
        <v>#N/A</v>
      </c>
      <c r="L27" s="378" t="e">
        <f>(L21*('2.1 LABOR STRUCTURE'!L52)+L22*(1-'2.1 LABOR STRUCTURE'!L52))*'2.1 LABOR STRUCTURE'!L45+(L23*('2.1 LABOR STRUCTURE'!L53)+L24*(1-'2.1 LABOR STRUCTURE'!L53))*'2.1 LABOR STRUCTURE'!L46+(L25*('2.1 LABOR STRUCTURE'!L54)+L26*(1-'2.1 LABOR STRUCTURE'!L54))*'2.1 LABOR STRUCTURE'!L47+(#REF!*('2.1 LABOR STRUCTURE'!L55)+#REF!*(1-'2.1 LABOR STRUCTURE'!L55))*'2.1 LABOR STRUCTURE'!L48+(#REF!*('2.1 LABOR STRUCTURE'!L56)+#REF!*(1-'2.1 LABOR STRUCTURE'!L56))*'2.1 LABOR STRUCTURE'!L49+(#REF!*('2.1 LABOR STRUCTURE'!L57)+#REF!*(1-'2.1 LABOR STRUCTURE'!L57))*'2.1 LABOR STRUCTURE'!L50</f>
        <v>#N/A</v>
      </c>
      <c r="M27" s="378" t="e">
        <f>(M21*('2.1 LABOR STRUCTURE'!M52)+M22*(1-'2.1 LABOR STRUCTURE'!M52))*'2.1 LABOR STRUCTURE'!M45+(M23*('2.1 LABOR STRUCTURE'!M53)+M24*(1-'2.1 LABOR STRUCTURE'!M53))*'2.1 LABOR STRUCTURE'!M46+(M25*('2.1 LABOR STRUCTURE'!M54)+M26*(1-'2.1 LABOR STRUCTURE'!M54))*'2.1 LABOR STRUCTURE'!M47+(#REF!*('2.1 LABOR STRUCTURE'!M55)+#REF!*(1-'2.1 LABOR STRUCTURE'!M55))*'2.1 LABOR STRUCTURE'!M48+(#REF!*('2.1 LABOR STRUCTURE'!M56)+#REF!*(1-'2.1 LABOR STRUCTURE'!M56))*'2.1 LABOR STRUCTURE'!M49+(#REF!*('2.1 LABOR STRUCTURE'!M57)+#REF!*(1-'2.1 LABOR STRUCTURE'!M57))*'2.1 LABOR STRUCTURE'!M50</f>
        <v>#N/A</v>
      </c>
      <c r="N27" s="378" t="e">
        <f>(N21*('2.1 LABOR STRUCTURE'!N52)+N22*(1-'2.1 LABOR STRUCTURE'!N52))*'2.1 LABOR STRUCTURE'!N45+(N23*('2.1 LABOR STRUCTURE'!N53)+N24*(1-'2.1 LABOR STRUCTURE'!N53))*'2.1 LABOR STRUCTURE'!N46+(N25*('2.1 LABOR STRUCTURE'!N54)+N26*(1-'2.1 LABOR STRUCTURE'!N54))*'2.1 LABOR STRUCTURE'!N47+(#REF!*('2.1 LABOR STRUCTURE'!N55)+#REF!*(1-'2.1 LABOR STRUCTURE'!N55))*'2.1 LABOR STRUCTURE'!N48+(#REF!*('2.1 LABOR STRUCTURE'!N56)+#REF!*(1-'2.1 LABOR STRUCTURE'!N56))*'2.1 LABOR STRUCTURE'!N49+(#REF!*('2.1 LABOR STRUCTURE'!N57)+#REF!*(1-'2.1 LABOR STRUCTURE'!N57))*'2.1 LABOR STRUCTURE'!N50</f>
        <v>#N/A</v>
      </c>
      <c r="O27" s="378" t="e">
        <f>(O21*('2.1 LABOR STRUCTURE'!O52)+O22*(1-'2.1 LABOR STRUCTURE'!O52))*'2.1 LABOR STRUCTURE'!O45+(O23*('2.1 LABOR STRUCTURE'!O53)+O24*(1-'2.1 LABOR STRUCTURE'!O53))*'2.1 LABOR STRUCTURE'!O46+(O25*('2.1 LABOR STRUCTURE'!O54)+O26*(1-'2.1 LABOR STRUCTURE'!O54))*'2.1 LABOR STRUCTURE'!O47+(#REF!*('2.1 LABOR STRUCTURE'!O55)+#REF!*(1-'2.1 LABOR STRUCTURE'!O55))*'2.1 LABOR STRUCTURE'!O48+(#REF!*('2.1 LABOR STRUCTURE'!O56)+#REF!*(1-'2.1 LABOR STRUCTURE'!O56))*'2.1 LABOR STRUCTURE'!O49+(#REF!*('2.1 LABOR STRUCTURE'!O57)+#REF!*(1-'2.1 LABOR STRUCTURE'!O57))*'2.1 LABOR STRUCTURE'!O50</f>
        <v>#N/A</v>
      </c>
      <c r="P27" s="378" t="e">
        <f>(P21*('2.1 LABOR STRUCTURE'!P52)+P22*(1-'2.1 LABOR STRUCTURE'!P52))*'2.1 LABOR STRUCTURE'!P45+(P23*('2.1 LABOR STRUCTURE'!P53)+P24*(1-'2.1 LABOR STRUCTURE'!P53))*'2.1 LABOR STRUCTURE'!P46+(P25*('2.1 LABOR STRUCTURE'!P54)+P26*(1-'2.1 LABOR STRUCTURE'!P54))*'2.1 LABOR STRUCTURE'!P47+(#REF!*('2.1 LABOR STRUCTURE'!P55)+#REF!*(1-'2.1 LABOR STRUCTURE'!P55))*'2.1 LABOR STRUCTURE'!P48+(#REF!*('2.1 LABOR STRUCTURE'!P56)+#REF!*(1-'2.1 LABOR STRUCTURE'!P56))*'2.1 LABOR STRUCTURE'!P49+(#REF!*('2.1 LABOR STRUCTURE'!P57)+#REF!*(1-'2.1 LABOR STRUCTURE'!P57))*'2.1 LABOR STRUCTURE'!P50</f>
        <v>#N/A</v>
      </c>
      <c r="Q27" s="378" t="e">
        <f>(Q21*('2.1 LABOR STRUCTURE'!Q52)+Q22*(1-'2.1 LABOR STRUCTURE'!Q52))*'2.1 LABOR STRUCTURE'!Q45+(Q23*('2.1 LABOR STRUCTURE'!Q53)+Q24*(1-'2.1 LABOR STRUCTURE'!Q53))*'2.1 LABOR STRUCTURE'!Q46+(Q25*('2.1 LABOR STRUCTURE'!Q54)+Q26*(1-'2.1 LABOR STRUCTURE'!Q54))*'2.1 LABOR STRUCTURE'!Q47+(#REF!*('2.1 LABOR STRUCTURE'!Q55)+#REF!*(1-'2.1 LABOR STRUCTURE'!Q55))*'2.1 LABOR STRUCTURE'!Q48+(#REF!*('2.1 LABOR STRUCTURE'!Q56)+#REF!*(1-'2.1 LABOR STRUCTURE'!Q56))*'2.1 LABOR STRUCTURE'!Q49+(#REF!*('2.1 LABOR STRUCTURE'!Q57)+#REF!*(1-'2.1 LABOR STRUCTURE'!Q57))*'2.1 LABOR STRUCTURE'!Q50</f>
        <v>#N/A</v>
      </c>
      <c r="R27" s="378" t="e">
        <f>(R21*('2.1 LABOR STRUCTURE'!R52)+R22*(1-'2.1 LABOR STRUCTURE'!R52))*'2.1 LABOR STRUCTURE'!R45+(R23*('2.1 LABOR STRUCTURE'!R53)+R24*(1-'2.1 LABOR STRUCTURE'!R53))*'2.1 LABOR STRUCTURE'!R46+(R25*('2.1 LABOR STRUCTURE'!R54)+R26*(1-'2.1 LABOR STRUCTURE'!R54))*'2.1 LABOR STRUCTURE'!R47+(#REF!*('2.1 LABOR STRUCTURE'!R55)+#REF!*(1-'2.1 LABOR STRUCTURE'!R55))*'2.1 LABOR STRUCTURE'!R48+(#REF!*('2.1 LABOR STRUCTURE'!R56)+#REF!*(1-'2.1 LABOR STRUCTURE'!R56))*'2.1 LABOR STRUCTURE'!R49+(#REF!*('2.1 LABOR STRUCTURE'!R57)+#REF!*(1-'2.1 LABOR STRUCTURE'!R57))*'2.1 LABOR STRUCTURE'!R50</f>
        <v>#N/A</v>
      </c>
      <c r="S27" s="378" t="e">
        <f>(S21*('2.1 LABOR STRUCTURE'!S52)+S22*(1-'2.1 LABOR STRUCTURE'!S52))*'2.1 LABOR STRUCTURE'!S45+(S23*('2.1 LABOR STRUCTURE'!S53)+S24*(1-'2.1 LABOR STRUCTURE'!S53))*'2.1 LABOR STRUCTURE'!S46+(S25*('2.1 LABOR STRUCTURE'!S54)+S26*(1-'2.1 LABOR STRUCTURE'!S54))*'2.1 LABOR STRUCTURE'!S47+(#REF!*('2.1 LABOR STRUCTURE'!S55)+#REF!*(1-'2.1 LABOR STRUCTURE'!S55))*'2.1 LABOR STRUCTURE'!S48+(#REF!*('2.1 LABOR STRUCTURE'!S56)+#REF!*(1-'2.1 LABOR STRUCTURE'!S56))*'2.1 LABOR STRUCTURE'!S49+(#REF!*('2.1 LABOR STRUCTURE'!S57)+#REF!*(1-'2.1 LABOR STRUCTURE'!S57))*'2.1 LABOR STRUCTURE'!S50</f>
        <v>#N/A</v>
      </c>
      <c r="T27" s="378">
        <f>(T21*('2.1 LABOR STRUCTURE'!T52)+T22*(1-'2.1 LABOR STRUCTURE'!T52))*'2.1 LABOR STRUCTURE'!T45+(T23*('2.1 LABOR STRUCTURE'!T53)+T24*(1-'2.1 LABOR STRUCTURE'!T53))*'2.1 LABOR STRUCTURE'!T46+(T25*('2.1 LABOR STRUCTURE'!T54)+T26*(1-'2.1 LABOR STRUCTURE'!T54))*'2.1 LABOR STRUCTURE'!T47</f>
        <v>323.01544296148978</v>
      </c>
      <c r="U27" s="378" t="e">
        <f>(U21*('2.1 LABOR STRUCTURE'!U52)+U22*(1-'2.1 LABOR STRUCTURE'!U52))*'2.1 LABOR STRUCTURE'!U45+(U23*('2.1 LABOR STRUCTURE'!U53)+U24*(1-'2.1 LABOR STRUCTURE'!U53))*'2.1 LABOR STRUCTURE'!U46+(U25*('2.1 LABOR STRUCTURE'!U54)+U26*(1-'2.1 LABOR STRUCTURE'!U54))*'2.1 LABOR STRUCTURE'!U47</f>
        <v>#N/A</v>
      </c>
      <c r="V27" s="378" t="e">
        <f>(V21*('2.1 LABOR STRUCTURE'!V52)+V22*(1-'2.1 LABOR STRUCTURE'!V52))*'2.1 LABOR STRUCTURE'!V45+(V23*('2.1 LABOR STRUCTURE'!V53)+V24*(1-'2.1 LABOR STRUCTURE'!V53))*'2.1 LABOR STRUCTURE'!V46+(V25*('2.1 LABOR STRUCTURE'!V54)+V26*(1-'2.1 LABOR STRUCTURE'!V54))*'2.1 LABOR STRUCTURE'!V47</f>
        <v>#N/A</v>
      </c>
      <c r="W27" s="378" t="e">
        <f>(W21*('2.1 LABOR STRUCTURE'!W52)+W22*(1-'2.1 LABOR STRUCTURE'!W52))*'2.1 LABOR STRUCTURE'!W45+(W23*('2.1 LABOR STRUCTURE'!W53)+W24*(1-'2.1 LABOR STRUCTURE'!W53))*'2.1 LABOR STRUCTURE'!W46+(W25*('2.1 LABOR STRUCTURE'!W54)+W26*(1-'2.1 LABOR STRUCTURE'!W54))*'2.1 LABOR STRUCTURE'!W47</f>
        <v>#N/A</v>
      </c>
      <c r="X27" s="378" t="e">
        <f>(X21*('2.1 LABOR STRUCTURE'!X52)+X22*(1-'2.1 LABOR STRUCTURE'!X52))*'2.1 LABOR STRUCTURE'!X45+(X23*('2.1 LABOR STRUCTURE'!X53)+X24*(1-'2.1 LABOR STRUCTURE'!X53))*'2.1 LABOR STRUCTURE'!X46+(X25*('2.1 LABOR STRUCTURE'!X54)+X26*(1-'2.1 LABOR STRUCTURE'!X54))*'2.1 LABOR STRUCTURE'!X47</f>
        <v>#N/A</v>
      </c>
      <c r="Y27" s="378" t="e">
        <f>(Y21*('2.1 LABOR STRUCTURE'!Y52)+Y22*(1-'2.1 LABOR STRUCTURE'!Y52))*'2.1 LABOR STRUCTURE'!Y45+(Y23*('2.1 LABOR STRUCTURE'!Y53)+Y24*(1-'2.1 LABOR STRUCTURE'!Y53))*'2.1 LABOR STRUCTURE'!Y46+(Y25*('2.1 LABOR STRUCTURE'!Y54)+Y26*(1-'2.1 LABOR STRUCTURE'!Y54))*'2.1 LABOR STRUCTURE'!Y47</f>
        <v>#N/A</v>
      </c>
      <c r="Z27" s="378">
        <f>(Z21*('2.1 LABOR STRUCTURE'!Z52)+Z22*(1-'2.1 LABOR STRUCTURE'!Z52))*'2.1 LABOR STRUCTURE'!Z45+(Z23*('2.1 LABOR STRUCTURE'!Z53)+Z24*(1-'2.1 LABOR STRUCTURE'!Z53))*'2.1 LABOR STRUCTURE'!Z46+(Z25*('2.1 LABOR STRUCTURE'!Z54)+Z26*(1-'2.1 LABOR STRUCTURE'!Z54))*'2.1 LABOR STRUCTURE'!Z47</f>
        <v>643.73047733313888</v>
      </c>
      <c r="AA27" s="189">
        <f>(AA21*('2.1 LABOR STRUCTURE'!AA52)+AA22*(1-'2.1 LABOR STRUCTURE'!AA52))*'2.1 LABOR STRUCTURE'!AA45+(AA23*('2.1 LABOR STRUCTURE'!AA53)+AA24*(1-'2.1 LABOR STRUCTURE'!AA53))*'2.1 LABOR STRUCTURE'!AA46+(AA25*('2.1 LABOR STRUCTURE'!AA54)+AA26*(1-'2.1 LABOR STRUCTURE'!AA54))*'2.1 LABOR STRUCTURE'!AA47</f>
        <v>641.14513419509808</v>
      </c>
      <c r="AB27" s="189">
        <f>(AB21*('2.1 LABOR STRUCTURE'!AB52)+AB22*(1-'2.1 LABOR STRUCTURE'!AB52))*'2.1 LABOR STRUCTURE'!AB45+(AB23*('2.1 LABOR STRUCTURE'!AB53)+AB24*(1-'2.1 LABOR STRUCTURE'!AB53))*'2.1 LABOR STRUCTURE'!AB46+(AB25*('2.1 LABOR STRUCTURE'!AB54)+AB26*(1-'2.1 LABOR STRUCTURE'!AB54))*'2.1 LABOR STRUCTURE'!AB47</f>
        <v>632.76567459745411</v>
      </c>
      <c r="AC27" s="189">
        <f>(AC21*('2.1 LABOR STRUCTURE'!AC52)+AC22*(1-'2.1 LABOR STRUCTURE'!AC52))*'2.1 LABOR STRUCTURE'!AC45+(AC23*('2.1 LABOR STRUCTURE'!AC53)+AC24*(1-'2.1 LABOR STRUCTURE'!AC53))*'2.1 LABOR STRUCTURE'!AC46+(AC25*('2.1 LABOR STRUCTURE'!AC54)+AC26*(1-'2.1 LABOR STRUCTURE'!AC54))*'2.1 LABOR STRUCTURE'!AC47</f>
        <v>608.65039157002366</v>
      </c>
      <c r="AD27" s="189">
        <f>(AD21*('2.1 LABOR STRUCTURE'!AD52)+AD22*(1-'2.1 LABOR STRUCTURE'!AD52))*'2.1 LABOR STRUCTURE'!AD45+(AD23*('2.1 LABOR STRUCTURE'!AD53)+AD24*(1-'2.1 LABOR STRUCTURE'!AD53))*'2.1 LABOR STRUCTURE'!AD46+(AD25*('2.1 LABOR STRUCTURE'!AD54)+AD26*(1-'2.1 LABOR STRUCTURE'!AD54))*'2.1 LABOR STRUCTURE'!AD47</f>
        <v>632.73544101882396</v>
      </c>
      <c r="AE27" s="506">
        <f t="shared" si="23"/>
        <v>3.9571237909947765E-2</v>
      </c>
      <c r="AF27" s="93" t="s">
        <v>199</v>
      </c>
      <c r="AX27" s="506"/>
      <c r="AY27" s="506"/>
      <c r="AZ27" s="506"/>
      <c r="BA27" s="506"/>
    </row>
    <row r="28" spans="1:53" x14ac:dyDescent="0.2">
      <c r="A28" s="88"/>
      <c r="B28" s="292"/>
      <c r="H28" s="377" t="s">
        <v>496</v>
      </c>
      <c r="I28" s="378" t="e">
        <f>(I21*'2.1 LABOR STRUCTURE'!I23+I23*'2.1 LABOR STRUCTURE'!I25+I25*'2.1 LABOR STRUCTURE'!I27+#REF!*'2.1 LABOR STRUCTURE'!I29+#REF!*'2.1 LABOR STRUCTURE'!I31+#REF!*'2.1 LABOR STRUCTURE'!I33)/SUM('2.1 LABOR STRUCTURE'!I23,'2.1 LABOR STRUCTURE'!I25,'2.1 LABOR STRUCTURE'!I27,'2.1 LABOR STRUCTURE'!I29,'2.1 LABOR STRUCTURE'!I31,'2.1 LABOR STRUCTURE'!I33)</f>
        <v>#N/A</v>
      </c>
      <c r="J28" s="378" t="e">
        <f>(J21*'2.1 LABOR STRUCTURE'!J23+J23*'2.1 LABOR STRUCTURE'!J25+J25*'2.1 LABOR STRUCTURE'!J27+#REF!*'2.1 LABOR STRUCTURE'!J29+#REF!*'2.1 LABOR STRUCTURE'!J31+#REF!*'2.1 LABOR STRUCTURE'!J33)/SUM('2.1 LABOR STRUCTURE'!J23,'2.1 LABOR STRUCTURE'!J25,'2.1 LABOR STRUCTURE'!J27,'2.1 LABOR STRUCTURE'!J29,'2.1 LABOR STRUCTURE'!J31,'2.1 LABOR STRUCTURE'!J33)</f>
        <v>#N/A</v>
      </c>
      <c r="K28" s="378" t="e">
        <f>(K21*'2.1 LABOR STRUCTURE'!K23+K23*'2.1 LABOR STRUCTURE'!K25+K25*'2.1 LABOR STRUCTURE'!K27+#REF!*'2.1 LABOR STRUCTURE'!K29+#REF!*'2.1 LABOR STRUCTURE'!K31+#REF!*'2.1 LABOR STRUCTURE'!K33)/SUM('2.1 LABOR STRUCTURE'!K23,'2.1 LABOR STRUCTURE'!K25,'2.1 LABOR STRUCTURE'!K27,'2.1 LABOR STRUCTURE'!K29,'2.1 LABOR STRUCTURE'!K31,'2.1 LABOR STRUCTURE'!K33)</f>
        <v>#N/A</v>
      </c>
      <c r="L28" s="378" t="e">
        <f>(L21*'2.1 LABOR STRUCTURE'!L23+L23*'2.1 LABOR STRUCTURE'!L25+L25*'2.1 LABOR STRUCTURE'!L27+#REF!*'2.1 LABOR STRUCTURE'!L29+#REF!*'2.1 LABOR STRUCTURE'!L31+#REF!*'2.1 LABOR STRUCTURE'!L33)/SUM('2.1 LABOR STRUCTURE'!L23,'2.1 LABOR STRUCTURE'!L25,'2.1 LABOR STRUCTURE'!L27,'2.1 LABOR STRUCTURE'!L29,'2.1 LABOR STRUCTURE'!L31,'2.1 LABOR STRUCTURE'!L33)</f>
        <v>#N/A</v>
      </c>
      <c r="M28" s="378" t="e">
        <f>(M21*'2.1 LABOR STRUCTURE'!M23+M23*'2.1 LABOR STRUCTURE'!M25+M25*'2.1 LABOR STRUCTURE'!M27+#REF!*'2.1 LABOR STRUCTURE'!M29+#REF!*'2.1 LABOR STRUCTURE'!M31+#REF!*'2.1 LABOR STRUCTURE'!M33)/SUM('2.1 LABOR STRUCTURE'!M23,'2.1 LABOR STRUCTURE'!M25,'2.1 LABOR STRUCTURE'!M27,'2.1 LABOR STRUCTURE'!M29,'2.1 LABOR STRUCTURE'!M31,'2.1 LABOR STRUCTURE'!M33)</f>
        <v>#N/A</v>
      </c>
      <c r="N28" s="378" t="e">
        <f>(N21*'2.1 LABOR STRUCTURE'!N23+N23*'2.1 LABOR STRUCTURE'!N25+N25*'2.1 LABOR STRUCTURE'!N27+#REF!*'2.1 LABOR STRUCTURE'!N29+#REF!*'2.1 LABOR STRUCTURE'!N31+#REF!*'2.1 LABOR STRUCTURE'!N33)/SUM('2.1 LABOR STRUCTURE'!N23,'2.1 LABOR STRUCTURE'!N25,'2.1 LABOR STRUCTURE'!N27,'2.1 LABOR STRUCTURE'!N29,'2.1 LABOR STRUCTURE'!N31,'2.1 LABOR STRUCTURE'!N33)</f>
        <v>#N/A</v>
      </c>
      <c r="O28" s="378" t="e">
        <f>(O21*'2.1 LABOR STRUCTURE'!O23+O23*'2.1 LABOR STRUCTURE'!O25+O25*'2.1 LABOR STRUCTURE'!O27+#REF!*'2.1 LABOR STRUCTURE'!O29+#REF!*'2.1 LABOR STRUCTURE'!O31+#REF!*'2.1 LABOR STRUCTURE'!O33)/SUM('2.1 LABOR STRUCTURE'!O23,'2.1 LABOR STRUCTURE'!O25,'2.1 LABOR STRUCTURE'!O27,'2.1 LABOR STRUCTURE'!O29,'2.1 LABOR STRUCTURE'!O31,'2.1 LABOR STRUCTURE'!O33)</f>
        <v>#N/A</v>
      </c>
      <c r="P28" s="378" t="e">
        <f>(P21*'2.1 LABOR STRUCTURE'!P23+P23*'2.1 LABOR STRUCTURE'!P25+P25*'2.1 LABOR STRUCTURE'!P27+#REF!*'2.1 LABOR STRUCTURE'!P29+#REF!*'2.1 LABOR STRUCTURE'!P31+#REF!*'2.1 LABOR STRUCTURE'!P33)/SUM('2.1 LABOR STRUCTURE'!P23,'2.1 LABOR STRUCTURE'!P25,'2.1 LABOR STRUCTURE'!P27,'2.1 LABOR STRUCTURE'!P29,'2.1 LABOR STRUCTURE'!P31,'2.1 LABOR STRUCTURE'!P33)</f>
        <v>#N/A</v>
      </c>
      <c r="Q28" s="378" t="e">
        <f>(Q21*'2.1 LABOR STRUCTURE'!Q23+Q23*'2.1 LABOR STRUCTURE'!Q25+Q25*'2.1 LABOR STRUCTURE'!Q27+#REF!*'2.1 LABOR STRUCTURE'!Q29+#REF!*'2.1 LABOR STRUCTURE'!Q31+#REF!*'2.1 LABOR STRUCTURE'!Q33)/SUM('2.1 LABOR STRUCTURE'!Q23,'2.1 LABOR STRUCTURE'!Q25,'2.1 LABOR STRUCTURE'!Q27,'2.1 LABOR STRUCTURE'!Q29,'2.1 LABOR STRUCTURE'!Q31,'2.1 LABOR STRUCTURE'!Q33)</f>
        <v>#N/A</v>
      </c>
      <c r="R28" s="378" t="e">
        <f>(R21*'2.1 LABOR STRUCTURE'!R23+R23*'2.1 LABOR STRUCTURE'!R25+R25*'2.1 LABOR STRUCTURE'!R27+#REF!*'2.1 LABOR STRUCTURE'!R29+#REF!*'2.1 LABOR STRUCTURE'!R31+#REF!*'2.1 LABOR STRUCTURE'!R33)/SUM('2.1 LABOR STRUCTURE'!R23,'2.1 LABOR STRUCTURE'!R25,'2.1 LABOR STRUCTURE'!R27,'2.1 LABOR STRUCTURE'!R29,'2.1 LABOR STRUCTURE'!R31,'2.1 LABOR STRUCTURE'!R33)</f>
        <v>#N/A</v>
      </c>
      <c r="S28" s="378" t="e">
        <f>(S21*'2.1 LABOR STRUCTURE'!S23+S23*'2.1 LABOR STRUCTURE'!S25+S25*'2.1 LABOR STRUCTURE'!S27+#REF!*'2.1 LABOR STRUCTURE'!S29+#REF!*'2.1 LABOR STRUCTURE'!S31+#REF!*'2.1 LABOR STRUCTURE'!S33)/SUM('2.1 LABOR STRUCTURE'!S23,'2.1 LABOR STRUCTURE'!S25,'2.1 LABOR STRUCTURE'!S27,'2.1 LABOR STRUCTURE'!S29,'2.1 LABOR STRUCTURE'!S31,'2.1 LABOR STRUCTURE'!S33)</f>
        <v>#N/A</v>
      </c>
      <c r="T28" s="378">
        <f>(T21*'2.1 LABOR STRUCTURE'!T23+T23*'2.1 LABOR STRUCTURE'!T25+T25*'2.1 LABOR STRUCTURE'!T27)/SUM('2.1 LABOR STRUCTURE'!T23,'2.1 LABOR STRUCTURE'!T25,'2.1 LABOR STRUCTURE'!T27,'2.1 LABOR STRUCTURE'!T29,'2.1 LABOR STRUCTURE'!T31,'2.1 LABOR STRUCTURE'!T33)</f>
        <v>303.76604986321308</v>
      </c>
      <c r="U28" s="378" t="e">
        <f>(U21*'2.1 LABOR STRUCTURE'!U23+U23*'2.1 LABOR STRUCTURE'!U25+U25*'2.1 LABOR STRUCTURE'!U27)/SUM('2.1 LABOR STRUCTURE'!U23,'2.1 LABOR STRUCTURE'!U25,'2.1 LABOR STRUCTURE'!U27,'2.1 LABOR STRUCTURE'!U29,'2.1 LABOR STRUCTURE'!U31,'2.1 LABOR STRUCTURE'!U33)</f>
        <v>#N/A</v>
      </c>
      <c r="V28" s="378" t="e">
        <f>(V21*'2.1 LABOR STRUCTURE'!V23+V23*'2.1 LABOR STRUCTURE'!V25+V25*'2.1 LABOR STRUCTURE'!V27)/SUM('2.1 LABOR STRUCTURE'!V23,'2.1 LABOR STRUCTURE'!V25,'2.1 LABOR STRUCTURE'!V27,'2.1 LABOR STRUCTURE'!V29,'2.1 LABOR STRUCTURE'!V31,'2.1 LABOR STRUCTURE'!V33)</f>
        <v>#N/A</v>
      </c>
      <c r="W28" s="378" t="e">
        <f>(W21*'2.1 LABOR STRUCTURE'!W23+W23*'2.1 LABOR STRUCTURE'!W25+W25*'2.1 LABOR STRUCTURE'!W27)/SUM('2.1 LABOR STRUCTURE'!W23,'2.1 LABOR STRUCTURE'!W25,'2.1 LABOR STRUCTURE'!W27,'2.1 LABOR STRUCTURE'!W29,'2.1 LABOR STRUCTURE'!W31,'2.1 LABOR STRUCTURE'!W33)</f>
        <v>#N/A</v>
      </c>
      <c r="X28" s="378" t="e">
        <f>(X21*'2.1 LABOR STRUCTURE'!X23+X23*'2.1 LABOR STRUCTURE'!X25+X25*'2.1 LABOR STRUCTURE'!X27)/SUM('2.1 LABOR STRUCTURE'!X23,'2.1 LABOR STRUCTURE'!X25,'2.1 LABOR STRUCTURE'!X27,'2.1 LABOR STRUCTURE'!X29,'2.1 LABOR STRUCTURE'!X31,'2.1 LABOR STRUCTURE'!X33)</f>
        <v>#N/A</v>
      </c>
      <c r="Y28" s="378" t="e">
        <f>(Y21*'2.1 LABOR STRUCTURE'!Y23+Y23*'2.1 LABOR STRUCTURE'!Y25+Y25*'2.1 LABOR STRUCTURE'!Y27)/SUM('2.1 LABOR STRUCTURE'!Y23,'2.1 LABOR STRUCTURE'!Y25,'2.1 LABOR STRUCTURE'!Y27,'2.1 LABOR STRUCTURE'!Y29,'2.1 LABOR STRUCTURE'!Y31,'2.1 LABOR STRUCTURE'!Y33)</f>
        <v>#N/A</v>
      </c>
      <c r="Z28" s="378">
        <f>(Z21*'2.1 LABOR STRUCTURE'!Z23+Z23*'2.1 LABOR STRUCTURE'!Z25+Z25*'2.1 LABOR STRUCTURE'!Z27)/SUM('2.1 LABOR STRUCTURE'!Z23,'2.1 LABOR STRUCTURE'!Z25,'2.1 LABOR STRUCTURE'!Z27,'2.1 LABOR STRUCTURE'!Z29,'2.1 LABOR STRUCTURE'!Z31,'2.1 LABOR STRUCTURE'!Z33)</f>
        <v>524.89152186009312</v>
      </c>
      <c r="AA28" s="189">
        <f>(AA21*'2.1 LABOR STRUCTURE'!AA23+AA23*'2.1 LABOR STRUCTURE'!AA25+AA25*'2.1 LABOR STRUCTURE'!AA27)/SUM('2.1 LABOR STRUCTURE'!AA23,'2.1 LABOR STRUCTURE'!AA25,'2.1 LABOR STRUCTURE'!AA27,'2.1 LABOR STRUCTURE'!AA29,'2.1 LABOR STRUCTURE'!AA31,'2.1 LABOR STRUCTURE'!AA33)</f>
        <v>510.33906935244374</v>
      </c>
      <c r="AB28" s="189">
        <f>(AB21*'2.1 LABOR STRUCTURE'!AB23+AB23*'2.1 LABOR STRUCTURE'!AB25+AB25*'2.1 LABOR STRUCTURE'!AB27)/SUM('2.1 LABOR STRUCTURE'!AB23,'2.1 LABOR STRUCTURE'!AB25,'2.1 LABOR STRUCTURE'!AB27,'2.1 LABOR STRUCTURE'!AB29,'2.1 LABOR STRUCTURE'!AB31,'2.1 LABOR STRUCTURE'!AB33)</f>
        <v>491.24628175766384</v>
      </c>
      <c r="AC28" s="189">
        <f>(AC21*'2.1 LABOR STRUCTURE'!AC23+AC23*'2.1 LABOR STRUCTURE'!AC25+AC25*'2.1 LABOR STRUCTURE'!AC27)/SUM('2.1 LABOR STRUCTURE'!AC23,'2.1 LABOR STRUCTURE'!AC25,'2.1 LABOR STRUCTURE'!AC27,'2.1 LABOR STRUCTURE'!AC29,'2.1 LABOR STRUCTURE'!AC31,'2.1 LABOR STRUCTURE'!AC33)</f>
        <v>459.75166118192379</v>
      </c>
      <c r="AD28" s="189">
        <f>(AD21*'2.1 LABOR STRUCTURE'!AD23+AD23*'2.1 LABOR STRUCTURE'!AD25+AD25*'2.1 LABOR STRUCTURE'!AD27)/SUM('2.1 LABOR STRUCTURE'!AD23,'2.1 LABOR STRUCTURE'!AD25,'2.1 LABOR STRUCTURE'!AD27,'2.1 LABOR STRUCTURE'!AD29,'2.1 LABOR STRUCTURE'!AD31,'2.1 LABOR STRUCTURE'!AD33)</f>
        <v>490.19475586894509</v>
      </c>
      <c r="AF28" s="93" t="s">
        <v>496</v>
      </c>
      <c r="AK28" s="453"/>
      <c r="AL28" s="453"/>
      <c r="AM28" s="453"/>
      <c r="AN28" s="453"/>
      <c r="AX28" s="506"/>
      <c r="AY28" s="506"/>
      <c r="AZ28" s="506"/>
      <c r="BA28" s="506"/>
    </row>
    <row r="29" spans="1:53" x14ac:dyDescent="0.2">
      <c r="A29" s="88"/>
      <c r="B29" s="292"/>
      <c r="H29" s="379" t="s">
        <v>497</v>
      </c>
      <c r="I29" s="380" t="e">
        <f>(I22*'2.1 LABOR STRUCTURE'!I24+I24*'2.1 LABOR STRUCTURE'!I26+I26*'2.1 LABOR STRUCTURE'!I28+#REF!*'2.1 LABOR STRUCTURE'!I30+#REF!*'2.1 LABOR STRUCTURE'!I32+#REF!*'2.1 LABOR STRUCTURE'!I34)/SUM('2.1 LABOR STRUCTURE'!I24,'2.1 LABOR STRUCTURE'!I26,'2.1 LABOR STRUCTURE'!I28,'2.1 LABOR STRUCTURE'!I30,'2.1 LABOR STRUCTURE'!I32,'2.1 LABOR STRUCTURE'!I34)</f>
        <v>#N/A</v>
      </c>
      <c r="J29" s="380" t="e">
        <f>(J22*'2.1 LABOR STRUCTURE'!J24+J24*'2.1 LABOR STRUCTURE'!J26+J26*'2.1 LABOR STRUCTURE'!J28+#REF!*'2.1 LABOR STRUCTURE'!J30+#REF!*'2.1 LABOR STRUCTURE'!J32+#REF!*'2.1 LABOR STRUCTURE'!J34)/SUM('2.1 LABOR STRUCTURE'!J24,'2.1 LABOR STRUCTURE'!J26,'2.1 LABOR STRUCTURE'!J28,'2.1 LABOR STRUCTURE'!J30,'2.1 LABOR STRUCTURE'!J32,'2.1 LABOR STRUCTURE'!J34)</f>
        <v>#N/A</v>
      </c>
      <c r="K29" s="380" t="e">
        <f>(K22*'2.1 LABOR STRUCTURE'!K24+K24*'2.1 LABOR STRUCTURE'!K26+K26*'2.1 LABOR STRUCTURE'!K28+#REF!*'2.1 LABOR STRUCTURE'!K30+#REF!*'2.1 LABOR STRUCTURE'!K32+#REF!*'2.1 LABOR STRUCTURE'!K34)/SUM('2.1 LABOR STRUCTURE'!K24,'2.1 LABOR STRUCTURE'!K26,'2.1 LABOR STRUCTURE'!K28,'2.1 LABOR STRUCTURE'!K30,'2.1 LABOR STRUCTURE'!K32,'2.1 LABOR STRUCTURE'!K34)</f>
        <v>#N/A</v>
      </c>
      <c r="L29" s="380" t="e">
        <f>(L22*'2.1 LABOR STRUCTURE'!L24+L24*'2.1 LABOR STRUCTURE'!L26+L26*'2.1 LABOR STRUCTURE'!L28+#REF!*'2.1 LABOR STRUCTURE'!L30+#REF!*'2.1 LABOR STRUCTURE'!L32+#REF!*'2.1 LABOR STRUCTURE'!L34)/SUM('2.1 LABOR STRUCTURE'!L24,'2.1 LABOR STRUCTURE'!L26,'2.1 LABOR STRUCTURE'!L28,'2.1 LABOR STRUCTURE'!L30,'2.1 LABOR STRUCTURE'!L32,'2.1 LABOR STRUCTURE'!L34)</f>
        <v>#N/A</v>
      </c>
      <c r="M29" s="380" t="e">
        <f>(M22*'2.1 LABOR STRUCTURE'!M24+M24*'2.1 LABOR STRUCTURE'!M26+M26*'2.1 LABOR STRUCTURE'!M28+#REF!*'2.1 LABOR STRUCTURE'!M30+#REF!*'2.1 LABOR STRUCTURE'!M32+#REF!*'2.1 LABOR STRUCTURE'!M34)/SUM('2.1 LABOR STRUCTURE'!M24,'2.1 LABOR STRUCTURE'!M26,'2.1 LABOR STRUCTURE'!M28,'2.1 LABOR STRUCTURE'!M30,'2.1 LABOR STRUCTURE'!M32,'2.1 LABOR STRUCTURE'!M34)</f>
        <v>#N/A</v>
      </c>
      <c r="N29" s="380" t="e">
        <f>(N22*'2.1 LABOR STRUCTURE'!N24+N24*'2.1 LABOR STRUCTURE'!N26+N26*'2.1 LABOR STRUCTURE'!N28+#REF!*'2.1 LABOR STRUCTURE'!N30+#REF!*'2.1 LABOR STRUCTURE'!N32+#REF!*'2.1 LABOR STRUCTURE'!N34)/SUM('2.1 LABOR STRUCTURE'!N24,'2.1 LABOR STRUCTURE'!N26,'2.1 LABOR STRUCTURE'!N28,'2.1 LABOR STRUCTURE'!N30,'2.1 LABOR STRUCTURE'!N32,'2.1 LABOR STRUCTURE'!N34)</f>
        <v>#N/A</v>
      </c>
      <c r="O29" s="380" t="e">
        <f>(O22*'2.1 LABOR STRUCTURE'!O24+O24*'2.1 LABOR STRUCTURE'!O26+O26*'2.1 LABOR STRUCTURE'!O28+#REF!*'2.1 LABOR STRUCTURE'!O30+#REF!*'2.1 LABOR STRUCTURE'!O32+#REF!*'2.1 LABOR STRUCTURE'!O34)/SUM('2.1 LABOR STRUCTURE'!O24,'2.1 LABOR STRUCTURE'!O26,'2.1 LABOR STRUCTURE'!O28,'2.1 LABOR STRUCTURE'!O30,'2.1 LABOR STRUCTURE'!O32,'2.1 LABOR STRUCTURE'!O34)</f>
        <v>#N/A</v>
      </c>
      <c r="P29" s="380" t="e">
        <f>(P22*'2.1 LABOR STRUCTURE'!P24+P24*'2.1 LABOR STRUCTURE'!P26+P26*'2.1 LABOR STRUCTURE'!P28+#REF!*'2.1 LABOR STRUCTURE'!P30+#REF!*'2.1 LABOR STRUCTURE'!P32+#REF!*'2.1 LABOR STRUCTURE'!P34)/SUM('2.1 LABOR STRUCTURE'!P24,'2.1 LABOR STRUCTURE'!P26,'2.1 LABOR STRUCTURE'!P28,'2.1 LABOR STRUCTURE'!P30,'2.1 LABOR STRUCTURE'!P32,'2.1 LABOR STRUCTURE'!P34)</f>
        <v>#N/A</v>
      </c>
      <c r="Q29" s="380" t="e">
        <f>(Q22*'2.1 LABOR STRUCTURE'!Q24+Q24*'2.1 LABOR STRUCTURE'!Q26+Q26*'2.1 LABOR STRUCTURE'!Q28+#REF!*'2.1 LABOR STRUCTURE'!Q30+#REF!*'2.1 LABOR STRUCTURE'!Q32+#REF!*'2.1 LABOR STRUCTURE'!Q34)/SUM('2.1 LABOR STRUCTURE'!Q24,'2.1 LABOR STRUCTURE'!Q26,'2.1 LABOR STRUCTURE'!Q28,'2.1 LABOR STRUCTURE'!Q30,'2.1 LABOR STRUCTURE'!Q32,'2.1 LABOR STRUCTURE'!Q34)</f>
        <v>#N/A</v>
      </c>
      <c r="R29" s="380" t="e">
        <f>(R22*'2.1 LABOR STRUCTURE'!R24+R24*'2.1 LABOR STRUCTURE'!R26+R26*'2.1 LABOR STRUCTURE'!R28+#REF!*'2.1 LABOR STRUCTURE'!R30+#REF!*'2.1 LABOR STRUCTURE'!R32+#REF!*'2.1 LABOR STRUCTURE'!R34)/SUM('2.1 LABOR STRUCTURE'!R24,'2.1 LABOR STRUCTURE'!R26,'2.1 LABOR STRUCTURE'!R28,'2.1 LABOR STRUCTURE'!R30,'2.1 LABOR STRUCTURE'!R32,'2.1 LABOR STRUCTURE'!R34)</f>
        <v>#N/A</v>
      </c>
      <c r="S29" s="380" t="e">
        <f>(S22*'2.1 LABOR STRUCTURE'!S24+S24*'2.1 LABOR STRUCTURE'!S26+S26*'2.1 LABOR STRUCTURE'!S28+#REF!*'2.1 LABOR STRUCTURE'!S30+#REF!*'2.1 LABOR STRUCTURE'!S32+#REF!*'2.1 LABOR STRUCTURE'!S34)/SUM('2.1 LABOR STRUCTURE'!S24,'2.1 LABOR STRUCTURE'!S26,'2.1 LABOR STRUCTURE'!S28,'2.1 LABOR STRUCTURE'!S30,'2.1 LABOR STRUCTURE'!S32,'2.1 LABOR STRUCTURE'!S34)</f>
        <v>#N/A</v>
      </c>
      <c r="T29" s="380">
        <f>(T22*'2.1 LABOR STRUCTURE'!T24+T24*'2.1 LABOR STRUCTURE'!T26+T26*'2.1 LABOR STRUCTURE'!T28)/SUM('2.1 LABOR STRUCTURE'!T24,'2.1 LABOR STRUCTURE'!T26,'2.1 LABOR STRUCTURE'!T28,'2.1 LABOR STRUCTURE'!T30,'2.1 LABOR STRUCTURE'!T32,'2.1 LABOR STRUCTURE'!T34)</f>
        <v>343.58297921273379</v>
      </c>
      <c r="U29" s="380" t="e">
        <f>(U22*'2.1 LABOR STRUCTURE'!U24+U24*'2.1 LABOR STRUCTURE'!U26+U26*'2.1 LABOR STRUCTURE'!U28)/SUM('2.1 LABOR STRUCTURE'!U24,'2.1 LABOR STRUCTURE'!U26,'2.1 LABOR STRUCTURE'!U28,'2.1 LABOR STRUCTURE'!U30,'2.1 LABOR STRUCTURE'!U32,'2.1 LABOR STRUCTURE'!U34)</f>
        <v>#N/A</v>
      </c>
      <c r="V29" s="380" t="e">
        <f>(V22*'2.1 LABOR STRUCTURE'!V24+V24*'2.1 LABOR STRUCTURE'!V26+V26*'2.1 LABOR STRUCTURE'!V28)/SUM('2.1 LABOR STRUCTURE'!V24,'2.1 LABOR STRUCTURE'!V26,'2.1 LABOR STRUCTURE'!V28,'2.1 LABOR STRUCTURE'!V30,'2.1 LABOR STRUCTURE'!V32,'2.1 LABOR STRUCTURE'!V34)</f>
        <v>#N/A</v>
      </c>
      <c r="W29" s="380" t="e">
        <f>(W22*'2.1 LABOR STRUCTURE'!W24+W24*'2.1 LABOR STRUCTURE'!W26+W26*'2.1 LABOR STRUCTURE'!W28)/SUM('2.1 LABOR STRUCTURE'!W24,'2.1 LABOR STRUCTURE'!W26,'2.1 LABOR STRUCTURE'!W28,'2.1 LABOR STRUCTURE'!W30,'2.1 LABOR STRUCTURE'!W32,'2.1 LABOR STRUCTURE'!W34)</f>
        <v>#N/A</v>
      </c>
      <c r="X29" s="380" t="e">
        <f>(X22*'2.1 LABOR STRUCTURE'!X24+X24*'2.1 LABOR STRUCTURE'!X26+X26*'2.1 LABOR STRUCTURE'!X28)/SUM('2.1 LABOR STRUCTURE'!X24,'2.1 LABOR STRUCTURE'!X26,'2.1 LABOR STRUCTURE'!X28,'2.1 LABOR STRUCTURE'!X30,'2.1 LABOR STRUCTURE'!X32,'2.1 LABOR STRUCTURE'!X34)</f>
        <v>#N/A</v>
      </c>
      <c r="Y29" s="380" t="e">
        <f>(Y22*'2.1 LABOR STRUCTURE'!Y24+Y24*'2.1 LABOR STRUCTURE'!Y26+Y26*'2.1 LABOR STRUCTURE'!Y28)/SUM('2.1 LABOR STRUCTURE'!Y24,'2.1 LABOR STRUCTURE'!Y26,'2.1 LABOR STRUCTURE'!Y28,'2.1 LABOR STRUCTURE'!Y30,'2.1 LABOR STRUCTURE'!Y32,'2.1 LABOR STRUCTURE'!Y34)</f>
        <v>#N/A</v>
      </c>
      <c r="Z29" s="380">
        <f>(Z22*'2.1 LABOR STRUCTURE'!Z24+Z24*'2.1 LABOR STRUCTURE'!Z26+Z26*'2.1 LABOR STRUCTURE'!Z28)/SUM('2.1 LABOR STRUCTURE'!Z24,'2.1 LABOR STRUCTURE'!Z26,'2.1 LABOR STRUCTURE'!Z28,'2.1 LABOR STRUCTURE'!Z30,'2.1 LABOR STRUCTURE'!Z32,'2.1 LABOR STRUCTURE'!Z34)</f>
        <v>739.96695524785002</v>
      </c>
      <c r="AA29" s="190">
        <f>(AA22*'2.1 LABOR STRUCTURE'!AA24+AA24*'2.1 LABOR STRUCTURE'!AA26+AA26*'2.1 LABOR STRUCTURE'!AA28)/SUM('2.1 LABOR STRUCTURE'!AA24,'2.1 LABOR STRUCTURE'!AA26,'2.1 LABOR STRUCTURE'!AA28,'2.1 LABOR STRUCTURE'!AA30,'2.1 LABOR STRUCTURE'!AA32,'2.1 LABOR STRUCTURE'!AA34)</f>
        <v>748.61382772944114</v>
      </c>
      <c r="AB29" s="190">
        <f>(AB22*'2.1 LABOR STRUCTURE'!AB24+AB24*'2.1 LABOR STRUCTURE'!AB26+AB26*'2.1 LABOR STRUCTURE'!AB28)/SUM('2.1 LABOR STRUCTURE'!AB24,'2.1 LABOR STRUCTURE'!AB26,'2.1 LABOR STRUCTURE'!AB28,'2.1 LABOR STRUCTURE'!AB30,'2.1 LABOR STRUCTURE'!AB32,'2.1 LABOR STRUCTURE'!AB34)</f>
        <v>747.07974952117638</v>
      </c>
      <c r="AC29" s="190">
        <f>(AC22*'2.1 LABOR STRUCTURE'!AC24+AC24*'2.1 LABOR STRUCTURE'!AC26+AC26*'2.1 LABOR STRUCTURE'!AC28)/SUM('2.1 LABOR STRUCTURE'!AC24,'2.1 LABOR STRUCTURE'!AC26,'2.1 LABOR STRUCTURE'!AC28,'2.1 LABOR STRUCTURE'!AC30,'2.1 LABOR STRUCTURE'!AC32,'2.1 LABOR STRUCTURE'!AC34)</f>
        <v>725.00226922069226</v>
      </c>
      <c r="AD29" s="190">
        <f>(AD22*'2.1 LABOR STRUCTURE'!AD24+AD24*'2.1 LABOR STRUCTURE'!AD26+AD26*'2.1 LABOR STRUCTURE'!AD28)/SUM('2.1 LABOR STRUCTURE'!AD24,'2.1 LABOR STRUCTURE'!AD26,'2.1 LABOR STRUCTURE'!AD28,'2.1 LABOR STRUCTURE'!AD30,'2.1 LABOR STRUCTURE'!AD32,'2.1 LABOR STRUCTURE'!AD34)</f>
        <v>748.93297792254657</v>
      </c>
      <c r="AF29" s="93" t="s">
        <v>497</v>
      </c>
      <c r="AX29" s="506"/>
      <c r="AY29" s="506"/>
      <c r="AZ29" s="506"/>
      <c r="BA29" s="506"/>
    </row>
    <row r="30" spans="1:53" x14ac:dyDescent="0.2">
      <c r="A30" s="88"/>
      <c r="B30" s="292"/>
      <c r="H30" s="93"/>
      <c r="I30" s="93"/>
      <c r="J30" s="93"/>
      <c r="K30" s="93"/>
      <c r="L30" s="93"/>
      <c r="M30" s="93"/>
      <c r="N30" s="93"/>
      <c r="O30" s="93"/>
      <c r="P30" s="93"/>
      <c r="Q30" s="93"/>
      <c r="R30" s="93"/>
      <c r="S30" s="93"/>
      <c r="T30" s="93"/>
      <c r="U30" s="93"/>
      <c r="V30" s="93"/>
      <c r="W30" s="93"/>
      <c r="X30" s="93"/>
      <c r="Y30" s="93"/>
      <c r="Z30" s="384"/>
      <c r="AA30" s="583" t="s">
        <v>160</v>
      </c>
      <c r="AB30" s="583"/>
      <c r="AC30" s="583"/>
      <c r="AD30" s="583"/>
      <c r="AK30" s="453"/>
      <c r="AL30" s="453"/>
      <c r="AM30" s="453"/>
      <c r="AN30" s="453"/>
      <c r="AX30" s="453"/>
      <c r="AY30" s="453"/>
      <c r="AZ30" s="453"/>
      <c r="BA30" s="453"/>
    </row>
    <row r="31" spans="1:53" x14ac:dyDescent="0.2">
      <c r="A31" s="88"/>
      <c r="B31" s="292"/>
      <c r="H31" s="373" t="s">
        <v>220</v>
      </c>
      <c r="I31" s="93"/>
      <c r="J31" s="93"/>
      <c r="K31" s="93"/>
      <c r="L31" s="93"/>
      <c r="M31" s="93"/>
      <c r="N31" s="93"/>
      <c r="O31" s="93"/>
      <c r="P31" s="93"/>
      <c r="Q31" s="93"/>
      <c r="R31" s="93"/>
      <c r="S31" s="93"/>
      <c r="T31" s="93"/>
      <c r="U31" s="93"/>
      <c r="V31" s="93"/>
      <c r="W31" s="93"/>
      <c r="X31" s="93"/>
      <c r="Y31" s="93"/>
      <c r="Z31" s="93"/>
      <c r="AA31" s="93"/>
      <c r="AB31" s="93"/>
      <c r="AC31" s="93"/>
      <c r="AD31" s="93"/>
    </row>
    <row r="32" spans="1:53" ht="15" customHeight="1" x14ac:dyDescent="0.2">
      <c r="A32" s="88"/>
      <c r="B32" s="292"/>
      <c r="H32" s="93"/>
      <c r="I32" s="93"/>
      <c r="J32" s="93"/>
      <c r="K32" s="93"/>
      <c r="L32" s="93"/>
      <c r="M32" s="93"/>
      <c r="N32" s="93"/>
      <c r="O32" s="93"/>
      <c r="P32" s="93"/>
      <c r="Q32" s="93"/>
      <c r="R32" s="93"/>
      <c r="S32" s="93"/>
      <c r="T32" s="93"/>
      <c r="U32" s="93"/>
      <c r="V32" s="93"/>
      <c r="W32" s="93"/>
      <c r="X32" s="93"/>
      <c r="Y32" s="93"/>
      <c r="Z32" s="574" t="s">
        <v>221</v>
      </c>
      <c r="AA32" s="574"/>
      <c r="AB32" s="575" t="s">
        <v>55</v>
      </c>
      <c r="AC32" s="575"/>
      <c r="AD32" s="187" t="s">
        <v>164</v>
      </c>
      <c r="AF32" s="453"/>
      <c r="AK32" s="453"/>
      <c r="AL32" s="453"/>
      <c r="AM32" s="453"/>
      <c r="AN32" s="453"/>
    </row>
    <row r="33" spans="1:40" ht="15" customHeight="1" x14ac:dyDescent="0.2">
      <c r="A33" s="88" t="s">
        <v>517</v>
      </c>
      <c r="B33" s="292"/>
      <c r="H33" s="374" t="s">
        <v>167</v>
      </c>
      <c r="I33" s="93"/>
      <c r="J33" s="93"/>
      <c r="K33" s="93"/>
      <c r="L33" s="93"/>
      <c r="M33" s="93"/>
      <c r="N33" s="93"/>
      <c r="O33" s="93"/>
      <c r="P33" s="93"/>
      <c r="Q33" s="93"/>
      <c r="R33" s="93"/>
      <c r="S33" s="93"/>
      <c r="T33" s="93"/>
      <c r="U33" s="93"/>
      <c r="V33" s="93"/>
      <c r="W33" s="93"/>
      <c r="X33" s="93"/>
      <c r="Y33" s="93"/>
      <c r="Z33" s="574"/>
      <c r="AA33" s="574"/>
      <c r="AB33" s="187" t="s">
        <v>166</v>
      </c>
      <c r="AC33" s="188" t="s">
        <v>381</v>
      </c>
      <c r="AD33" s="187" t="s">
        <v>382</v>
      </c>
      <c r="AF33" s="453"/>
    </row>
    <row r="34" spans="1:40" x14ac:dyDescent="0.2">
      <c r="A34" s="88"/>
      <c r="B34" s="292"/>
      <c r="H34" s="578" t="s">
        <v>222</v>
      </c>
      <c r="I34" s="93"/>
      <c r="J34" s="93"/>
      <c r="K34" s="93"/>
      <c r="L34" s="93"/>
      <c r="M34" s="93"/>
      <c r="N34" s="93"/>
      <c r="O34" s="93"/>
      <c r="P34" s="93"/>
      <c r="Q34" s="93"/>
      <c r="R34" s="93"/>
      <c r="S34" s="93"/>
      <c r="T34" s="93"/>
      <c r="U34" s="93"/>
      <c r="V34" s="93"/>
      <c r="W34" s="93"/>
      <c r="X34" s="93"/>
      <c r="Y34" s="93"/>
      <c r="Z34" s="576" t="s">
        <v>145</v>
      </c>
      <c r="AA34" s="576"/>
      <c r="AB34" s="244">
        <f>AVERAGE(Z21:AB21)</f>
        <v>276.19972346803144</v>
      </c>
      <c r="AC34" s="244">
        <f>AVERAGE(AA21:AC21)</f>
        <v>265.9324768902091</v>
      </c>
      <c r="AD34" s="381">
        <f>AVERAGE(AB21:AD21)</f>
        <v>262.90163954041503</v>
      </c>
      <c r="AF34" s="453"/>
    </row>
    <row r="35" spans="1:40" x14ac:dyDescent="0.2">
      <c r="A35" s="88"/>
      <c r="H35" s="578"/>
      <c r="I35" s="93"/>
      <c r="J35" s="93"/>
      <c r="K35" s="93"/>
      <c r="L35" s="93"/>
      <c r="M35" s="93"/>
      <c r="N35" s="93"/>
      <c r="O35" s="93"/>
      <c r="P35" s="93"/>
      <c r="Q35" s="93"/>
      <c r="R35" s="93"/>
      <c r="S35" s="93"/>
      <c r="T35" s="93"/>
      <c r="U35" s="93"/>
      <c r="V35" s="93"/>
      <c r="W35" s="93"/>
      <c r="X35" s="93"/>
      <c r="Y35" s="93"/>
      <c r="Z35" s="576" t="s">
        <v>146</v>
      </c>
      <c r="AA35" s="576"/>
      <c r="AB35" s="244">
        <f t="shared" ref="AB35:AD42" si="27">AVERAGE(Z22:AB22)</f>
        <v>401.78598891746702</v>
      </c>
      <c r="AC35" s="244">
        <f t="shared" si="27"/>
        <v>402.91515937426647</v>
      </c>
      <c r="AD35" s="381">
        <f t="shared" si="27"/>
        <v>402.22594015679715</v>
      </c>
      <c r="AF35" s="453"/>
      <c r="AK35" s="453"/>
      <c r="AL35" s="453"/>
      <c r="AM35" s="453"/>
      <c r="AN35" s="453"/>
    </row>
    <row r="36" spans="1:40" x14ac:dyDescent="0.2">
      <c r="H36" s="578"/>
      <c r="I36" s="93"/>
      <c r="J36" s="93"/>
      <c r="K36" s="93"/>
      <c r="L36" s="93"/>
      <c r="M36" s="93"/>
      <c r="N36" s="93"/>
      <c r="O36" s="93"/>
      <c r="P36" s="93"/>
      <c r="Q36" s="93"/>
      <c r="R36" s="93"/>
      <c r="S36" s="93"/>
      <c r="T36" s="93"/>
      <c r="U36" s="93"/>
      <c r="V36" s="93"/>
      <c r="W36" s="93"/>
      <c r="X36" s="93"/>
      <c r="Y36" s="93"/>
      <c r="Z36" s="576" t="s">
        <v>147</v>
      </c>
      <c r="AA36" s="576"/>
      <c r="AB36" s="244">
        <f t="shared" si="27"/>
        <v>587.32388914496403</v>
      </c>
      <c r="AC36" s="244">
        <f t="shared" si="27"/>
        <v>546.78473725537299</v>
      </c>
      <c r="AD36" s="381">
        <f t="shared" si="27"/>
        <v>530.96410125759814</v>
      </c>
      <c r="AF36" s="453"/>
    </row>
    <row r="37" spans="1:40" x14ac:dyDescent="0.2">
      <c r="H37" s="578"/>
      <c r="I37" s="93"/>
      <c r="J37" s="93"/>
      <c r="K37" s="93"/>
      <c r="L37" s="93"/>
      <c r="M37" s="93"/>
      <c r="N37" s="93"/>
      <c r="O37" s="93"/>
      <c r="P37" s="93"/>
      <c r="Q37" s="93"/>
      <c r="R37" s="93"/>
      <c r="S37" s="93"/>
      <c r="T37" s="93"/>
      <c r="U37" s="93"/>
      <c r="V37" s="93"/>
      <c r="W37" s="93"/>
      <c r="X37" s="93"/>
      <c r="Y37" s="93"/>
      <c r="Z37" s="576" t="s">
        <v>148</v>
      </c>
      <c r="AA37" s="576"/>
      <c r="AB37" s="244">
        <f t="shared" si="27"/>
        <v>861.48985056137815</v>
      </c>
      <c r="AC37" s="244">
        <f t="shared" si="27"/>
        <v>829.98771382275447</v>
      </c>
      <c r="AD37" s="381">
        <f t="shared" si="27"/>
        <v>825.42166413978305</v>
      </c>
      <c r="AF37" s="453"/>
    </row>
    <row r="38" spans="1:40" s="93" customFormat="1" x14ac:dyDescent="0.2">
      <c r="A38" s="37"/>
      <c r="B38" s="115"/>
      <c r="C38" s="115"/>
      <c r="D38" s="115"/>
      <c r="H38" s="578"/>
      <c r="Z38" s="576" t="s">
        <v>150</v>
      </c>
      <c r="AA38" s="576"/>
      <c r="AB38" s="244">
        <f t="shared" si="27"/>
        <v>494.07983890322504</v>
      </c>
      <c r="AC38" s="244">
        <f t="shared" si="27"/>
        <v>485.10101004703171</v>
      </c>
      <c r="AD38" s="381">
        <f t="shared" si="27"/>
        <v>484.75804128478075</v>
      </c>
      <c r="AF38" s="453"/>
    </row>
    <row r="39" spans="1:40" s="93" customFormat="1" x14ac:dyDescent="0.2">
      <c r="A39" s="115"/>
      <c r="B39" s="115"/>
      <c r="C39" s="115"/>
      <c r="D39" s="115"/>
      <c r="Z39" s="576" t="s">
        <v>152</v>
      </c>
      <c r="AA39" s="576"/>
      <c r="AB39" s="244">
        <f t="shared" si="27"/>
        <v>1198.7336229479404</v>
      </c>
      <c r="AC39" s="244">
        <f t="shared" si="27"/>
        <v>1192.5974724347325</v>
      </c>
      <c r="AD39" s="381">
        <f t="shared" si="27"/>
        <v>1193.753616693157</v>
      </c>
      <c r="AF39" s="453"/>
    </row>
    <row r="40" spans="1:40" s="93" customFormat="1" x14ac:dyDescent="0.2">
      <c r="A40" s="115"/>
      <c r="B40" s="115"/>
      <c r="C40" s="115"/>
      <c r="D40" s="115"/>
      <c r="Z40" s="577" t="s">
        <v>199</v>
      </c>
      <c r="AA40" s="577"/>
      <c r="AB40" s="245">
        <f t="shared" si="27"/>
        <v>639.21376204189698</v>
      </c>
      <c r="AC40" s="245">
        <f t="shared" si="27"/>
        <v>627.52040012085865</v>
      </c>
      <c r="AD40" s="382">
        <f t="shared" si="27"/>
        <v>624.71716906210065</v>
      </c>
      <c r="AF40" s="453"/>
    </row>
    <row r="41" spans="1:40" s="93" customFormat="1" x14ac:dyDescent="0.2">
      <c r="A41" s="115"/>
      <c r="B41" s="115"/>
      <c r="C41" s="115"/>
      <c r="D41" s="115"/>
      <c r="Z41" s="577" t="s">
        <v>218</v>
      </c>
      <c r="AA41" s="577"/>
      <c r="AB41" s="245">
        <f t="shared" si="27"/>
        <v>508.82562432340023</v>
      </c>
      <c r="AC41" s="245">
        <f t="shared" si="27"/>
        <v>487.11233743067714</v>
      </c>
      <c r="AD41" s="382">
        <f t="shared" si="27"/>
        <v>480.39756626951089</v>
      </c>
    </row>
    <row r="42" spans="1:40" s="93" customFormat="1" ht="14.1" customHeight="1" x14ac:dyDescent="0.2">
      <c r="A42" s="115"/>
      <c r="B42" s="115"/>
      <c r="C42" s="115"/>
      <c r="D42" s="115"/>
      <c r="Z42" s="573" t="s">
        <v>219</v>
      </c>
      <c r="AA42" s="573"/>
      <c r="AB42" s="246">
        <f t="shared" si="27"/>
        <v>745.22017749948918</v>
      </c>
      <c r="AC42" s="246">
        <f t="shared" si="27"/>
        <v>740.23194882376993</v>
      </c>
      <c r="AD42" s="383">
        <f t="shared" si="27"/>
        <v>740.33833222147166</v>
      </c>
    </row>
    <row r="43" spans="1:40" s="93" customFormat="1" x14ac:dyDescent="0.2">
      <c r="A43" s="115"/>
      <c r="B43" s="115"/>
      <c r="C43" s="115"/>
      <c r="D43" s="115"/>
    </row>
    <row r="44" spans="1:40" hidden="1" x14ac:dyDescent="0.2">
      <c r="A44" s="115"/>
      <c r="H44" s="93"/>
      <c r="I44" s="93"/>
      <c r="J44" s="93"/>
      <c r="K44" s="93"/>
      <c r="L44" s="93"/>
      <c r="M44" s="93"/>
      <c r="N44" s="93"/>
      <c r="O44" s="93"/>
      <c r="P44" s="93"/>
      <c r="Q44" s="93"/>
      <c r="R44" s="93"/>
      <c r="S44" s="93"/>
      <c r="T44" s="93"/>
      <c r="U44" s="93"/>
      <c r="V44" s="93"/>
      <c r="W44" s="93"/>
      <c r="X44" s="93"/>
      <c r="Y44" s="93"/>
      <c r="Z44" s="93"/>
      <c r="AA44" s="93"/>
      <c r="AB44" s="93"/>
      <c r="AC44" s="93"/>
      <c r="AD44" s="93"/>
    </row>
  </sheetData>
  <sheetProtection formatColumns="0" formatRows="0"/>
  <customSheetViews>
    <customSheetView guid="{5EB6DE45-64D9-4581-AE55-A519683B64F2}" hiddenRows="1" hiddenColumns="1" topLeftCell="V1">
      <selection activeCell="T37" sqref="T37"/>
      <pageMargins left="0.7" right="0.7" top="0.75" bottom="0.75" header="0.3" footer="0.3"/>
      <pageSetup paperSize="9" orientation="portrait" r:id="rId1"/>
    </customSheetView>
  </customSheetViews>
  <mergeCells count="32">
    <mergeCell ref="C11:D12"/>
    <mergeCell ref="C2:E2"/>
    <mergeCell ref="H2:BA2"/>
    <mergeCell ref="C4:E4"/>
    <mergeCell ref="H4:BA4"/>
    <mergeCell ref="C5:E6"/>
    <mergeCell ref="C7:D8"/>
    <mergeCell ref="C9:D10"/>
    <mergeCell ref="E9:E10"/>
    <mergeCell ref="H5:BA5"/>
    <mergeCell ref="AF7:AF8"/>
    <mergeCell ref="H7:H8"/>
    <mergeCell ref="AB7:AD7"/>
    <mergeCell ref="AY7:BA7"/>
    <mergeCell ref="H34:H38"/>
    <mergeCell ref="C13:D15"/>
    <mergeCell ref="E14:E15"/>
    <mergeCell ref="H17:AD17"/>
    <mergeCell ref="H19:H20"/>
    <mergeCell ref="AA30:AD30"/>
    <mergeCell ref="Z34:AA34"/>
    <mergeCell ref="Z35:AA35"/>
    <mergeCell ref="Z36:AA36"/>
    <mergeCell ref="AB19:AD19"/>
    <mergeCell ref="Z42:AA42"/>
    <mergeCell ref="Z32:AA33"/>
    <mergeCell ref="AB32:AC32"/>
    <mergeCell ref="Z37:AA37"/>
    <mergeCell ref="Z38:AA38"/>
    <mergeCell ref="Z39:AA39"/>
    <mergeCell ref="Z40:AA40"/>
    <mergeCell ref="Z41:AA41"/>
  </mergeCells>
  <conditionalFormatting sqref="AB27:AD29 AA21:AD26">
    <cfRule type="expression" dxfId="21" priority="57">
      <formula>AA21/Z21&gt;1.25</formula>
    </cfRule>
    <cfRule type="expression" dxfId="20" priority="58">
      <formula>AA21/Z21&lt;-1.25</formula>
    </cfRule>
  </conditionalFormatting>
  <conditionalFormatting sqref="Y3:AC3 Y14:AC15 AD32 Z16:AC16 AB32:AB42 AB55:AC1048576 Y54:AA1048576 AY8:BA8 AB19 AA21:AD26 AB20:AD29">
    <cfRule type="containsBlanks" priority="56">
      <formula>LEN(TRIM(Y3))=0</formula>
    </cfRule>
  </conditionalFormatting>
  <conditionalFormatting sqref="AY8:BA8 AA21:AD26 AB20:AD29">
    <cfRule type="cellIs" dxfId="19" priority="55" operator="lessThanOrEqual">
      <formula>0</formula>
    </cfRule>
  </conditionalFormatting>
  <conditionalFormatting sqref="AC34:AD42">
    <cfRule type="containsBlanks" priority="54">
      <formula>LEN(TRIM(AC34))=0</formula>
    </cfRule>
  </conditionalFormatting>
  <conditionalFormatting sqref="AD33">
    <cfRule type="expression" dxfId="18" priority="53">
      <formula>$AD34&lt;0</formula>
    </cfRule>
  </conditionalFormatting>
  <conditionalFormatting sqref="Z32 Z34:Z42">
    <cfRule type="containsBlanks" priority="22">
      <formula>LEN(TRIM(Z32))=0</formula>
    </cfRule>
  </conditionalFormatting>
  <conditionalFormatting sqref="AA21">
    <cfRule type="expression" dxfId="17" priority="15">
      <formula>AA21/Z21&gt;1.25</formula>
    </cfRule>
    <cfRule type="expression" dxfId="16" priority="16">
      <formula>AA21/Z21&lt;-1.25</formula>
    </cfRule>
  </conditionalFormatting>
  <conditionalFormatting sqref="AA21">
    <cfRule type="containsBlanks" priority="14">
      <formula>LEN(TRIM(AA21))=0</formula>
    </cfRule>
  </conditionalFormatting>
  <conditionalFormatting sqref="AA21">
    <cfRule type="cellIs" dxfId="15" priority="13" operator="lessThanOrEqual">
      <formula>0</formula>
    </cfRule>
  </conditionalFormatting>
  <conditionalFormatting sqref="AA27">
    <cfRule type="expression" dxfId="14" priority="11">
      <formula>AA27/Z27&gt;1.25</formula>
    </cfRule>
    <cfRule type="expression" dxfId="13" priority="12">
      <formula>AA27/Z27&lt;-1.25</formula>
    </cfRule>
  </conditionalFormatting>
  <conditionalFormatting sqref="AA27">
    <cfRule type="containsBlanks" priority="10">
      <formula>LEN(TRIM(AA27))=0</formula>
    </cfRule>
  </conditionalFormatting>
  <conditionalFormatting sqref="AA27">
    <cfRule type="cellIs" dxfId="12" priority="9" operator="lessThanOrEqual">
      <formula>0</formula>
    </cfRule>
  </conditionalFormatting>
  <conditionalFormatting sqref="AA28">
    <cfRule type="expression" dxfId="11" priority="7">
      <formula>AA28/Z28&gt;1.25</formula>
    </cfRule>
    <cfRule type="expression" dxfId="10" priority="8">
      <formula>AA28/Z28&lt;-1.25</formula>
    </cfRule>
  </conditionalFormatting>
  <conditionalFormatting sqref="AA28">
    <cfRule type="containsBlanks" priority="6">
      <formula>LEN(TRIM(AA28))=0</formula>
    </cfRule>
  </conditionalFormatting>
  <conditionalFormatting sqref="AA28">
    <cfRule type="cellIs" dxfId="9" priority="5" operator="lessThanOrEqual">
      <formula>0</formula>
    </cfRule>
  </conditionalFormatting>
  <conditionalFormatting sqref="AA29">
    <cfRule type="expression" dxfId="8" priority="3">
      <formula>AA29/Z29&gt;1.25</formula>
    </cfRule>
    <cfRule type="expression" dxfId="7" priority="4">
      <formula>AA29/Z29&lt;-1.25</formula>
    </cfRule>
  </conditionalFormatting>
  <conditionalFormatting sqref="AA29">
    <cfRule type="containsBlanks" priority="2">
      <formula>LEN(TRIM(AA29))=0</formula>
    </cfRule>
  </conditionalFormatting>
  <conditionalFormatting sqref="AA29">
    <cfRule type="cellIs" dxfId="6" priority="1" operator="lessThanOrEqual">
      <formula>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30" location="ELASTICITY!A1" display="Click to Revise Elasticities" xr:uid="{FEE0ABE2-A71C-41C3-92B7-8946B4A492D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81" r:id="rId5"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6"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7"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8"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5" id="{BFF05069-7FD7-4886-B73F-49299BA33B2A}">
            <xm:f>I$20='0. GUIDELINES'!$E$4</xm:f>
            <x14:dxf>
              <font>
                <color auto="1"/>
              </font>
              <fill>
                <patternFill>
                  <bgColor theme="9" tint="0.79998168889431442"/>
                </patternFill>
              </fill>
            </x14:dxf>
          </x14:cfRule>
          <xm:sqref>I20:AA20 I9:Z13 I21:Z21 I27:Z29 I22:AA26</xm:sqref>
        </x14:conditionalFormatting>
        <x14:conditionalFormatting xmlns:xm="http://schemas.microsoft.com/office/excel/2006/main">
          <x14:cfRule type="expression" priority="31" id="{78EEB5B0-FB05-4E39-94F0-FB8A2EE07774}">
            <xm:f>I$20='0.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30" id="{94B342CF-C173-49AF-AAEF-67B3330761A3}">
            <xm:f>AG$20='0.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28" id="{BEEED328-1A38-4AA1-ACA6-833A8B9BC407}">
            <xm:f>AG$8='0. GUIDELINES'!$E$4</xm:f>
            <x14:dxf>
              <font>
                <color auto="1"/>
              </font>
              <fill>
                <patternFill>
                  <bgColor theme="9" tint="0.79998168889431442"/>
                </patternFill>
              </fill>
            </x14:dxf>
          </x14:cfRule>
          <xm:sqref>AG7:AX13</xm:sqref>
        </x14:conditionalFormatting>
        <x14:conditionalFormatting xmlns:xm="http://schemas.microsoft.com/office/excel/2006/main">
          <x14:cfRule type="expression" priority="24" id="{7B776CAC-6FF9-48BC-8C47-05C103EDC263}">
            <xm:f>I$20='0.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18" id="{7AA3D348-14B3-4EC3-BDA5-52ED26215736}">
            <xm:f>I$20='0. GUIDELINES'!$E$4</xm:f>
            <x14:dxf>
              <font>
                <color auto="1"/>
              </font>
              <fill>
                <patternFill>
                  <bgColor theme="9" tint="0.79998168889431442"/>
                </patternFill>
              </fill>
            </x14:dxf>
          </x14:cfRule>
          <xm:sqref>I19:AA19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workbookViewId="0">
      <selection activeCell="U9" sqref="U9:V9"/>
    </sheetView>
  </sheetViews>
  <sheetFormatPr defaultColWidth="0" defaultRowHeight="0" customHeight="1" zeroHeight="1" x14ac:dyDescent="0.2"/>
  <cols>
    <col min="1" max="1" width="25.7109375" style="86" customWidth="1"/>
    <col min="2" max="2" width="3.140625" style="390" customWidth="1"/>
    <col min="3" max="3" width="46.140625" style="37" customWidth="1"/>
    <col min="4" max="4" width="16.28515625" style="37" bestFit="1" customWidth="1"/>
    <col min="5" max="5" width="9.140625" style="115" customWidth="1"/>
    <col min="6" max="6" width="10.5703125" style="31" bestFit="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00" t="s">
        <v>223</v>
      </c>
      <c r="D2" s="600"/>
      <c r="E2" s="600"/>
      <c r="F2" s="600"/>
      <c r="G2" s="600"/>
      <c r="H2" s="600"/>
      <c r="I2" s="600"/>
      <c r="J2" s="600"/>
      <c r="K2" s="600"/>
      <c r="L2" s="600"/>
      <c r="M2" s="600"/>
      <c r="N2" s="600"/>
      <c r="O2" s="600"/>
      <c r="P2" s="600"/>
      <c r="Q2" s="600"/>
      <c r="R2" s="600"/>
      <c r="S2" s="600"/>
      <c r="T2" s="600"/>
      <c r="U2" s="600"/>
      <c r="V2" s="600"/>
      <c r="W2" s="600"/>
      <c r="X2" s="600"/>
      <c r="Y2" s="600"/>
      <c r="Z2" s="600"/>
      <c r="AA2" s="600"/>
      <c r="AB2" s="600"/>
      <c r="AC2" s="600"/>
      <c r="AD2" s="600"/>
    </row>
    <row r="3" spans="1:31" s="93" customFormat="1" ht="14.25" x14ac:dyDescent="0.2">
      <c r="A3" s="390"/>
      <c r="B3" s="390"/>
      <c r="C3" s="115"/>
      <c r="D3" s="115"/>
      <c r="E3" s="115"/>
    </row>
    <row r="4" spans="1:31" ht="15" customHeight="1" x14ac:dyDescent="0.25">
      <c r="C4" s="601" t="s">
        <v>224</v>
      </c>
      <c r="D4" s="601"/>
      <c r="F4" s="205"/>
      <c r="G4" s="592" t="s">
        <v>225</v>
      </c>
      <c r="H4" s="592"/>
      <c r="I4" s="592"/>
      <c r="J4" s="592"/>
      <c r="K4" s="592"/>
      <c r="L4" s="592"/>
      <c r="M4" s="592"/>
      <c r="N4" s="592"/>
      <c r="O4" s="592"/>
      <c r="P4" s="592"/>
      <c r="Q4" s="592"/>
      <c r="R4" s="592"/>
      <c r="S4" s="592"/>
      <c r="T4" s="592"/>
      <c r="U4" s="592"/>
      <c r="V4" s="592"/>
      <c r="X4" s="93"/>
      <c r="Y4" s="93"/>
      <c r="Z4" s="93"/>
      <c r="AA4" s="93"/>
      <c r="AB4" s="93"/>
      <c r="AC4" s="93"/>
      <c r="AD4" s="93"/>
      <c r="AE4" s="93"/>
    </row>
    <row r="5" spans="1:31" ht="15" customHeight="1" x14ac:dyDescent="0.2">
      <c r="C5" s="601"/>
      <c r="D5" s="601"/>
      <c r="F5" s="392"/>
      <c r="G5" s="596" t="s">
        <v>121</v>
      </c>
      <c r="H5" s="596"/>
      <c r="I5" s="596"/>
      <c r="J5" s="596"/>
      <c r="K5" s="596"/>
      <c r="L5" s="596"/>
      <c r="M5" s="596"/>
      <c r="N5" s="596"/>
      <c r="O5" s="596"/>
      <c r="P5" s="596"/>
      <c r="Q5" s="596"/>
      <c r="R5" s="596"/>
      <c r="S5" s="596"/>
      <c r="T5" s="595" t="s">
        <v>7</v>
      </c>
      <c r="U5" s="595"/>
      <c r="V5" s="595"/>
      <c r="X5" s="93"/>
      <c r="Y5" s="93"/>
      <c r="Z5" s="93"/>
      <c r="AA5" s="93"/>
      <c r="AB5" s="93"/>
      <c r="AC5" s="93"/>
      <c r="AD5" s="93"/>
      <c r="AE5" s="93"/>
    </row>
    <row r="6" spans="1:31" ht="15.75" customHeight="1" x14ac:dyDescent="0.2">
      <c r="C6" s="601"/>
      <c r="D6" s="601"/>
      <c r="F6" s="392"/>
      <c r="G6" s="393">
        <v>2011</v>
      </c>
      <c r="H6" s="393">
        <v>2012</v>
      </c>
      <c r="I6" s="393">
        <v>2013</v>
      </c>
      <c r="J6" s="393">
        <v>2014</v>
      </c>
      <c r="K6" s="393">
        <v>2015</v>
      </c>
      <c r="L6" s="393">
        <v>2016</v>
      </c>
      <c r="M6" s="393">
        <v>2017</v>
      </c>
      <c r="N6" s="393">
        <v>2018</v>
      </c>
      <c r="O6" s="393">
        <v>2019</v>
      </c>
      <c r="P6" s="393">
        <v>2020</v>
      </c>
      <c r="Q6" s="393">
        <v>2021</v>
      </c>
      <c r="R6" s="393">
        <v>2022</v>
      </c>
      <c r="S6" s="393">
        <v>2023</v>
      </c>
      <c r="T6" s="206">
        <v>2024</v>
      </c>
      <c r="U6" s="206">
        <v>2025</v>
      </c>
      <c r="V6" s="206">
        <v>2026</v>
      </c>
      <c r="X6" s="93"/>
      <c r="Y6" s="93"/>
      <c r="Z6" s="93"/>
      <c r="AA6" s="93"/>
      <c r="AB6" s="93"/>
      <c r="AC6" s="93"/>
      <c r="AD6" s="93"/>
      <c r="AE6" s="93"/>
    </row>
    <row r="7" spans="1:31" ht="14.25" customHeight="1" x14ac:dyDescent="0.2">
      <c r="C7" s="199" t="s">
        <v>226</v>
      </c>
      <c r="D7" s="597"/>
      <c r="F7" s="393" t="s">
        <v>227</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v>21610.73</v>
      </c>
      <c r="T7" s="208">
        <v>23912</v>
      </c>
      <c r="U7" s="208">
        <v>25000</v>
      </c>
      <c r="V7" s="208">
        <v>26500</v>
      </c>
      <c r="X7" s="93"/>
      <c r="Y7" s="93"/>
      <c r="Z7" s="93"/>
      <c r="AA7" s="93"/>
      <c r="AB7" s="93"/>
      <c r="AC7" s="93"/>
      <c r="AD7" s="93"/>
      <c r="AE7" s="93"/>
    </row>
    <row r="8" spans="1:31" ht="14.25" customHeight="1" x14ac:dyDescent="0.2">
      <c r="C8" s="198" t="s">
        <v>228</v>
      </c>
      <c r="D8" s="597"/>
      <c r="F8" s="395" t="s">
        <v>229</v>
      </c>
      <c r="G8" s="396"/>
      <c r="H8" s="396">
        <f>(+H7/G7-1)*100</f>
        <v>9.3047210300429164</v>
      </c>
      <c r="I8" s="396">
        <f t="shared" ref="I8:Q8" si="0">(+I7/H7-1)*100</f>
        <v>12.596199151876796</v>
      </c>
      <c r="J8" s="396">
        <f t="shared" si="0"/>
        <v>-1.5483331008508627</v>
      </c>
      <c r="K8" s="396">
        <f t="shared" si="0"/>
        <v>7.4667044488524015</v>
      </c>
      <c r="L8" s="396">
        <f t="shared" si="0"/>
        <v>-2.9861568885959366</v>
      </c>
      <c r="M8" s="396">
        <f t="shared" si="0"/>
        <v>-13.236393286675208</v>
      </c>
      <c r="N8" s="396">
        <f t="shared" si="0"/>
        <v>17.331036103062146</v>
      </c>
      <c r="O8" s="396">
        <f t="shared" si="0"/>
        <v>9.5981844880523184</v>
      </c>
      <c r="P8" s="396">
        <f t="shared" si="0"/>
        <v>10.870894214372617</v>
      </c>
      <c r="Q8" s="396">
        <f t="shared" si="0"/>
        <v>36.103866357253047</v>
      </c>
      <c r="R8" s="396">
        <f>(+R7/Q7-1)*100</f>
        <v>-15.118548082127003</v>
      </c>
      <c r="S8" s="396">
        <f t="shared" ref="S8" si="1">(+S7/R7-1)*100</f>
        <v>2.7532275120198957</v>
      </c>
      <c r="T8" s="207">
        <f>(+T7/S7-1)*100</f>
        <v>10.648737918617289</v>
      </c>
      <c r="U8" s="207">
        <f>(+U7/T7-1)*100</f>
        <v>4.5500167280026815</v>
      </c>
      <c r="V8" s="207">
        <f t="shared" ref="V8" si="2">(+V7/U7-1)*100</f>
        <v>6.0000000000000053</v>
      </c>
      <c r="X8" s="93"/>
      <c r="Y8" s="93"/>
      <c r="Z8" s="93"/>
      <c r="AA8" s="93"/>
      <c r="AB8" s="93"/>
      <c r="AC8" s="93"/>
      <c r="AD8" s="93"/>
      <c r="AE8" s="93"/>
    </row>
    <row r="9" spans="1:31" ht="16.5" customHeight="1" x14ac:dyDescent="0.2">
      <c r="C9" s="200" t="s">
        <v>230</v>
      </c>
      <c r="D9" s="202"/>
      <c r="F9" s="594" t="s">
        <v>231</v>
      </c>
      <c r="G9" s="594"/>
      <c r="H9" s="594"/>
      <c r="I9" s="594"/>
      <c r="J9" s="594"/>
      <c r="K9" s="594"/>
      <c r="L9" s="594"/>
      <c r="M9" s="594"/>
      <c r="N9" s="594"/>
      <c r="O9" s="594"/>
      <c r="P9" s="594"/>
      <c r="Q9" s="594"/>
      <c r="R9" s="594"/>
      <c r="S9" s="399"/>
      <c r="T9" s="400" t="s">
        <v>232</v>
      </c>
      <c r="U9" s="593" t="str">
        <f>[1]inflows!$D$2</f>
        <v>mfbxfstremtcd</v>
      </c>
      <c r="V9" s="593"/>
      <c r="X9" s="93"/>
      <c r="Y9" s="93"/>
      <c r="Z9" s="93"/>
      <c r="AA9" s="93"/>
      <c r="AB9" s="93"/>
      <c r="AC9" s="93"/>
      <c r="AD9" s="93"/>
      <c r="AE9" s="93"/>
    </row>
    <row r="10" spans="1:31" ht="19.5" customHeight="1" x14ac:dyDescent="0.2">
      <c r="A10" s="88" t="str">
        <f>'0. GUIDELINES'!E3&amp;"_"&amp;'CONTROL '!N1</f>
        <v>BGD_remittances</v>
      </c>
      <c r="B10" s="292"/>
      <c r="C10" s="198" t="s">
        <v>233</v>
      </c>
      <c r="D10" s="203" t="s">
        <v>234</v>
      </c>
      <c r="F10" s="93"/>
      <c r="G10" s="397"/>
      <c r="H10" s="98"/>
      <c r="I10" s="98"/>
      <c r="J10" s="98"/>
      <c r="K10" s="98"/>
      <c r="L10" s="98"/>
      <c r="M10" s="98"/>
      <c r="N10" s="98"/>
      <c r="O10" s="98"/>
      <c r="P10" s="397"/>
      <c r="Q10" s="398"/>
      <c r="R10" s="98"/>
      <c r="S10" s="98"/>
      <c r="T10" s="98"/>
      <c r="U10" s="98"/>
      <c r="V10" s="98"/>
      <c r="X10" s="93"/>
      <c r="Y10" s="93"/>
      <c r="Z10" s="93"/>
      <c r="AA10" s="93"/>
      <c r="AB10" s="93"/>
      <c r="AC10" s="93"/>
      <c r="AD10" s="93"/>
      <c r="AE10" s="93"/>
    </row>
    <row r="11" spans="1:31" ht="15.6" customHeight="1" x14ac:dyDescent="0.2">
      <c r="A11" s="88" t="str">
        <f>'0. GUIDELINES'!E3&amp;"_"&amp;'CONTROL '!N2</f>
        <v>BGD_gr_remittances</v>
      </c>
      <c r="B11" s="292"/>
      <c r="C11" s="201" t="s">
        <v>235</v>
      </c>
      <c r="D11" s="204" t="s">
        <v>236</v>
      </c>
      <c r="F11" s="93"/>
      <c r="G11" s="397"/>
      <c r="H11" s="98"/>
      <c r="I11" s="98"/>
      <c r="J11" s="98"/>
      <c r="K11" s="98"/>
      <c r="L11" s="98"/>
      <c r="M11" s="98"/>
      <c r="N11" s="98"/>
      <c r="O11" s="98"/>
      <c r="P11" s="397"/>
      <c r="Q11" s="398"/>
      <c r="R11" s="98"/>
      <c r="S11" s="98"/>
      <c r="T11" s="98"/>
      <c r="U11" s="98"/>
      <c r="V11" s="98"/>
      <c r="X11" s="93"/>
      <c r="Y11" s="93"/>
      <c r="Z11" s="93"/>
      <c r="AA11" s="93"/>
      <c r="AB11" s="93"/>
      <c r="AC11" s="93"/>
      <c r="AD11" s="93"/>
      <c r="AE11" s="93"/>
    </row>
    <row r="12" spans="1:31" ht="16.5" customHeight="1" x14ac:dyDescent="0.2">
      <c r="C12" s="201" t="s">
        <v>237</v>
      </c>
      <c r="D12" s="204" t="s">
        <v>238</v>
      </c>
      <c r="F12" s="93"/>
      <c r="G12" s="397"/>
      <c r="H12" s="98"/>
      <c r="I12" s="98"/>
      <c r="J12" s="98"/>
      <c r="K12" s="98"/>
      <c r="L12" s="98"/>
      <c r="M12" s="98"/>
      <c r="N12" s="98"/>
      <c r="O12" s="98"/>
      <c r="P12" s="397"/>
      <c r="Q12" s="398"/>
      <c r="R12" s="98"/>
      <c r="S12" s="98"/>
      <c r="T12" s="98"/>
      <c r="U12" s="98"/>
      <c r="V12" s="98"/>
      <c r="X12" s="93"/>
      <c r="Y12" s="93"/>
      <c r="Z12" s="93"/>
      <c r="AA12" s="93"/>
      <c r="AB12" s="93"/>
      <c r="AC12" s="93"/>
      <c r="AD12" s="93"/>
      <c r="AE12" s="93"/>
    </row>
    <row r="13" spans="1:31" ht="16.5" customHeight="1" x14ac:dyDescent="0.2">
      <c r="C13" s="598" t="str">
        <f>IF($D$12="Yes", "If you want to make changes to public transfers, please contact us using the link below. ", "Transfers are held constant in real terms.")</f>
        <v>Transfers are held constant in real terms.</v>
      </c>
      <c r="D13" s="598"/>
      <c r="F13" s="93"/>
      <c r="G13" s="397"/>
      <c r="H13" s="98"/>
      <c r="I13" s="98"/>
      <c r="J13" s="98"/>
      <c r="K13" s="98"/>
      <c r="L13" s="98"/>
      <c r="M13" s="98"/>
      <c r="N13" s="98"/>
      <c r="O13" s="98"/>
      <c r="P13" s="397"/>
      <c r="Q13" s="398"/>
      <c r="R13" s="98"/>
      <c r="S13" s="98"/>
      <c r="T13" s="98"/>
      <c r="U13" s="98"/>
      <c r="V13" s="98"/>
      <c r="X13" s="93"/>
      <c r="Y13" s="93"/>
      <c r="Z13" s="93"/>
      <c r="AA13" s="93"/>
      <c r="AB13" s="93"/>
      <c r="AC13" s="93"/>
      <c r="AD13" s="93"/>
      <c r="AE13" s="93"/>
    </row>
    <row r="14" spans="1:31" ht="16.5" customHeight="1" x14ac:dyDescent="0.2">
      <c r="C14" s="598"/>
      <c r="D14" s="598"/>
      <c r="F14" s="93"/>
      <c r="G14" s="397"/>
      <c r="H14" s="98"/>
      <c r="I14" s="98"/>
      <c r="J14" s="98"/>
      <c r="K14" s="98"/>
      <c r="L14" s="98"/>
      <c r="M14" s="98"/>
      <c r="N14" s="98"/>
      <c r="O14" s="98"/>
      <c r="P14" s="397"/>
      <c r="Q14" s="398"/>
      <c r="R14" s="98"/>
      <c r="S14" s="98"/>
      <c r="T14" s="98"/>
      <c r="U14" s="98"/>
      <c r="V14" s="98"/>
      <c r="X14" s="93"/>
      <c r="Y14" s="93"/>
      <c r="Z14" s="93"/>
      <c r="AA14" s="93"/>
      <c r="AB14" s="93"/>
      <c r="AC14" s="93"/>
      <c r="AD14" s="93"/>
      <c r="AE14" s="93"/>
    </row>
    <row r="15" spans="1:31" ht="16.5" customHeight="1" x14ac:dyDescent="0.2">
      <c r="C15" s="599" t="s">
        <v>125</v>
      </c>
      <c r="D15" s="599"/>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5">
      <c r="C16" s="391"/>
      <c r="D16" s="391"/>
      <c r="F16" s="205"/>
      <c r="G16" s="592" t="s">
        <v>239</v>
      </c>
      <c r="H16" s="592"/>
      <c r="I16" s="592"/>
      <c r="J16" s="592"/>
      <c r="K16" s="592"/>
      <c r="L16" s="592"/>
      <c r="M16" s="592"/>
      <c r="N16" s="592"/>
      <c r="O16" s="592"/>
      <c r="P16" s="592"/>
      <c r="Q16" s="592"/>
      <c r="R16" s="592"/>
      <c r="S16" s="592"/>
      <c r="T16" s="592"/>
      <c r="U16" s="592"/>
      <c r="V16" s="592"/>
      <c r="X16" s="93"/>
      <c r="Y16" s="93"/>
      <c r="Z16" s="93"/>
      <c r="AA16" s="93"/>
      <c r="AB16" s="93"/>
      <c r="AC16" s="93"/>
      <c r="AD16" s="93"/>
      <c r="AE16" s="93"/>
    </row>
    <row r="17" spans="3:35" ht="16.5" customHeight="1" x14ac:dyDescent="0.2">
      <c r="C17" s="391"/>
      <c r="D17" s="391"/>
      <c r="F17" s="93"/>
      <c r="G17" s="596" t="s">
        <v>121</v>
      </c>
      <c r="H17" s="596"/>
      <c r="I17" s="596"/>
      <c r="J17" s="596"/>
      <c r="K17" s="596"/>
      <c r="L17" s="596"/>
      <c r="M17" s="596"/>
      <c r="N17" s="596"/>
      <c r="O17" s="596"/>
      <c r="P17" s="596"/>
      <c r="Q17" s="596"/>
      <c r="R17" s="596"/>
      <c r="S17" s="596"/>
      <c r="T17" s="595" t="s">
        <v>7</v>
      </c>
      <c r="U17" s="595"/>
      <c r="V17" s="595"/>
      <c r="X17" s="93"/>
      <c r="Y17" s="93"/>
      <c r="Z17" s="93"/>
      <c r="AA17" s="93"/>
      <c r="AB17" s="93"/>
      <c r="AC17" s="93"/>
      <c r="AD17" s="93"/>
      <c r="AE17" s="93"/>
    </row>
    <row r="18" spans="3:35" ht="16.5" customHeight="1" x14ac:dyDescent="0.2">
      <c r="C18" s="391"/>
      <c r="D18" s="391"/>
      <c r="F18" s="125"/>
      <c r="G18" s="393">
        <v>2011</v>
      </c>
      <c r="H18" s="393">
        <v>2012</v>
      </c>
      <c r="I18" s="393">
        <v>2013</v>
      </c>
      <c r="J18" s="393">
        <v>2014</v>
      </c>
      <c r="K18" s="393">
        <v>2015</v>
      </c>
      <c r="L18" s="393">
        <v>2016</v>
      </c>
      <c r="M18" s="393">
        <v>2017</v>
      </c>
      <c r="N18" s="393">
        <v>2018</v>
      </c>
      <c r="O18" s="401">
        <v>2019</v>
      </c>
      <c r="P18" s="393">
        <v>2020</v>
      </c>
      <c r="Q18" s="393">
        <v>2021</v>
      </c>
      <c r="R18" s="393">
        <v>2022</v>
      </c>
      <c r="S18" s="393">
        <v>2023</v>
      </c>
      <c r="T18" s="206">
        <v>2024</v>
      </c>
      <c r="U18" s="206">
        <v>2025</v>
      </c>
      <c r="V18" s="206">
        <v>2026</v>
      </c>
      <c r="X18" s="93"/>
      <c r="Y18" s="93"/>
      <c r="Z18" s="93"/>
      <c r="AA18" s="93"/>
      <c r="AB18" s="93"/>
      <c r="AC18" s="93"/>
      <c r="AD18" s="93"/>
      <c r="AE18" s="93"/>
    </row>
    <row r="19" spans="3:35" ht="16.5" customHeight="1" x14ac:dyDescent="0.2">
      <c r="C19" s="391"/>
      <c r="D19" s="391"/>
      <c r="F19" s="395" t="s">
        <v>229</v>
      </c>
      <c r="G19" s="402"/>
      <c r="H19" s="402">
        <f>'1. GDP'!O40</f>
        <v>6.5214370673565503</v>
      </c>
      <c r="I19" s="402">
        <f>'1. GDP'!P40</f>
        <v>6.0136003720140385</v>
      </c>
      <c r="J19" s="402">
        <f>'1. GDP'!Q40</f>
        <v>6.0610860042506376</v>
      </c>
      <c r="K19" s="402">
        <f>'1. GDP'!R40</f>
        <v>6.5526448353302902</v>
      </c>
      <c r="L19" s="402">
        <f>'1. GDP'!S40</f>
        <v>7.1134728556473181</v>
      </c>
      <c r="M19" s="402">
        <f>'1. GDP'!T40</f>
        <v>6.5902394107701268</v>
      </c>
      <c r="N19" s="396">
        <f>'1. GDP'!U40</f>
        <v>7.3194122993388344</v>
      </c>
      <c r="O19" s="396">
        <f>'1. GDP'!V40</f>
        <v>7.8819021854025229</v>
      </c>
      <c r="P19" s="396">
        <f>'1. GDP'!W40</f>
        <v>3.4480295312287579</v>
      </c>
      <c r="Q19" s="396">
        <f>'1. GDP'!X40</f>
        <v>6.938675089101598</v>
      </c>
      <c r="R19" s="396">
        <f>'1. GDP'!Y40</f>
        <v>7.099828775751571</v>
      </c>
      <c r="S19" s="396">
        <f>'1. GDP'!Z40</f>
        <v>5.7751090753483725</v>
      </c>
      <c r="T19" s="207">
        <f>'1. GDP'!AA40</f>
        <v>5.2177536312238093</v>
      </c>
      <c r="U19" s="207">
        <f>'1. GDP'!AB40</f>
        <v>3.9513981480802318</v>
      </c>
      <c r="V19" s="207">
        <f>'1. GDP'!AC40</f>
        <v>5.4696937322054273</v>
      </c>
      <c r="X19" s="93"/>
      <c r="Y19" s="93"/>
      <c r="Z19" s="93"/>
      <c r="AA19" s="93"/>
      <c r="AB19" s="93"/>
      <c r="AC19" s="93"/>
      <c r="AD19" s="93"/>
      <c r="AE19" s="93"/>
    </row>
    <row r="20" spans="3:35" ht="15.75" customHeight="1" x14ac:dyDescent="0.2">
      <c r="C20" s="391"/>
      <c r="D20" s="391"/>
      <c r="F20" s="93"/>
      <c r="G20" s="294"/>
      <c r="H20" s="294"/>
      <c r="I20" s="294"/>
      <c r="J20" s="294"/>
      <c r="K20" s="294"/>
      <c r="L20" s="294"/>
      <c r="M20" s="294"/>
      <c r="N20" s="294"/>
      <c r="O20" s="294"/>
      <c r="P20" s="294"/>
      <c r="Q20" s="294"/>
      <c r="R20" s="294"/>
      <c r="S20" s="294"/>
      <c r="T20" s="294"/>
      <c r="U20" s="294"/>
      <c r="V20" s="93"/>
      <c r="X20" s="93"/>
      <c r="Y20" s="93"/>
      <c r="Z20" s="93"/>
      <c r="AA20" s="93"/>
      <c r="AB20" s="93"/>
      <c r="AC20" s="93"/>
      <c r="AD20" s="93"/>
      <c r="AE20" s="93"/>
    </row>
    <row r="21" spans="3:35" ht="15.75" customHeight="1" x14ac:dyDescent="0.2">
      <c r="C21" s="391"/>
      <c r="D21" s="391"/>
      <c r="F21" s="93"/>
      <c r="G21" s="93"/>
      <c r="H21" s="93"/>
      <c r="I21" s="93"/>
      <c r="J21" s="93"/>
      <c r="K21" s="93"/>
      <c r="L21" s="93"/>
      <c r="M21" s="93"/>
      <c r="N21" s="93"/>
      <c r="O21" s="93"/>
      <c r="P21" s="93"/>
      <c r="Q21" s="93"/>
      <c r="R21" s="93"/>
      <c r="S21" s="93"/>
      <c r="T21" s="93"/>
      <c r="U21" s="93"/>
      <c r="V21" s="93"/>
      <c r="W21" s="294"/>
      <c r="X21" s="93"/>
      <c r="Y21" s="93"/>
      <c r="Z21" s="93"/>
      <c r="AA21" s="93"/>
      <c r="AB21" s="93"/>
      <c r="AC21" s="93"/>
      <c r="AD21" s="93"/>
      <c r="AE21" s="93"/>
      <c r="AI21" s="43"/>
    </row>
    <row r="22" spans="3:35" ht="15.6" customHeight="1" x14ac:dyDescent="0.2">
      <c r="C22" s="115"/>
      <c r="D22" s="115"/>
      <c r="E22" s="124"/>
      <c r="F22" s="93"/>
      <c r="G22" s="93"/>
      <c r="H22" s="93"/>
      <c r="I22" s="93"/>
      <c r="J22" s="93"/>
      <c r="K22" s="93"/>
      <c r="L22" s="93"/>
      <c r="M22" s="93"/>
      <c r="N22" s="93"/>
      <c r="O22" s="93"/>
      <c r="P22" s="93"/>
      <c r="Q22" s="93"/>
      <c r="R22" s="93"/>
      <c r="S22" s="93"/>
      <c r="T22" s="93"/>
      <c r="U22" s="93"/>
      <c r="V22" s="93"/>
      <c r="W22" s="294"/>
      <c r="X22" s="93"/>
      <c r="Y22" s="93"/>
      <c r="Z22" s="93"/>
      <c r="AA22" s="93"/>
      <c r="AB22" s="93"/>
      <c r="AC22" s="93"/>
      <c r="AD22" s="93"/>
      <c r="AE22" s="93"/>
    </row>
    <row r="23" spans="3:35" ht="15" customHeight="1" x14ac:dyDescent="0.2">
      <c r="C23" s="115"/>
      <c r="D23" s="115"/>
      <c r="F23" s="93"/>
      <c r="G23" s="93"/>
      <c r="H23" s="93"/>
      <c r="I23" s="93"/>
      <c r="J23" s="93"/>
      <c r="K23" s="93"/>
      <c r="L23" s="93"/>
      <c r="M23" s="93"/>
      <c r="N23" s="93"/>
      <c r="O23" s="93"/>
      <c r="P23" s="93"/>
      <c r="Q23" s="93"/>
      <c r="R23" s="93"/>
      <c r="S23" s="93"/>
      <c r="T23" s="93"/>
      <c r="U23" s="93"/>
      <c r="V23" s="93"/>
      <c r="X23" s="93"/>
      <c r="Y23" s="93"/>
      <c r="Z23" s="93"/>
      <c r="AA23" s="93"/>
      <c r="AB23" s="93"/>
      <c r="AC23" s="93"/>
      <c r="AD23" s="93"/>
      <c r="AE23" s="93"/>
      <c r="AI23" s="43"/>
    </row>
    <row r="24" spans="3:35" ht="15" customHeight="1" x14ac:dyDescent="0.2">
      <c r="C24" s="115"/>
      <c r="D24" s="115"/>
      <c r="F24" s="93"/>
      <c r="G24" s="93"/>
      <c r="H24" s="93"/>
      <c r="I24" s="93"/>
      <c r="J24" s="93"/>
      <c r="K24" s="93"/>
      <c r="L24" s="93"/>
      <c r="M24" s="93"/>
      <c r="N24" s="93"/>
      <c r="O24" s="93"/>
      <c r="P24" s="93"/>
      <c r="Q24" s="93"/>
      <c r="R24" s="93"/>
      <c r="S24" s="93"/>
      <c r="T24" s="93"/>
      <c r="U24" s="93"/>
      <c r="V24" s="93"/>
      <c r="X24" s="93"/>
      <c r="Y24" s="93"/>
      <c r="Z24" s="93"/>
      <c r="AA24" s="93"/>
      <c r="AB24" s="93"/>
      <c r="AC24" s="93"/>
      <c r="AD24" s="93"/>
      <c r="AE24" s="93"/>
      <c r="AI24" s="43"/>
    </row>
    <row r="25" spans="3:35" ht="15" customHeight="1" x14ac:dyDescent="0.2">
      <c r="C25" s="115"/>
      <c r="D25" s="115"/>
      <c r="F25" s="93"/>
      <c r="G25" s="93"/>
      <c r="H25" s="93"/>
      <c r="I25" s="93"/>
      <c r="J25" s="93"/>
      <c r="K25" s="93"/>
      <c r="L25" s="93"/>
      <c r="M25" s="93"/>
      <c r="N25" s="93"/>
      <c r="O25" s="93"/>
      <c r="P25" s="93"/>
      <c r="Q25" s="93"/>
      <c r="R25" s="93"/>
      <c r="S25" s="93"/>
      <c r="T25" s="93"/>
      <c r="U25" s="93"/>
      <c r="V25" s="93"/>
      <c r="X25" s="93"/>
      <c r="Y25" s="93"/>
      <c r="Z25" s="93"/>
      <c r="AA25" s="93"/>
      <c r="AB25" s="93"/>
      <c r="AC25" s="93"/>
      <c r="AD25" s="93"/>
      <c r="AE25" s="93"/>
    </row>
    <row r="26" spans="3:35" ht="15.75" customHeight="1" x14ac:dyDescent="0.2">
      <c r="C26" s="115"/>
      <c r="D26" s="115"/>
      <c r="F26" s="93"/>
      <c r="G26" s="93"/>
      <c r="H26" s="93"/>
      <c r="I26" s="93"/>
      <c r="J26" s="93"/>
      <c r="K26" s="93"/>
      <c r="L26" s="93"/>
      <c r="M26" s="93"/>
      <c r="N26" s="93"/>
      <c r="O26" s="93"/>
      <c r="P26" s="93"/>
      <c r="Q26" s="93"/>
      <c r="R26" s="93"/>
      <c r="S26" s="93"/>
      <c r="T26" s="93"/>
      <c r="U26" s="93"/>
      <c r="V26" s="93"/>
      <c r="X26" s="93"/>
      <c r="Y26" s="93"/>
      <c r="Z26" s="93"/>
      <c r="AA26" s="93"/>
      <c r="AB26" s="93"/>
      <c r="AC26" s="93"/>
      <c r="AD26" s="93"/>
      <c r="AE26" s="93"/>
      <c r="AI26" s="43"/>
    </row>
    <row r="27" spans="3:35" ht="14.25"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row>
    <row r="28" spans="3:35" ht="14.25" hidden="1" x14ac:dyDescent="0.2">
      <c r="AI28" s="43"/>
    </row>
    <row r="29" spans="3:35" ht="14.25" hidden="1" x14ac:dyDescent="0.2"/>
    <row r="30" spans="3:35" ht="14.25" hidden="1" x14ac:dyDescent="0.2">
      <c r="AI30" s="43"/>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insertColumns="0"/>
  <protectedRanges>
    <protectedRange sqref="D11:D12" name="Range2"/>
    <protectedRange sqref="S8:V8" name="Rango2"/>
    <protectedRange sqref="N19:V19" name="Rango3"/>
  </protectedRanges>
  <customSheetViews>
    <customSheetView guid="{5EB6DE45-64D9-4581-AE55-A519683B64F2}" hiddenRows="1" hiddenColumns="1">
      <selection activeCell="S27" sqref="S27"/>
      <pageMargins left="0.7" right="0.7" top="0.75" bottom="0.75" header="0.3" footer="0.3"/>
      <pageSetup paperSize="9" orientation="portrait" r:id="rId1"/>
    </customSheetView>
  </customSheetViews>
  <mergeCells count="13">
    <mergeCell ref="D7:D8"/>
    <mergeCell ref="G4:V4"/>
    <mergeCell ref="C13:D14"/>
    <mergeCell ref="C15:D15"/>
    <mergeCell ref="C2:AD2"/>
    <mergeCell ref="C4:D6"/>
    <mergeCell ref="G16:V16"/>
    <mergeCell ref="U9:V9"/>
    <mergeCell ref="F9:R9"/>
    <mergeCell ref="T5:V5"/>
    <mergeCell ref="T17:V17"/>
    <mergeCell ref="G5:S5"/>
    <mergeCell ref="G17:S17"/>
  </mergeCells>
  <hyperlinks>
    <hyperlink ref="D10" location="'1. GDP'!A1" display="Click to go to GDP" xr:uid="{18461297-A804-483C-90D1-FDDE1F0F24AD}"/>
    <hyperlink ref="C15" r:id="rId2" xr:uid="{5880B7CA-8F0A-4C8C-9A37-2F95909D2E6E}"/>
    <hyperlink ref="C15:D15" r:id="rId3" display="CONTACT US" xr:uid="{D72CAAA6-B857-4E35-8665-72484804B4B4}"/>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8849" r:id="rId7"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8"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7C179-E6DA-4479-BB72-8F523CDAB220}">
  <sheetPr codeName="Sheet17">
    <tabColor rgb="FF860000"/>
  </sheetPr>
  <dimension ref="A1:AX48"/>
  <sheetViews>
    <sheetView topLeftCell="B1" workbookViewId="0">
      <selection activeCell="G7" sqref="G7:V7"/>
    </sheetView>
  </sheetViews>
  <sheetFormatPr defaultColWidth="0" defaultRowHeight="0" customHeight="1" zeroHeight="1" x14ac:dyDescent="0.2"/>
  <cols>
    <col min="1" max="1" width="25.7109375" style="86" customWidth="1"/>
    <col min="2" max="2" width="3.140625" style="390" customWidth="1"/>
    <col min="3" max="3" width="50.7109375" style="37" customWidth="1"/>
    <col min="4" max="4" width="16.28515625" style="37" bestFit="1" customWidth="1"/>
    <col min="5" max="5" width="9.140625" style="115" customWidth="1"/>
    <col min="6" max="6" width="15.42578125" style="3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03" t="s">
        <v>599</v>
      </c>
      <c r="D2" s="603"/>
      <c r="E2" s="603"/>
      <c r="F2" s="603"/>
      <c r="G2" s="603"/>
      <c r="H2" s="603"/>
      <c r="I2" s="603"/>
      <c r="J2" s="603"/>
      <c r="K2" s="603"/>
      <c r="L2" s="603"/>
      <c r="M2" s="603"/>
      <c r="N2" s="603"/>
      <c r="O2" s="603"/>
      <c r="P2" s="603"/>
      <c r="Q2" s="603"/>
      <c r="R2" s="603"/>
      <c r="S2" s="603"/>
      <c r="T2" s="603"/>
      <c r="U2" s="603"/>
      <c r="V2" s="603"/>
      <c r="W2" s="603"/>
      <c r="X2" s="603"/>
      <c r="Y2" s="603"/>
      <c r="Z2" s="603"/>
      <c r="AA2" s="603"/>
      <c r="AB2" s="603"/>
      <c r="AC2" s="603"/>
      <c r="AD2" s="603"/>
    </row>
    <row r="3" spans="1:31" s="93" customFormat="1" ht="14.25" x14ac:dyDescent="0.2">
      <c r="A3" s="390"/>
      <c r="B3" s="390"/>
      <c r="C3" s="115"/>
      <c r="D3" s="115"/>
      <c r="E3" s="115"/>
    </row>
    <row r="4" spans="1:31" ht="15" customHeight="1" x14ac:dyDescent="0.25">
      <c r="C4" s="604" t="s">
        <v>604</v>
      </c>
      <c r="D4" s="604"/>
      <c r="F4" s="498"/>
      <c r="G4" s="605" t="s">
        <v>608</v>
      </c>
      <c r="H4" s="605"/>
      <c r="I4" s="605"/>
      <c r="J4" s="605"/>
      <c r="K4" s="605"/>
      <c r="L4" s="605"/>
      <c r="M4" s="605"/>
      <c r="N4" s="605"/>
      <c r="O4" s="605"/>
      <c r="P4" s="605"/>
      <c r="Q4" s="605"/>
      <c r="R4" s="605"/>
      <c r="S4" s="605"/>
      <c r="T4" s="605"/>
      <c r="U4" s="605"/>
      <c r="V4" s="605"/>
      <c r="X4" s="93"/>
      <c r="Y4" s="93"/>
      <c r="Z4" s="93"/>
      <c r="AA4" s="93"/>
      <c r="AB4" s="93"/>
      <c r="AC4" s="93"/>
      <c r="AD4" s="93"/>
      <c r="AE4" s="93"/>
    </row>
    <row r="5" spans="1:31" ht="15" customHeight="1" x14ac:dyDescent="0.2">
      <c r="C5" s="604"/>
      <c r="D5" s="604"/>
      <c r="F5" s="392"/>
      <c r="G5" s="596" t="s">
        <v>121</v>
      </c>
      <c r="H5" s="596"/>
      <c r="I5" s="596"/>
      <c r="J5" s="596"/>
      <c r="K5" s="596"/>
      <c r="L5" s="596"/>
      <c r="M5" s="596"/>
      <c r="N5" s="596"/>
      <c r="O5" s="596"/>
      <c r="P5" s="596"/>
      <c r="Q5" s="596"/>
      <c r="R5" s="596"/>
      <c r="S5" s="596"/>
      <c r="T5" s="595" t="s">
        <v>7</v>
      </c>
      <c r="U5" s="595"/>
      <c r="V5" s="595"/>
      <c r="X5" s="93"/>
      <c r="Y5" s="93"/>
      <c r="Z5" s="93"/>
      <c r="AA5" s="93"/>
      <c r="AB5" s="93"/>
      <c r="AC5" s="93"/>
      <c r="AD5" s="93"/>
      <c r="AE5" s="93"/>
    </row>
    <row r="6" spans="1:31" ht="15.75" customHeight="1" x14ac:dyDescent="0.2">
      <c r="C6" s="604"/>
      <c r="D6" s="604"/>
      <c r="F6" s="392"/>
      <c r="G6" s="393">
        <v>2011</v>
      </c>
      <c r="H6" s="393">
        <v>2012</v>
      </c>
      <c r="I6" s="393">
        <v>2013</v>
      </c>
      <c r="J6" s="393">
        <v>2014</v>
      </c>
      <c r="K6" s="393">
        <v>2015</v>
      </c>
      <c r="L6" s="393">
        <v>2016</v>
      </c>
      <c r="M6" s="393">
        <v>2017</v>
      </c>
      <c r="N6" s="393">
        <v>2018</v>
      </c>
      <c r="O6" s="393">
        <v>2019</v>
      </c>
      <c r="P6" s="393">
        <v>2020</v>
      </c>
      <c r="Q6" s="393">
        <v>2021</v>
      </c>
      <c r="R6" s="393">
        <v>2022</v>
      </c>
      <c r="S6" s="393">
        <v>2023</v>
      </c>
      <c r="T6" s="476">
        <v>2024</v>
      </c>
      <c r="U6" s="476">
        <v>2025</v>
      </c>
      <c r="V6" s="476">
        <v>2026</v>
      </c>
      <c r="X6" s="93"/>
      <c r="Y6" s="93"/>
      <c r="Z6" s="93"/>
      <c r="AA6" s="93"/>
      <c r="AB6" s="93"/>
      <c r="AC6" s="93"/>
      <c r="AD6" s="93"/>
      <c r="AE6" s="93"/>
    </row>
    <row r="7" spans="1:31" ht="14.25" customHeight="1" x14ac:dyDescent="0.2">
      <c r="C7" s="492" t="s">
        <v>600</v>
      </c>
      <c r="D7" s="602"/>
      <c r="F7" s="393" t="s">
        <v>593</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cm="1">
        <f t="array" ref="S7">_xlfn.XLOOKUP(1, ('0. GUIDELINES'!$E$3=[1]inflows!$A:$A) * (S$6=[1]inflows!$B:$B), [1]inflows!$C:$C)</f>
        <v>21610.2</v>
      </c>
      <c r="T7" s="208" cm="1">
        <f t="array" ref="T7">_xlfn.XLOOKUP(1, ('0. GUIDELINES'!$E$3=[1]inflows!$A:$A) * (T$6=[1]inflows!$B:$B), [1]inflows!$C:$C)</f>
        <v>22366.577699999998</v>
      </c>
      <c r="U7" s="208" cm="1">
        <f t="array" ref="U7">_xlfn.XLOOKUP(1, ('0. GUIDELINES'!$E$3=[1]inflows!$A:$A) * (U$6=[1]inflows!$B:$B), [1]inflows!$C:$C)</f>
        <v>24044.071027499998</v>
      </c>
      <c r="V7" s="208" cm="1">
        <f t="array" ref="V7">_xlfn.XLOOKUP(1, ('0. GUIDELINES'!$E$3=[1]inflows!$A:$A) * (V$6=[1]inflows!$B:$B), [1]inflows!$C:$C)</f>
        <v>25077.966081682498</v>
      </c>
      <c r="X7" s="93"/>
      <c r="Y7" s="93"/>
      <c r="Z7" s="93"/>
      <c r="AA7" s="93"/>
      <c r="AB7" s="93"/>
      <c r="AC7" s="93"/>
      <c r="AD7" s="93"/>
      <c r="AE7" s="93"/>
    </row>
    <row r="8" spans="1:31" ht="14.25" customHeight="1" x14ac:dyDescent="0.2">
      <c r="C8" s="493" t="s">
        <v>601</v>
      </c>
      <c r="D8" s="602"/>
      <c r="F8" s="393" t="s">
        <v>595</v>
      </c>
      <c r="G8" s="394"/>
      <c r="H8" s="394"/>
      <c r="I8" s="394"/>
      <c r="J8" s="394"/>
      <c r="K8" s="394"/>
      <c r="L8" s="394"/>
      <c r="M8" s="394"/>
      <c r="N8" s="394"/>
      <c r="O8" s="394"/>
      <c r="P8" s="394"/>
      <c r="Q8" s="394"/>
      <c r="R8" s="394"/>
      <c r="S8" s="394"/>
      <c r="T8" s="208"/>
      <c r="U8" s="208"/>
      <c r="V8" s="208"/>
      <c r="X8" s="93"/>
      <c r="Y8" s="93"/>
      <c r="Z8" s="93"/>
      <c r="AA8" s="93"/>
      <c r="AB8" s="93"/>
      <c r="AC8" s="93"/>
      <c r="AD8" s="93"/>
      <c r="AE8" s="93"/>
    </row>
    <row r="9" spans="1:31" ht="16.5" customHeight="1" x14ac:dyDescent="0.2">
      <c r="C9" s="494" t="s">
        <v>602</v>
      </c>
      <c r="D9" s="495"/>
      <c r="F9" s="393" t="s">
        <v>590</v>
      </c>
      <c r="G9" s="394"/>
      <c r="H9" s="394"/>
      <c r="I9" s="394"/>
      <c r="J9" s="394"/>
      <c r="K9" s="394"/>
      <c r="L9" s="394"/>
      <c r="M9" s="394"/>
      <c r="N9" s="394"/>
      <c r="O9" s="394"/>
      <c r="P9" s="394"/>
      <c r="Q9" s="394"/>
      <c r="R9" s="394"/>
      <c r="S9" s="394"/>
      <c r="T9" s="208"/>
      <c r="U9" s="208"/>
      <c r="V9" s="208"/>
      <c r="X9" s="93"/>
      <c r="Y9" s="93"/>
      <c r="Z9" s="93"/>
      <c r="AA9" s="93"/>
      <c r="AB9" s="93"/>
      <c r="AC9" s="93"/>
      <c r="AD9" s="93"/>
      <c r="AE9" s="93"/>
    </row>
    <row r="10" spans="1:31" ht="19.5" customHeight="1" x14ac:dyDescent="0.25">
      <c r="A10" s="88"/>
      <c r="B10" s="292"/>
      <c r="C10" s="493" t="s">
        <v>603</v>
      </c>
      <c r="D10" s="496"/>
      <c r="F10" s="393"/>
      <c r="G10" s="394"/>
      <c r="H10" s="394"/>
      <c r="I10" s="394"/>
      <c r="J10" s="394"/>
      <c r="K10" s="394"/>
      <c r="L10" s="394"/>
      <c r="M10" s="394"/>
      <c r="N10" s="394"/>
      <c r="O10" s="394"/>
      <c r="P10" s="394"/>
      <c r="Q10" s="394"/>
      <c r="R10" s="394"/>
      <c r="S10" s="394"/>
      <c r="T10" s="208"/>
      <c r="U10" s="208"/>
      <c r="V10" s="208"/>
      <c r="X10" s="93"/>
      <c r="Y10" s="93"/>
      <c r="Z10" s="93"/>
      <c r="AA10" s="93"/>
      <c r="AB10" s="93"/>
      <c r="AC10" s="93"/>
      <c r="AD10" s="93"/>
      <c r="AE10" s="93"/>
    </row>
    <row r="11" spans="1:31" ht="15.6" customHeight="1" x14ac:dyDescent="0.25">
      <c r="A11" s="88"/>
      <c r="B11" s="292"/>
      <c r="C11" s="497"/>
      <c r="D11" s="496"/>
      <c r="F11" s="393" t="s">
        <v>605</v>
      </c>
      <c r="G11" s="394"/>
      <c r="H11" s="394"/>
      <c r="I11" s="394"/>
      <c r="J11" s="394"/>
      <c r="K11" s="394"/>
      <c r="L11" s="394"/>
      <c r="M11" s="394"/>
      <c r="N11" s="394"/>
      <c r="O11" s="394"/>
      <c r="P11" s="394"/>
      <c r="Q11" s="394"/>
      <c r="R11" s="394"/>
      <c r="S11" s="394"/>
      <c r="T11" s="208"/>
      <c r="U11" s="208"/>
      <c r="V11" s="208"/>
      <c r="X11" s="93"/>
      <c r="Y11" s="93"/>
      <c r="Z11" s="93"/>
      <c r="AA11" s="93"/>
      <c r="AB11" s="93"/>
      <c r="AC11" s="93"/>
      <c r="AD11" s="93"/>
      <c r="AE11" s="93"/>
    </row>
    <row r="12" spans="1:31" ht="16.5" customHeight="1" x14ac:dyDescent="0.25">
      <c r="C12" s="497"/>
      <c r="D12" s="496"/>
      <c r="F12" s="393" t="s">
        <v>606</v>
      </c>
      <c r="G12" s="394"/>
      <c r="H12" s="394"/>
      <c r="I12" s="394"/>
      <c r="J12" s="394"/>
      <c r="K12" s="394"/>
      <c r="L12" s="394"/>
      <c r="M12" s="394"/>
      <c r="N12" s="394"/>
      <c r="O12" s="394"/>
      <c r="P12" s="394"/>
      <c r="Q12" s="394"/>
      <c r="R12" s="394"/>
      <c r="S12" s="394"/>
      <c r="T12" s="208"/>
      <c r="U12" s="208"/>
      <c r="V12" s="208"/>
      <c r="X12" s="93"/>
      <c r="Y12" s="93"/>
      <c r="Z12" s="93"/>
      <c r="AA12" s="93"/>
      <c r="AB12" s="93"/>
      <c r="AC12" s="93"/>
      <c r="AD12" s="93"/>
      <c r="AE12" s="93"/>
    </row>
    <row r="13" spans="1:31" ht="16.5" customHeight="1" x14ac:dyDescent="0.25">
      <c r="C13" s="491"/>
      <c r="D13" s="491"/>
      <c r="F13" s="393" t="s">
        <v>607</v>
      </c>
      <c r="G13" s="396"/>
      <c r="H13" s="396">
        <f>(+H7/G7-1)*100</f>
        <v>9.3047210300429164</v>
      </c>
      <c r="I13" s="396">
        <f t="shared" ref="I13:V13" si="0">(+I7/H7-1)*100</f>
        <v>12.596199151876796</v>
      </c>
      <c r="J13" s="396">
        <f t="shared" si="0"/>
        <v>-1.5483331008508627</v>
      </c>
      <c r="K13" s="396">
        <f t="shared" si="0"/>
        <v>7.4667044488524015</v>
      </c>
      <c r="L13" s="396">
        <f t="shared" si="0"/>
        <v>-2.9861568885959366</v>
      </c>
      <c r="M13" s="396">
        <f t="shared" si="0"/>
        <v>-13.236393286675208</v>
      </c>
      <c r="N13" s="396">
        <f t="shared" si="0"/>
        <v>17.331036103062146</v>
      </c>
      <c r="O13" s="396">
        <f t="shared" si="0"/>
        <v>9.5981844880523184</v>
      </c>
      <c r="P13" s="396">
        <f t="shared" si="0"/>
        <v>10.870894214372617</v>
      </c>
      <c r="Q13" s="396">
        <f t="shared" si="0"/>
        <v>36.103866357253047</v>
      </c>
      <c r="R13" s="396">
        <f t="shared" si="0"/>
        <v>-15.118548082127003</v>
      </c>
      <c r="S13" s="396">
        <f t="shared" si="0"/>
        <v>2.7507075041080409</v>
      </c>
      <c r="T13" s="207">
        <f t="shared" si="0"/>
        <v>3.5000957881000438</v>
      </c>
      <c r="U13" s="207">
        <f t="shared" si="0"/>
        <v>7.4999999999999956</v>
      </c>
      <c r="V13" s="207">
        <f t="shared" si="0"/>
        <v>4.2999999999999927</v>
      </c>
      <c r="X13" s="93"/>
      <c r="Y13" s="93"/>
      <c r="Z13" s="93"/>
      <c r="AA13" s="93"/>
      <c r="AB13" s="93"/>
      <c r="AC13" s="93"/>
      <c r="AD13" s="93"/>
      <c r="AE13" s="93"/>
    </row>
    <row r="14" spans="1:31" ht="16.5" customHeight="1" x14ac:dyDescent="0.25">
      <c r="C14" s="491"/>
      <c r="D14" s="491"/>
      <c r="F14" s="594" t="s">
        <v>231</v>
      </c>
      <c r="G14" s="594"/>
      <c r="H14" s="594"/>
      <c r="I14" s="594"/>
      <c r="J14" s="594"/>
      <c r="K14" s="594"/>
      <c r="L14" s="594"/>
      <c r="M14" s="594"/>
      <c r="N14" s="594"/>
      <c r="O14" s="594"/>
      <c r="P14" s="594"/>
      <c r="Q14" s="594"/>
      <c r="R14" s="594"/>
      <c r="S14" s="399"/>
      <c r="T14" s="400" t="s">
        <v>232</v>
      </c>
      <c r="U14" s="593" t="str">
        <f>[1]inflows!$D$2</f>
        <v>mfbxfstremtcd</v>
      </c>
      <c r="V14" s="593"/>
      <c r="X14" s="93"/>
      <c r="Y14" s="93"/>
      <c r="Z14" s="93"/>
      <c r="AA14" s="93"/>
      <c r="AB14" s="93"/>
      <c r="AC14" s="93"/>
      <c r="AD14" s="93"/>
      <c r="AE14" s="93"/>
    </row>
    <row r="15" spans="1:31" ht="16.5" customHeight="1" x14ac:dyDescent="0.2">
      <c r="C15" s="599" t="s">
        <v>125</v>
      </c>
      <c r="D15" s="599"/>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
      <c r="C16" s="391"/>
      <c r="D16" s="391"/>
      <c r="F16" s="93"/>
      <c r="G16" s="397"/>
      <c r="H16" s="98"/>
      <c r="I16" s="98"/>
      <c r="J16" s="98"/>
      <c r="K16" s="98"/>
      <c r="L16" s="98"/>
      <c r="M16" s="98"/>
      <c r="N16" s="98"/>
      <c r="O16" s="98"/>
      <c r="P16" s="397"/>
      <c r="Q16" s="398"/>
      <c r="R16" s="98"/>
      <c r="S16" s="98"/>
      <c r="T16" s="98"/>
      <c r="U16" s="98"/>
      <c r="V16" s="98"/>
      <c r="X16" s="93"/>
      <c r="Y16" s="93"/>
      <c r="Z16" s="93"/>
      <c r="AA16" s="93"/>
      <c r="AB16" s="93"/>
      <c r="AC16" s="93"/>
      <c r="AD16" s="93"/>
      <c r="AE16" s="93"/>
    </row>
    <row r="17" spans="3:35" ht="16.5" customHeight="1" x14ac:dyDescent="0.2">
      <c r="C17" s="391"/>
      <c r="D17" s="391"/>
      <c r="F17" s="93"/>
      <c r="G17" s="397"/>
      <c r="H17" s="98"/>
      <c r="I17" s="98"/>
      <c r="J17" s="98"/>
      <c r="K17" s="98"/>
      <c r="L17" s="98"/>
      <c r="M17" s="98"/>
      <c r="N17" s="98"/>
      <c r="O17" s="98"/>
      <c r="P17" s="397"/>
      <c r="Q17" s="398"/>
      <c r="R17" s="98"/>
      <c r="S17" s="98"/>
      <c r="T17" s="98"/>
      <c r="U17" s="98"/>
      <c r="V17" s="98"/>
      <c r="X17" s="93"/>
      <c r="Y17" s="93"/>
      <c r="Z17" s="93"/>
      <c r="AA17" s="93"/>
      <c r="AB17" s="93"/>
      <c r="AC17" s="93"/>
      <c r="AD17" s="93"/>
      <c r="AE17" s="93"/>
    </row>
    <row r="18" spans="3:35" ht="16.5" customHeight="1" x14ac:dyDescent="0.2">
      <c r="C18" s="391"/>
      <c r="D18" s="391"/>
      <c r="F18" s="93"/>
      <c r="G18" s="397"/>
      <c r="H18" s="98"/>
      <c r="I18" s="98"/>
      <c r="J18" s="98"/>
      <c r="K18" s="98"/>
      <c r="L18" s="98"/>
      <c r="M18" s="98"/>
      <c r="N18" s="98"/>
      <c r="O18" s="98"/>
      <c r="P18" s="397"/>
      <c r="Q18" s="398"/>
      <c r="R18" s="98"/>
      <c r="S18" s="98"/>
      <c r="T18" s="98"/>
      <c r="U18" s="98"/>
      <c r="V18" s="98"/>
      <c r="X18" s="93"/>
      <c r="Y18" s="93"/>
      <c r="Z18" s="93"/>
      <c r="AA18" s="93"/>
      <c r="AB18" s="93"/>
      <c r="AC18" s="93"/>
      <c r="AD18" s="93"/>
      <c r="AE18" s="93"/>
    </row>
    <row r="19" spans="3:35" ht="16.5" customHeight="1" x14ac:dyDescent="0.2">
      <c r="C19" s="391"/>
      <c r="D19" s="391"/>
      <c r="F19" s="93"/>
      <c r="G19" s="397"/>
      <c r="H19" s="98"/>
      <c r="I19" s="98"/>
      <c r="J19" s="98"/>
      <c r="K19" s="98"/>
      <c r="L19" s="98"/>
      <c r="M19" s="98"/>
      <c r="N19" s="98"/>
      <c r="O19" s="98"/>
      <c r="P19" s="397"/>
      <c r="Q19" s="398"/>
      <c r="R19" s="98"/>
      <c r="S19" s="98"/>
      <c r="T19" s="98"/>
      <c r="U19" s="98"/>
      <c r="V19" s="98"/>
      <c r="X19" s="93"/>
      <c r="Y19" s="93"/>
      <c r="Z19" s="93"/>
      <c r="AA19" s="93"/>
      <c r="AB19" s="93"/>
      <c r="AC19" s="93"/>
      <c r="AD19" s="93"/>
      <c r="AE19" s="93"/>
    </row>
    <row r="20" spans="3:35" ht="15.75" customHeight="1" x14ac:dyDescent="0.2">
      <c r="C20" s="391"/>
      <c r="D20" s="391"/>
      <c r="F20" s="93"/>
      <c r="G20" s="397"/>
      <c r="H20" s="98"/>
      <c r="I20" s="98"/>
      <c r="J20" s="98"/>
      <c r="K20" s="98"/>
      <c r="L20" s="98"/>
      <c r="M20" s="98"/>
      <c r="N20" s="98"/>
      <c r="O20" s="98"/>
      <c r="P20" s="397"/>
      <c r="Q20" s="398"/>
      <c r="R20" s="98"/>
      <c r="S20" s="98"/>
      <c r="T20" s="98"/>
      <c r="U20" s="98"/>
      <c r="V20" s="98"/>
      <c r="X20" s="93"/>
      <c r="Y20" s="93"/>
      <c r="Z20" s="93"/>
      <c r="AA20" s="93"/>
      <c r="AB20" s="93"/>
      <c r="AC20" s="93"/>
      <c r="AD20" s="93"/>
      <c r="AE20" s="93"/>
    </row>
    <row r="21" spans="3:35" ht="15.75" customHeight="1" x14ac:dyDescent="0.25">
      <c r="C21" s="391"/>
      <c r="D21" s="391"/>
      <c r="F21" s="498"/>
      <c r="G21" s="605" t="s">
        <v>239</v>
      </c>
      <c r="H21" s="605"/>
      <c r="I21" s="605"/>
      <c r="J21" s="605"/>
      <c r="K21" s="605"/>
      <c r="L21" s="605"/>
      <c r="M21" s="605"/>
      <c r="N21" s="605"/>
      <c r="O21" s="605"/>
      <c r="P21" s="605"/>
      <c r="Q21" s="605"/>
      <c r="R21" s="605"/>
      <c r="S21" s="605"/>
      <c r="T21" s="605"/>
      <c r="U21" s="605"/>
      <c r="V21" s="605"/>
      <c r="W21" s="294"/>
      <c r="X21" s="93"/>
      <c r="Y21" s="93"/>
      <c r="Z21" s="93"/>
      <c r="AA21" s="93"/>
      <c r="AB21" s="93"/>
      <c r="AC21" s="93"/>
      <c r="AD21" s="93"/>
      <c r="AE21" s="93"/>
      <c r="AI21" s="43"/>
    </row>
    <row r="22" spans="3:35" ht="15.6" customHeight="1" x14ac:dyDescent="0.2">
      <c r="C22" s="115"/>
      <c r="D22" s="115"/>
      <c r="E22" s="124"/>
      <c r="F22" s="93"/>
      <c r="G22" s="596" t="s">
        <v>121</v>
      </c>
      <c r="H22" s="596"/>
      <c r="I22" s="596"/>
      <c r="J22" s="596"/>
      <c r="K22" s="596"/>
      <c r="L22" s="596"/>
      <c r="M22" s="596"/>
      <c r="N22" s="596"/>
      <c r="O22" s="596"/>
      <c r="P22" s="596"/>
      <c r="Q22" s="596"/>
      <c r="R22" s="596"/>
      <c r="S22" s="596"/>
      <c r="T22" s="595" t="s">
        <v>7</v>
      </c>
      <c r="U22" s="595"/>
      <c r="V22" s="595"/>
      <c r="W22" s="294"/>
      <c r="X22" s="93"/>
      <c r="Y22" s="93"/>
      <c r="Z22" s="93"/>
      <c r="AA22" s="93"/>
      <c r="AB22" s="93"/>
      <c r="AC22" s="93"/>
      <c r="AD22" s="93"/>
      <c r="AE22" s="93"/>
    </row>
    <row r="23" spans="3:35" ht="15" customHeight="1" x14ac:dyDescent="0.2">
      <c r="C23" s="115"/>
      <c r="D23" s="115"/>
      <c r="F23" s="125"/>
      <c r="G23" s="393">
        <v>2011</v>
      </c>
      <c r="H23" s="393">
        <v>2012</v>
      </c>
      <c r="I23" s="393">
        <v>2013</v>
      </c>
      <c r="J23" s="393">
        <v>2014</v>
      </c>
      <c r="K23" s="393">
        <v>2015</v>
      </c>
      <c r="L23" s="393">
        <v>2016</v>
      </c>
      <c r="M23" s="393">
        <v>2017</v>
      </c>
      <c r="N23" s="393">
        <v>2018</v>
      </c>
      <c r="O23" s="401">
        <v>2019</v>
      </c>
      <c r="P23" s="393">
        <v>2020</v>
      </c>
      <c r="Q23" s="393">
        <v>2021</v>
      </c>
      <c r="R23" s="393">
        <v>2022</v>
      </c>
      <c r="S23" s="393">
        <v>2023</v>
      </c>
      <c r="T23" s="476">
        <v>2024</v>
      </c>
      <c r="U23" s="476">
        <v>2025</v>
      </c>
      <c r="V23" s="476">
        <v>2026</v>
      </c>
      <c r="X23" s="93"/>
      <c r="Y23" s="93"/>
      <c r="Z23" s="93"/>
      <c r="AA23" s="93"/>
      <c r="AB23" s="93"/>
      <c r="AC23" s="93"/>
      <c r="AD23" s="93"/>
      <c r="AE23" s="93"/>
      <c r="AI23" s="43"/>
    </row>
    <row r="24" spans="3:35" ht="15" customHeight="1" x14ac:dyDescent="0.2">
      <c r="C24" s="115"/>
      <c r="D24" s="115"/>
      <c r="F24" s="125"/>
      <c r="G24" s="393"/>
      <c r="H24" s="393"/>
      <c r="I24" s="393"/>
      <c r="J24" s="393"/>
      <c r="K24" s="393"/>
      <c r="L24" s="393"/>
      <c r="M24" s="393"/>
      <c r="N24" s="393"/>
      <c r="O24" s="401"/>
      <c r="P24" s="393"/>
      <c r="Q24" s="393"/>
      <c r="R24" s="393"/>
      <c r="S24" s="393"/>
      <c r="T24" s="476"/>
      <c r="U24" s="476"/>
      <c r="V24" s="476"/>
      <c r="X24" s="93"/>
      <c r="Y24" s="93"/>
      <c r="Z24" s="93"/>
      <c r="AA24" s="93"/>
      <c r="AB24" s="93"/>
      <c r="AC24" s="93"/>
      <c r="AD24" s="93"/>
      <c r="AE24" s="93"/>
      <c r="AI24" s="43"/>
    </row>
    <row r="25" spans="3:35" ht="15" customHeight="1" x14ac:dyDescent="0.2">
      <c r="C25" s="115"/>
      <c r="D25" s="115"/>
      <c r="F25" s="395" t="s">
        <v>229</v>
      </c>
      <c r="G25" s="402"/>
      <c r="H25" s="402">
        <f>'1. GDP'!O40</f>
        <v>6.5214370673565503</v>
      </c>
      <c r="I25" s="402">
        <f>'1. GDP'!P40</f>
        <v>6.0136003720140385</v>
      </c>
      <c r="J25" s="402">
        <f>'1. GDP'!Q40</f>
        <v>6.0610860042506376</v>
      </c>
      <c r="K25" s="402">
        <f>'1. GDP'!R40</f>
        <v>6.5526448353302902</v>
      </c>
      <c r="L25" s="402">
        <f>'1. GDP'!S40</f>
        <v>7.1134728556473181</v>
      </c>
      <c r="M25" s="402">
        <f>'1. GDP'!T40</f>
        <v>6.5902394107701268</v>
      </c>
      <c r="N25" s="396">
        <f>'1. GDP'!U40</f>
        <v>7.3194122993388344</v>
      </c>
      <c r="O25" s="396">
        <f>'1. GDP'!V40</f>
        <v>7.8819021854025229</v>
      </c>
      <c r="P25" s="396">
        <f>'1. GDP'!W40</f>
        <v>3.4480295312287579</v>
      </c>
      <c r="Q25" s="396">
        <f>'1. GDP'!X40</f>
        <v>6.938675089101598</v>
      </c>
      <c r="R25" s="396">
        <f>'1. GDP'!Y40</f>
        <v>7.099828775751571</v>
      </c>
      <c r="S25" s="396">
        <f>'1. GDP'!Z40</f>
        <v>5.7751090753483725</v>
      </c>
      <c r="T25" s="207">
        <f>'1. GDP'!AA40</f>
        <v>5.2177536312238093</v>
      </c>
      <c r="U25" s="207">
        <f>'1. GDP'!AB40</f>
        <v>3.9513981480802318</v>
      </c>
      <c r="V25" s="207">
        <f>'1. GDP'!AC40</f>
        <v>5.4696937322054273</v>
      </c>
      <c r="X25" s="93"/>
      <c r="Y25" s="93"/>
      <c r="Z25" s="93"/>
      <c r="AA25" s="93"/>
      <c r="AB25" s="93"/>
      <c r="AC25" s="93"/>
      <c r="AD25" s="93"/>
      <c r="AE25" s="93"/>
      <c r="AI25" s="43"/>
    </row>
    <row r="26" spans="3:35" ht="15" customHeight="1" x14ac:dyDescent="0.2">
      <c r="C26" s="115"/>
      <c r="D26" s="115"/>
      <c r="F26" s="93"/>
      <c r="G26" s="294"/>
      <c r="H26" s="294"/>
      <c r="I26" s="294"/>
      <c r="J26" s="294"/>
      <c r="K26" s="294"/>
      <c r="L26" s="294"/>
      <c r="M26" s="294"/>
      <c r="N26" s="294"/>
      <c r="O26" s="294"/>
      <c r="P26" s="294"/>
      <c r="Q26" s="294"/>
      <c r="R26" s="294"/>
      <c r="S26" s="294"/>
      <c r="T26" s="294"/>
      <c r="U26" s="294"/>
      <c r="V26" s="93"/>
      <c r="X26" s="93"/>
      <c r="Y26" s="93"/>
      <c r="Z26" s="93"/>
      <c r="AA26" s="93"/>
      <c r="AB26" s="93"/>
      <c r="AC26" s="93"/>
      <c r="AD26" s="93"/>
      <c r="AE26" s="93"/>
    </row>
    <row r="27" spans="3:35" ht="15.75" customHeight="1"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c r="AI27" s="43"/>
    </row>
    <row r="28" spans="3:35" ht="14.25" x14ac:dyDescent="0.2">
      <c r="C28" s="115"/>
      <c r="D28" s="115"/>
      <c r="F28" s="93"/>
      <c r="G28" s="93"/>
      <c r="H28" s="93"/>
      <c r="I28" s="93"/>
      <c r="J28" s="93"/>
      <c r="K28" s="93"/>
      <c r="L28" s="93"/>
      <c r="M28" s="93"/>
      <c r="N28" s="93"/>
      <c r="O28" s="93"/>
      <c r="P28" s="93"/>
      <c r="Q28" s="93"/>
      <c r="R28" s="93"/>
      <c r="S28" s="93"/>
      <c r="T28" s="93"/>
      <c r="U28" s="93"/>
      <c r="V28" s="93"/>
      <c r="X28" s="93"/>
      <c r="Y28" s="93"/>
      <c r="Z28" s="93"/>
      <c r="AA28" s="93"/>
      <c r="AB28" s="93"/>
      <c r="AC28" s="93"/>
      <c r="AD28" s="93"/>
      <c r="AE28" s="93"/>
    </row>
    <row r="29" spans="3:35" ht="14.25" hidden="1" x14ac:dyDescent="0.2">
      <c r="F29" s="93"/>
      <c r="G29" s="93"/>
      <c r="H29" s="93"/>
      <c r="I29" s="93"/>
      <c r="J29" s="93"/>
      <c r="K29" s="93"/>
      <c r="L29" s="93"/>
      <c r="M29" s="93"/>
      <c r="N29" s="93"/>
      <c r="O29" s="93"/>
      <c r="P29" s="93"/>
      <c r="Q29" s="93"/>
      <c r="R29" s="93"/>
      <c r="S29" s="93"/>
      <c r="T29" s="93"/>
      <c r="U29" s="93"/>
      <c r="V29" s="93"/>
      <c r="AI29" s="43"/>
    </row>
    <row r="30" spans="3:35" ht="14.25" hidden="1" x14ac:dyDescent="0.2">
      <c r="F30" s="93"/>
      <c r="G30" s="93"/>
      <c r="H30" s="93"/>
      <c r="I30" s="93"/>
      <c r="J30" s="93"/>
      <c r="K30" s="93"/>
      <c r="L30" s="93"/>
      <c r="M30" s="93"/>
      <c r="N30" s="93"/>
      <c r="O30" s="93"/>
      <c r="P30" s="93"/>
      <c r="Q30" s="93"/>
      <c r="R30" s="93"/>
      <c r="S30" s="93"/>
      <c r="T30" s="93"/>
      <c r="U30" s="93"/>
      <c r="V30" s="93"/>
    </row>
    <row r="31" spans="3:35" ht="14.25" hidden="1" x14ac:dyDescent="0.2">
      <c r="F31" s="93"/>
      <c r="G31" s="93"/>
      <c r="H31" s="93"/>
      <c r="I31" s="93"/>
      <c r="J31" s="93"/>
      <c r="K31" s="93"/>
      <c r="L31" s="93"/>
      <c r="M31" s="93"/>
      <c r="N31" s="93"/>
      <c r="O31" s="93"/>
      <c r="P31" s="93"/>
      <c r="Q31" s="93"/>
      <c r="R31" s="93"/>
      <c r="S31" s="93"/>
      <c r="T31" s="93"/>
      <c r="U31" s="93"/>
      <c r="V31" s="93"/>
      <c r="AI31" s="43"/>
    </row>
    <row r="32" spans="3:35" ht="0" hidden="1" customHeight="1" x14ac:dyDescent="0.2">
      <c r="F32" s="93"/>
      <c r="G32" s="93"/>
      <c r="H32" s="93"/>
      <c r="I32" s="93"/>
      <c r="J32" s="93"/>
      <c r="K32" s="93"/>
      <c r="L32" s="93"/>
      <c r="M32" s="93"/>
      <c r="N32" s="93"/>
      <c r="O32" s="93"/>
      <c r="P32" s="93"/>
      <c r="Q32" s="93"/>
      <c r="R32" s="93"/>
      <c r="S32" s="93"/>
      <c r="T32" s="93"/>
      <c r="U32" s="93"/>
      <c r="V32" s="93"/>
    </row>
    <row r="33" spans="2:50" ht="0" hidden="1" customHeight="1" x14ac:dyDescent="0.2">
      <c r="F33" s="93"/>
      <c r="G33" s="93"/>
      <c r="H33" s="93"/>
      <c r="I33" s="93"/>
      <c r="J33" s="93"/>
      <c r="K33" s="93"/>
      <c r="L33" s="93"/>
      <c r="M33" s="93"/>
      <c r="N33" s="93"/>
      <c r="O33" s="93"/>
      <c r="P33" s="93"/>
      <c r="Q33" s="93"/>
      <c r="R33" s="93"/>
      <c r="S33" s="93"/>
      <c r="T33" s="93"/>
      <c r="U33" s="93"/>
      <c r="V33" s="93"/>
    </row>
    <row r="35" spans="2:50" s="86" customFormat="1" ht="14.25" hidden="1" x14ac:dyDescent="0.2">
      <c r="B35" s="390"/>
      <c r="C35" s="37"/>
      <c r="D35" s="37"/>
      <c r="E35" s="115"/>
      <c r="F35" s="31"/>
      <c r="G35" s="31"/>
      <c r="H35" s="31"/>
      <c r="I35" s="31"/>
      <c r="J35" s="31"/>
      <c r="K35" s="31"/>
      <c r="L35" s="31"/>
      <c r="M35" s="31"/>
      <c r="N35" s="31"/>
      <c r="O35" s="31"/>
      <c r="P35" s="31"/>
      <c r="Q35" s="31"/>
      <c r="R35" s="31"/>
      <c r="S35" s="31"/>
      <c r="T35" s="31"/>
      <c r="U35" s="31"/>
      <c r="V35" s="31"/>
      <c r="W35" s="93"/>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row>
    <row r="36" spans="2:50" s="86" customFormat="1" ht="14.25" hidden="1" x14ac:dyDescent="0.2">
      <c r="B36" s="390"/>
      <c r="C36" s="37"/>
      <c r="D36" s="37"/>
      <c r="E36" s="115"/>
      <c r="F36" s="31"/>
      <c r="G36" s="31"/>
      <c r="H36" s="31"/>
      <c r="I36" s="31"/>
      <c r="J36" s="31"/>
      <c r="K36" s="31"/>
      <c r="L36" s="31"/>
      <c r="M36" s="31"/>
      <c r="N36" s="31"/>
      <c r="O36" s="31"/>
      <c r="P36" s="31"/>
      <c r="Q36" s="31"/>
      <c r="R36" s="31"/>
      <c r="S36" s="31"/>
      <c r="T36" s="31"/>
      <c r="U36" s="31"/>
      <c r="V36" s="31"/>
      <c r="W36" s="93"/>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row>
    <row r="37" spans="2:50" s="86" customFormat="1" ht="14.25" hidden="1" x14ac:dyDescent="0.2">
      <c r="B37" s="390"/>
      <c r="C37" s="37"/>
      <c r="D37" s="37"/>
      <c r="E37" s="115"/>
      <c r="F37" s="31"/>
      <c r="G37" s="31"/>
      <c r="H37" s="31"/>
      <c r="I37" s="31"/>
      <c r="J37" s="31"/>
      <c r="K37" s="31"/>
      <c r="L37" s="31"/>
      <c r="M37" s="31"/>
      <c r="N37" s="31"/>
      <c r="O37" s="31"/>
      <c r="P37" s="31"/>
      <c r="Q37" s="31"/>
      <c r="R37" s="31"/>
      <c r="S37" s="31"/>
      <c r="T37" s="31"/>
      <c r="U37" s="31"/>
      <c r="V37" s="31"/>
      <c r="W37" s="93"/>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row>
    <row r="38" spans="2:50" s="86" customFormat="1" ht="14.25" hidden="1" x14ac:dyDescent="0.2">
      <c r="B38" s="390"/>
      <c r="C38" s="37"/>
      <c r="D38" s="37"/>
      <c r="E38" s="115"/>
      <c r="F38" s="31"/>
      <c r="G38" s="31"/>
      <c r="H38" s="31"/>
      <c r="I38" s="31"/>
      <c r="J38" s="31"/>
      <c r="K38" s="31"/>
      <c r="L38" s="31"/>
      <c r="M38" s="31"/>
      <c r="N38" s="31"/>
      <c r="O38" s="31"/>
      <c r="P38" s="31"/>
      <c r="Q38" s="31"/>
      <c r="R38" s="31"/>
      <c r="S38" s="31"/>
      <c r="T38" s="31"/>
      <c r="U38" s="31"/>
      <c r="V38" s="31"/>
      <c r="W38" s="93"/>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row>
    <row r="39" spans="2:50" s="86" customFormat="1" ht="14.25" hidden="1" x14ac:dyDescent="0.2">
      <c r="B39" s="390"/>
      <c r="C39" s="37"/>
      <c r="D39" s="37"/>
      <c r="E39" s="115"/>
      <c r="F39" s="31"/>
      <c r="G39" s="31"/>
      <c r="H39" s="31"/>
      <c r="I39" s="31"/>
      <c r="J39" s="31"/>
      <c r="K39" s="31"/>
      <c r="L39" s="31"/>
      <c r="M39" s="31"/>
      <c r="N39" s="31"/>
      <c r="O39" s="31"/>
      <c r="P39" s="31"/>
      <c r="Q39" s="31"/>
      <c r="R39" s="31"/>
      <c r="S39" s="31"/>
      <c r="T39" s="31"/>
      <c r="U39" s="31"/>
      <c r="V39" s="31"/>
      <c r="W39" s="93"/>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row>
    <row r="40" spans="2:50" s="86" customFormat="1" ht="14.25" hidden="1" x14ac:dyDescent="0.2">
      <c r="B40" s="390"/>
      <c r="C40" s="37"/>
      <c r="D40" s="37"/>
      <c r="E40" s="115"/>
      <c r="F40" s="31"/>
      <c r="G40" s="31"/>
      <c r="H40" s="31"/>
      <c r="I40" s="31"/>
      <c r="J40" s="31"/>
      <c r="K40" s="31"/>
      <c r="L40" s="31"/>
      <c r="M40" s="31"/>
      <c r="N40" s="31"/>
      <c r="O40" s="31"/>
      <c r="P40" s="31"/>
      <c r="Q40" s="31"/>
      <c r="R40" s="31"/>
      <c r="S40" s="31"/>
      <c r="T40" s="31"/>
      <c r="U40" s="31"/>
      <c r="V40" s="31"/>
      <c r="W40" s="93"/>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row>
    <row r="41" spans="2:50" s="86" customFormat="1" ht="14.25" hidden="1" x14ac:dyDescent="0.2">
      <c r="B41" s="390"/>
      <c r="C41" s="37"/>
      <c r="D41" s="37"/>
      <c r="E41" s="115"/>
      <c r="F41" s="31"/>
      <c r="G41" s="31"/>
      <c r="H41" s="31"/>
      <c r="I41" s="31"/>
      <c r="J41" s="31"/>
      <c r="K41" s="31"/>
      <c r="L41" s="31"/>
      <c r="M41" s="31"/>
      <c r="N41" s="31"/>
      <c r="O41" s="31"/>
      <c r="P41" s="31"/>
      <c r="Q41" s="31"/>
      <c r="R41" s="31"/>
      <c r="S41" s="31"/>
      <c r="T41" s="31"/>
      <c r="U41" s="31"/>
      <c r="V41" s="31"/>
      <c r="W41" s="93"/>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row>
    <row r="42" spans="2:50" s="86" customFormat="1" ht="14.25" hidden="1" x14ac:dyDescent="0.2">
      <c r="B42" s="390"/>
      <c r="C42" s="37"/>
      <c r="D42" s="37"/>
      <c r="E42" s="115"/>
      <c r="F42" s="31"/>
      <c r="G42" s="31"/>
      <c r="H42" s="31"/>
      <c r="I42" s="31"/>
      <c r="J42" s="31"/>
      <c r="K42" s="31"/>
      <c r="L42" s="31"/>
      <c r="M42" s="31"/>
      <c r="N42" s="31"/>
      <c r="O42" s="31"/>
      <c r="P42" s="31"/>
      <c r="Q42" s="31"/>
      <c r="R42" s="31"/>
      <c r="S42" s="31"/>
      <c r="T42" s="31"/>
      <c r="U42" s="31"/>
      <c r="V42" s="31"/>
      <c r="W42" s="93"/>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row>
    <row r="43" spans="2:50" s="86" customFormat="1" ht="14.25" hidden="1" x14ac:dyDescent="0.2">
      <c r="B43" s="390"/>
      <c r="C43" s="37"/>
      <c r="D43" s="37"/>
      <c r="E43" s="115"/>
      <c r="F43" s="31"/>
      <c r="G43" s="31"/>
      <c r="H43" s="31"/>
      <c r="I43" s="31"/>
      <c r="J43" s="31"/>
      <c r="K43" s="31"/>
      <c r="L43" s="31"/>
      <c r="M43" s="31"/>
      <c r="N43" s="31"/>
      <c r="O43" s="31"/>
      <c r="P43" s="31"/>
      <c r="Q43" s="31"/>
      <c r="R43" s="31"/>
      <c r="S43" s="31"/>
      <c r="T43" s="31"/>
      <c r="U43" s="31"/>
      <c r="V43" s="31"/>
      <c r="W43" s="93"/>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row>
    <row r="44" spans="2:50" s="86" customFormat="1" ht="14.25" hidden="1" x14ac:dyDescent="0.2">
      <c r="B44" s="390"/>
      <c r="C44" s="37"/>
      <c r="D44" s="37"/>
      <c r="E44" s="115"/>
      <c r="F44" s="31"/>
      <c r="G44" s="31"/>
      <c r="H44" s="31"/>
      <c r="I44" s="31"/>
      <c r="J44" s="31"/>
      <c r="K44" s="31"/>
      <c r="L44" s="31"/>
      <c r="M44" s="31"/>
      <c r="N44" s="31"/>
      <c r="O44" s="31"/>
      <c r="P44" s="31"/>
      <c r="Q44" s="31"/>
      <c r="R44" s="31"/>
      <c r="S44" s="31"/>
      <c r="T44" s="31"/>
      <c r="U44" s="31"/>
      <c r="V44" s="31"/>
      <c r="W44" s="93"/>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row>
    <row r="45" spans="2:50" s="86" customFormat="1" ht="14.25" hidden="1" x14ac:dyDescent="0.2">
      <c r="B45" s="390"/>
      <c r="C45" s="37"/>
      <c r="D45" s="37"/>
      <c r="E45" s="115"/>
      <c r="F45" s="31"/>
      <c r="G45" s="31"/>
      <c r="H45" s="31"/>
      <c r="I45" s="31"/>
      <c r="J45" s="31"/>
      <c r="K45" s="31"/>
      <c r="L45" s="31"/>
      <c r="M45" s="31"/>
      <c r="N45" s="31"/>
      <c r="O45" s="31"/>
      <c r="P45" s="31"/>
      <c r="Q45" s="31"/>
      <c r="R45" s="31"/>
      <c r="S45" s="31"/>
      <c r="T45" s="31"/>
      <c r="U45" s="31"/>
      <c r="V45" s="31"/>
      <c r="W45" s="93"/>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row>
    <row r="46" spans="2:50" s="86" customFormat="1" ht="14.25" hidden="1" x14ac:dyDescent="0.2">
      <c r="B46" s="390"/>
      <c r="C46" s="37"/>
      <c r="D46" s="37"/>
      <c r="E46" s="115"/>
      <c r="F46" s="31"/>
      <c r="G46" s="31"/>
      <c r="H46" s="31"/>
      <c r="I46" s="31"/>
      <c r="J46" s="31"/>
      <c r="K46" s="31"/>
      <c r="L46" s="31"/>
      <c r="M46" s="31"/>
      <c r="N46" s="31"/>
      <c r="O46" s="31"/>
      <c r="P46" s="31"/>
      <c r="Q46" s="31"/>
      <c r="R46" s="31"/>
      <c r="S46" s="31"/>
      <c r="T46" s="31"/>
      <c r="U46" s="31"/>
      <c r="V46" s="31"/>
      <c r="W46" s="93"/>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row>
    <row r="47" spans="2:50" s="86" customFormat="1" ht="14.25" hidden="1" x14ac:dyDescent="0.2">
      <c r="B47" s="390"/>
      <c r="C47" s="37"/>
      <c r="D47" s="37"/>
      <c r="E47" s="115"/>
      <c r="F47" s="31"/>
      <c r="G47" s="31"/>
      <c r="H47" s="31"/>
      <c r="I47" s="31"/>
      <c r="J47" s="31"/>
      <c r="K47" s="31"/>
      <c r="L47" s="31"/>
      <c r="M47" s="31"/>
      <c r="N47" s="31"/>
      <c r="O47" s="31"/>
      <c r="P47" s="31"/>
      <c r="Q47" s="31"/>
      <c r="R47" s="31"/>
      <c r="S47" s="31"/>
      <c r="T47" s="31"/>
      <c r="U47" s="31"/>
      <c r="V47" s="31"/>
      <c r="W47" s="93"/>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row>
    <row r="48" spans="2:50" s="86" customFormat="1" ht="14.25" hidden="1" x14ac:dyDescent="0.2">
      <c r="B48" s="390"/>
      <c r="C48" s="37"/>
      <c r="D48" s="37"/>
      <c r="E48" s="115"/>
      <c r="F48" s="31"/>
      <c r="G48" s="31"/>
      <c r="H48" s="31"/>
      <c r="I48" s="31"/>
      <c r="J48" s="31"/>
      <c r="K48" s="31"/>
      <c r="L48" s="31"/>
      <c r="M48" s="31"/>
      <c r="N48" s="31"/>
      <c r="O48" s="31"/>
      <c r="P48" s="31"/>
      <c r="Q48" s="31"/>
      <c r="R48" s="31"/>
      <c r="S48" s="31"/>
      <c r="T48" s="31"/>
      <c r="U48" s="31"/>
      <c r="V48" s="31"/>
      <c r="W48" s="93"/>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row>
  </sheetData>
  <sheetProtection insertColumns="0"/>
  <protectedRanges>
    <protectedRange sqref="D11:D12" name="Range2"/>
    <protectedRange sqref="S13:V13" name="Rango2"/>
    <protectedRange sqref="N25:V25" name="Rango3"/>
  </protectedRanges>
  <mergeCells count="12">
    <mergeCell ref="F14:R14"/>
    <mergeCell ref="U14:V14"/>
    <mergeCell ref="C15:D15"/>
    <mergeCell ref="G21:V21"/>
    <mergeCell ref="G22:S22"/>
    <mergeCell ref="T22:V22"/>
    <mergeCell ref="D7:D8"/>
    <mergeCell ref="C2:AD2"/>
    <mergeCell ref="C4:D6"/>
    <mergeCell ref="G4:V4"/>
    <mergeCell ref="G5:S5"/>
    <mergeCell ref="T5:V5"/>
  </mergeCells>
  <hyperlinks>
    <hyperlink ref="C15" r:id="rId1" xr:uid="{C4B88890-4453-4C01-9DE2-EB3533AD6DE8}"/>
    <hyperlink ref="C15:D15" r:id="rId2" display="CONTACT US" xr:uid="{AC2A444F-230E-43C7-A60D-3D60584D188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5233"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95234"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92"/>
  <sheetViews>
    <sheetView zoomScale="90" zoomScaleNormal="90" workbookViewId="0">
      <selection activeCell="E15" sqref="E15:I15"/>
    </sheetView>
  </sheetViews>
  <sheetFormatPr defaultColWidth="0" defaultRowHeight="14.25" zeroHeight="1" x14ac:dyDescent="0.2"/>
  <cols>
    <col min="1" max="1" width="2.85546875" style="93" customWidth="1"/>
    <col min="2" max="9" width="10.7109375" style="31" customWidth="1"/>
    <col min="10" max="10" width="9.140625" style="93" customWidth="1"/>
    <col min="11" max="12" width="7.7109375" style="31" customWidth="1"/>
    <col min="13" max="13" width="9.140625" style="44" customWidth="1"/>
    <col min="14" max="14" width="9.140625" style="31" customWidth="1"/>
    <col min="15" max="15" width="5.5703125" style="31" customWidth="1"/>
    <col min="16" max="16" width="18.140625" style="56" bestFit="1" customWidth="1"/>
    <col min="17" max="17" width="3.28515625" style="37" hidden="1" customWidth="1"/>
    <col min="18" max="18" width="8.5703125" style="93" customWidth="1"/>
    <col min="19" max="16384" width="9.140625" style="31" hidden="1"/>
  </cols>
  <sheetData>
    <row r="1" spans="1:17" ht="15" customHeight="1" x14ac:dyDescent="0.2">
      <c r="B1" s="93"/>
      <c r="C1" s="93"/>
      <c r="D1" s="93"/>
      <c r="E1" s="93"/>
      <c r="F1" s="93"/>
      <c r="G1" s="93"/>
      <c r="H1" s="93"/>
      <c r="I1" s="93"/>
      <c r="K1" s="93"/>
      <c r="L1" s="93"/>
      <c r="M1" s="294"/>
      <c r="N1" s="93"/>
      <c r="O1" s="93"/>
      <c r="P1" s="403"/>
      <c r="Q1" s="115"/>
    </row>
    <row r="2" spans="1:17" ht="18" x14ac:dyDescent="0.25">
      <c r="B2" s="628" t="s">
        <v>93</v>
      </c>
      <c r="C2" s="628"/>
      <c r="D2" s="628"/>
      <c r="E2" s="628"/>
      <c r="F2" s="628"/>
      <c r="G2" s="628"/>
      <c r="H2" s="628"/>
      <c r="I2" s="628"/>
      <c r="K2" s="93"/>
      <c r="L2" s="93"/>
      <c r="M2" s="609" t="s">
        <v>81</v>
      </c>
      <c r="N2" s="609"/>
      <c r="O2" s="609"/>
      <c r="P2" s="609"/>
      <c r="Q2" s="86"/>
    </row>
    <row r="3" spans="1:17" ht="15.75" customHeight="1" x14ac:dyDescent="0.2">
      <c r="B3" s="93"/>
      <c r="C3" s="93"/>
      <c r="D3" s="93"/>
      <c r="E3" s="93"/>
      <c r="F3" s="93"/>
      <c r="G3" s="93"/>
      <c r="H3" s="93"/>
      <c r="I3" s="93"/>
      <c r="K3" s="626" t="s">
        <v>240</v>
      </c>
      <c r="L3" s="626"/>
      <c r="M3" s="611" t="s">
        <v>241</v>
      </c>
      <c r="N3" s="611"/>
      <c r="O3" s="611"/>
      <c r="P3" s="611"/>
      <c r="Q3" s="86"/>
    </row>
    <row r="4" spans="1:17" ht="15" customHeight="1" x14ac:dyDescent="0.2">
      <c r="B4" s="631"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631"/>
      <c r="D4" s="631"/>
      <c r="E4" s="631"/>
      <c r="F4" s="631"/>
      <c r="G4" s="631"/>
      <c r="H4" s="631"/>
      <c r="I4" s="631"/>
      <c r="K4" s="627">
        <v>2026</v>
      </c>
      <c r="L4" s="627"/>
      <c r="M4" s="607" t="s">
        <v>29</v>
      </c>
      <c r="N4" s="607" t="s">
        <v>29</v>
      </c>
      <c r="O4" s="607" t="s">
        <v>29</v>
      </c>
      <c r="P4" s="477">
        <f>HLOOKUP(CONCATENATE("lav",$K$4), linkage_aggregate_variables!$B:$AA, Q4, 0)*100</f>
        <v>-2.627795303994529</v>
      </c>
      <c r="Q4" s="11">
        <v>15</v>
      </c>
    </row>
    <row r="5" spans="1:17" x14ac:dyDescent="0.2">
      <c r="A5" s="404" t="s">
        <v>242</v>
      </c>
      <c r="B5" s="631"/>
      <c r="C5" s="631"/>
      <c r="D5" s="631"/>
      <c r="E5" s="631"/>
      <c r="F5" s="631"/>
      <c r="G5" s="631"/>
      <c r="H5" s="631"/>
      <c r="I5" s="631"/>
      <c r="K5" s="294"/>
      <c r="L5" s="294"/>
      <c r="M5" s="607" t="s">
        <v>385</v>
      </c>
      <c r="N5" s="607" t="s">
        <v>385</v>
      </c>
      <c r="O5" s="607" t="s">
        <v>385</v>
      </c>
      <c r="P5" s="477">
        <f>HLOOKUP(CONCATENATE("lav",$K$4), linkage_aggregate_variables!$B:$AA, Q5, 0)*100</f>
        <v>-2.8925800368589827</v>
      </c>
      <c r="Q5" s="11">
        <v>16</v>
      </c>
    </row>
    <row r="6" spans="1:17" x14ac:dyDescent="0.2">
      <c r="B6" s="631"/>
      <c r="C6" s="631"/>
      <c r="D6" s="631"/>
      <c r="E6" s="631"/>
      <c r="F6" s="631"/>
      <c r="G6" s="631"/>
      <c r="H6" s="631"/>
      <c r="I6" s="631"/>
      <c r="K6" s="294"/>
      <c r="L6" s="294"/>
      <c r="M6" s="607" t="s">
        <v>402</v>
      </c>
      <c r="N6" s="607" t="s">
        <v>402</v>
      </c>
      <c r="O6" s="607" t="s">
        <v>402</v>
      </c>
      <c r="P6" s="477">
        <f>HLOOKUP(CONCATENATE("lav",$K$4), linkage_aggregate_variables!$B:$AA, Q6, 0)*100</f>
        <v>-2.2629523376377247</v>
      </c>
      <c r="Q6" s="11">
        <v>17</v>
      </c>
    </row>
    <row r="7" spans="1:17" x14ac:dyDescent="0.2">
      <c r="B7" s="631"/>
      <c r="C7" s="631"/>
      <c r="D7" s="631"/>
      <c r="E7" s="631"/>
      <c r="F7" s="631"/>
      <c r="G7" s="631"/>
      <c r="H7" s="631"/>
      <c r="I7" s="631"/>
      <c r="K7" s="294"/>
      <c r="L7" s="294"/>
      <c r="M7" s="607" t="s">
        <v>386</v>
      </c>
      <c r="N7" s="607" t="s">
        <v>386</v>
      </c>
      <c r="O7" s="607" t="s">
        <v>386</v>
      </c>
      <c r="P7" s="477">
        <f>HLOOKUP(CONCATENATE("lav",$K$4), linkage_aggregate_variables!$B:$AA, Q7, 0)*100</f>
        <v>1.0787859054275373</v>
      </c>
      <c r="Q7" s="11">
        <v>18</v>
      </c>
    </row>
    <row r="8" spans="1:17" x14ac:dyDescent="0.2">
      <c r="B8" s="93"/>
      <c r="C8" s="93"/>
      <c r="D8" s="93"/>
      <c r="E8" s="93"/>
      <c r="F8" s="93"/>
      <c r="G8" s="93"/>
      <c r="H8" s="93"/>
      <c r="I8" s="93"/>
      <c r="K8" s="294"/>
      <c r="L8" s="294"/>
      <c r="M8" s="607" t="s">
        <v>387</v>
      </c>
      <c r="N8" s="607" t="s">
        <v>387</v>
      </c>
      <c r="O8" s="607" t="s">
        <v>387</v>
      </c>
      <c r="P8" s="477">
        <f>HLOOKUP(CONCATENATE("lav",$K$4), linkage_aggregate_variables!$B:$AA, Q8, 0)*100</f>
        <v>2.9597368055684914</v>
      </c>
      <c r="Q8" s="86">
        <v>19</v>
      </c>
    </row>
    <row r="9" spans="1:17" x14ac:dyDescent="0.2">
      <c r="B9" s="630" t="s">
        <v>99</v>
      </c>
      <c r="C9" s="630"/>
      <c r="D9" s="630"/>
      <c r="E9" s="629" t="str">
        <f>IF('CONTROL '!B2=TRUE,"revised","Please, revise the "&amp;B9&amp;" checklist")</f>
        <v>Please, revise the 1. GDP checklist</v>
      </c>
      <c r="F9" s="629"/>
      <c r="G9" s="629"/>
      <c r="H9" s="629"/>
      <c r="I9" s="629"/>
      <c r="K9" s="294"/>
      <c r="L9" s="294"/>
      <c r="M9" s="607" t="s">
        <v>388</v>
      </c>
      <c r="N9" s="607" t="s">
        <v>388</v>
      </c>
      <c r="O9" s="607" t="s">
        <v>388</v>
      </c>
      <c r="P9" s="477">
        <f>HLOOKUP(CONCATENATE("lav",$K$4), linkage_aggregate_variables!$B:$AA, Q9, 0)*100</f>
        <v>2.9292969538443181</v>
      </c>
      <c r="Q9" s="86">
        <v>20</v>
      </c>
    </row>
    <row r="10" spans="1:17" x14ac:dyDescent="0.2">
      <c r="B10" s="622" t="s">
        <v>103</v>
      </c>
      <c r="C10" s="622"/>
      <c r="D10" s="622"/>
      <c r="E10" s="618" t="str">
        <f>IF(( AND( 'CONTROL '!B3=TRUE, 'CONTROL '!B4=TRUE, 'CONTROL '!B5=TRUE, 'CONTROL '!B6=TRUE, 'CONTROL '!B7=TRUE)),"revised","Please, revise the "&amp;B10&amp;" checklist")</f>
        <v>Please, revise the 2.1 Labor Market Structure checklist</v>
      </c>
      <c r="F10" s="618"/>
      <c r="G10" s="618"/>
      <c r="H10" s="618"/>
      <c r="I10" s="618"/>
      <c r="K10" s="294"/>
      <c r="L10" s="294"/>
      <c r="M10" s="613" t="s">
        <v>213</v>
      </c>
      <c r="N10" s="613"/>
      <c r="O10" s="613"/>
      <c r="P10" s="477">
        <f>HLOOKUP(CONCATENATE("lav",$K$4), linkage_aggregate_variables!$B:$AA, Q10, 0)*100</f>
        <v>0.2340680138459339</v>
      </c>
      <c r="Q10" s="11">
        <v>21</v>
      </c>
    </row>
    <row r="11" spans="1:17" ht="15" customHeight="1" x14ac:dyDescent="0.2">
      <c r="B11" s="623" t="s">
        <v>245</v>
      </c>
      <c r="C11" s="623"/>
      <c r="D11" s="623"/>
      <c r="E11" s="619" t="str">
        <f>IF(( AND( 'CONTROL '!B8=TRUE, 'CONTROL '!B9=TRUE, 'CONTROL '!B10=TRUE, 'CONTROL '!B11=TRUE)),"revised","Please, revise the "&amp;B11&amp;" checklist")</f>
        <v>Please, revise the 2.2 Labor Income &amp; Productivity checklist</v>
      </c>
      <c r="F11" s="619"/>
      <c r="G11" s="619"/>
      <c r="H11" s="619"/>
      <c r="I11" s="619"/>
      <c r="J11" s="294"/>
      <c r="K11" s="294"/>
      <c r="L11" s="294"/>
      <c r="M11" s="616" t="s">
        <v>243</v>
      </c>
      <c r="N11" s="616"/>
      <c r="O11" s="616"/>
      <c r="P11" s="616"/>
      <c r="Q11" s="11"/>
    </row>
    <row r="12" spans="1:17" x14ac:dyDescent="0.2">
      <c r="B12" s="624" t="s">
        <v>57</v>
      </c>
      <c r="C12" s="624"/>
      <c r="D12" s="624"/>
      <c r="E12" s="620" t="str">
        <f>IF('CONTROL '!B12=TRUE,"revised","Please, revise the "&amp;B12&amp;" checklist")</f>
        <v>Please, revise the Elasticities checklist</v>
      </c>
      <c r="F12" s="620"/>
      <c r="G12" s="620"/>
      <c r="H12" s="620"/>
      <c r="I12" s="620"/>
      <c r="J12" s="294"/>
      <c r="K12" s="294"/>
      <c r="L12" s="294"/>
      <c r="M12" s="612" t="s">
        <v>244</v>
      </c>
      <c r="N12" s="612"/>
      <c r="O12" s="612"/>
      <c r="P12" s="612"/>
      <c r="Q12" s="11"/>
    </row>
    <row r="13" spans="1:17" x14ac:dyDescent="0.2">
      <c r="B13" s="624" t="s">
        <v>195</v>
      </c>
      <c r="C13" s="624"/>
      <c r="D13" s="624"/>
      <c r="E13" s="620" t="str">
        <f>IF(( AND( 'CONTROL '!B13, 'CONTROL '!B14=TRUE)),"revised","Please, revise the "&amp;B13&amp;" checklist")</f>
        <v>Please, revise the Growth Rates checklist</v>
      </c>
      <c r="F13" s="620"/>
      <c r="G13" s="620"/>
      <c r="H13" s="620"/>
      <c r="I13" s="620"/>
      <c r="J13" s="294"/>
      <c r="K13" s="294"/>
      <c r="L13" s="294"/>
      <c r="M13" s="608" t="s">
        <v>390</v>
      </c>
      <c r="N13" s="608" t="s">
        <v>390</v>
      </c>
      <c r="O13" s="608" t="s">
        <v>390</v>
      </c>
      <c r="P13" s="209">
        <f>HLOOKUP(CONCATENATE("value",$K$4), linkage_aggregate_variables!$B:$AA, Q13, 0)</f>
        <v>26500</v>
      </c>
      <c r="Q13" s="11">
        <v>24</v>
      </c>
    </row>
    <row r="14" spans="1:17" x14ac:dyDescent="0.2">
      <c r="B14" s="625" t="s">
        <v>246</v>
      </c>
      <c r="C14" s="625"/>
      <c r="D14" s="625"/>
      <c r="E14" s="621" t="str">
        <f>IF(( AND( 'CONTROL '!B15, 'CONTROL '!B16=TRUE)),"revised","Please, revise the "&amp;B14&amp;" checklist")</f>
        <v>Please, revise the 3. Non Labor Income checklist</v>
      </c>
      <c r="F14" s="621"/>
      <c r="G14" s="621"/>
      <c r="H14" s="621"/>
      <c r="I14" s="621"/>
      <c r="J14" s="294"/>
      <c r="K14" s="294"/>
      <c r="L14" s="294"/>
      <c r="M14" s="608" t="s">
        <v>389</v>
      </c>
      <c r="N14" s="608" t="s">
        <v>389</v>
      </c>
      <c r="O14" s="608" t="s">
        <v>389</v>
      </c>
      <c r="P14" s="209">
        <f>HLOOKUP(CONCATENATE("value",$K$4), linkage_aggregate_variables!$B:$AA, Q14, 0)</f>
        <v>2.0362400671392833</v>
      </c>
      <c r="Q14" s="11">
        <v>25</v>
      </c>
    </row>
    <row r="15" spans="1:17" x14ac:dyDescent="0.2">
      <c r="B15" s="636" t="s">
        <v>597</v>
      </c>
      <c r="C15" s="636"/>
      <c r="D15" s="636"/>
      <c r="E15" s="637" t="s">
        <v>598</v>
      </c>
      <c r="F15" s="637"/>
      <c r="G15" s="637"/>
      <c r="H15" s="637"/>
      <c r="I15" s="637"/>
      <c r="J15" s="294"/>
      <c r="K15" s="294"/>
      <c r="L15" s="294"/>
      <c r="M15" s="608" t="s">
        <v>391</v>
      </c>
      <c r="N15" s="608" t="s">
        <v>391</v>
      </c>
      <c r="O15" s="608" t="s">
        <v>391</v>
      </c>
      <c r="P15" s="209">
        <f>HLOOKUP(CONCATENATE("value",$K$4), linkage_aggregate_variables!$B:$AA, Q15, 0)</f>
        <v>2.0362400671392833</v>
      </c>
      <c r="Q15" s="11">
        <v>26</v>
      </c>
    </row>
    <row r="16" spans="1:17" x14ac:dyDescent="0.2">
      <c r="B16" s="93"/>
      <c r="C16" s="93"/>
      <c r="D16" s="93"/>
      <c r="E16" s="93"/>
      <c r="F16" s="93"/>
      <c r="G16" s="93"/>
      <c r="H16" s="93"/>
      <c r="I16" s="93"/>
      <c r="J16" s="294"/>
      <c r="K16" s="294"/>
      <c r="L16" s="294"/>
      <c r="M16" s="608" t="s">
        <v>392</v>
      </c>
      <c r="N16" s="608" t="s">
        <v>392</v>
      </c>
      <c r="O16" s="608" t="s">
        <v>392</v>
      </c>
      <c r="P16" s="209">
        <f>HLOOKUP(CONCATENATE("value",$K$4), linkage_aggregate_variables!$B:$AA, Q16, 0)</f>
        <v>0</v>
      </c>
      <c r="Q16" s="86">
        <v>27</v>
      </c>
    </row>
    <row r="17" spans="2:17" x14ac:dyDescent="0.2">
      <c r="B17" s="633"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7" s="633"/>
      <c r="D17" s="633"/>
      <c r="E17" s="633"/>
      <c r="F17" s="633"/>
      <c r="G17" s="633"/>
      <c r="H17" s="633"/>
      <c r="I17" s="633"/>
      <c r="J17" s="294"/>
      <c r="K17" s="294"/>
      <c r="L17" s="294"/>
      <c r="M17" s="608" t="s">
        <v>403</v>
      </c>
      <c r="N17" s="608" t="s">
        <v>403</v>
      </c>
      <c r="O17" s="608" t="s">
        <v>403</v>
      </c>
      <c r="P17" s="209">
        <f>HLOOKUP(CONCATENATE("value",$K$4), linkage_aggregate_variables!$B:$AA, Q17, 0)</f>
        <v>0</v>
      </c>
      <c r="Q17" s="11">
        <v>28</v>
      </c>
    </row>
    <row r="18" spans="2:17" x14ac:dyDescent="0.2">
      <c r="B18" s="633"/>
      <c r="C18" s="633"/>
      <c r="D18" s="633"/>
      <c r="E18" s="633"/>
      <c r="F18" s="633"/>
      <c r="G18" s="633"/>
      <c r="H18" s="633"/>
      <c r="I18" s="633"/>
      <c r="K18" s="294"/>
      <c r="L18" s="294"/>
      <c r="M18" s="608" t="s">
        <v>393</v>
      </c>
      <c r="N18" s="608" t="s">
        <v>393</v>
      </c>
      <c r="O18" s="608" t="s">
        <v>393</v>
      </c>
      <c r="P18" s="209">
        <f>HLOOKUP(CONCATENATE("value",$K$4), linkage_aggregate_variables!$B:$AA, Q18, 0)</f>
        <v>0</v>
      </c>
      <c r="Q18" s="11">
        <v>29</v>
      </c>
    </row>
    <row r="19" spans="2:17" x14ac:dyDescent="0.2">
      <c r="B19" s="633"/>
      <c r="C19" s="633"/>
      <c r="D19" s="633"/>
      <c r="E19" s="633"/>
      <c r="F19" s="633"/>
      <c r="G19" s="633"/>
      <c r="H19" s="633"/>
      <c r="I19" s="633"/>
      <c r="K19" s="294"/>
      <c r="L19" s="294"/>
      <c r="M19" s="608" t="s">
        <v>395</v>
      </c>
      <c r="N19" s="608" t="s">
        <v>395</v>
      </c>
      <c r="O19" s="608" t="s">
        <v>395</v>
      </c>
      <c r="P19" s="209">
        <f>HLOOKUP(CONCATENATE("value",$K$4), linkage_aggregate_variables!$B:$AA, Q19, 0)</f>
        <v>0</v>
      </c>
      <c r="Q19" s="11">
        <v>30</v>
      </c>
    </row>
    <row r="20" spans="2:17" x14ac:dyDescent="0.2">
      <c r="B20" s="242"/>
      <c r="C20" s="242"/>
      <c r="D20" s="242"/>
      <c r="E20" s="242"/>
      <c r="F20" s="242"/>
      <c r="G20" s="242"/>
      <c r="H20" s="242"/>
      <c r="I20" s="242"/>
      <c r="K20" s="294"/>
      <c r="L20" s="294"/>
      <c r="M20" s="608" t="s">
        <v>396</v>
      </c>
      <c r="N20" s="608" t="s">
        <v>396</v>
      </c>
      <c r="O20" s="608" t="s">
        <v>396</v>
      </c>
      <c r="P20" s="209">
        <f>HLOOKUP(CONCATENATE("value",$K$4), linkage_aggregate_variables!$B:$AA, Q20, 0)</f>
        <v>0</v>
      </c>
      <c r="Q20" s="86">
        <v>31</v>
      </c>
    </row>
    <row r="21" spans="2:17" x14ac:dyDescent="0.2">
      <c r="B21" s="634" t="str">
        <f>IF(B17="If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1" s="634"/>
      <c r="D21" s="634"/>
      <c r="E21" s="634"/>
      <c r="F21" s="634"/>
      <c r="G21" s="634"/>
      <c r="H21" s="634"/>
      <c r="I21" s="634"/>
      <c r="K21" s="294"/>
      <c r="L21" s="294"/>
      <c r="M21" s="608" t="s">
        <v>397</v>
      </c>
      <c r="N21" s="608" t="s">
        <v>397</v>
      </c>
      <c r="O21" s="608" t="s">
        <v>397</v>
      </c>
      <c r="P21" s="209">
        <f>HLOOKUP(CONCATENATE("value",$K$4), linkage_aggregate_variables!$B:$AA, Q21, 0)</f>
        <v>23345541.668420158</v>
      </c>
      <c r="Q21" s="86">
        <v>32</v>
      </c>
    </row>
    <row r="22" spans="2:17" ht="15" customHeight="1" x14ac:dyDescent="0.2">
      <c r="B22" s="634"/>
      <c r="C22" s="634"/>
      <c r="D22" s="634"/>
      <c r="E22" s="634"/>
      <c r="F22" s="634"/>
      <c r="G22" s="634"/>
      <c r="H22" s="634"/>
      <c r="I22" s="634"/>
      <c r="K22" s="294"/>
      <c r="L22" s="294"/>
      <c r="M22" s="608" t="s">
        <v>398</v>
      </c>
      <c r="N22" s="608" t="s">
        <v>398</v>
      </c>
      <c r="O22" s="608" t="s">
        <v>398</v>
      </c>
      <c r="P22" s="209">
        <f>HLOOKUP(CONCATENATE("value",$K$4), linkage_aggregate_variables!$B:$AA, Q22, 0)</f>
        <v>172384659.91049781</v>
      </c>
      <c r="Q22" s="11">
        <v>33</v>
      </c>
    </row>
    <row r="23" spans="2:17" x14ac:dyDescent="0.2">
      <c r="B23" s="93"/>
      <c r="C23" s="93"/>
      <c r="D23" s="93"/>
      <c r="E23" s="93"/>
      <c r="F23" s="93"/>
      <c r="G23" s="93"/>
      <c r="H23" s="93"/>
      <c r="I23" s="93"/>
      <c r="K23" s="294"/>
      <c r="L23" s="294"/>
      <c r="M23" s="608" t="s">
        <v>399</v>
      </c>
      <c r="N23" s="608" t="s">
        <v>399</v>
      </c>
      <c r="O23" s="608" t="s">
        <v>399</v>
      </c>
      <c r="P23" s="209">
        <f>HLOOKUP(CONCATENATE("value",$K$4), linkage_aggregate_variables!$B:$AA, Q23, 0)</f>
        <v>0.1354270251224278</v>
      </c>
      <c r="Q23" s="11">
        <v>34</v>
      </c>
    </row>
    <row r="24" spans="2:17" x14ac:dyDescent="0.2">
      <c r="B24" s="93"/>
      <c r="C24" s="93"/>
      <c r="D24" s="93"/>
      <c r="E24" s="93"/>
      <c r="F24" s="93"/>
      <c r="G24" s="93"/>
      <c r="H24" s="93"/>
      <c r="I24" s="93"/>
      <c r="K24" s="294"/>
      <c r="L24" s="294"/>
      <c r="M24" s="608" t="s">
        <v>400</v>
      </c>
      <c r="N24" s="608" t="s">
        <v>400</v>
      </c>
      <c r="O24" s="608" t="s">
        <v>400</v>
      </c>
      <c r="P24" s="209">
        <f>HLOOKUP(CONCATENATE("value",$K$4), linkage_aggregate_variables!$B:$AA, Q24, 0)</f>
        <v>0</v>
      </c>
      <c r="Q24" s="11">
        <v>35</v>
      </c>
    </row>
    <row r="25" spans="2:17" ht="14.25" customHeight="1" x14ac:dyDescent="0.2">
      <c r="B25" s="93"/>
      <c r="C25" s="93"/>
      <c r="D25" s="93"/>
      <c r="E25" s="93"/>
      <c r="F25" s="93"/>
      <c r="G25" s="93"/>
      <c r="H25" s="93"/>
      <c r="I25" s="93"/>
      <c r="K25" s="294"/>
      <c r="L25" s="294"/>
      <c r="M25" s="612" t="s">
        <v>159</v>
      </c>
      <c r="N25" s="612"/>
      <c r="O25" s="612"/>
      <c r="P25" s="612"/>
      <c r="Q25" s="11"/>
    </row>
    <row r="26" spans="2:17" x14ac:dyDescent="0.2">
      <c r="B26" s="93"/>
      <c r="C26" s="93"/>
      <c r="D26" s="93"/>
      <c r="E26" s="93"/>
      <c r="F26" s="93"/>
      <c r="G26" s="93"/>
      <c r="H26" s="93"/>
      <c r="I26" s="93"/>
      <c r="K26" s="294"/>
      <c r="L26" s="294"/>
      <c r="M26" s="608" t="s">
        <v>29</v>
      </c>
      <c r="N26" s="608" t="s">
        <v>29</v>
      </c>
      <c r="O26" s="608" t="s">
        <v>29</v>
      </c>
      <c r="P26" s="209">
        <f>HLOOKUP(CONCATENATE("value",$K$4), linkage_aggregate_variables!$B:$AA, Q26, 0)</f>
        <v>0</v>
      </c>
      <c r="Q26" s="11">
        <v>36</v>
      </c>
    </row>
    <row r="27" spans="2:17" ht="15" thickBot="1" x14ac:dyDescent="0.25">
      <c r="B27" s="93"/>
      <c r="C27" s="93"/>
      <c r="D27" s="93"/>
      <c r="E27" s="93"/>
      <c r="F27" s="93"/>
      <c r="G27" s="93"/>
      <c r="H27" s="93"/>
      <c r="I27" s="93"/>
      <c r="K27" s="294"/>
      <c r="L27" s="294"/>
      <c r="M27" s="608" t="s">
        <v>385</v>
      </c>
      <c r="N27" s="608" t="s">
        <v>385</v>
      </c>
      <c r="O27" s="608" t="s">
        <v>385</v>
      </c>
      <c r="P27" s="209">
        <f>HLOOKUP(CONCATENATE("value",$K$4), linkage_aggregate_variables!$B:$AA, Q27, 0)</f>
        <v>0</v>
      </c>
      <c r="Q27" s="12">
        <v>37</v>
      </c>
    </row>
    <row r="28" spans="2:17" x14ac:dyDescent="0.2">
      <c r="B28" s="93"/>
      <c r="C28" s="93"/>
      <c r="D28" s="93"/>
      <c r="E28" s="93"/>
      <c r="F28" s="93"/>
      <c r="G28" s="93"/>
      <c r="H28" s="93"/>
      <c r="I28" s="93"/>
      <c r="K28" s="294"/>
      <c r="L28" s="294"/>
      <c r="M28" s="608" t="s">
        <v>402</v>
      </c>
      <c r="N28" s="608" t="s">
        <v>402</v>
      </c>
      <c r="O28" s="608" t="s">
        <v>402</v>
      </c>
      <c r="P28" s="209">
        <f>HLOOKUP(CONCATENATE("value",$K$4), linkage_aggregate_variables!$B:$AA, Q28, 0)</f>
        <v>0</v>
      </c>
      <c r="Q28" s="86">
        <v>38</v>
      </c>
    </row>
    <row r="29" spans="2:17" x14ac:dyDescent="0.2">
      <c r="B29" s="635" t="s">
        <v>248</v>
      </c>
      <c r="C29" s="635"/>
      <c r="D29" s="635"/>
      <c r="E29" s="635"/>
      <c r="F29" s="635"/>
      <c r="G29" s="635"/>
      <c r="H29" s="635"/>
      <c r="I29" s="635"/>
      <c r="K29" s="294"/>
      <c r="L29" s="294"/>
      <c r="M29" s="608" t="s">
        <v>386</v>
      </c>
      <c r="N29" s="608" t="s">
        <v>386</v>
      </c>
      <c r="O29" s="608" t="s">
        <v>386</v>
      </c>
      <c r="P29" s="209">
        <f>HLOOKUP(CONCATENATE("value",$K$4), linkage_aggregate_variables!$B:$AA, Q29, 0)</f>
        <v>0</v>
      </c>
      <c r="Q29" s="11">
        <v>39</v>
      </c>
    </row>
    <row r="30" spans="2:17" ht="15.75" customHeight="1" x14ac:dyDescent="0.2">
      <c r="B30" s="635"/>
      <c r="C30" s="635"/>
      <c r="D30" s="635"/>
      <c r="E30" s="635"/>
      <c r="F30" s="635"/>
      <c r="G30" s="635"/>
      <c r="H30" s="635"/>
      <c r="I30" s="635"/>
      <c r="K30" s="93"/>
      <c r="L30" s="93"/>
      <c r="M30" s="608" t="s">
        <v>387</v>
      </c>
      <c r="N30" s="608" t="s">
        <v>387</v>
      </c>
      <c r="O30" s="608" t="s">
        <v>387</v>
      </c>
      <c r="P30" s="209">
        <f>HLOOKUP(CONCATENATE("value",$K$4), linkage_aggregate_variables!$B:$AA, Q30, 0)</f>
        <v>0</v>
      </c>
      <c r="Q30" s="86">
        <v>40</v>
      </c>
    </row>
    <row r="31" spans="2:17" x14ac:dyDescent="0.2">
      <c r="B31" s="243"/>
      <c r="C31" s="243"/>
      <c r="D31" s="243"/>
      <c r="E31" s="243"/>
      <c r="F31" s="243"/>
      <c r="G31" s="243"/>
      <c r="H31" s="243"/>
      <c r="I31" s="243"/>
      <c r="K31" s="93"/>
      <c r="L31" s="93"/>
      <c r="M31" s="608" t="s">
        <v>388</v>
      </c>
      <c r="N31" s="608" t="s">
        <v>388</v>
      </c>
      <c r="O31" s="608" t="s">
        <v>388</v>
      </c>
      <c r="P31" s="209">
        <f>HLOOKUP(CONCATENATE("value",$K$4), linkage_aggregate_variables!$B:$AA, Q31, 0)</f>
        <v>0</v>
      </c>
      <c r="Q31" s="11">
        <v>41</v>
      </c>
    </row>
    <row r="32" spans="2:17" x14ac:dyDescent="0.2">
      <c r="B32" s="632" t="s">
        <v>251</v>
      </c>
      <c r="C32" s="632"/>
      <c r="D32" s="632"/>
      <c r="E32" s="632"/>
      <c r="F32" s="632"/>
      <c r="G32" s="632"/>
      <c r="H32" s="632"/>
      <c r="I32" s="632"/>
      <c r="K32" s="93"/>
      <c r="L32" s="93"/>
      <c r="M32" s="617" t="s">
        <v>91</v>
      </c>
      <c r="N32" s="617"/>
      <c r="O32" s="617"/>
      <c r="P32" s="617"/>
      <c r="Q32" s="86"/>
    </row>
    <row r="33" spans="2:17" x14ac:dyDescent="0.2">
      <c r="B33" s="632"/>
      <c r="C33" s="632"/>
      <c r="D33" s="632"/>
      <c r="E33" s="632"/>
      <c r="F33" s="632"/>
      <c r="G33" s="632"/>
      <c r="H33" s="632"/>
      <c r="I33" s="632"/>
      <c r="K33" s="93"/>
      <c r="L33" s="93"/>
      <c r="M33" s="615" t="s">
        <v>247</v>
      </c>
      <c r="N33" s="615"/>
      <c r="O33" s="615"/>
      <c r="P33" s="615"/>
      <c r="Q33" s="390"/>
    </row>
    <row r="34" spans="2:17" x14ac:dyDescent="0.2">
      <c r="B34" s="117"/>
      <c r="C34" s="117"/>
      <c r="D34" s="117"/>
      <c r="E34" s="117"/>
      <c r="F34" s="117"/>
      <c r="G34" s="117"/>
      <c r="H34" s="117"/>
      <c r="I34" s="117"/>
      <c r="K34" s="93"/>
      <c r="L34" s="93"/>
      <c r="M34" s="606" t="s">
        <v>390</v>
      </c>
      <c r="N34" s="606" t="s">
        <v>390</v>
      </c>
      <c r="O34" s="606" t="s">
        <v>390</v>
      </c>
      <c r="P34" s="478">
        <f>HLOOKUP(CONCATENATE("value",$K$4), linkage_aggregate_variables!$B:$AA, Q34, 0)</f>
        <v>263.25616199874509</v>
      </c>
      <c r="Q34" s="390">
        <v>2</v>
      </c>
    </row>
    <row r="35" spans="2:17" x14ac:dyDescent="0.2">
      <c r="B35" s="117"/>
      <c r="C35" s="117"/>
      <c r="D35" s="117"/>
      <c r="E35" s="117"/>
      <c r="F35" s="117"/>
      <c r="G35" s="117"/>
      <c r="H35" s="117"/>
      <c r="I35" s="117"/>
      <c r="K35" s="93"/>
      <c r="L35" s="93"/>
      <c r="M35" s="606" t="s">
        <v>389</v>
      </c>
      <c r="N35" s="606" t="s">
        <v>389</v>
      </c>
      <c r="O35" s="606" t="s">
        <v>389</v>
      </c>
      <c r="P35" s="478">
        <f>HLOOKUP(CONCATENATE("value",$K$4), linkage_aggregate_variables!$B:$AA, Q35, 0)</f>
        <v>401.03042930235443</v>
      </c>
      <c r="Q35" s="390">
        <v>3</v>
      </c>
    </row>
    <row r="36" spans="2:17" x14ac:dyDescent="0.2">
      <c r="B36" s="117"/>
      <c r="C36" s="117"/>
      <c r="D36" s="117"/>
      <c r="E36" s="117"/>
      <c r="F36" s="117"/>
      <c r="G36" s="117"/>
      <c r="H36" s="117"/>
      <c r="I36" s="117"/>
      <c r="K36" s="93"/>
      <c r="L36" s="93"/>
      <c r="M36" s="606" t="s">
        <v>391</v>
      </c>
      <c r="N36" s="606" t="s">
        <v>391</v>
      </c>
      <c r="O36" s="606" t="s">
        <v>391</v>
      </c>
      <c r="P36" s="478">
        <f>HLOOKUP(CONCATENATE("value",$K$4), linkage_aggregate_variables!$B:$AA, Q36, 0)</f>
        <v>538.48904801346214</v>
      </c>
      <c r="Q36" s="390">
        <v>4</v>
      </c>
    </row>
    <row r="37" spans="2:17" x14ac:dyDescent="0.2">
      <c r="B37" s="117"/>
      <c r="C37" s="117"/>
      <c r="D37" s="117"/>
      <c r="E37" s="117"/>
      <c r="F37" s="117"/>
      <c r="G37" s="117"/>
      <c r="H37" s="117"/>
      <c r="I37" s="117"/>
      <c r="K37" s="93"/>
      <c r="L37" s="93"/>
      <c r="M37" s="606" t="s">
        <v>392</v>
      </c>
      <c r="N37" s="606" t="s">
        <v>392</v>
      </c>
      <c r="O37" s="606" t="s">
        <v>392</v>
      </c>
      <c r="P37" s="478">
        <f>HLOOKUP(CONCATENATE("value",$K$4), linkage_aggregate_variables!$B:$AA, Q37, 0)</f>
        <v>848.38731398310722</v>
      </c>
      <c r="Q37" s="390">
        <v>5</v>
      </c>
    </row>
    <row r="38" spans="2:17" x14ac:dyDescent="0.2">
      <c r="B38" s="117"/>
      <c r="C38" s="117"/>
      <c r="D38" s="117"/>
      <c r="E38" s="117"/>
      <c r="F38" s="117"/>
      <c r="G38" s="117"/>
      <c r="H38" s="117"/>
      <c r="I38" s="117"/>
      <c r="K38" s="93"/>
      <c r="L38" s="93"/>
      <c r="M38" s="606" t="s">
        <v>403</v>
      </c>
      <c r="N38" s="606" t="s">
        <v>403</v>
      </c>
      <c r="O38" s="606" t="s">
        <v>403</v>
      </c>
      <c r="P38" s="478">
        <f>HLOOKUP(CONCATENATE("value",$K$4), linkage_aggregate_variables!$B:$AA, Q38, 0)</f>
        <v>497.42957004364246</v>
      </c>
      <c r="Q38" s="390">
        <v>6</v>
      </c>
    </row>
    <row r="39" spans="2:17" x14ac:dyDescent="0.2">
      <c r="B39" s="117"/>
      <c r="C39" s="117"/>
      <c r="D39" s="117"/>
      <c r="E39" s="117"/>
      <c r="F39" s="117"/>
      <c r="G39" s="117"/>
      <c r="H39" s="117"/>
      <c r="I39" s="117"/>
      <c r="K39" s="93"/>
      <c r="L39" s="93"/>
      <c r="M39" s="606" t="s">
        <v>393</v>
      </c>
      <c r="N39" s="606" t="s">
        <v>393</v>
      </c>
      <c r="O39" s="606" t="s">
        <v>393</v>
      </c>
      <c r="P39" s="478">
        <f>HLOOKUP(CONCATENATE("value",$K$4), linkage_aggregate_variables!$B:$AA, Q39, 0)</f>
        <v>1202.1757824872159</v>
      </c>
      <c r="Q39" s="390">
        <v>7</v>
      </c>
    </row>
    <row r="40" spans="2:17" x14ac:dyDescent="0.2">
      <c r="B40" s="117"/>
      <c r="C40" s="117"/>
      <c r="D40" s="117"/>
      <c r="E40" s="117"/>
      <c r="F40" s="117"/>
      <c r="G40" s="117"/>
      <c r="H40" s="117"/>
      <c r="I40" s="117"/>
      <c r="K40" s="93"/>
      <c r="L40" s="93"/>
      <c r="M40" s="606" t="s">
        <v>395</v>
      </c>
      <c r="N40" s="606" t="s">
        <v>395</v>
      </c>
      <c r="O40" s="606" t="s">
        <v>395</v>
      </c>
      <c r="P40" s="478">
        <f>HLOOKUP(CONCATENATE("value",$K$4), linkage_aggregate_variables!$B:$AA, Q40, 0)</f>
        <v>632.73544101882396</v>
      </c>
      <c r="Q40" s="390">
        <v>8</v>
      </c>
    </row>
    <row r="41" spans="2:17" x14ac:dyDescent="0.2">
      <c r="B41" s="117"/>
      <c r="C41" s="117"/>
      <c r="D41" s="117"/>
      <c r="E41" s="117"/>
      <c r="F41" s="117"/>
      <c r="G41" s="117"/>
      <c r="H41" s="117"/>
      <c r="I41" s="117"/>
      <c r="K41" s="93"/>
      <c r="L41" s="93"/>
      <c r="M41" s="606" t="s">
        <v>396</v>
      </c>
      <c r="N41" s="606" t="s">
        <v>396</v>
      </c>
      <c r="O41" s="606" t="s">
        <v>396</v>
      </c>
      <c r="P41" s="478">
        <f>HLOOKUP(CONCATENATE("value",$K$4), linkage_aggregate_variables!$B:$AA, Q41, 0)</f>
        <v>3845542.75</v>
      </c>
      <c r="Q41" s="390">
        <v>9</v>
      </c>
    </row>
    <row r="42" spans="2:17" x14ac:dyDescent="0.2">
      <c r="B42" s="117"/>
      <c r="C42" s="117"/>
      <c r="D42" s="117"/>
      <c r="E42" s="117"/>
      <c r="F42" s="117"/>
      <c r="G42" s="117"/>
      <c r="H42" s="117"/>
      <c r="I42" s="117"/>
      <c r="K42" s="93"/>
      <c r="L42" s="93"/>
      <c r="M42" s="606" t="s">
        <v>397</v>
      </c>
      <c r="N42" s="606" t="s">
        <v>397</v>
      </c>
      <c r="O42" s="606" t="s">
        <v>397</v>
      </c>
      <c r="P42" s="478">
        <f>HLOOKUP(CONCATENATE("value",$K$4), linkage_aggregate_variables!$B:$AA, Q42, 0)</f>
        <v>14261664</v>
      </c>
      <c r="Q42" s="390">
        <v>10</v>
      </c>
    </row>
    <row r="43" spans="2:17" x14ac:dyDescent="0.2">
      <c r="B43" s="117"/>
      <c r="C43" s="117"/>
      <c r="D43" s="117"/>
      <c r="E43" s="117"/>
      <c r="F43" s="117"/>
      <c r="G43" s="117"/>
      <c r="H43" s="117"/>
      <c r="I43" s="117"/>
      <c r="K43" s="93"/>
      <c r="L43" s="93"/>
      <c r="M43" s="606" t="s">
        <v>398</v>
      </c>
      <c r="N43" s="606" t="s">
        <v>398</v>
      </c>
      <c r="O43" s="606" t="s">
        <v>398</v>
      </c>
      <c r="P43" s="478">
        <f>HLOOKUP(CONCATENATE("value",$K$4), linkage_aggregate_variables!$B:$AA, Q43, 0)</f>
        <v>18616922</v>
      </c>
      <c r="Q43" s="390">
        <v>11</v>
      </c>
    </row>
    <row r="44" spans="2:17" x14ac:dyDescent="0.2">
      <c r="B44" s="117"/>
      <c r="C44" s="117"/>
      <c r="D44" s="117"/>
      <c r="E44" s="117"/>
      <c r="F44" s="117"/>
      <c r="G44" s="117"/>
      <c r="H44" s="117"/>
      <c r="I44" s="117"/>
      <c r="K44" s="93"/>
      <c r="L44" s="93"/>
      <c r="M44" s="606" t="s">
        <v>399</v>
      </c>
      <c r="N44" s="606" t="s">
        <v>399</v>
      </c>
      <c r="O44" s="606" t="s">
        <v>399</v>
      </c>
      <c r="P44" s="478">
        <f>HLOOKUP(CONCATENATE("value",$K$4), linkage_aggregate_variables!$B:$AA, Q44, 0)</f>
        <v>37034853.340000004</v>
      </c>
      <c r="Q44" s="390">
        <v>12</v>
      </c>
    </row>
    <row r="45" spans="2:17" x14ac:dyDescent="0.2">
      <c r="B45" s="117"/>
      <c r="C45" s="117"/>
      <c r="D45" s="117"/>
      <c r="E45" s="117"/>
      <c r="F45" s="117"/>
      <c r="G45" s="117"/>
      <c r="H45" s="117"/>
      <c r="I45" s="117"/>
      <c r="K45" s="93"/>
      <c r="L45" s="93"/>
      <c r="M45" s="606" t="s">
        <v>400</v>
      </c>
      <c r="N45" s="606" t="s">
        <v>400</v>
      </c>
      <c r="O45" s="606" t="s">
        <v>400</v>
      </c>
      <c r="P45" s="478">
        <f>HLOOKUP(CONCATENATE("value",$K$4), linkage_aggregate_variables!$B:$AA, Q45, 0)</f>
        <v>48.497183295852167</v>
      </c>
      <c r="Q45" s="390">
        <v>13</v>
      </c>
    </row>
    <row r="46" spans="2:17" x14ac:dyDescent="0.2">
      <c r="B46" s="117"/>
      <c r="C46" s="117"/>
      <c r="D46" s="117"/>
      <c r="E46" s="117"/>
      <c r="F46" s="117"/>
      <c r="G46" s="117"/>
      <c r="H46" s="117"/>
      <c r="I46" s="117"/>
      <c r="K46" s="93"/>
      <c r="L46" s="93"/>
      <c r="M46" s="614" t="s">
        <v>584</v>
      </c>
      <c r="N46" s="614"/>
      <c r="O46" s="614"/>
      <c r="P46" s="614"/>
      <c r="Q46" s="390"/>
    </row>
    <row r="47" spans="2:17" x14ac:dyDescent="0.2">
      <c r="B47" s="117"/>
      <c r="C47" s="117"/>
      <c r="D47" s="117"/>
      <c r="E47" s="117"/>
      <c r="F47" s="117"/>
      <c r="G47" s="117"/>
      <c r="H47" s="117"/>
      <c r="I47" s="117"/>
      <c r="K47" s="93"/>
      <c r="L47" s="93"/>
      <c r="M47" s="610" t="s">
        <v>249</v>
      </c>
      <c r="N47" s="610"/>
      <c r="O47" s="610"/>
      <c r="P47" s="479">
        <f>HLOOKUP(CONCATENATE("lav",$K$4), linkage_aggregate_variables!$B:$AA, Q47, 0)*100</f>
        <v>0</v>
      </c>
      <c r="Q47" s="390">
        <v>42</v>
      </c>
    </row>
    <row r="48" spans="2:17" x14ac:dyDescent="0.2">
      <c r="B48" s="117"/>
      <c r="C48" s="117"/>
      <c r="D48" s="117"/>
      <c r="E48" s="117"/>
      <c r="F48" s="117"/>
      <c r="G48" s="117"/>
      <c r="H48" s="117"/>
      <c r="I48" s="117"/>
      <c r="K48" s="93"/>
      <c r="L48" s="93"/>
      <c r="M48" s="610" t="s">
        <v>250</v>
      </c>
      <c r="N48" s="610"/>
      <c r="O48" s="610"/>
      <c r="P48" s="210" t="str">
        <f>'3. NON-LABOR INCOME'!D11</f>
        <v>Neutral Distribution</v>
      </c>
      <c r="Q48" s="390"/>
    </row>
    <row r="49" spans="2:17" x14ac:dyDescent="0.2">
      <c r="B49" s="117"/>
      <c r="C49" s="117"/>
      <c r="D49" s="117"/>
      <c r="E49" s="117"/>
      <c r="F49" s="117"/>
      <c r="G49" s="117"/>
      <c r="H49" s="117"/>
      <c r="I49" s="117"/>
      <c r="K49" s="93"/>
      <c r="L49" s="93"/>
      <c r="M49" s="610" t="s">
        <v>252</v>
      </c>
      <c r="N49" s="610"/>
      <c r="O49" s="610"/>
      <c r="P49" s="479">
        <f>HLOOKUP(CONCATENATE("lav",$K$4), linkage_aggregate_variables!$B:$AA, Q49, 0)*100</f>
        <v>0</v>
      </c>
      <c r="Q49" s="390">
        <v>43</v>
      </c>
    </row>
    <row r="50" spans="2:17" x14ac:dyDescent="0.2">
      <c r="B50" s="117"/>
      <c r="C50" s="117"/>
      <c r="D50" s="117"/>
      <c r="E50" s="117"/>
      <c r="F50" s="117"/>
      <c r="G50" s="117"/>
      <c r="H50" s="117"/>
      <c r="I50" s="117"/>
      <c r="K50" s="93"/>
      <c r="L50" s="93"/>
      <c r="M50" s="610" t="s">
        <v>79</v>
      </c>
      <c r="N50" s="610"/>
      <c r="O50" s="610"/>
      <c r="P50" s="479" t="str">
        <f>'3. NON-LABOR INCOME'!D12</f>
        <v>No</v>
      </c>
      <c r="Q50" s="390"/>
    </row>
    <row r="51" spans="2:17" x14ac:dyDescent="0.2">
      <c r="B51" s="117"/>
      <c r="C51" s="117"/>
      <c r="D51" s="117"/>
      <c r="E51" s="117"/>
      <c r="F51" s="117"/>
      <c r="G51" s="117"/>
      <c r="H51" s="117"/>
      <c r="I51" s="117"/>
      <c r="K51" s="93"/>
      <c r="L51" s="93"/>
      <c r="M51" s="489"/>
      <c r="N51" s="489"/>
      <c r="O51" s="489"/>
      <c r="P51" s="490"/>
      <c r="Q51" s="390"/>
    </row>
    <row r="52" spans="2:17" x14ac:dyDescent="0.2">
      <c r="B52" s="117"/>
      <c r="C52" s="117"/>
      <c r="D52" s="117"/>
      <c r="E52" s="117"/>
      <c r="F52" s="117"/>
      <c r="G52" s="117"/>
      <c r="H52" s="117"/>
      <c r="I52" s="117"/>
      <c r="K52" s="93"/>
      <c r="L52" s="93"/>
      <c r="M52" s="487" t="s">
        <v>593</v>
      </c>
      <c r="N52" s="487"/>
      <c r="O52" s="487"/>
      <c r="P52" s="488"/>
      <c r="Q52" s="390"/>
    </row>
    <row r="53" spans="2:17" x14ac:dyDescent="0.2">
      <c r="B53" s="117"/>
      <c r="C53" s="117"/>
      <c r="D53" s="117"/>
      <c r="E53" s="117"/>
      <c r="F53" s="117"/>
      <c r="G53" s="117"/>
      <c r="H53" s="117"/>
      <c r="I53" s="117"/>
      <c r="K53" s="93"/>
      <c r="L53" s="93"/>
      <c r="M53" s="487" t="s">
        <v>595</v>
      </c>
      <c r="N53" s="487"/>
      <c r="O53" s="487"/>
      <c r="P53" s="488"/>
      <c r="Q53" s="390"/>
    </row>
    <row r="54" spans="2:17" x14ac:dyDescent="0.2">
      <c r="B54" s="117"/>
      <c r="C54" s="117"/>
      <c r="D54" s="117"/>
      <c r="E54" s="117"/>
      <c r="F54" s="117"/>
      <c r="G54" s="117"/>
      <c r="H54" s="117"/>
      <c r="I54" s="117"/>
      <c r="K54" s="93"/>
      <c r="L54" s="93"/>
      <c r="M54" s="487" t="s">
        <v>590</v>
      </c>
      <c r="N54" s="487"/>
      <c r="O54" s="487"/>
      <c r="P54" s="488"/>
      <c r="Q54" s="390"/>
    </row>
    <row r="55" spans="2:17" x14ac:dyDescent="0.2">
      <c r="B55" s="117"/>
      <c r="C55" s="117"/>
      <c r="D55" s="117"/>
      <c r="E55" s="117"/>
      <c r="F55" s="117"/>
      <c r="G55" s="117"/>
      <c r="H55" s="117"/>
      <c r="I55" s="117"/>
      <c r="K55" s="93"/>
      <c r="L55" s="93"/>
      <c r="M55" s="487" t="s">
        <v>596</v>
      </c>
      <c r="N55" s="487"/>
      <c r="O55" s="487"/>
      <c r="P55" s="488"/>
      <c r="Q55" s="390"/>
    </row>
    <row r="56" spans="2:17" x14ac:dyDescent="0.2">
      <c r="B56" s="117"/>
      <c r="C56" s="117"/>
      <c r="D56" s="117"/>
      <c r="E56" s="117"/>
      <c r="F56" s="117"/>
      <c r="G56" s="117"/>
      <c r="H56" s="117"/>
      <c r="I56" s="117"/>
      <c r="K56" s="93"/>
      <c r="L56" s="93"/>
      <c r="M56" s="487"/>
      <c r="N56" s="487"/>
      <c r="O56" s="487"/>
      <c r="P56" s="488"/>
      <c r="Q56" s="390"/>
    </row>
    <row r="57" spans="2:17" x14ac:dyDescent="0.2">
      <c r="B57" s="117"/>
      <c r="C57" s="117"/>
      <c r="D57" s="117"/>
      <c r="E57" s="117"/>
      <c r="F57" s="117"/>
      <c r="G57" s="117"/>
      <c r="H57" s="117"/>
      <c r="I57" s="117"/>
      <c r="K57" s="93"/>
      <c r="L57" s="93"/>
      <c r="M57" s="240"/>
      <c r="N57" s="240"/>
      <c r="O57" s="240"/>
      <c r="P57" s="241"/>
      <c r="Q57" s="390"/>
    </row>
    <row r="58" spans="2:17" ht="13.5" customHeight="1" x14ac:dyDescent="0.2">
      <c r="B58" s="117"/>
      <c r="C58" s="117"/>
      <c r="D58" s="117"/>
      <c r="E58" s="117"/>
      <c r="F58" s="117"/>
      <c r="G58" s="117"/>
      <c r="H58" s="117"/>
      <c r="I58" s="117"/>
      <c r="K58" s="93"/>
      <c r="L58" s="93"/>
      <c r="M58" s="240"/>
      <c r="N58" s="240"/>
      <c r="O58" s="240"/>
      <c r="P58" s="241"/>
      <c r="Q58" s="390"/>
    </row>
    <row r="59" spans="2:17" hidden="1" x14ac:dyDescent="0.2">
      <c r="B59" s="117"/>
      <c r="C59" s="117"/>
      <c r="D59" s="117"/>
      <c r="E59" s="117"/>
      <c r="F59" s="117"/>
      <c r="G59" s="117"/>
      <c r="H59" s="117"/>
      <c r="I59" s="117"/>
      <c r="K59" s="93"/>
      <c r="L59" s="93"/>
      <c r="M59" s="240"/>
      <c r="N59" s="240"/>
      <c r="O59" s="240"/>
      <c r="P59" s="241"/>
      <c r="Q59" s="390"/>
    </row>
    <row r="60" spans="2:17" hidden="1" x14ac:dyDescent="0.2">
      <c r="B60" s="117"/>
      <c r="C60" s="117"/>
      <c r="D60" s="117"/>
      <c r="E60" s="117"/>
      <c r="F60" s="117"/>
      <c r="G60" s="117"/>
      <c r="H60" s="117"/>
      <c r="I60" s="117"/>
      <c r="K60" s="93"/>
      <c r="L60" s="93"/>
      <c r="M60" s="240"/>
      <c r="N60" s="240"/>
      <c r="O60" s="240"/>
      <c r="P60" s="241"/>
      <c r="Q60" s="390"/>
    </row>
    <row r="61" spans="2:17" hidden="1" x14ac:dyDescent="0.2">
      <c r="B61" s="117"/>
      <c r="C61" s="117"/>
      <c r="D61" s="117"/>
      <c r="E61" s="117"/>
      <c r="F61" s="117"/>
      <c r="G61" s="117"/>
      <c r="H61" s="117"/>
      <c r="I61" s="117"/>
      <c r="K61" s="93"/>
      <c r="L61" s="93"/>
      <c r="M61" s="240"/>
      <c r="N61" s="240"/>
      <c r="O61" s="240"/>
      <c r="P61" s="241"/>
      <c r="Q61" s="115"/>
    </row>
    <row r="62" spans="2:17" ht="14.25" hidden="1" customHeight="1" x14ac:dyDescent="0.2">
      <c r="B62" s="117"/>
      <c r="C62" s="117"/>
      <c r="D62" s="117"/>
      <c r="E62" s="117"/>
      <c r="F62" s="117"/>
      <c r="G62" s="117"/>
      <c r="H62" s="117"/>
      <c r="I62" s="117"/>
      <c r="K62" s="93"/>
      <c r="L62" s="93"/>
      <c r="M62" s="240"/>
      <c r="N62" s="240"/>
      <c r="O62" s="240"/>
      <c r="P62" s="241"/>
    </row>
    <row r="63" spans="2:17" hidden="1" x14ac:dyDescent="0.2">
      <c r="B63" s="117"/>
      <c r="C63" s="117"/>
      <c r="D63" s="117"/>
      <c r="E63" s="117"/>
      <c r="F63" s="117"/>
      <c r="G63" s="117"/>
      <c r="H63" s="117"/>
      <c r="I63" s="117"/>
      <c r="M63" s="240"/>
      <c r="N63" s="240"/>
      <c r="O63" s="240"/>
      <c r="P63" s="241"/>
      <c r="Q63" s="115"/>
    </row>
    <row r="64" spans="2:17" hidden="1" x14ac:dyDescent="0.2">
      <c r="B64" s="93"/>
      <c r="C64" s="93"/>
      <c r="D64" s="93"/>
      <c r="E64" s="93"/>
      <c r="F64" s="93"/>
      <c r="G64" s="93"/>
      <c r="H64" s="93"/>
      <c r="I64" s="93"/>
      <c r="K64" s="93"/>
      <c r="L64" s="93"/>
      <c r="M64" s="240"/>
      <c r="N64" s="240"/>
      <c r="O64" s="240"/>
      <c r="P64" s="241"/>
      <c r="Q64" s="115"/>
    </row>
    <row r="65" spans="2:17" hidden="1" x14ac:dyDescent="0.2">
      <c r="B65" s="93"/>
      <c r="C65" s="93"/>
      <c r="D65" s="93"/>
      <c r="E65" s="93"/>
      <c r="F65" s="93"/>
      <c r="G65" s="93"/>
      <c r="H65" s="93"/>
      <c r="I65" s="93"/>
      <c r="K65" s="93"/>
      <c r="L65" s="93"/>
      <c r="M65" s="240"/>
      <c r="N65" s="240"/>
      <c r="O65" s="240"/>
      <c r="P65" s="241"/>
      <c r="Q65" s="115"/>
    </row>
    <row r="66" spans="2:17" hidden="1" x14ac:dyDescent="0.2">
      <c r="B66" s="93"/>
      <c r="C66" s="93"/>
      <c r="D66" s="93"/>
      <c r="E66" s="93"/>
      <c r="F66" s="93"/>
      <c r="G66" s="93"/>
      <c r="H66" s="93"/>
      <c r="I66" s="93"/>
      <c r="K66" s="93"/>
      <c r="L66" s="93"/>
      <c r="M66" s="240"/>
      <c r="N66" s="240"/>
      <c r="O66" s="240"/>
      <c r="P66" s="241"/>
      <c r="Q66" s="115"/>
    </row>
    <row r="67" spans="2:17" ht="14.25" hidden="1" customHeight="1" x14ac:dyDescent="0.2">
      <c r="B67" s="93"/>
      <c r="C67" s="93"/>
      <c r="D67" s="93"/>
      <c r="E67" s="93"/>
      <c r="F67" s="93"/>
      <c r="G67" s="93"/>
      <c r="H67" s="93"/>
      <c r="I67" s="93"/>
      <c r="K67" s="93"/>
      <c r="L67" s="93"/>
      <c r="M67" s="240"/>
      <c r="N67" s="240"/>
      <c r="O67" s="240"/>
      <c r="P67" s="241"/>
      <c r="Q67" s="115"/>
    </row>
    <row r="68" spans="2:17" ht="15" hidden="1" customHeight="1" x14ac:dyDescent="0.2">
      <c r="B68" s="93"/>
      <c r="C68" s="93"/>
      <c r="D68" s="93"/>
      <c r="E68" s="93"/>
      <c r="F68" s="93"/>
      <c r="G68" s="93"/>
      <c r="H68" s="93"/>
      <c r="I68" s="93"/>
      <c r="K68" s="93"/>
      <c r="L68" s="93"/>
      <c r="M68" s="240"/>
      <c r="N68" s="240"/>
      <c r="O68" s="240"/>
      <c r="P68" s="241"/>
      <c r="Q68" s="115"/>
    </row>
    <row r="69" spans="2:17" hidden="1" x14ac:dyDescent="0.2">
      <c r="B69" s="93"/>
      <c r="C69" s="93"/>
      <c r="D69" s="93"/>
      <c r="E69" s="93"/>
      <c r="F69" s="93"/>
      <c r="G69" s="93"/>
      <c r="H69" s="93"/>
      <c r="I69" s="93"/>
      <c r="K69" s="93"/>
      <c r="L69" s="93"/>
      <c r="M69" s="240"/>
      <c r="N69" s="240"/>
      <c r="O69" s="240"/>
      <c r="P69" s="241"/>
      <c r="Q69" s="115"/>
    </row>
    <row r="70" spans="2:17" hidden="1" x14ac:dyDescent="0.2">
      <c r="B70" s="93"/>
      <c r="C70" s="93"/>
      <c r="D70" s="93"/>
      <c r="E70" s="93"/>
      <c r="F70" s="93"/>
      <c r="G70" s="93"/>
      <c r="H70" s="93"/>
      <c r="I70" s="93"/>
      <c r="K70" s="93"/>
      <c r="L70" s="93"/>
      <c r="M70" s="240"/>
      <c r="N70" s="240"/>
      <c r="O70" s="240"/>
      <c r="P70" s="241"/>
      <c r="Q70" s="115"/>
    </row>
    <row r="71" spans="2:17" hidden="1" x14ac:dyDescent="0.2">
      <c r="B71" s="93"/>
      <c r="C71" s="93"/>
      <c r="D71" s="93"/>
      <c r="E71" s="93"/>
      <c r="F71" s="93"/>
      <c r="G71" s="93"/>
      <c r="H71" s="93"/>
      <c r="I71" s="93"/>
      <c r="K71" s="93"/>
      <c r="L71" s="93"/>
      <c r="M71" s="240"/>
      <c r="N71" s="240"/>
      <c r="O71" s="240"/>
      <c r="P71" s="241"/>
      <c r="Q71" s="115"/>
    </row>
    <row r="72" spans="2:17" hidden="1" x14ac:dyDescent="0.2">
      <c r="B72" s="93"/>
      <c r="C72" s="93"/>
      <c r="D72" s="93"/>
      <c r="E72" s="93"/>
      <c r="F72" s="93"/>
      <c r="G72" s="93"/>
      <c r="H72" s="93"/>
      <c r="I72" s="93"/>
      <c r="K72" s="93"/>
      <c r="L72" s="93"/>
      <c r="M72" s="240"/>
      <c r="N72" s="240"/>
      <c r="O72" s="240"/>
      <c r="P72" s="241"/>
      <c r="Q72" s="115"/>
    </row>
    <row r="73" spans="2:17" hidden="1" x14ac:dyDescent="0.2">
      <c r="B73" s="93"/>
      <c r="C73" s="93"/>
      <c r="D73" s="93"/>
      <c r="E73" s="93"/>
      <c r="F73" s="93"/>
      <c r="G73" s="93"/>
      <c r="H73" s="93"/>
      <c r="I73" s="93"/>
      <c r="K73" s="93"/>
      <c r="L73" s="93"/>
      <c r="M73" s="240"/>
      <c r="N73" s="240"/>
      <c r="O73" s="240"/>
      <c r="P73" s="241"/>
      <c r="Q73" s="115"/>
    </row>
    <row r="74" spans="2:17" hidden="1" x14ac:dyDescent="0.2">
      <c r="B74" s="93"/>
      <c r="C74" s="93"/>
      <c r="D74" s="93"/>
      <c r="E74" s="93"/>
      <c r="F74" s="93"/>
      <c r="G74" s="93"/>
      <c r="H74" s="93"/>
      <c r="I74" s="93"/>
      <c r="K74" s="93"/>
      <c r="L74" s="93"/>
      <c r="M74" s="240"/>
      <c r="N74" s="240"/>
      <c r="O74" s="240"/>
      <c r="P74" s="241"/>
      <c r="Q74" s="115"/>
    </row>
    <row r="75" spans="2:17" hidden="1" x14ac:dyDescent="0.2">
      <c r="B75" s="93"/>
      <c r="C75" s="93"/>
      <c r="D75" s="93"/>
      <c r="E75" s="93"/>
      <c r="F75" s="93"/>
      <c r="G75" s="93"/>
      <c r="H75" s="93"/>
      <c r="I75" s="93"/>
      <c r="K75" s="93"/>
      <c r="L75" s="93"/>
      <c r="M75" s="240"/>
      <c r="N75" s="240"/>
      <c r="O75" s="240"/>
      <c r="P75" s="241"/>
      <c r="Q75" s="115"/>
    </row>
    <row r="76" spans="2:17" hidden="1" x14ac:dyDescent="0.2">
      <c r="B76" s="93"/>
      <c r="C76" s="93"/>
      <c r="D76" s="93"/>
      <c r="E76" s="93"/>
      <c r="F76" s="93"/>
      <c r="G76" s="93"/>
      <c r="H76" s="93"/>
      <c r="I76" s="93"/>
      <c r="K76" s="93"/>
      <c r="L76" s="93"/>
      <c r="M76" s="240"/>
      <c r="N76" s="240"/>
      <c r="O76" s="240"/>
      <c r="P76" s="241"/>
      <c r="Q76" s="115"/>
    </row>
    <row r="77" spans="2:17" hidden="1" x14ac:dyDescent="0.2">
      <c r="B77" s="93"/>
      <c r="C77" s="93"/>
      <c r="D77" s="93"/>
      <c r="E77" s="93"/>
      <c r="F77" s="93"/>
      <c r="G77" s="93"/>
      <c r="H77" s="93"/>
      <c r="I77" s="93"/>
      <c r="K77" s="93"/>
      <c r="L77" s="93"/>
      <c r="M77" s="240"/>
      <c r="N77" s="240"/>
      <c r="O77" s="240"/>
      <c r="P77" s="241"/>
      <c r="Q77" s="115"/>
    </row>
    <row r="78" spans="2:17" hidden="1" x14ac:dyDescent="0.2">
      <c r="B78" s="93"/>
      <c r="C78" s="93"/>
      <c r="D78" s="93"/>
      <c r="E78" s="93"/>
      <c r="F78" s="93"/>
      <c r="G78" s="93"/>
      <c r="H78" s="93"/>
      <c r="I78" s="93"/>
      <c r="K78" s="93"/>
      <c r="L78" s="93"/>
      <c r="M78" s="240"/>
      <c r="N78" s="240"/>
      <c r="O78" s="240"/>
      <c r="P78" s="241"/>
      <c r="Q78" s="115"/>
    </row>
    <row r="79" spans="2:17" hidden="1" x14ac:dyDescent="0.2">
      <c r="B79" s="93"/>
      <c r="C79" s="93"/>
      <c r="D79" s="93"/>
      <c r="E79" s="93"/>
      <c r="F79" s="93"/>
      <c r="G79" s="93"/>
      <c r="H79" s="93"/>
      <c r="I79" s="93"/>
      <c r="K79" s="93"/>
      <c r="L79" s="93"/>
      <c r="M79" s="294"/>
      <c r="N79" s="93"/>
      <c r="O79" s="93"/>
      <c r="P79" s="403"/>
      <c r="Q79" s="115"/>
    </row>
    <row r="80" spans="2:17" hidden="1" x14ac:dyDescent="0.2">
      <c r="B80" s="93"/>
      <c r="C80" s="93"/>
      <c r="D80" s="93"/>
      <c r="E80" s="93"/>
      <c r="F80" s="93"/>
      <c r="G80" s="93"/>
      <c r="H80" s="93"/>
      <c r="I80" s="93"/>
      <c r="K80" s="93"/>
      <c r="L80" s="93"/>
      <c r="M80" s="294"/>
      <c r="N80" s="93"/>
      <c r="O80" s="93"/>
      <c r="P80" s="403"/>
      <c r="Q80" s="115"/>
    </row>
    <row r="81" spans="2:17" hidden="1" x14ac:dyDescent="0.2">
      <c r="B81" s="93"/>
      <c r="C81" s="93"/>
      <c r="D81" s="93"/>
      <c r="E81" s="93"/>
      <c r="F81" s="93"/>
      <c r="G81" s="93"/>
      <c r="H81" s="93"/>
      <c r="I81" s="93"/>
      <c r="K81" s="93"/>
      <c r="L81" s="93"/>
      <c r="M81" s="294"/>
      <c r="N81" s="93"/>
      <c r="O81" s="93"/>
      <c r="P81" s="403"/>
      <c r="Q81" s="115"/>
    </row>
    <row r="82" spans="2:17" hidden="1" x14ac:dyDescent="0.2">
      <c r="B82" s="93"/>
      <c r="C82" s="93"/>
      <c r="D82" s="93"/>
      <c r="E82" s="93"/>
      <c r="F82" s="93"/>
      <c r="G82" s="93"/>
      <c r="H82" s="93"/>
      <c r="I82" s="93"/>
      <c r="K82" s="93"/>
      <c r="L82" s="93"/>
      <c r="M82" s="294"/>
      <c r="N82" s="93"/>
      <c r="O82" s="93"/>
      <c r="P82" s="403"/>
      <c r="Q82" s="115"/>
    </row>
    <row r="83" spans="2:17" hidden="1" x14ac:dyDescent="0.2">
      <c r="B83" s="93"/>
      <c r="C83" s="93"/>
      <c r="D83" s="93"/>
      <c r="E83" s="93"/>
      <c r="F83" s="93"/>
      <c r="G83" s="93"/>
      <c r="H83" s="93"/>
      <c r="I83" s="93"/>
      <c r="K83" s="93"/>
      <c r="L83" s="93"/>
      <c r="M83" s="294"/>
      <c r="N83" s="93"/>
      <c r="O83" s="93"/>
      <c r="P83" s="403"/>
      <c r="Q83" s="115"/>
    </row>
    <row r="84" spans="2:17" hidden="1" x14ac:dyDescent="0.2">
      <c r="B84" s="93"/>
      <c r="C84" s="93"/>
      <c r="D84" s="93"/>
      <c r="E84" s="93"/>
      <c r="F84" s="93"/>
      <c r="G84" s="93"/>
      <c r="H84" s="93"/>
      <c r="I84" s="93"/>
      <c r="K84" s="93"/>
      <c r="L84" s="93"/>
      <c r="M84" s="294"/>
      <c r="N84" s="93"/>
      <c r="O84" s="93"/>
      <c r="P84" s="403"/>
      <c r="Q84" s="115"/>
    </row>
    <row r="85" spans="2:17" hidden="1" x14ac:dyDescent="0.2">
      <c r="B85" s="93"/>
      <c r="C85" s="93"/>
      <c r="D85" s="93"/>
      <c r="E85" s="93"/>
      <c r="F85" s="93"/>
      <c r="G85" s="93"/>
      <c r="H85" s="93"/>
      <c r="I85" s="93"/>
      <c r="K85" s="93"/>
      <c r="L85" s="93"/>
      <c r="M85" s="294"/>
      <c r="N85" s="93"/>
      <c r="O85" s="93"/>
      <c r="P85" s="403"/>
      <c r="Q85" s="115"/>
    </row>
    <row r="86" spans="2:17" hidden="1" x14ac:dyDescent="0.2">
      <c r="B86" s="93"/>
      <c r="C86" s="93"/>
      <c r="D86" s="93"/>
      <c r="E86" s="93"/>
      <c r="F86" s="93"/>
      <c r="G86" s="93"/>
      <c r="H86" s="93"/>
      <c r="I86" s="93"/>
      <c r="K86" s="93"/>
      <c r="L86" s="93"/>
      <c r="M86" s="294"/>
      <c r="N86" s="93"/>
      <c r="O86" s="93"/>
      <c r="P86" s="403"/>
      <c r="Q86" s="115"/>
    </row>
    <row r="87" spans="2:17" hidden="1" x14ac:dyDescent="0.2">
      <c r="B87" s="93"/>
      <c r="C87" s="93"/>
      <c r="D87" s="93"/>
      <c r="E87" s="93"/>
      <c r="F87" s="93"/>
      <c r="G87" s="93"/>
      <c r="H87" s="93"/>
      <c r="I87" s="93"/>
      <c r="K87" s="93"/>
      <c r="L87" s="93"/>
      <c r="M87" s="294"/>
      <c r="N87" s="93"/>
      <c r="O87" s="93"/>
      <c r="P87" s="403"/>
      <c r="Q87" s="115"/>
    </row>
    <row r="88" spans="2:17" hidden="1" x14ac:dyDescent="0.2">
      <c r="B88" s="93"/>
      <c r="C88" s="93"/>
      <c r="D88" s="93"/>
      <c r="E88" s="93"/>
      <c r="F88" s="93"/>
      <c r="G88" s="93"/>
      <c r="H88" s="93"/>
      <c r="I88" s="93"/>
      <c r="K88" s="93"/>
      <c r="L88" s="93"/>
      <c r="M88" s="294"/>
      <c r="N88" s="93"/>
      <c r="O88" s="93"/>
      <c r="P88" s="403"/>
      <c r="Q88" s="115"/>
    </row>
    <row r="89" spans="2:17" hidden="1" x14ac:dyDescent="0.2">
      <c r="B89" s="93"/>
      <c r="C89" s="93"/>
      <c r="D89" s="93"/>
      <c r="E89" s="93"/>
      <c r="F89" s="93"/>
      <c r="G89" s="93"/>
      <c r="H89" s="93"/>
      <c r="I89" s="93"/>
      <c r="K89" s="93"/>
      <c r="L89" s="93"/>
      <c r="M89" s="294"/>
      <c r="N89" s="93"/>
      <c r="O89" s="93"/>
      <c r="P89" s="403"/>
      <c r="Q89" s="115"/>
    </row>
    <row r="90" spans="2:17" hidden="1" x14ac:dyDescent="0.2">
      <c r="B90" s="93"/>
      <c r="C90" s="93"/>
      <c r="D90" s="93"/>
      <c r="E90" s="93"/>
      <c r="F90" s="93"/>
      <c r="G90" s="93"/>
      <c r="H90" s="93"/>
      <c r="I90" s="93"/>
      <c r="K90" s="93"/>
      <c r="L90" s="93"/>
      <c r="M90" s="294"/>
      <c r="N90" s="93"/>
      <c r="O90" s="93"/>
      <c r="P90" s="403"/>
      <c r="Q90" s="115"/>
    </row>
    <row r="91" spans="2:17" hidden="1" x14ac:dyDescent="0.2">
      <c r="B91" s="93"/>
      <c r="C91" s="93"/>
      <c r="D91" s="93"/>
      <c r="E91" s="93"/>
      <c r="F91" s="93"/>
      <c r="G91" s="93"/>
      <c r="H91" s="93"/>
      <c r="I91" s="93"/>
      <c r="K91" s="93"/>
      <c r="L91" s="93"/>
      <c r="M91" s="294"/>
      <c r="N91" s="93"/>
      <c r="O91" s="93"/>
      <c r="P91" s="403"/>
      <c r="Q91" s="115"/>
    </row>
    <row r="92" spans="2:17" hidden="1" x14ac:dyDescent="0.2">
      <c r="B92" s="93"/>
      <c r="C92" s="93"/>
      <c r="D92" s="93"/>
      <c r="E92" s="93"/>
      <c r="F92" s="93"/>
      <c r="G92" s="93"/>
      <c r="H92" s="93"/>
      <c r="I92" s="93"/>
      <c r="K92" s="93"/>
      <c r="L92" s="93"/>
    </row>
  </sheetData>
  <sheetProtection formatCells="0"/>
  <protectedRanges>
    <protectedRange sqref="K4:L4" name="Range1"/>
  </protectedRanges>
  <customSheetViews>
    <customSheetView guid="{5EB6DE45-64D9-4581-AE55-A519683B64F2}" scale="90" showPageBreaks="1" printArea="1" hiddenRows="1" hiddenColumns="1">
      <selection activeCell="R53" sqref="A1:R53"/>
      <pageMargins left="0.7" right="0.7" top="0.75" bottom="0.75" header="0.3" footer="0.3"/>
      <pageSetup orientation="portrait" r:id="rId1"/>
    </customSheetView>
  </customSheetViews>
  <mergeCells count="71">
    <mergeCell ref="B32:I33"/>
    <mergeCell ref="B17:I19"/>
    <mergeCell ref="B21:I22"/>
    <mergeCell ref="B29:I30"/>
    <mergeCell ref="B15:D15"/>
    <mergeCell ref="E15:I15"/>
    <mergeCell ref="K3:L3"/>
    <mergeCell ref="K4:L4"/>
    <mergeCell ref="B2:I2"/>
    <mergeCell ref="E9:I9"/>
    <mergeCell ref="B9:D9"/>
    <mergeCell ref="B4:I7"/>
    <mergeCell ref="B10:D10"/>
    <mergeCell ref="B11:D11"/>
    <mergeCell ref="B12:D12"/>
    <mergeCell ref="B13:D13"/>
    <mergeCell ref="B14:D14"/>
    <mergeCell ref="M15:O15"/>
    <mergeCell ref="E10:I10"/>
    <mergeCell ref="E11:I11"/>
    <mergeCell ref="E12:I12"/>
    <mergeCell ref="E13:I13"/>
    <mergeCell ref="E14:I14"/>
    <mergeCell ref="M50:O50"/>
    <mergeCell ref="M4:O4"/>
    <mergeCell ref="M6:O6"/>
    <mergeCell ref="M9:O9"/>
    <mergeCell ref="M10:O10"/>
    <mergeCell ref="M35:O35"/>
    <mergeCell ref="M39:O39"/>
    <mergeCell ref="M44:O44"/>
    <mergeCell ref="M45:O45"/>
    <mergeCell ref="M46:P46"/>
    <mergeCell ref="M38:O38"/>
    <mergeCell ref="M34:O34"/>
    <mergeCell ref="M33:P33"/>
    <mergeCell ref="M11:P11"/>
    <mergeCell ref="M12:P12"/>
    <mergeCell ref="M32:P32"/>
    <mergeCell ref="M22:O22"/>
    <mergeCell ref="M2:P2"/>
    <mergeCell ref="M47:O47"/>
    <mergeCell ref="M48:O48"/>
    <mergeCell ref="M49:O49"/>
    <mergeCell ref="M3:P3"/>
    <mergeCell ref="M26:O26"/>
    <mergeCell ref="M13:O13"/>
    <mergeCell ref="M25:P25"/>
    <mergeCell ref="M14:O14"/>
    <mergeCell ref="M17:O17"/>
    <mergeCell ref="M18:O18"/>
    <mergeCell ref="M23:O23"/>
    <mergeCell ref="M24:O24"/>
    <mergeCell ref="M28:O28"/>
    <mergeCell ref="M31:O31"/>
    <mergeCell ref="M40:O40"/>
    <mergeCell ref="M41:O41"/>
    <mergeCell ref="M42:O42"/>
    <mergeCell ref="M43:O43"/>
    <mergeCell ref="M5:O5"/>
    <mergeCell ref="M7:O7"/>
    <mergeCell ref="M8:O8"/>
    <mergeCell ref="M27:O27"/>
    <mergeCell ref="M29:O29"/>
    <mergeCell ref="M30:O30"/>
    <mergeCell ref="M36:O36"/>
    <mergeCell ref="M37:O37"/>
    <mergeCell ref="M16:O16"/>
    <mergeCell ref="M19:O19"/>
    <mergeCell ref="M20:O20"/>
    <mergeCell ref="M21:O21"/>
  </mergeCells>
  <hyperlinks>
    <hyperlink ref="B32:F32" r:id="rId2" display="Contact us " xr:uid="{BB7E389C-732B-4BF0-B039-41DE4EB2B397}"/>
    <hyperlink ref="B32:I33" r:id="rId3"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4"/>
  <drawing r:id="rId5"/>
  <legacyDrawing r:id="rId6"/>
  <controls>
    <mc:AlternateContent xmlns:mc="http://schemas.openxmlformats.org/markup-compatibility/2006">
      <mc:Choice Requires="x14">
        <control shapeId="25601" r:id="rId7" name="CommandButton1">
          <controlPr defaultSize="0" autoFill="0" autoLine="0" r:id="rId8">
            <anchor>
              <from>
                <xdr:col>2</xdr:col>
                <xdr:colOff>647700</xdr:colOff>
                <xdr:row>22</xdr:row>
                <xdr:rowOff>152400</xdr:rowOff>
              </from>
              <to>
                <xdr:col>7</xdr:col>
                <xdr:colOff>95250</xdr:colOff>
                <xdr:row>25</xdr:row>
                <xdr:rowOff>66675</xdr:rowOff>
              </to>
            </anchor>
          </controlPr>
        </control>
      </mc:Choice>
      <mc:Fallback>
        <control shapeId="25601" r:id="rId7"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'!$P$9:$P$13</xm:f>
          </x14:formula1>
          <xm:sqref>K4:L4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59"/>
  <sheetViews>
    <sheetView zoomScale="120" zoomScaleNormal="120" workbookViewId="0">
      <selection activeCell="F37" sqref="F37"/>
    </sheetView>
  </sheetViews>
  <sheetFormatPr defaultRowHeight="15" x14ac:dyDescent="0.25"/>
  <cols>
    <col min="3" max="3" width="12.85546875" bestFit="1" customWidth="1"/>
    <col min="4" max="4" width="29.7109375" customWidth="1"/>
    <col min="5" max="5" width="12.85546875" bestFit="1" customWidth="1"/>
    <col min="7" max="7" width="11.5703125" customWidth="1"/>
    <col min="10" max="10" width="15" bestFit="1" customWidth="1"/>
    <col min="11" max="11" width="19" bestFit="1" customWidth="1"/>
    <col min="12" max="12" width="22.5703125" bestFit="1" customWidth="1"/>
    <col min="13" max="13" width="21.7109375" bestFit="1" customWidth="1"/>
    <col min="14" max="14" width="14.42578125" bestFit="1" customWidth="1"/>
    <col min="15" max="15" width="16.5703125" customWidth="1"/>
    <col min="18" max="18" width="34.28515625" bestFit="1" customWidth="1"/>
  </cols>
  <sheetData>
    <row r="1" spans="1:44" ht="15.75" thickBot="1" x14ac:dyDescent="0.3">
      <c r="A1" s="638" t="s">
        <v>253</v>
      </c>
      <c r="B1" s="639"/>
      <c r="C1" s="458" t="s">
        <v>57</v>
      </c>
      <c r="D1" s="45" t="s">
        <v>553</v>
      </c>
      <c r="E1" s="458" t="s">
        <v>254</v>
      </c>
      <c r="F1" s="41" t="s">
        <v>255</v>
      </c>
      <c r="G1" s="33" t="s">
        <v>256</v>
      </c>
      <c r="H1" s="33" t="s">
        <v>257</v>
      </c>
      <c r="I1" s="41" t="s">
        <v>258</v>
      </c>
      <c r="J1" s="45" t="s">
        <v>123</v>
      </c>
      <c r="K1" s="39" t="s">
        <v>259</v>
      </c>
      <c r="L1" s="45" t="s">
        <v>260</v>
      </c>
      <c r="M1" s="45" t="s">
        <v>261</v>
      </c>
      <c r="N1" s="45" t="s">
        <v>262</v>
      </c>
      <c r="P1" s="45" t="s">
        <v>263</v>
      </c>
      <c r="R1" t="s">
        <v>264</v>
      </c>
      <c r="AF1" t="s">
        <v>265</v>
      </c>
    </row>
    <row r="2" spans="1:44" ht="15.75" thickBot="1" x14ac:dyDescent="0.3">
      <c r="A2" s="27" t="s">
        <v>89</v>
      </c>
      <c r="B2" s="456" t="b">
        <v>0</v>
      </c>
      <c r="C2" s="38" t="s">
        <v>530</v>
      </c>
      <c r="D2" s="38" t="s">
        <v>180</v>
      </c>
      <c r="E2" s="38" t="s">
        <v>266</v>
      </c>
      <c r="F2" s="28" t="s">
        <v>267</v>
      </c>
      <c r="G2" t="s">
        <v>384</v>
      </c>
      <c r="H2" t="s">
        <v>383</v>
      </c>
      <c r="I2">
        <v>2022</v>
      </c>
      <c r="J2" s="38" t="s">
        <v>537</v>
      </c>
      <c r="K2" s="27" t="s">
        <v>236</v>
      </c>
      <c r="L2" s="35" t="s">
        <v>268</v>
      </c>
      <c r="M2" s="38" t="s">
        <v>269</v>
      </c>
      <c r="N2" s="34" t="s">
        <v>270</v>
      </c>
      <c r="P2" s="38">
        <v>2015</v>
      </c>
      <c r="R2" s="459" t="s">
        <v>271</v>
      </c>
      <c r="S2" s="640"/>
      <c r="T2" s="640"/>
      <c r="U2" s="640"/>
      <c r="V2" s="640"/>
      <c r="W2" s="640"/>
      <c r="X2" s="33"/>
      <c r="Y2" s="641" t="s">
        <v>7</v>
      </c>
      <c r="Z2" s="641"/>
      <c r="AA2" s="641"/>
      <c r="AB2" s="641"/>
      <c r="AC2" s="460"/>
      <c r="AD2" s="41"/>
      <c r="AG2" s="49">
        <v>2015</v>
      </c>
      <c r="AH2" s="49">
        <v>2016</v>
      </c>
      <c r="AI2" s="49">
        <v>2017</v>
      </c>
      <c r="AJ2" s="49">
        <v>2018</v>
      </c>
      <c r="AK2" s="50">
        <v>2019</v>
      </c>
      <c r="AL2" s="50">
        <v>2020</v>
      </c>
      <c r="AM2" s="51">
        <v>2021</v>
      </c>
      <c r="AN2" s="52">
        <v>2022</v>
      </c>
      <c r="AO2" s="53">
        <v>2023</v>
      </c>
      <c r="AP2" s="53">
        <v>2024</v>
      </c>
      <c r="AQ2" s="53">
        <v>2025</v>
      </c>
      <c r="AR2" s="53">
        <v>2026</v>
      </c>
    </row>
    <row r="3" spans="1:44" ht="15.75" thickBot="1" x14ac:dyDescent="0.3">
      <c r="A3" s="27" t="s">
        <v>272</v>
      </c>
      <c r="B3" s="456" t="b">
        <v>0</v>
      </c>
      <c r="C3" s="38" t="s">
        <v>518</v>
      </c>
      <c r="D3" s="38" t="s">
        <v>273</v>
      </c>
      <c r="E3" s="38" t="s">
        <v>274</v>
      </c>
      <c r="F3" s="30" t="s">
        <v>238</v>
      </c>
      <c r="G3" s="40" t="s">
        <v>554</v>
      </c>
      <c r="H3" s="42" t="s">
        <v>555</v>
      </c>
      <c r="I3" s="30">
        <v>2021</v>
      </c>
      <c r="J3" s="38" t="s">
        <v>538</v>
      </c>
      <c r="K3" s="29" t="s">
        <v>275</v>
      </c>
      <c r="L3" s="35" t="s">
        <v>276</v>
      </c>
      <c r="M3" s="38" t="s">
        <v>277</v>
      </c>
      <c r="P3" s="38">
        <v>2016</v>
      </c>
      <c r="R3" s="48"/>
      <c r="S3" s="49">
        <v>2015</v>
      </c>
      <c r="T3" s="49">
        <v>2016</v>
      </c>
      <c r="U3" s="49">
        <v>2017</v>
      </c>
      <c r="V3" s="49">
        <v>2018</v>
      </c>
      <c r="W3" s="50">
        <v>2019</v>
      </c>
      <c r="X3" s="50">
        <v>2020</v>
      </c>
      <c r="Y3" s="51">
        <v>2021</v>
      </c>
      <c r="Z3" s="52">
        <v>2022</v>
      </c>
      <c r="AA3" s="53">
        <v>2023</v>
      </c>
      <c r="AB3" s="53">
        <v>2024</v>
      </c>
      <c r="AC3" s="53">
        <v>2025</v>
      </c>
      <c r="AD3" s="461">
        <v>2026</v>
      </c>
      <c r="AE3" s="211"/>
      <c r="AF3" t="s">
        <v>278</v>
      </c>
      <c r="AG3" s="23">
        <f>'3. NON-LABOR INCOME'!K$8</f>
        <v>7.4667044488524015</v>
      </c>
      <c r="AH3" s="23">
        <f>'3. NON-LABOR INCOME'!L$8</f>
        <v>-2.9861568885959366</v>
      </c>
      <c r="AI3" s="23">
        <f>'3. NON-LABOR INCOME'!M$8</f>
        <v>-13.236393286675208</v>
      </c>
      <c r="AJ3" s="23">
        <f>'3. NON-LABOR INCOME'!N$8</f>
        <v>17.331036103062146</v>
      </c>
      <c r="AK3" s="23">
        <f>'3. NON-LABOR INCOME'!O$8</f>
        <v>9.5981844880523184</v>
      </c>
      <c r="AL3" s="23">
        <f>'3. NON-LABOR INCOME'!P$8</f>
        <v>10.870894214372617</v>
      </c>
      <c r="AM3" s="23">
        <f>'3. NON-LABOR INCOME'!Q$8</f>
        <v>36.103866357253047</v>
      </c>
      <c r="AN3" s="23">
        <f>'3. NON-LABOR INCOME'!R$8</f>
        <v>-15.118548082127003</v>
      </c>
      <c r="AO3" s="23">
        <f>'3. NON-LABOR INCOME'!S$8</f>
        <v>2.7532275120198957</v>
      </c>
    </row>
    <row r="4" spans="1:44" x14ac:dyDescent="0.25">
      <c r="A4" s="27" t="s">
        <v>279</v>
      </c>
      <c r="B4" s="456" t="b">
        <v>1</v>
      </c>
      <c r="C4" s="38" t="s">
        <v>519</v>
      </c>
      <c r="D4" s="38" t="s">
        <v>280</v>
      </c>
      <c r="E4" s="38" t="s">
        <v>281</v>
      </c>
      <c r="J4" s="38" t="s">
        <v>539</v>
      </c>
      <c r="L4" s="35" t="s">
        <v>282</v>
      </c>
      <c r="M4" s="38"/>
      <c r="P4" s="38">
        <v>2017</v>
      </c>
      <c r="R4" s="54" t="s">
        <v>466</v>
      </c>
      <c r="S4" s="55" t="e">
        <f>'GROWTH RATES'!P$12</f>
        <v>#N/A</v>
      </c>
      <c r="T4" s="55" t="e">
        <f>'GROWTH RATES'!Q$12</f>
        <v>#N/A</v>
      </c>
      <c r="U4" s="55" t="e">
        <f>'GROWTH RATES'!R$12</f>
        <v>#N/A</v>
      </c>
      <c r="V4" s="55" t="e">
        <f>'GROWTH RATES'!S$12</f>
        <v>#N/A</v>
      </c>
      <c r="W4" s="55" t="e">
        <f>'GROWTH RATES'!T$12</f>
        <v>#N/A</v>
      </c>
      <c r="X4" s="55" t="e">
        <f>'GROWTH RATES'!U$12</f>
        <v>#N/A</v>
      </c>
      <c r="Y4" s="55" t="e">
        <f>'GROWTH RATES'!V$12</f>
        <v>#N/A</v>
      </c>
      <c r="Z4" s="55" t="e">
        <f>'GROWTH RATES'!W$12</f>
        <v>#N/A</v>
      </c>
      <c r="AA4" s="55">
        <f>'GROWTH RATES'!X$12</f>
        <v>-2.5285794155077479</v>
      </c>
      <c r="AB4" s="55"/>
      <c r="AC4" s="55"/>
      <c r="AD4" s="55"/>
      <c r="AE4" s="212"/>
      <c r="AF4" t="s">
        <v>284</v>
      </c>
      <c r="AL4" s="23"/>
      <c r="AM4" s="23"/>
      <c r="AN4" s="23"/>
      <c r="AO4" s="23">
        <f>'3. NON-LABOR INCOME'!S$8</f>
        <v>2.7532275120198957</v>
      </c>
      <c r="AP4" s="23">
        <f>'3. NON-LABOR INCOME'!T$8</f>
        <v>10.648737918617289</v>
      </c>
      <c r="AQ4" s="23">
        <f>'3. NON-LABOR INCOME'!U$8</f>
        <v>4.5500167280026815</v>
      </c>
      <c r="AR4" s="23">
        <f>'3. NON-LABOR INCOME'!V$8</f>
        <v>6.0000000000000053</v>
      </c>
    </row>
    <row r="5" spans="1:44" ht="15.75" thickBot="1" x14ac:dyDescent="0.3">
      <c r="A5" s="27" t="s">
        <v>285</v>
      </c>
      <c r="B5" s="456" t="b">
        <v>0</v>
      </c>
      <c r="C5" s="38" t="s">
        <v>520</v>
      </c>
      <c r="D5" s="38" t="s">
        <v>181</v>
      </c>
      <c r="E5" s="38" t="s">
        <v>286</v>
      </c>
      <c r="J5" s="38" t="s">
        <v>540</v>
      </c>
      <c r="L5" s="35" t="s">
        <v>287</v>
      </c>
      <c r="M5" s="38"/>
      <c r="P5" s="38">
        <v>2018</v>
      </c>
      <c r="R5" s="54" t="s">
        <v>468</v>
      </c>
      <c r="S5" s="55"/>
      <c r="T5" s="55"/>
      <c r="U5" s="55"/>
      <c r="V5" s="55"/>
      <c r="W5" s="55"/>
      <c r="X5" s="55"/>
      <c r="Y5" s="55"/>
      <c r="Z5" s="55"/>
      <c r="AA5" s="55">
        <f>'GROWTH RATES'!X$12</f>
        <v>-2.5285794155077479</v>
      </c>
      <c r="AB5" s="55">
        <f>'GROWTH RATES'!Y$12</f>
        <v>-0.9900000171156198</v>
      </c>
      <c r="AC5" s="55">
        <f>'GROWTH RATES'!Z$12</f>
        <v>1.4999999972385436</v>
      </c>
      <c r="AD5" s="55">
        <f>'GROWTH RATES'!AA$12</f>
        <v>0.46499999215798171</v>
      </c>
      <c r="AE5" s="212"/>
      <c r="AG5" s="49">
        <v>2015</v>
      </c>
      <c r="AH5" s="49">
        <v>2016</v>
      </c>
      <c r="AI5" s="49">
        <v>2017</v>
      </c>
      <c r="AJ5" s="49">
        <v>2018</v>
      </c>
      <c r="AK5" s="50">
        <v>2019</v>
      </c>
      <c r="AL5" s="50">
        <v>2020</v>
      </c>
      <c r="AM5" s="51">
        <v>2021</v>
      </c>
      <c r="AN5" s="52">
        <v>2022</v>
      </c>
      <c r="AO5" s="53">
        <v>2023</v>
      </c>
      <c r="AP5" s="53">
        <v>2024</v>
      </c>
      <c r="AQ5" s="53">
        <v>2025</v>
      </c>
      <c r="AR5" s="53">
        <v>2026</v>
      </c>
    </row>
    <row r="6" spans="1:44" x14ac:dyDescent="0.25">
      <c r="A6" s="27" t="s">
        <v>289</v>
      </c>
      <c r="B6" s="456" t="b">
        <v>0</v>
      </c>
      <c r="C6" s="38" t="s">
        <v>521</v>
      </c>
      <c r="D6" s="38" t="s">
        <v>290</v>
      </c>
      <c r="E6" s="38" t="s">
        <v>291</v>
      </c>
      <c r="J6" s="38" t="s">
        <v>541</v>
      </c>
      <c r="L6" s="35" t="s">
        <v>292</v>
      </c>
      <c r="M6" s="38" t="s">
        <v>283</v>
      </c>
      <c r="P6" s="38">
        <v>2019</v>
      </c>
      <c r="R6" s="54" t="s">
        <v>469</v>
      </c>
      <c r="S6" s="55" t="e">
        <f>'GROWTH RATES'!P$13</f>
        <v>#N/A</v>
      </c>
      <c r="T6" s="55" t="e">
        <f>'GROWTH RATES'!Q$13</f>
        <v>#N/A</v>
      </c>
      <c r="U6" s="55" t="e">
        <f>'GROWTH RATES'!R$13</f>
        <v>#N/A</v>
      </c>
      <c r="V6" s="55" t="e">
        <f>'GROWTH RATES'!S$13</f>
        <v>#N/A</v>
      </c>
      <c r="W6" s="55" t="e">
        <f>'GROWTH RATES'!T$13</f>
        <v>#N/A</v>
      </c>
      <c r="X6" s="55" t="e">
        <f>'GROWTH RATES'!U$13</f>
        <v>#N/A</v>
      </c>
      <c r="Y6" s="55" t="e">
        <f>'GROWTH RATES'!V$13</f>
        <v>#N/A</v>
      </c>
      <c r="Z6" s="55" t="e">
        <f>'GROWTH RATES'!W$13</f>
        <v>#N/A</v>
      </c>
      <c r="AA6" s="55">
        <f>'GROWTH RATES'!X$13</f>
        <v>-2.5285794155077479</v>
      </c>
      <c r="AB6" s="55"/>
      <c r="AC6" s="55"/>
      <c r="AD6" s="55"/>
      <c r="AE6" s="212"/>
      <c r="AF6" t="s">
        <v>294</v>
      </c>
      <c r="AG6" s="23">
        <f>'3. NON-LABOR INCOME'!K$19</f>
        <v>6.5526448353302902</v>
      </c>
      <c r="AH6" s="23">
        <f>'3. NON-LABOR INCOME'!L$19</f>
        <v>7.1134728556473181</v>
      </c>
      <c r="AI6" s="23">
        <f>'3. NON-LABOR INCOME'!M$19</f>
        <v>6.5902394107701268</v>
      </c>
      <c r="AJ6" s="23">
        <f>'3. NON-LABOR INCOME'!N$19</f>
        <v>7.3194122993388344</v>
      </c>
      <c r="AK6" s="23">
        <f>'3. NON-LABOR INCOME'!O$19</f>
        <v>7.8819021854025229</v>
      </c>
      <c r="AL6" s="23">
        <f>'3. NON-LABOR INCOME'!P$19</f>
        <v>3.4480295312287579</v>
      </c>
      <c r="AM6" s="23">
        <f>'3. NON-LABOR INCOME'!Q$19</f>
        <v>6.938675089101598</v>
      </c>
      <c r="AN6" s="23">
        <f>'3. NON-LABOR INCOME'!R$19</f>
        <v>7.099828775751571</v>
      </c>
      <c r="AO6" s="23">
        <f>'3. NON-LABOR INCOME'!S$19</f>
        <v>5.7751090753483725</v>
      </c>
    </row>
    <row r="7" spans="1:44" x14ac:dyDescent="0.25">
      <c r="A7" s="27" t="s">
        <v>295</v>
      </c>
      <c r="B7" s="456" t="b">
        <v>1</v>
      </c>
      <c r="C7" s="38" t="s">
        <v>522</v>
      </c>
      <c r="D7" s="38" t="s">
        <v>491</v>
      </c>
      <c r="E7" s="38" t="s">
        <v>296</v>
      </c>
      <c r="J7" s="38" t="s">
        <v>542</v>
      </c>
      <c r="L7" s="35"/>
      <c r="M7" s="38" t="s">
        <v>288</v>
      </c>
      <c r="P7" s="38">
        <v>2020</v>
      </c>
      <c r="R7" s="54" t="s">
        <v>467</v>
      </c>
      <c r="S7" s="55"/>
      <c r="T7" s="55"/>
      <c r="U7" s="55"/>
      <c r="V7" s="55"/>
      <c r="W7" s="55"/>
      <c r="X7" s="55"/>
      <c r="Y7" s="55"/>
      <c r="Z7" s="55"/>
      <c r="AA7" s="55">
        <f>'GROWTH RATES'!X$13</f>
        <v>-2.5285794155077479</v>
      </c>
      <c r="AB7" s="55">
        <f>'GROWTH RATES'!Y$13</f>
        <v>-0.6600000114104132</v>
      </c>
      <c r="AC7" s="55">
        <f>'GROWTH RATES'!Z$13</f>
        <v>1.1999999977908349</v>
      </c>
      <c r="AD7" s="55">
        <f>'GROWTH RATES'!AA$13</f>
        <v>0.1549999973859939</v>
      </c>
      <c r="AE7" s="212"/>
      <c r="AF7" t="s">
        <v>299</v>
      </c>
      <c r="AL7" s="23"/>
      <c r="AM7" s="23"/>
      <c r="AN7" s="23"/>
      <c r="AO7" s="23">
        <f>'3. NON-LABOR INCOME'!S$19</f>
        <v>5.7751090753483725</v>
      </c>
      <c r="AP7" s="23">
        <f>'3. NON-LABOR INCOME'!T$19</f>
        <v>5.2177536312238093</v>
      </c>
      <c r="AQ7" s="23">
        <f>'3. NON-LABOR INCOME'!U$19</f>
        <v>3.9513981480802318</v>
      </c>
      <c r="AR7" s="23">
        <f>'3. NON-LABOR INCOME'!V$19</f>
        <v>5.4696937322054273</v>
      </c>
    </row>
    <row r="8" spans="1:44" ht="15.75" thickBot="1" x14ac:dyDescent="0.3">
      <c r="A8" s="27" t="s">
        <v>300</v>
      </c>
      <c r="B8" s="456" t="b">
        <v>0</v>
      </c>
      <c r="C8" s="38" t="s">
        <v>523</v>
      </c>
      <c r="D8" s="34" t="s">
        <v>301</v>
      </c>
      <c r="E8" s="34" t="s">
        <v>302</v>
      </c>
      <c r="J8" s="34" t="s">
        <v>122</v>
      </c>
      <c r="L8" s="35"/>
      <c r="M8" s="38"/>
      <c r="P8" s="38">
        <v>2021</v>
      </c>
      <c r="R8" s="54" t="s">
        <v>470</v>
      </c>
      <c r="S8" s="55" t="e">
        <f>'GROWTH RATES'!P$14</f>
        <v>#N/A</v>
      </c>
      <c r="T8" s="55" t="e">
        <f>'GROWTH RATES'!Q$14</f>
        <v>#N/A</v>
      </c>
      <c r="U8" s="55" t="e">
        <f>'GROWTH RATES'!R$14</f>
        <v>#N/A</v>
      </c>
      <c r="V8" s="55" t="e">
        <f>'GROWTH RATES'!S$14</f>
        <v>#N/A</v>
      </c>
      <c r="W8" s="55" t="e">
        <f>'GROWTH RATES'!T$14</f>
        <v>#N/A</v>
      </c>
      <c r="X8" s="55" t="e">
        <f>'GROWTH RATES'!U$14</f>
        <v>#N/A</v>
      </c>
      <c r="Y8" s="55" t="e">
        <f>'GROWTH RATES'!V$14</f>
        <v>#N/A</v>
      </c>
      <c r="Z8" s="55" t="e">
        <f>'GROWTH RATES'!W$14</f>
        <v>#N/A</v>
      </c>
      <c r="AA8" s="55">
        <f>'GROWTH RATES'!X$14</f>
        <v>0.20943892376903417</v>
      </c>
      <c r="AB8" s="55"/>
      <c r="AC8" s="55"/>
      <c r="AD8" s="55"/>
      <c r="AE8" s="212"/>
    </row>
    <row r="9" spans="1:44" x14ac:dyDescent="0.25">
      <c r="A9" s="27" t="s">
        <v>305</v>
      </c>
      <c r="B9" s="456" t="b">
        <v>0</v>
      </c>
      <c r="C9" s="38" t="s">
        <v>524</v>
      </c>
      <c r="L9" s="35" t="s">
        <v>297</v>
      </c>
      <c r="M9" s="38"/>
      <c r="P9" s="38">
        <v>2022</v>
      </c>
      <c r="R9" s="54" t="s">
        <v>471</v>
      </c>
      <c r="S9" s="55"/>
      <c r="T9" s="55"/>
      <c r="U9" s="55"/>
      <c r="V9" s="55"/>
      <c r="W9" s="55"/>
      <c r="X9" s="55"/>
      <c r="Y9" s="55"/>
      <c r="Z9" s="55"/>
      <c r="AA9" s="55">
        <f>'GROWTH RATES'!X$14</f>
        <v>0.20943892376903417</v>
      </c>
      <c r="AB9" s="55">
        <f>'GROWTH RATES'!Y$14</f>
        <v>-1.7400000102691404</v>
      </c>
      <c r="AC9" s="55">
        <f>'GROWTH RATES'!Z$14</f>
        <v>-9.8999998102440969</v>
      </c>
      <c r="AD9" s="55">
        <f>'GROWTH RATES'!AA$14</f>
        <v>11.340000144700122</v>
      </c>
      <c r="AE9" s="212"/>
    </row>
    <row r="10" spans="1:44" x14ac:dyDescent="0.25">
      <c r="A10" s="27" t="s">
        <v>308</v>
      </c>
      <c r="B10" s="456" t="b">
        <v>0</v>
      </c>
      <c r="C10" s="38" t="s">
        <v>525</v>
      </c>
      <c r="L10" s="35" t="s">
        <v>303</v>
      </c>
      <c r="M10" s="38"/>
      <c r="P10" s="38">
        <v>2023</v>
      </c>
      <c r="R10" s="54" t="s">
        <v>472</v>
      </c>
      <c r="S10" s="55" t="e">
        <f>'GROWTH RATES'!P$15</f>
        <v>#N/A</v>
      </c>
      <c r="T10" s="55" t="e">
        <f>'GROWTH RATES'!Q$15</f>
        <v>#N/A</v>
      </c>
      <c r="U10" s="55" t="e">
        <f>'GROWTH RATES'!R$15</f>
        <v>#N/A</v>
      </c>
      <c r="V10" s="55" t="e">
        <f>'GROWTH RATES'!S$15</f>
        <v>#N/A</v>
      </c>
      <c r="W10" s="55" t="e">
        <f>'GROWTH RATES'!T$15</f>
        <v>#N/A</v>
      </c>
      <c r="X10" s="55" t="e">
        <f>'GROWTH RATES'!U$15</f>
        <v>#N/A</v>
      </c>
      <c r="Y10" s="55" t="e">
        <f>'GROWTH RATES'!V$15</f>
        <v>#N/A</v>
      </c>
      <c r="Z10" s="55" t="e">
        <f>'GROWTH RATES'!W$15</f>
        <v>#N/A</v>
      </c>
      <c r="AA10" s="55">
        <f>'GROWTH RATES'!X$15</f>
        <v>2.792518983587132</v>
      </c>
      <c r="AB10" s="55"/>
      <c r="AC10" s="55"/>
      <c r="AD10" s="55"/>
      <c r="AE10" s="212"/>
    </row>
    <row r="11" spans="1:44" x14ac:dyDescent="0.25">
      <c r="A11" s="27" t="s">
        <v>311</v>
      </c>
      <c r="B11" s="456" t="b">
        <v>0</v>
      </c>
      <c r="C11" s="38" t="s">
        <v>526</v>
      </c>
      <c r="L11" s="35"/>
      <c r="M11" s="38"/>
      <c r="P11" s="38">
        <v>2024</v>
      </c>
      <c r="R11" s="54" t="s">
        <v>473</v>
      </c>
      <c r="S11" s="55"/>
      <c r="T11" s="55"/>
      <c r="U11" s="55"/>
      <c r="V11" s="55"/>
      <c r="W11" s="55"/>
      <c r="X11" s="55"/>
      <c r="Y11" s="55"/>
      <c r="Z11" s="55"/>
      <c r="AA11" s="55">
        <f>'GROWTH RATES'!X$15</f>
        <v>2.792518983587132</v>
      </c>
      <c r="AB11" s="55">
        <f>'GROWTH RATES'!Y$15</f>
        <v>-0.2900000017115234</v>
      </c>
      <c r="AC11" s="55">
        <f>'GROWTH RATES'!Z$15</f>
        <v>-4.9499999051220485</v>
      </c>
      <c r="AD11" s="55">
        <f>'GROWTH RATES'!AA$15</f>
        <v>4.860000062014338</v>
      </c>
      <c r="AE11" s="212"/>
    </row>
    <row r="12" spans="1:44" x14ac:dyDescent="0.25">
      <c r="A12" s="27" t="s">
        <v>312</v>
      </c>
      <c r="B12" s="456" t="b">
        <v>0</v>
      </c>
      <c r="C12" s="38" t="s">
        <v>527</v>
      </c>
      <c r="L12" s="35"/>
      <c r="M12" s="38" t="s">
        <v>293</v>
      </c>
      <c r="P12" s="38">
        <v>2025</v>
      </c>
      <c r="R12" s="54" t="s">
        <v>482</v>
      </c>
      <c r="S12" s="55" t="e">
        <f>'GROWTH RATES'!P$16</f>
        <v>#N/A</v>
      </c>
      <c r="T12" s="55" t="e">
        <f>'GROWTH RATES'!Q$16</f>
        <v>#N/A</v>
      </c>
      <c r="U12" s="55" t="e">
        <f>'GROWTH RATES'!R$16</f>
        <v>#N/A</v>
      </c>
      <c r="V12" s="55" t="e">
        <f>'GROWTH RATES'!S$16</f>
        <v>#N/A</v>
      </c>
      <c r="W12" s="55" t="e">
        <f>'GROWTH RATES'!T$16</f>
        <v>#N/A</v>
      </c>
      <c r="X12" s="55" t="e">
        <f>'GROWTH RATES'!U$16</f>
        <v>#N/A</v>
      </c>
      <c r="Y12" s="55" t="e">
        <f>'GROWTH RATES'!V$16</f>
        <v>#N/A</v>
      </c>
      <c r="Z12" s="55" t="e">
        <f>'GROWTH RATES'!W$16</f>
        <v>#N/A</v>
      </c>
      <c r="AA12" s="55">
        <f>'GROWTH RATES'!X$16</f>
        <v>2.4780676254612297</v>
      </c>
      <c r="AB12" s="55"/>
      <c r="AC12" s="55"/>
      <c r="AD12" s="55"/>
      <c r="AE12" s="212"/>
    </row>
    <row r="13" spans="1:44" ht="15.75" thickBot="1" x14ac:dyDescent="0.3">
      <c r="A13" s="27" t="s">
        <v>313</v>
      </c>
      <c r="B13" s="456" t="b">
        <v>0</v>
      </c>
      <c r="C13" s="38" t="s">
        <v>528</v>
      </c>
      <c r="L13" s="35"/>
      <c r="M13" s="38" t="s">
        <v>298</v>
      </c>
      <c r="P13" s="34">
        <v>2026</v>
      </c>
      <c r="R13" s="54" t="s">
        <v>483</v>
      </c>
      <c r="S13" s="55"/>
      <c r="T13" s="55"/>
      <c r="U13" s="55"/>
      <c r="V13" s="55"/>
      <c r="W13" s="55"/>
      <c r="X13" s="55"/>
      <c r="Y13" s="55"/>
      <c r="Z13" s="55"/>
      <c r="AA13" s="55">
        <f>'GROWTH RATES'!X$16</f>
        <v>2.4780676254612297</v>
      </c>
      <c r="AB13" s="55">
        <f>'GROWTH RATES'!Y$16</f>
        <v>-3.4597869182798413</v>
      </c>
      <c r="AC13" s="55">
        <f>'GROWTH RATES'!Z$16</f>
        <v>2.0991211086192454</v>
      </c>
      <c r="AD13" s="55">
        <f>'GROWTH RATES'!AA$16</f>
        <v>3.0168872229007215</v>
      </c>
      <c r="AE13" s="212"/>
    </row>
    <row r="14" spans="1:44" x14ac:dyDescent="0.25">
      <c r="A14" s="27" t="s">
        <v>314</v>
      </c>
      <c r="B14" s="456" t="b">
        <v>0</v>
      </c>
      <c r="C14" s="38" t="s">
        <v>529</v>
      </c>
      <c r="L14" s="35"/>
      <c r="M14" s="38" t="s">
        <v>304</v>
      </c>
      <c r="R14" s="54" t="s">
        <v>484</v>
      </c>
      <c r="S14" s="55" t="e">
        <f>'GROWTH RATES'!P$17</f>
        <v>#N/A</v>
      </c>
      <c r="T14" s="55" t="e">
        <f>'GROWTH RATES'!Q$17</f>
        <v>#N/A</v>
      </c>
      <c r="U14" s="55" t="e">
        <f>'GROWTH RATES'!R$17</f>
        <v>#N/A</v>
      </c>
      <c r="V14" s="55" t="e">
        <f>'GROWTH RATES'!S$17</f>
        <v>#N/A</v>
      </c>
      <c r="W14" s="55" t="e">
        <f>'GROWTH RATES'!T$17</f>
        <v>#N/A</v>
      </c>
      <c r="X14" s="55" t="e">
        <f>'GROWTH RATES'!U$17</f>
        <v>#N/A</v>
      </c>
      <c r="Y14" s="55" t="e">
        <f>'GROWTH RATES'!V$17</f>
        <v>#N/A</v>
      </c>
      <c r="Z14" s="55" t="e">
        <f>'GROWTH RATES'!W$17</f>
        <v>#N/A</v>
      </c>
      <c r="AA14" s="55">
        <f>'GROWTH RATES'!X$17</f>
        <v>1.1505313975355735</v>
      </c>
      <c r="AB14" s="55"/>
      <c r="AC14" s="55"/>
      <c r="AD14" s="55"/>
      <c r="AE14" s="212"/>
    </row>
    <row r="15" spans="1:44" x14ac:dyDescent="0.25">
      <c r="A15" s="27" t="s">
        <v>315</v>
      </c>
      <c r="B15" s="456" t="b">
        <v>0</v>
      </c>
      <c r="C15" s="38" t="s">
        <v>420</v>
      </c>
      <c r="L15" s="35" t="s">
        <v>306</v>
      </c>
      <c r="M15" s="38" t="s">
        <v>307</v>
      </c>
      <c r="R15" s="54" t="s">
        <v>485</v>
      </c>
      <c r="S15" s="55"/>
      <c r="T15" s="55"/>
      <c r="U15" s="55"/>
      <c r="V15" s="55"/>
      <c r="W15" s="55"/>
      <c r="X15" s="55"/>
      <c r="Y15" s="55"/>
      <c r="Z15" s="55"/>
      <c r="AA15" s="55">
        <f>'GROWTH RATES'!X$17</f>
        <v>1.1505313975355735</v>
      </c>
      <c r="AB15" s="55">
        <f>'GROWTH RATES'!Y$17</f>
        <v>-1.5968247315137729</v>
      </c>
      <c r="AC15" s="55">
        <f>'GROWTH RATES'!Z$17</f>
        <v>3.2652995022966036</v>
      </c>
      <c r="AD15" s="55">
        <f>'GROWTH RATES'!AA$17</f>
        <v>1.2067548891602886</v>
      </c>
      <c r="AE15" s="212"/>
    </row>
    <row r="16" spans="1:44" ht="15.75" thickBot="1" x14ac:dyDescent="0.3">
      <c r="A16" s="29" t="s">
        <v>316</v>
      </c>
      <c r="B16" s="457" t="b">
        <v>0</v>
      </c>
      <c r="C16" s="38" t="s">
        <v>421</v>
      </c>
      <c r="L16" s="36" t="s">
        <v>309</v>
      </c>
      <c r="M16" s="34" t="s">
        <v>310</v>
      </c>
      <c r="R16" s="54" t="s">
        <v>474</v>
      </c>
      <c r="S16" s="55">
        <f>'GROWTH RATES'!P$18</f>
        <v>0</v>
      </c>
      <c r="T16" s="55">
        <f>'GROWTH RATES'!Q$18</f>
        <v>0</v>
      </c>
      <c r="U16" s="55">
        <f>'GROWTH RATES'!R$18</f>
        <v>0</v>
      </c>
      <c r="V16" s="55">
        <f>'GROWTH RATES'!S$18</f>
        <v>0</v>
      </c>
      <c r="W16" s="55">
        <f>'GROWTH RATES'!T$18</f>
        <v>0</v>
      </c>
      <c r="X16" s="55">
        <f>'GROWTH RATES'!U$18</f>
        <v>0</v>
      </c>
      <c r="Y16" s="55">
        <f>'GROWTH RATES'!V$18</f>
        <v>0</v>
      </c>
      <c r="Z16" s="55">
        <f>'GROWTH RATES'!W$18</f>
        <v>0</v>
      </c>
      <c r="AA16" s="55">
        <f>'GROWTH RATES'!X$18</f>
        <v>0</v>
      </c>
      <c r="AB16" s="55"/>
      <c r="AC16" s="55"/>
      <c r="AD16" s="55"/>
    </row>
    <row r="17" spans="3:31" x14ac:dyDescent="0.25">
      <c r="C17" s="38" t="s">
        <v>422</v>
      </c>
      <c r="R17" s="54" t="s">
        <v>475</v>
      </c>
      <c r="S17" s="55"/>
      <c r="T17" s="55"/>
      <c r="U17" s="55"/>
      <c r="V17" s="55"/>
      <c r="W17" s="55"/>
      <c r="X17" s="55"/>
      <c r="Y17" s="55"/>
      <c r="Z17" s="55"/>
      <c r="AA17" s="55">
        <f>'GROWTH RATES'!X$18</f>
        <v>0</v>
      </c>
      <c r="AB17" s="55">
        <f>'GROWTH RATES'!Y$18</f>
        <v>0</v>
      </c>
      <c r="AC17" s="55">
        <f>'GROWTH RATES'!Z$18</f>
        <v>0</v>
      </c>
      <c r="AD17" s="55">
        <f>'GROWTH RATES'!AA$18</f>
        <v>0</v>
      </c>
      <c r="AE17" s="211"/>
    </row>
    <row r="18" spans="3:31" x14ac:dyDescent="0.25">
      <c r="C18" s="38" t="s">
        <v>423</v>
      </c>
      <c r="R18" s="54" t="s">
        <v>476</v>
      </c>
      <c r="S18" s="55">
        <f>'GROWTH RATES'!P$19</f>
        <v>0</v>
      </c>
      <c r="T18" s="55">
        <f>'GROWTH RATES'!Q$19</f>
        <v>0</v>
      </c>
      <c r="U18" s="55">
        <f>'GROWTH RATES'!R$19</f>
        <v>0</v>
      </c>
      <c r="V18" s="55">
        <f>'GROWTH RATES'!S$19</f>
        <v>0</v>
      </c>
      <c r="W18" s="55">
        <f>'GROWTH RATES'!T$19</f>
        <v>0</v>
      </c>
      <c r="X18" s="55">
        <f>'GROWTH RATES'!U$19</f>
        <v>0</v>
      </c>
      <c r="Y18" s="55">
        <f>'GROWTH RATES'!V$19</f>
        <v>0</v>
      </c>
      <c r="Z18" s="55">
        <f>'GROWTH RATES'!W$19</f>
        <v>0</v>
      </c>
      <c r="AA18" s="55">
        <f>'GROWTH RATES'!X$19</f>
        <v>0</v>
      </c>
      <c r="AB18" s="55"/>
      <c r="AC18" s="55"/>
      <c r="AD18" s="55"/>
      <c r="AE18" s="23"/>
    </row>
    <row r="19" spans="3:31" x14ac:dyDescent="0.25">
      <c r="C19" s="38" t="s">
        <v>424</v>
      </c>
      <c r="R19" s="54" t="s">
        <v>477</v>
      </c>
      <c r="S19" s="55"/>
      <c r="T19" s="55"/>
      <c r="U19" s="55"/>
      <c r="V19" s="55"/>
      <c r="W19" s="55"/>
      <c r="X19" s="55"/>
      <c r="Y19" s="55"/>
      <c r="Z19" s="55"/>
      <c r="AA19" s="55">
        <f>'GROWTH RATES'!X$19</f>
        <v>0</v>
      </c>
      <c r="AB19" s="55">
        <f>'GROWTH RATES'!Y$19</f>
        <v>0</v>
      </c>
      <c r="AC19" s="55">
        <f>'GROWTH RATES'!Z$19</f>
        <v>0</v>
      </c>
      <c r="AD19" s="55">
        <f>'GROWTH RATES'!AA$19</f>
        <v>0</v>
      </c>
      <c r="AE19" s="23"/>
    </row>
    <row r="20" spans="3:31" x14ac:dyDescent="0.25">
      <c r="C20" s="38" t="s">
        <v>425</v>
      </c>
      <c r="R20" s="54" t="s">
        <v>478</v>
      </c>
      <c r="S20" s="55">
        <f>'GROWTH RATES'!P$20</f>
        <v>0</v>
      </c>
      <c r="T20" s="55">
        <f>'GROWTH RATES'!Q$20</f>
        <v>0</v>
      </c>
      <c r="U20" s="55">
        <f>'GROWTH RATES'!R$20</f>
        <v>0</v>
      </c>
      <c r="V20" s="55">
        <f>'GROWTH RATES'!S$20</f>
        <v>0</v>
      </c>
      <c r="W20" s="55">
        <f>'GROWTH RATES'!T$20</f>
        <v>0</v>
      </c>
      <c r="X20" s="55">
        <f>'GROWTH RATES'!U$20</f>
        <v>0</v>
      </c>
      <c r="Y20" s="55">
        <f>'GROWTH RATES'!V$20</f>
        <v>0</v>
      </c>
      <c r="Z20" s="55">
        <f>'GROWTH RATES'!W$20</f>
        <v>0</v>
      </c>
      <c r="AA20" s="55">
        <f>'GROWTH RATES'!X$20</f>
        <v>0</v>
      </c>
      <c r="AB20" s="55"/>
      <c r="AC20" s="55"/>
      <c r="AD20" s="55"/>
      <c r="AE20" s="23"/>
    </row>
    <row r="21" spans="3:31" x14ac:dyDescent="0.25">
      <c r="C21" s="38" t="s">
        <v>426</v>
      </c>
      <c r="R21" s="54" t="s">
        <v>479</v>
      </c>
      <c r="S21" s="55"/>
      <c r="T21" s="55"/>
      <c r="U21" s="55"/>
      <c r="V21" s="55"/>
      <c r="W21" s="55"/>
      <c r="X21" s="55"/>
      <c r="Y21" s="55"/>
      <c r="Z21" s="55"/>
      <c r="AA21" s="55">
        <f>'GROWTH RATES'!X$20</f>
        <v>0</v>
      </c>
      <c r="AB21" s="55">
        <f>'GROWTH RATES'!Y$20</f>
        <v>0</v>
      </c>
      <c r="AC21" s="55">
        <f>'GROWTH RATES'!Z$20</f>
        <v>0</v>
      </c>
      <c r="AD21" s="55">
        <f>'GROWTH RATES'!AA$20</f>
        <v>0</v>
      </c>
      <c r="AE21" s="23"/>
    </row>
    <row r="22" spans="3:31" x14ac:dyDescent="0.25">
      <c r="C22" s="38" t="s">
        <v>427</v>
      </c>
      <c r="R22" s="54" t="s">
        <v>480</v>
      </c>
      <c r="S22" s="55">
        <f>'GROWTH RATES'!P$21</f>
        <v>0</v>
      </c>
      <c r="T22" s="55">
        <f>'GROWTH RATES'!Q$21</f>
        <v>0</v>
      </c>
      <c r="U22" s="55">
        <f>'GROWTH RATES'!R$21</f>
        <v>0</v>
      </c>
      <c r="V22" s="55">
        <f>'GROWTH RATES'!S$21</f>
        <v>0</v>
      </c>
      <c r="W22" s="55">
        <f>'GROWTH RATES'!T$21</f>
        <v>0</v>
      </c>
      <c r="X22" s="55">
        <f>'GROWTH RATES'!U$21</f>
        <v>0</v>
      </c>
      <c r="Y22" s="55">
        <f>'GROWTH RATES'!V$21</f>
        <v>0</v>
      </c>
      <c r="Z22" s="55">
        <f>'GROWTH RATES'!W$21</f>
        <v>0</v>
      </c>
      <c r="AA22" s="55">
        <f>'GROWTH RATES'!X$21</f>
        <v>0</v>
      </c>
      <c r="AB22" s="55"/>
      <c r="AC22" s="55"/>
      <c r="AD22" s="55"/>
      <c r="AE22" s="23"/>
    </row>
    <row r="23" spans="3:31" x14ac:dyDescent="0.25">
      <c r="C23" s="38" t="s">
        <v>428</v>
      </c>
      <c r="R23" s="54" t="s">
        <v>481</v>
      </c>
      <c r="S23" s="55"/>
      <c r="T23" s="55"/>
      <c r="U23" s="55"/>
      <c r="V23" s="55"/>
      <c r="W23" s="55"/>
      <c r="X23" s="55"/>
      <c r="Y23" s="55"/>
      <c r="Z23" s="55"/>
      <c r="AA23" s="55">
        <f>'GROWTH RATES'!X$21</f>
        <v>0</v>
      </c>
      <c r="AB23" s="55">
        <f>'GROWTH RATES'!Y$21</f>
        <v>0</v>
      </c>
      <c r="AC23" s="55">
        <f>'GROWTH RATES'!Z$21</f>
        <v>0</v>
      </c>
      <c r="AD23" s="55">
        <f>'GROWTH RATES'!AA$21</f>
        <v>0</v>
      </c>
      <c r="AE23" s="23"/>
    </row>
    <row r="24" spans="3:31" x14ac:dyDescent="0.25">
      <c r="C24" s="38" t="s">
        <v>429</v>
      </c>
      <c r="R24" s="54" t="s">
        <v>486</v>
      </c>
      <c r="S24" s="55">
        <f>'GROWTH RATES'!P$22</f>
        <v>0</v>
      </c>
      <c r="T24" s="55">
        <f>'GROWTH RATES'!Q$22</f>
        <v>0</v>
      </c>
      <c r="U24" s="55">
        <f>'GROWTH RATES'!R$22</f>
        <v>0</v>
      </c>
      <c r="V24" s="55">
        <f>'GROWTH RATES'!S$22</f>
        <v>0</v>
      </c>
      <c r="W24" s="55">
        <f>'GROWTH RATES'!T$22</f>
        <v>0</v>
      </c>
      <c r="X24" s="55">
        <f>'GROWTH RATES'!U$22</f>
        <v>0</v>
      </c>
      <c r="Y24" s="55">
        <f>'GROWTH RATES'!V$22</f>
        <v>0</v>
      </c>
      <c r="Z24" s="55">
        <f>'GROWTH RATES'!W$22</f>
        <v>0</v>
      </c>
      <c r="AA24" s="55">
        <f>'GROWTH RATES'!X$22</f>
        <v>0</v>
      </c>
      <c r="AB24" s="55"/>
      <c r="AC24" s="55"/>
      <c r="AD24" s="55"/>
      <c r="AE24" s="23"/>
    </row>
    <row r="25" spans="3:31" x14ac:dyDescent="0.25">
      <c r="C25" s="38" t="s">
        <v>430</v>
      </c>
      <c r="R25" s="54" t="s">
        <v>487</v>
      </c>
      <c r="S25" s="55"/>
      <c r="T25" s="55"/>
      <c r="U25" s="55"/>
      <c r="V25" s="55"/>
      <c r="W25" s="55"/>
      <c r="X25" s="55"/>
      <c r="Y25" s="55"/>
      <c r="Z25" s="55"/>
      <c r="AA25" s="55">
        <f>'GROWTH RATES'!X$22</f>
        <v>0</v>
      </c>
      <c r="AB25" s="55">
        <f>'GROWTH RATES'!Y$22</f>
        <v>0</v>
      </c>
      <c r="AC25" s="55">
        <f>'GROWTH RATES'!Z$22</f>
        <v>0</v>
      </c>
      <c r="AD25" s="55">
        <f>'GROWTH RATES'!AA$22</f>
        <v>0</v>
      </c>
      <c r="AE25" s="23"/>
    </row>
    <row r="26" spans="3:31" ht="15.75" thickBot="1" x14ac:dyDescent="0.3">
      <c r="C26" s="34" t="s">
        <v>431</v>
      </c>
      <c r="R26" s="54" t="s">
        <v>486</v>
      </c>
      <c r="S26" s="55">
        <f>'GROWTH RATES'!P$23</f>
        <v>0</v>
      </c>
      <c r="T26" s="55">
        <f>'GROWTH RATES'!Q$23</f>
        <v>0</v>
      </c>
      <c r="U26" s="55">
        <f>'GROWTH RATES'!R$23</f>
        <v>0</v>
      </c>
      <c r="V26" s="55">
        <f>'GROWTH RATES'!S$23</f>
        <v>0</v>
      </c>
      <c r="W26" s="55">
        <f>'GROWTH RATES'!T$23</f>
        <v>0</v>
      </c>
      <c r="X26" s="55">
        <f>'GROWTH RATES'!U$23</f>
        <v>0</v>
      </c>
      <c r="Y26" s="55">
        <f>'GROWTH RATES'!V$23</f>
        <v>0</v>
      </c>
      <c r="Z26" s="55">
        <f>'GROWTH RATES'!W$23</f>
        <v>0</v>
      </c>
      <c r="AA26" s="55">
        <f>'GROWTH RATES'!X$23</f>
        <v>0</v>
      </c>
      <c r="AB26" s="55"/>
      <c r="AC26" s="55"/>
      <c r="AD26" s="55"/>
      <c r="AE26" s="23"/>
    </row>
    <row r="27" spans="3:31" ht="15.75" thickBot="1" x14ac:dyDescent="0.3">
      <c r="R27" s="462" t="s">
        <v>487</v>
      </c>
      <c r="S27" s="463"/>
      <c r="T27" s="463"/>
      <c r="U27" s="463"/>
      <c r="V27" s="463"/>
      <c r="W27" s="463"/>
      <c r="X27" s="463"/>
      <c r="Y27" s="463"/>
      <c r="Z27" s="463"/>
      <c r="AA27" s="463">
        <f>'GROWTH RATES'!X$23</f>
        <v>0</v>
      </c>
      <c r="AB27" s="463">
        <f>'GROWTH RATES'!Y$23</f>
        <v>0</v>
      </c>
      <c r="AC27" s="463">
        <f>'GROWTH RATES'!Z$23</f>
        <v>0</v>
      </c>
      <c r="AD27" s="463">
        <f>'GROWTH RATES'!AA$23</f>
        <v>0</v>
      </c>
      <c r="AE27" s="23"/>
    </row>
    <row r="28" spans="3:31" ht="15.75" thickBot="1" x14ac:dyDescent="0.3">
      <c r="AE28" s="23"/>
    </row>
    <row r="29" spans="3:31" ht="15.75" thickBot="1" x14ac:dyDescent="0.3">
      <c r="R29" s="464" t="s">
        <v>261</v>
      </c>
      <c r="S29" s="465">
        <v>2015</v>
      </c>
      <c r="T29" s="465">
        <v>2016</v>
      </c>
      <c r="U29" s="465">
        <v>2017</v>
      </c>
      <c r="V29" s="465">
        <v>2018</v>
      </c>
      <c r="W29" s="466">
        <v>2019</v>
      </c>
      <c r="X29" s="466">
        <v>2020</v>
      </c>
      <c r="Y29" s="467">
        <v>2021</v>
      </c>
      <c r="Z29" s="468">
        <v>2022</v>
      </c>
      <c r="AA29" s="469">
        <v>2023</v>
      </c>
      <c r="AB29" s="469">
        <v>2024</v>
      </c>
      <c r="AC29" s="469">
        <v>2025</v>
      </c>
      <c r="AD29" s="470">
        <v>2026</v>
      </c>
      <c r="AE29" s="23"/>
    </row>
    <row r="30" spans="3:31" x14ac:dyDescent="0.25">
      <c r="R30" s="54" t="s">
        <v>466</v>
      </c>
      <c r="S30" s="471" t="e">
        <f>'GROWTH RATES'!P32</f>
        <v>#N/A</v>
      </c>
      <c r="T30" s="471" t="e">
        <f>'GROWTH RATES'!Q32</f>
        <v>#N/A</v>
      </c>
      <c r="U30" s="471" t="e">
        <f>'GROWTH RATES'!Q32</f>
        <v>#N/A</v>
      </c>
      <c r="V30" s="471" t="e">
        <f>'GROWTH RATES'!R32</f>
        <v>#N/A</v>
      </c>
      <c r="W30" s="471" t="e">
        <f>'GROWTH RATES'!S32</f>
        <v>#N/A</v>
      </c>
      <c r="X30" s="471" t="e">
        <f>'GROWTH RATES'!T32</f>
        <v>#N/A</v>
      </c>
      <c r="Y30" s="471" t="e">
        <f>'GROWTH RATES'!U32</f>
        <v>#N/A</v>
      </c>
      <c r="Z30" s="471" t="e">
        <f>'GROWTH RATES'!V32</f>
        <v>#N/A</v>
      </c>
      <c r="AA30" s="471" t="e">
        <f>'GROWTH RATES'!W32</f>
        <v>#N/A</v>
      </c>
      <c r="AB30" s="471"/>
      <c r="AC30" s="471"/>
      <c r="AD30" s="472"/>
      <c r="AE30" s="23"/>
    </row>
    <row r="31" spans="3:31" x14ac:dyDescent="0.25">
      <c r="R31" s="54" t="s">
        <v>469</v>
      </c>
      <c r="S31" s="471" t="e">
        <f>'GROWTH RATES'!P33</f>
        <v>#N/A</v>
      </c>
      <c r="T31" s="471" t="e">
        <f>'GROWTH RATES'!Q33</f>
        <v>#N/A</v>
      </c>
      <c r="U31" s="471" t="e">
        <f>'GROWTH RATES'!Q33</f>
        <v>#N/A</v>
      </c>
      <c r="V31" s="471" t="e">
        <f>'GROWTH RATES'!R33</f>
        <v>#N/A</v>
      </c>
      <c r="W31" s="471" t="e">
        <f>'GROWTH RATES'!S33</f>
        <v>#N/A</v>
      </c>
      <c r="X31" s="471" t="e">
        <f>'GROWTH RATES'!T33</f>
        <v>#N/A</v>
      </c>
      <c r="Y31" s="471" t="e">
        <f>'GROWTH RATES'!U33</f>
        <v>#N/A</v>
      </c>
      <c r="Z31" s="471" t="e">
        <f>'GROWTH RATES'!V33</f>
        <v>#N/A</v>
      </c>
      <c r="AA31" s="471" t="e">
        <f>'GROWTH RATES'!W33</f>
        <v>#N/A</v>
      </c>
      <c r="AB31" s="471"/>
      <c r="AC31" s="471"/>
      <c r="AD31" s="472"/>
      <c r="AE31" s="23"/>
    </row>
    <row r="32" spans="3:31" x14ac:dyDescent="0.25">
      <c r="R32" s="54" t="s">
        <v>470</v>
      </c>
      <c r="S32" s="471"/>
      <c r="T32" s="471"/>
      <c r="U32" s="471"/>
      <c r="V32" s="471"/>
      <c r="W32" s="471"/>
      <c r="X32" s="471"/>
      <c r="Y32" s="471"/>
      <c r="Z32" s="471"/>
      <c r="AA32" s="471"/>
      <c r="AB32" s="471"/>
      <c r="AC32" s="471"/>
      <c r="AD32" s="472"/>
      <c r="AE32" s="23"/>
    </row>
    <row r="33" spans="18:31" x14ac:dyDescent="0.25">
      <c r="R33" s="54" t="s">
        <v>472</v>
      </c>
      <c r="S33" s="471"/>
      <c r="T33" s="471"/>
      <c r="U33" s="471"/>
      <c r="V33" s="471"/>
      <c r="W33" s="471"/>
      <c r="X33" s="471"/>
      <c r="Y33" s="471"/>
      <c r="Z33" s="471"/>
      <c r="AA33" s="471"/>
      <c r="AB33" s="471"/>
      <c r="AC33" s="471"/>
      <c r="AD33" s="472"/>
      <c r="AE33" s="23"/>
    </row>
    <row r="34" spans="18:31" x14ac:dyDescent="0.25">
      <c r="R34" s="54" t="s">
        <v>482</v>
      </c>
      <c r="S34" s="471" t="e">
        <f>'GROWTH RATES'!P34</f>
        <v>#N/A</v>
      </c>
      <c r="T34" s="471" t="e">
        <f>'GROWTH RATES'!Q34</f>
        <v>#N/A</v>
      </c>
      <c r="U34" s="471" t="e">
        <f>'GROWTH RATES'!Q34</f>
        <v>#N/A</v>
      </c>
      <c r="V34" s="471" t="e">
        <f>'GROWTH RATES'!R34</f>
        <v>#N/A</v>
      </c>
      <c r="W34" s="471" t="e">
        <f>'GROWTH RATES'!S34</f>
        <v>#N/A</v>
      </c>
      <c r="X34" s="471" t="e">
        <f>'GROWTH RATES'!T34</f>
        <v>#N/A</v>
      </c>
      <c r="Y34" s="471" t="e">
        <f>'GROWTH RATES'!U34</f>
        <v>#N/A</v>
      </c>
      <c r="Z34" s="471" t="e">
        <f>'GROWTH RATES'!V34</f>
        <v>#N/A</v>
      </c>
      <c r="AA34" s="471" t="e">
        <f>'GROWTH RATES'!W34</f>
        <v>#N/A</v>
      </c>
      <c r="AB34" s="471"/>
      <c r="AC34" s="471"/>
      <c r="AD34" s="472"/>
      <c r="AE34" s="23"/>
    </row>
    <row r="35" spans="18:31" x14ac:dyDescent="0.25">
      <c r="R35" s="54" t="s">
        <v>484</v>
      </c>
      <c r="S35" s="471" t="e">
        <f>'GROWTH RATES'!P35</f>
        <v>#N/A</v>
      </c>
      <c r="T35" s="471" t="e">
        <f>'GROWTH RATES'!Q35</f>
        <v>#N/A</v>
      </c>
      <c r="U35" s="471" t="e">
        <f>'GROWTH RATES'!Q35</f>
        <v>#N/A</v>
      </c>
      <c r="V35" s="471" t="e">
        <f>'GROWTH RATES'!R35</f>
        <v>#N/A</v>
      </c>
      <c r="W35" s="471" t="e">
        <f>'GROWTH RATES'!S35</f>
        <v>#N/A</v>
      </c>
      <c r="X35" s="471" t="e">
        <f>'GROWTH RATES'!T35</f>
        <v>#N/A</v>
      </c>
      <c r="Y35" s="471" t="e">
        <f>'GROWTH RATES'!U35</f>
        <v>#N/A</v>
      </c>
      <c r="Z35" s="471" t="e">
        <f>'GROWTH RATES'!V35</f>
        <v>#N/A</v>
      </c>
      <c r="AA35" s="471" t="e">
        <f>'GROWTH RATES'!W35</f>
        <v>#N/A</v>
      </c>
      <c r="AB35" s="471"/>
      <c r="AC35" s="471"/>
      <c r="AD35" s="472"/>
      <c r="AE35" s="23"/>
    </row>
    <row r="36" spans="18:31" x14ac:dyDescent="0.25">
      <c r="R36" s="54" t="s">
        <v>474</v>
      </c>
      <c r="S36" s="471"/>
      <c r="T36" s="471"/>
      <c r="U36" s="471"/>
      <c r="V36" s="471"/>
      <c r="W36" s="471"/>
      <c r="X36" s="471"/>
      <c r="Y36" s="471"/>
      <c r="Z36" s="471"/>
      <c r="AA36" s="471"/>
      <c r="AB36" s="471"/>
      <c r="AC36" s="471"/>
      <c r="AD36" s="472"/>
    </row>
    <row r="37" spans="18:31" x14ac:dyDescent="0.25">
      <c r="R37" s="54" t="s">
        <v>476</v>
      </c>
      <c r="S37" s="471"/>
      <c r="T37" s="471"/>
      <c r="U37" s="471"/>
      <c r="V37" s="471"/>
      <c r="W37" s="471"/>
      <c r="X37" s="471"/>
      <c r="Y37" s="471"/>
      <c r="Z37" s="471"/>
      <c r="AA37" s="471"/>
      <c r="AB37" s="471"/>
      <c r="AC37" s="471"/>
      <c r="AD37" s="472"/>
    </row>
    <row r="38" spans="18:31" x14ac:dyDescent="0.25">
      <c r="R38" s="54" t="s">
        <v>478</v>
      </c>
      <c r="S38" s="471"/>
      <c r="T38" s="471"/>
      <c r="U38" s="471"/>
      <c r="V38" s="471"/>
      <c r="W38" s="471"/>
      <c r="X38" s="471"/>
      <c r="Y38" s="471"/>
      <c r="Z38" s="471"/>
      <c r="AA38" s="471"/>
      <c r="AB38" s="471"/>
      <c r="AC38" s="471"/>
      <c r="AD38" s="472"/>
    </row>
    <row r="39" spans="18:31" x14ac:dyDescent="0.25">
      <c r="R39" s="54" t="s">
        <v>480</v>
      </c>
      <c r="S39" s="471"/>
      <c r="T39" s="471"/>
      <c r="U39" s="471"/>
      <c r="V39" s="471"/>
      <c r="W39" s="471"/>
      <c r="X39" s="471"/>
      <c r="Y39" s="471"/>
      <c r="Z39" s="471"/>
      <c r="AA39" s="471"/>
      <c r="AB39" s="471"/>
      <c r="AC39" s="471"/>
      <c r="AD39" s="472"/>
    </row>
    <row r="40" spans="18:31" x14ac:dyDescent="0.25">
      <c r="R40" s="54" t="s">
        <v>500</v>
      </c>
      <c r="S40" s="471" t="e">
        <f>'GROWTH RATES'!#REF!</f>
        <v>#REF!</v>
      </c>
      <c r="T40" s="471" t="e">
        <f>'GROWTH RATES'!#REF!</f>
        <v>#REF!</v>
      </c>
      <c r="U40" s="471" t="e">
        <f>'GROWTH RATES'!#REF!</f>
        <v>#REF!</v>
      </c>
      <c r="V40" s="471" t="e">
        <f>'GROWTH RATES'!#REF!</f>
        <v>#REF!</v>
      </c>
      <c r="W40" s="471" t="e">
        <f>'GROWTH RATES'!#REF!</f>
        <v>#REF!</v>
      </c>
      <c r="X40" s="471" t="e">
        <f>'GROWTH RATES'!#REF!</f>
        <v>#REF!</v>
      </c>
      <c r="Y40" s="471" t="e">
        <f>'GROWTH RATES'!#REF!</f>
        <v>#REF!</v>
      </c>
      <c r="Z40" s="471" t="e">
        <f>'GROWTH RATES'!#REF!</f>
        <v>#REF!</v>
      </c>
      <c r="AA40" s="471" t="e">
        <f>'GROWTH RATES'!#REF!</f>
        <v>#REF!</v>
      </c>
      <c r="AB40" s="471"/>
      <c r="AC40" s="471"/>
      <c r="AD40" s="472"/>
    </row>
    <row r="41" spans="18:31" x14ac:dyDescent="0.25">
      <c r="R41" s="54" t="s">
        <v>501</v>
      </c>
      <c r="S41" s="471" t="e">
        <f>'GROWTH RATES'!P36</f>
        <v>#REF!</v>
      </c>
      <c r="T41" s="471" t="e">
        <f>'GROWTH RATES'!Q36</f>
        <v>#REF!</v>
      </c>
      <c r="U41" s="471" t="e">
        <f>'GROWTH RATES'!Q36</f>
        <v>#REF!</v>
      </c>
      <c r="V41" s="471" t="e">
        <f>'GROWTH RATES'!R36</f>
        <v>#REF!</v>
      </c>
      <c r="W41" s="471" t="e">
        <f>'GROWTH RATES'!S36</f>
        <v>#REF!</v>
      </c>
      <c r="X41" s="471" t="e">
        <f>'GROWTH RATES'!T36</f>
        <v>#REF!</v>
      </c>
      <c r="Y41" s="471" t="e">
        <f>'GROWTH RATES'!U36</f>
        <v>#REF!</v>
      </c>
      <c r="Z41" s="471" t="e">
        <f>'GROWTH RATES'!V36</f>
        <v>#REF!</v>
      </c>
      <c r="AA41" s="471" t="e">
        <f>'GROWTH RATES'!W36</f>
        <v>#N/A</v>
      </c>
      <c r="AB41" s="471"/>
      <c r="AC41" s="471"/>
      <c r="AD41" s="472"/>
    </row>
    <row r="42" spans="18:31" x14ac:dyDescent="0.25">
      <c r="R42" s="54" t="s">
        <v>317</v>
      </c>
      <c r="S42" s="471" t="e">
        <f>'GROWTH RATES'!P37</f>
        <v>#REF!</v>
      </c>
      <c r="T42" s="471" t="e">
        <f>'GROWTH RATES'!Q37</f>
        <v>#REF!</v>
      </c>
      <c r="U42" s="471" t="e">
        <f>'GROWTH RATES'!Q37</f>
        <v>#REF!</v>
      </c>
      <c r="V42" s="471" t="e">
        <f>'GROWTH RATES'!R37</f>
        <v>#REF!</v>
      </c>
      <c r="W42" s="471" t="e">
        <f>'GROWTH RATES'!S37</f>
        <v>#REF!</v>
      </c>
      <c r="X42" s="471" t="e">
        <f>'GROWTH RATES'!T37</f>
        <v>#REF!</v>
      </c>
      <c r="Y42" s="471" t="e">
        <f>'GROWTH RATES'!U37</f>
        <v>#REF!</v>
      </c>
      <c r="Z42" s="471" t="e">
        <f>'GROWTH RATES'!V37</f>
        <v>#REF!</v>
      </c>
      <c r="AA42" s="471" t="e">
        <f>'GROWTH RATES'!W37</f>
        <v>#N/A</v>
      </c>
      <c r="AB42" s="471"/>
      <c r="AC42" s="471"/>
      <c r="AD42" s="472"/>
    </row>
    <row r="43" spans="18:31" x14ac:dyDescent="0.25">
      <c r="R43" s="54" t="s">
        <v>318</v>
      </c>
      <c r="S43" s="471" t="e">
        <f>'GROWTH RATES'!P38</f>
        <v>#N/A</v>
      </c>
      <c r="T43" s="471" t="e">
        <f>'GROWTH RATES'!Q38</f>
        <v>#N/A</v>
      </c>
      <c r="U43" s="471" t="e">
        <f>'GROWTH RATES'!Q38</f>
        <v>#N/A</v>
      </c>
      <c r="V43" s="471" t="e">
        <f>'GROWTH RATES'!R38</f>
        <v>#N/A</v>
      </c>
      <c r="W43" s="471" t="e">
        <f>'GROWTH RATES'!S38</f>
        <v>#N/A</v>
      </c>
      <c r="X43" s="471" t="e">
        <f>'GROWTH RATES'!T38</f>
        <v>#N/A</v>
      </c>
      <c r="Y43" s="471" t="e">
        <f>'GROWTH RATES'!U38</f>
        <v>#N/A</v>
      </c>
      <c r="Z43" s="471" t="e">
        <f>'GROWTH RATES'!V38</f>
        <v>#N/A</v>
      </c>
      <c r="AA43" s="471" t="e">
        <f>'GROWTH RATES'!W38</f>
        <v>#N/A</v>
      </c>
      <c r="AB43" s="471"/>
      <c r="AC43" s="471"/>
      <c r="AD43" s="472"/>
    </row>
    <row r="44" spans="18:31" x14ac:dyDescent="0.25">
      <c r="R44" s="54" t="s">
        <v>319</v>
      </c>
      <c r="S44" s="471" t="e">
        <f>'GROWTH RATES'!P39</f>
        <v>#N/A</v>
      </c>
      <c r="T44" s="471" t="e">
        <f>'GROWTH RATES'!Q39</f>
        <v>#N/A</v>
      </c>
      <c r="U44" s="471" t="e">
        <f>'GROWTH RATES'!Q39</f>
        <v>#N/A</v>
      </c>
      <c r="V44" s="471" t="e">
        <f>'GROWTH RATES'!R39</f>
        <v>#N/A</v>
      </c>
      <c r="W44" s="471" t="e">
        <f>'GROWTH RATES'!S39</f>
        <v>#N/A</v>
      </c>
      <c r="X44" s="471" t="e">
        <f>'GROWTH RATES'!T39</f>
        <v>#N/A</v>
      </c>
      <c r="Y44" s="471" t="e">
        <f>'GROWTH RATES'!U39</f>
        <v>#N/A</v>
      </c>
      <c r="Z44" s="471" t="e">
        <f>'GROWTH RATES'!V39</f>
        <v>#N/A</v>
      </c>
      <c r="AA44" s="471" t="e">
        <f>'GROWTH RATES'!W39</f>
        <v>#N/A</v>
      </c>
      <c r="AB44" s="471"/>
      <c r="AC44" s="471"/>
      <c r="AD44" s="472"/>
    </row>
    <row r="45" spans="18:31" x14ac:dyDescent="0.25">
      <c r="R45" s="54" t="s">
        <v>466</v>
      </c>
      <c r="S45" s="456"/>
      <c r="T45" s="456"/>
      <c r="U45" s="456"/>
      <c r="V45" s="456"/>
      <c r="W45" s="456"/>
      <c r="X45" s="471"/>
      <c r="Y45" s="471"/>
      <c r="Z45" s="471"/>
      <c r="AA45" s="471" t="e">
        <f>'GROWTH RATES'!W32</f>
        <v>#N/A</v>
      </c>
      <c r="AB45" s="471">
        <f>'GROWTH RATES'!X32</f>
        <v>-7.142629038286179</v>
      </c>
      <c r="AC45" s="471">
        <f>'GROWTH RATES'!Y32</f>
        <v>-3.4499999999999993</v>
      </c>
      <c r="AD45" s="472">
        <f>'GROWTH RATES'!Z32</f>
        <v>-0.17361793975967155</v>
      </c>
    </row>
    <row r="46" spans="18:31" x14ac:dyDescent="0.25">
      <c r="R46" s="54" t="s">
        <v>469</v>
      </c>
      <c r="S46" s="456"/>
      <c r="T46" s="456"/>
      <c r="U46" s="456"/>
      <c r="V46" s="456"/>
      <c r="W46" s="456"/>
      <c r="X46" s="471"/>
      <c r="Y46" s="471"/>
      <c r="Z46" s="471"/>
      <c r="AA46" s="471" t="e">
        <f>'GROWTH RATES'!W33</f>
        <v>#N/A</v>
      </c>
      <c r="AB46" s="471">
        <f>'GROWTH RATES'!X33</f>
        <v>1.8159226368524184</v>
      </c>
      <c r="AC46" s="471">
        <f>'GROWTH RATES'!Y33</f>
        <v>0.80702477682353724</v>
      </c>
      <c r="AD46" s="472">
        <f>'GROWTH RATES'!Z33</f>
        <v>-1.7361793975967155</v>
      </c>
    </row>
    <row r="47" spans="18:31" x14ac:dyDescent="0.25">
      <c r="R47" s="54" t="s">
        <v>470</v>
      </c>
      <c r="S47" s="456"/>
      <c r="T47" s="456"/>
      <c r="U47" s="456"/>
      <c r="V47" s="456"/>
      <c r="W47" s="456"/>
      <c r="X47" s="471"/>
      <c r="Y47" s="471"/>
      <c r="Z47" s="471"/>
      <c r="AA47" s="471"/>
      <c r="AB47" s="471"/>
      <c r="AC47" s="471"/>
      <c r="AD47" s="472"/>
    </row>
    <row r="48" spans="18:31" x14ac:dyDescent="0.25">
      <c r="R48" s="54" t="s">
        <v>472</v>
      </c>
      <c r="S48" s="456"/>
      <c r="T48" s="456"/>
      <c r="U48" s="456"/>
      <c r="V48" s="456"/>
      <c r="W48" s="456"/>
      <c r="X48" s="471"/>
      <c r="Y48" s="471"/>
      <c r="Z48" s="471"/>
      <c r="AA48" s="471"/>
      <c r="AB48" s="471"/>
      <c r="AC48" s="471"/>
      <c r="AD48" s="472"/>
    </row>
    <row r="49" spans="18:30" x14ac:dyDescent="0.25">
      <c r="R49" s="54" t="s">
        <v>482</v>
      </c>
      <c r="S49" s="456"/>
      <c r="T49" s="456"/>
      <c r="U49" s="456"/>
      <c r="V49" s="456"/>
      <c r="W49" s="456"/>
      <c r="X49" s="471"/>
      <c r="Y49" s="471"/>
      <c r="Z49" s="471"/>
      <c r="AA49" s="471" t="e">
        <f>'GROWTH RATES'!W34</f>
        <v>#N/A</v>
      </c>
      <c r="AB49" s="471">
        <f>'GROWTH RATES'!X34</f>
        <v>-4.619220224243124</v>
      </c>
      <c r="AC49" s="471">
        <f>'GROWTH RATES'!Y34</f>
        <v>-4.1399999999999988</v>
      </c>
      <c r="AD49" s="472">
        <f>'GROWTH RATES'!Z34</f>
        <v>-12.28108021427623</v>
      </c>
    </row>
    <row r="50" spans="18:30" x14ac:dyDescent="0.25">
      <c r="R50" s="54" t="s">
        <v>484</v>
      </c>
      <c r="S50" s="456"/>
      <c r="T50" s="456"/>
      <c r="U50" s="456"/>
      <c r="V50" s="456"/>
      <c r="W50" s="456"/>
      <c r="X50" s="471"/>
      <c r="Y50" s="471"/>
      <c r="Z50" s="471"/>
      <c r="AA50" s="471" t="e">
        <f>'GROWTH RATES'!W35</f>
        <v>#N/A</v>
      </c>
      <c r="AB50" s="471">
        <f>'GROWTH RATES'!X35</f>
        <v>-0.49745448568772105</v>
      </c>
      <c r="AC50" s="471">
        <f>'GROWTH RATES'!Y35</f>
        <v>-0.70721064019031665</v>
      </c>
      <c r="AD50" s="472">
        <f>'GROWTH RATES'!Z35</f>
        <v>-9.8248641714209839</v>
      </c>
    </row>
    <row r="51" spans="18:30" x14ac:dyDescent="0.25">
      <c r="R51" s="54" t="s">
        <v>474</v>
      </c>
      <c r="S51" s="456"/>
      <c r="T51" s="456"/>
      <c r="U51" s="456"/>
      <c r="V51" s="456"/>
      <c r="W51" s="456"/>
      <c r="X51" s="471"/>
      <c r="Y51" s="471"/>
      <c r="Z51" s="471"/>
      <c r="AA51" s="471"/>
      <c r="AB51" s="471"/>
      <c r="AC51" s="471"/>
      <c r="AD51" s="472"/>
    </row>
    <row r="52" spans="18:30" x14ac:dyDescent="0.25">
      <c r="R52" s="54" t="s">
        <v>476</v>
      </c>
      <c r="S52" s="456"/>
      <c r="T52" s="456"/>
      <c r="U52" s="456"/>
      <c r="V52" s="456"/>
      <c r="W52" s="456"/>
      <c r="X52" s="471"/>
      <c r="Y52" s="471"/>
      <c r="Z52" s="471"/>
      <c r="AA52" s="471"/>
      <c r="AB52" s="471"/>
      <c r="AC52" s="471"/>
      <c r="AD52" s="472"/>
    </row>
    <row r="53" spans="18:30" x14ac:dyDescent="0.25">
      <c r="R53" s="54" t="s">
        <v>478</v>
      </c>
      <c r="S53" s="456"/>
      <c r="T53" s="456"/>
      <c r="U53" s="456"/>
      <c r="V53" s="456"/>
      <c r="W53" s="456"/>
      <c r="X53" s="471"/>
      <c r="Y53" s="471"/>
      <c r="Z53" s="471"/>
      <c r="AA53" s="471"/>
      <c r="AB53" s="471"/>
      <c r="AC53" s="471"/>
      <c r="AD53" s="472"/>
    </row>
    <row r="54" spans="18:30" x14ac:dyDescent="0.25">
      <c r="R54" s="54" t="s">
        <v>480</v>
      </c>
      <c r="S54" s="456"/>
      <c r="T54" s="456"/>
      <c r="U54" s="456"/>
      <c r="V54" s="456"/>
      <c r="W54" s="456"/>
      <c r="X54" s="471"/>
      <c r="Y54" s="471"/>
      <c r="Z54" s="471"/>
      <c r="AA54" s="471"/>
      <c r="AB54" s="471"/>
      <c r="AC54" s="471"/>
      <c r="AD54" s="472"/>
    </row>
    <row r="55" spans="18:30" x14ac:dyDescent="0.25">
      <c r="R55" s="54" t="s">
        <v>500</v>
      </c>
      <c r="S55" s="456"/>
      <c r="T55" s="456"/>
      <c r="U55" s="456"/>
      <c r="V55" s="456"/>
      <c r="W55" s="456"/>
      <c r="X55" s="471"/>
      <c r="Y55" s="471"/>
      <c r="Z55" s="471"/>
      <c r="AA55" s="471" t="e">
        <f>'GROWTH RATES'!#REF!</f>
        <v>#REF!</v>
      </c>
      <c r="AB55" s="471" t="e">
        <f>'GROWTH RATES'!#REF!</f>
        <v>#REF!</v>
      </c>
      <c r="AC55" s="471" t="e">
        <f>'GROWTH RATES'!#REF!</f>
        <v>#REF!</v>
      </c>
      <c r="AD55" s="472" t="e">
        <f>'GROWTH RATES'!#REF!</f>
        <v>#REF!</v>
      </c>
    </row>
    <row r="56" spans="18:30" x14ac:dyDescent="0.25">
      <c r="R56" s="54" t="s">
        <v>501</v>
      </c>
      <c r="S56" s="456"/>
      <c r="T56" s="456"/>
      <c r="U56" s="456"/>
      <c r="V56" s="456"/>
      <c r="W56" s="456"/>
      <c r="X56" s="471"/>
      <c r="Y56" s="471"/>
      <c r="Z56" s="471"/>
      <c r="AA56" s="471" t="e">
        <f>'GROWTH RATES'!W36</f>
        <v>#N/A</v>
      </c>
      <c r="AB56" s="471">
        <f>'GROWTH RATES'!X36</f>
        <v>-0.74903981742206938</v>
      </c>
      <c r="AC56" s="471">
        <f>'GROWTH RATES'!Y36</f>
        <v>-3.39</v>
      </c>
      <c r="AD56" s="472">
        <f>'GROWTH RATES'!Z36</f>
        <v>-1.3034522360195089</v>
      </c>
    </row>
    <row r="57" spans="18:30" x14ac:dyDescent="0.25">
      <c r="R57" s="54" t="s">
        <v>317</v>
      </c>
      <c r="S57" s="456"/>
      <c r="T57" s="456"/>
      <c r="U57" s="456"/>
      <c r="V57" s="456"/>
      <c r="W57" s="456"/>
      <c r="X57" s="471"/>
      <c r="Y57" s="471"/>
      <c r="Z57" s="471"/>
      <c r="AA57" s="471" t="e">
        <f>'GROWTH RATES'!W37</f>
        <v>#N/A</v>
      </c>
      <c r="AB57" s="471">
        <f>'GROWTH RATES'!X37</f>
        <v>-0.1702363221413794</v>
      </c>
      <c r="AC57" s="471">
        <f>'GROWTH RATES'!Y37</f>
        <v>-0.16395122831971154</v>
      </c>
      <c r="AD57" s="472">
        <f>'GROWTH RATES'!Z37</f>
        <v>-1.2031866794026236</v>
      </c>
    </row>
    <row r="58" spans="18:30" x14ac:dyDescent="0.25">
      <c r="R58" s="54" t="s">
        <v>318</v>
      </c>
      <c r="S58" s="456"/>
      <c r="T58" s="456"/>
      <c r="U58" s="456"/>
      <c r="V58" s="456"/>
      <c r="W58" s="456"/>
      <c r="X58" s="471"/>
      <c r="Y58" s="471"/>
      <c r="Z58" s="471"/>
      <c r="AA58" s="471" t="e">
        <f>'GROWTH RATES'!W38</f>
        <v>#N/A</v>
      </c>
      <c r="AB58" s="471">
        <f>'GROWTH RATES'!X38</f>
        <v>0</v>
      </c>
      <c r="AC58" s="471">
        <f>'GROWTH RATES'!Y38</f>
        <v>0</v>
      </c>
      <c r="AD58" s="472">
        <f>'GROWTH RATES'!Z38</f>
        <v>0</v>
      </c>
    </row>
    <row r="59" spans="18:30" ht="15.75" thickBot="1" x14ac:dyDescent="0.3">
      <c r="R59" s="462" t="s">
        <v>319</v>
      </c>
      <c r="S59" s="457"/>
      <c r="T59" s="457"/>
      <c r="U59" s="457"/>
      <c r="V59" s="457"/>
      <c r="W59" s="457"/>
      <c r="X59" s="473"/>
      <c r="Y59" s="473"/>
      <c r="Z59" s="473"/>
      <c r="AA59" s="473" t="e">
        <f>'GROWTH RATES'!W39</f>
        <v>#N/A</v>
      </c>
      <c r="AB59" s="473">
        <f>'GROWTH RATES'!X39</f>
        <v>0</v>
      </c>
      <c r="AC59" s="473">
        <f>'GROWTH RATES'!Y39</f>
        <v>0</v>
      </c>
      <c r="AD59" s="474">
        <f>'GROWTH RATES'!Z39</f>
        <v>0</v>
      </c>
    </row>
  </sheetData>
  <sheetProtection selectLockedCells="1" selectUnlockedCells="1"/>
  <customSheetViews>
    <customSheetView guid="{5EB6DE45-64D9-4581-AE55-A519683B64F2}" scale="120">
      <selection activeCell="AA50" sqref="AA50"/>
      <pageMargins left="0.7" right="0.7" top="0.75" bottom="0.75" header="0.3" footer="0.3"/>
      <pageSetup orientation="portrait" r:id="rId1"/>
    </customSheetView>
  </customSheetViews>
  <mergeCells count="3">
    <mergeCell ref="A1:B1"/>
    <mergeCell ref="S2:W2"/>
    <mergeCell ref="Y2:AB2"/>
  </mergeCells>
  <phoneticPr fontId="24" type="noConversion"/>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68"/>
  <sheetViews>
    <sheetView topLeftCell="A6" workbookViewId="0">
      <selection activeCell="I34" sqref="I34"/>
    </sheetView>
  </sheetViews>
  <sheetFormatPr defaultColWidth="0" defaultRowHeight="0" customHeight="1" zeroHeight="1" x14ac:dyDescent="0.25"/>
  <cols>
    <col min="1" max="1" width="4.42578125" style="214" customWidth="1"/>
    <col min="2" max="2" width="6.5703125" style="216" customWidth="1"/>
    <col min="3" max="3" width="24.5703125" style="214" customWidth="1"/>
    <col min="4" max="4" width="13.5703125" style="215" customWidth="1"/>
    <col min="5" max="5" width="1.42578125" style="214" customWidth="1"/>
    <col min="6" max="6" width="3.5703125" style="214" customWidth="1"/>
    <col min="7" max="7" width="2.85546875" style="216" customWidth="1"/>
    <col min="8" max="8" width="19.85546875" style="216" customWidth="1"/>
    <col min="9" max="9" width="15.42578125" style="216" customWidth="1"/>
    <col min="10" max="10" width="2.85546875" style="216" customWidth="1"/>
    <col min="11" max="11" width="4.42578125" style="214" customWidth="1"/>
    <col min="12" max="18" width="0" style="214" hidden="1" customWidth="1"/>
    <col min="19" max="16384" width="8.5703125" style="214" hidden="1"/>
  </cols>
  <sheetData>
    <row r="1" spans="1:18" ht="12.75" x14ac:dyDescent="0.25">
      <c r="A1" s="213"/>
      <c r="E1" s="213"/>
    </row>
    <row r="2" spans="1:18" ht="18.75" x14ac:dyDescent="0.25">
      <c r="B2" s="643" t="s">
        <v>320</v>
      </c>
      <c r="C2" s="643"/>
      <c r="D2" s="643"/>
      <c r="E2" s="643"/>
      <c r="F2" s="643"/>
      <c r="G2" s="643"/>
      <c r="H2" s="643"/>
      <c r="I2" s="643"/>
      <c r="J2" s="643"/>
    </row>
    <row r="3" spans="1:18" ht="12.75" x14ac:dyDescent="0.25">
      <c r="C3" s="219"/>
    </row>
    <row r="4" spans="1:18" ht="15" x14ac:dyDescent="0.25">
      <c r="C4" s="228" t="s">
        <v>321</v>
      </c>
      <c r="D4" s="239" t="s">
        <v>322</v>
      </c>
      <c r="E4" s="235"/>
      <c r="F4" s="235"/>
      <c r="G4" s="235"/>
      <c r="H4" s="235" t="s">
        <v>323</v>
      </c>
      <c r="I4" s="236" t="s">
        <v>324</v>
      </c>
      <c r="L4" s="214" t="s">
        <v>325</v>
      </c>
      <c r="N4" s="214">
        <v>0</v>
      </c>
      <c r="P4" s="214" t="s">
        <v>326</v>
      </c>
      <c r="R4" s="216"/>
    </row>
    <row r="5" spans="1:18" ht="12.75" x14ac:dyDescent="0.25">
      <c r="C5" s="235"/>
      <c r="D5" s="228"/>
      <c r="E5" s="235"/>
      <c r="F5" s="235"/>
      <c r="G5" s="235"/>
      <c r="H5" s="235"/>
      <c r="I5" s="235"/>
      <c r="L5" s="214" t="s">
        <v>322</v>
      </c>
      <c r="N5" s="214">
        <f>N4+1</f>
        <v>1</v>
      </c>
      <c r="P5" s="214" t="s">
        <v>324</v>
      </c>
      <c r="R5" s="216"/>
    </row>
    <row r="6" spans="1:18" ht="38.25" x14ac:dyDescent="0.25">
      <c r="A6" s="231" t="str">
        <f>CONCATENATE("lav",D6)</f>
        <v>lav2023</v>
      </c>
      <c r="C6" s="235" t="s">
        <v>327</v>
      </c>
      <c r="D6" s="228">
        <v>2023</v>
      </c>
      <c r="E6" s="235"/>
      <c r="F6" s="235"/>
      <c r="G6" s="235"/>
      <c r="H6" s="237" t="s">
        <v>328</v>
      </c>
      <c r="I6" s="238">
        <v>0</v>
      </c>
      <c r="J6" s="214"/>
      <c r="N6" s="214">
        <f t="shared" ref="N6:N18" si="0">N5+1</f>
        <v>2</v>
      </c>
      <c r="R6" s="216"/>
    </row>
    <row r="7" spans="1:18" ht="12.75" x14ac:dyDescent="0.25">
      <c r="D7" s="475"/>
      <c r="N7" s="214">
        <f t="shared" si="0"/>
        <v>3</v>
      </c>
      <c r="P7" s="233"/>
      <c r="R7" s="216"/>
    </row>
    <row r="8" spans="1:18" ht="12.75" x14ac:dyDescent="0.25">
      <c r="B8" s="642" t="s">
        <v>329</v>
      </c>
      <c r="C8" s="642"/>
      <c r="D8" s="642"/>
      <c r="E8" s="642"/>
      <c r="H8" s="230" t="s">
        <v>330</v>
      </c>
      <c r="I8" s="214"/>
      <c r="M8" s="233">
        <v>2015</v>
      </c>
      <c r="N8" s="214">
        <f t="shared" si="0"/>
        <v>4</v>
      </c>
      <c r="R8" s="216"/>
    </row>
    <row r="9" spans="1:18" ht="12.75" x14ac:dyDescent="0.25">
      <c r="B9" s="216">
        <v>22</v>
      </c>
      <c r="C9" s="221" t="s">
        <v>155</v>
      </c>
      <c r="D9" s="222">
        <f>HLOOKUP(CONCATENATE("lav",$D$6),linkage_aggregate_variables!$P$1:$AA$25,parameters!B9,0)</f>
        <v>-9.5649232711655374E-3</v>
      </c>
      <c r="F9" s="231"/>
      <c r="G9" s="216">
        <v>2</v>
      </c>
      <c r="H9" s="221" t="s">
        <v>390</v>
      </c>
      <c r="I9" s="222">
        <f>HLOOKUP(CONCATENATE("lav",$D$6),linkage_aggregate_variables!$P$1:$AA$25,parameters!G9,0)</f>
        <v>-7.1426290382861746E-2</v>
      </c>
      <c r="M9" s="233">
        <v>2016</v>
      </c>
      <c r="N9" s="214">
        <f t="shared" si="0"/>
        <v>5</v>
      </c>
      <c r="R9" s="216"/>
    </row>
    <row r="10" spans="1:18" ht="12.75" x14ac:dyDescent="0.25">
      <c r="B10" s="216">
        <v>23</v>
      </c>
      <c r="C10" s="221" t="s">
        <v>157</v>
      </c>
      <c r="D10" s="222">
        <f>HLOOKUP(CONCATENATE("lav",$D$6),linkage_aggregate_variables!$P$1:$AA$25,parameters!B10,0)</f>
        <v>5.6555247566945077E-3</v>
      </c>
      <c r="F10" s="231"/>
      <c r="G10" s="216">
        <v>3</v>
      </c>
      <c r="H10" s="221" t="s">
        <v>389</v>
      </c>
      <c r="I10" s="222">
        <f>HLOOKUP(CONCATENATE("lav",$D$6),linkage_aggregate_variables!$P$1:$AA$25,parameters!G10,0)</f>
        <v>1.8159226368524184E-2</v>
      </c>
      <c r="M10" s="233">
        <v>2017</v>
      </c>
      <c r="N10" s="214">
        <f t="shared" si="0"/>
        <v>6</v>
      </c>
      <c r="R10" s="216"/>
    </row>
    <row r="11" spans="1:18" ht="12.75" x14ac:dyDescent="0.25">
      <c r="C11" s="221"/>
      <c r="D11" s="222"/>
      <c r="F11" s="231"/>
      <c r="G11" s="216">
        <v>4</v>
      </c>
      <c r="H11" s="221" t="s">
        <v>391</v>
      </c>
      <c r="I11" s="222">
        <f>HLOOKUP(CONCATENATE("lav",$D$6),linkage_aggregate_variables!$P$1:$AA$25,parameters!G11,0)</f>
        <v>-4.6192202242431257E-2</v>
      </c>
      <c r="M11" s="233"/>
      <c r="R11" s="216"/>
    </row>
    <row r="12" spans="1:18" ht="12.75" x14ac:dyDescent="0.25">
      <c r="C12" s="229" t="s">
        <v>123</v>
      </c>
      <c r="D12" s="224"/>
      <c r="F12" s="231"/>
      <c r="G12" s="216">
        <v>5</v>
      </c>
      <c r="H12" s="221" t="s">
        <v>392</v>
      </c>
      <c r="I12" s="222">
        <f>HLOOKUP(CONCATENATE("lav",$D$6),linkage_aggregate_variables!$P$1:$AA$25,parameters!G12,0)</f>
        <v>-4.9745448568770945E-3</v>
      </c>
      <c r="M12" s="233"/>
      <c r="R12" s="216"/>
    </row>
    <row r="13" spans="1:18" ht="12.75" x14ac:dyDescent="0.25">
      <c r="B13" s="216">
        <v>15</v>
      </c>
      <c r="C13" s="225" t="s">
        <v>29</v>
      </c>
      <c r="D13" s="222">
        <f>HLOOKUP(CONCATENATE("lav",$D$6),linkage_aggregate_variables!$P$1:$AA$25,parameters!B13,0)</f>
        <v>-2.8119610769092973E-2</v>
      </c>
      <c r="F13" s="231"/>
      <c r="G13" s="216">
        <v>6</v>
      </c>
      <c r="H13" s="221" t="s">
        <v>403</v>
      </c>
      <c r="I13" s="222">
        <f>HLOOKUP(CONCATENATE("lav",$D$6),linkage_aggregate_variables!$P$1:$AA$25,parameters!G13,0)</f>
        <v>-7.4903981742207026E-3</v>
      </c>
      <c r="M13" s="233">
        <v>2018</v>
      </c>
      <c r="N13" s="214">
        <f>N10+1</f>
        <v>7</v>
      </c>
      <c r="R13" s="216"/>
    </row>
    <row r="14" spans="1:18" ht="12.75" x14ac:dyDescent="0.25">
      <c r="B14" s="216">
        <v>16</v>
      </c>
      <c r="C14" s="225" t="s">
        <v>385</v>
      </c>
      <c r="D14" s="222">
        <f>HLOOKUP(CONCATENATE("lav",$D$6),linkage_aggregate_variables!$P$1:$AA$25,parameters!B14,0)</f>
        <v>-2.8119610769093084E-2</v>
      </c>
      <c r="F14" s="231"/>
      <c r="G14" s="216">
        <v>7</v>
      </c>
      <c r="H14" s="221" t="s">
        <v>393</v>
      </c>
      <c r="I14" s="222">
        <f>HLOOKUP(CONCATENATE("lav",$D$6),linkage_aggregate_variables!$P$1:$AA$25,parameters!G14,0)</f>
        <v>-1.7023632214137052E-3</v>
      </c>
      <c r="M14" s="233">
        <v>2019</v>
      </c>
      <c r="N14" s="214">
        <f t="shared" si="0"/>
        <v>8</v>
      </c>
      <c r="P14" s="234"/>
      <c r="R14" s="216"/>
    </row>
    <row r="15" spans="1:18" ht="12.75" x14ac:dyDescent="0.25">
      <c r="B15" s="216">
        <v>17</v>
      </c>
      <c r="C15" s="225" t="s">
        <v>402</v>
      </c>
      <c r="D15" s="222">
        <f>HLOOKUP(CONCATENATE("lav",$D$6),linkage_aggregate_variables!$P$1:$AA$25,parameters!B15,0)</f>
        <v>-8.1903062631161205E-4</v>
      </c>
      <c r="F15" s="231"/>
      <c r="G15" s="216">
        <v>8</v>
      </c>
      <c r="H15" s="221" t="s">
        <v>395</v>
      </c>
      <c r="I15" s="222">
        <f>HLOOKUP(CONCATENATE("lav",$D$6),linkage_aggregate_variables!$P$1:$AA$25,parameters!G15,0)</f>
        <v>-4.0161888073894092E-3</v>
      </c>
      <c r="M15" s="233">
        <v>2020</v>
      </c>
      <c r="N15" s="214">
        <f t="shared" si="0"/>
        <v>9</v>
      </c>
      <c r="P15" s="234"/>
      <c r="R15" s="216"/>
    </row>
    <row r="16" spans="1:18" ht="12.75" x14ac:dyDescent="0.25">
      <c r="B16" s="216">
        <v>18</v>
      </c>
      <c r="C16" s="225" t="s">
        <v>386</v>
      </c>
      <c r="D16" s="222">
        <f>HLOOKUP(CONCATENATE("lav",$D$6),linkage_aggregate_variables!$P$1:$AA$25,parameters!B16,0)</f>
        <v>2.4936671290174184E-2</v>
      </c>
      <c r="F16" s="231"/>
      <c r="G16" s="216">
        <v>9</v>
      </c>
      <c r="H16" s="221" t="s">
        <v>396</v>
      </c>
      <c r="I16" s="222">
        <f>HLOOKUP(CONCATENATE("lav",$D$6),linkage_aggregate_variables!$P$1:$AA$25,parameters!G16,0)</f>
        <v>3.371439220677197E-2</v>
      </c>
      <c r="M16" s="233">
        <v>2021</v>
      </c>
      <c r="N16" s="214">
        <f>N15+1</f>
        <v>10</v>
      </c>
      <c r="P16" s="234"/>
      <c r="R16" s="216"/>
    </row>
    <row r="17" spans="2:18" ht="12.75" x14ac:dyDescent="0.25">
      <c r="B17" s="216">
        <v>19</v>
      </c>
      <c r="C17" s="225" t="s">
        <v>387</v>
      </c>
      <c r="D17" s="222">
        <f>HLOOKUP(CONCATENATE("lav",$D$6),linkage_aggregate_variables!$P$1:$AA$25,parameters!B17,0)</f>
        <v>2.1801299850043421E-2</v>
      </c>
      <c r="F17" s="231"/>
      <c r="G17" s="216">
        <v>10</v>
      </c>
      <c r="H17" s="221" t="s">
        <v>397</v>
      </c>
      <c r="I17" s="222">
        <f>HLOOKUP(CONCATENATE("lav",$D$6),linkage_aggregate_variables!$P$1:$AA$25,parameters!G17,0)</f>
        <v>8.367331362803121E-2</v>
      </c>
      <c r="M17" s="233">
        <v>2022</v>
      </c>
      <c r="N17" s="214">
        <f t="shared" si="0"/>
        <v>11</v>
      </c>
      <c r="P17" s="234"/>
      <c r="R17" s="216"/>
    </row>
    <row r="18" spans="2:18" ht="12.75" x14ac:dyDescent="0.25">
      <c r="B18" s="216">
        <v>20</v>
      </c>
      <c r="C18" s="225" t="s">
        <v>388</v>
      </c>
      <c r="D18" s="222">
        <f>HLOOKUP(CONCATENATE("lav",$D$6),linkage_aggregate_variables!$P$1:$AA$25,parameters!B18,0)</f>
        <v>8.5645334401793782E-3</v>
      </c>
      <c r="F18" s="231"/>
      <c r="G18" s="216">
        <v>11</v>
      </c>
      <c r="H18" s="221" t="s">
        <v>398</v>
      </c>
      <c r="I18" s="222">
        <f>HLOOKUP(CONCATENATE("lav",$D$6),linkage_aggregate_variables!$P$1:$AA$25,parameters!G18,0)</f>
        <v>5.3712425094595062E-2</v>
      </c>
      <c r="M18" s="233">
        <v>2023</v>
      </c>
      <c r="N18" s="214">
        <f t="shared" si="0"/>
        <v>12</v>
      </c>
      <c r="P18" s="234"/>
      <c r="R18" s="216"/>
    </row>
    <row r="19" spans="2:18" ht="12.75" x14ac:dyDescent="0.25">
      <c r="B19" s="216">
        <v>21</v>
      </c>
      <c r="C19" s="225" t="s">
        <v>213</v>
      </c>
      <c r="D19" s="222">
        <f>HLOOKUP(CONCATENATE("lav",$D$6),linkage_aggregate_variables!$P$1:$AA$25,parameters!B19,0)</f>
        <v>0</v>
      </c>
      <c r="F19" s="231"/>
      <c r="G19" s="216">
        <v>12</v>
      </c>
      <c r="H19" s="221" t="s">
        <v>399</v>
      </c>
      <c r="I19" s="222">
        <f>HLOOKUP(CONCATENATE("lav",$D$6),linkage_aggregate_variables!$P$1:$AA$25,parameters!G19,0)</f>
        <v>5.7751090753483725E-2</v>
      </c>
      <c r="M19" s="233">
        <v>2024</v>
      </c>
      <c r="P19" s="234"/>
      <c r="R19" s="216"/>
    </row>
    <row r="20" spans="2:18" ht="12.75" x14ac:dyDescent="0.25">
      <c r="C20" s="225"/>
      <c r="D20" s="222"/>
      <c r="F20" s="231"/>
      <c r="G20" s="216">
        <v>13</v>
      </c>
      <c r="H20" s="221" t="s">
        <v>400</v>
      </c>
      <c r="I20" s="222">
        <f>HLOOKUP(CONCATENATE("lav",$D$6),linkage_aggregate_variables!$P$1:$AA$25,parameters!G20,0)</f>
        <v>-1.7783120699564448E-2</v>
      </c>
      <c r="M20" s="214">
        <v>2025</v>
      </c>
      <c r="R20" s="216"/>
    </row>
    <row r="21" spans="2:18" ht="12.75" x14ac:dyDescent="0.25">
      <c r="C21" s="229" t="s">
        <v>336</v>
      </c>
      <c r="D21" s="222"/>
      <c r="F21" s="231"/>
      <c r="G21" s="216">
        <v>14</v>
      </c>
      <c r="H21" s="221" t="s">
        <v>334</v>
      </c>
      <c r="I21" s="222">
        <f>HLOOKUP(CONCATENATE("lav",$D$6),linkage_aggregate_variables!$P$1:$AA$25,parameters!G21,0)</f>
        <v>-0.11077522765359749</v>
      </c>
      <c r="M21" s="214">
        <v>2026</v>
      </c>
      <c r="R21" s="216"/>
    </row>
    <row r="22" spans="2:18" ht="12.75" x14ac:dyDescent="0.25">
      <c r="B22" s="216">
        <v>24</v>
      </c>
      <c r="C22" s="221" t="s">
        <v>390</v>
      </c>
      <c r="D22" s="222">
        <f>HLOOKUP(CONCATENATE("lav",$D$6),linkage_aggregate_variables!$P$1:$AA$25,parameters!B22,0)</f>
        <v>2.7532275120198957E-2</v>
      </c>
      <c r="F22" s="231"/>
      <c r="R22" s="216"/>
    </row>
    <row r="23" spans="2:18" ht="12.75" x14ac:dyDescent="0.25">
      <c r="B23" s="216">
        <v>25</v>
      </c>
      <c r="C23" s="221" t="s">
        <v>389</v>
      </c>
      <c r="D23" s="222">
        <f>HLOOKUP(CONCATENATE("lav",$D$6),linkage_aggregate_variables!$P$1:$AA$25,parameters!B23,0)</f>
        <v>5.7751090753483725E-2</v>
      </c>
      <c r="F23" s="231"/>
      <c r="G23" s="642" t="s">
        <v>335</v>
      </c>
      <c r="H23" s="642"/>
      <c r="I23" s="642"/>
      <c r="J23" s="642"/>
      <c r="M23" s="214" t="s">
        <v>326</v>
      </c>
      <c r="R23" s="216"/>
    </row>
    <row r="24" spans="2:18" ht="12.75" x14ac:dyDescent="0.25">
      <c r="B24" s="216">
        <v>26</v>
      </c>
      <c r="C24" s="221" t="s">
        <v>391</v>
      </c>
      <c r="D24" s="222" t="e">
        <f>HLOOKUP(CONCATENATE("lav",$D$6),linkage_aggregate_variables!$P$1:$AA$25,parameters!B24,0)</f>
        <v>#REF!</v>
      </c>
      <c r="F24" s="231"/>
      <c r="G24" s="216">
        <v>42</v>
      </c>
      <c r="H24" s="223" t="s">
        <v>262</v>
      </c>
      <c r="I24" s="222" t="e">
        <f>HLOOKUP(CONCATENATE("lav",$D$6),linkage_aggregate_variables!$P$1:$AA$25,parameters!G24,0)</f>
        <v>#REF!</v>
      </c>
      <c r="J24" s="214"/>
      <c r="R24" s="216"/>
    </row>
    <row r="25" spans="2:18" ht="12.75" x14ac:dyDescent="0.25">
      <c r="B25" s="216">
        <v>27</v>
      </c>
      <c r="C25" s="221" t="s">
        <v>392</v>
      </c>
      <c r="D25" s="222" t="e">
        <f>HLOOKUP(CONCATENATE("lav",$D$6),linkage_aggregate_variables!$P$1:$AA$25,parameters!B25,0)</f>
        <v>#REF!</v>
      </c>
      <c r="F25" s="231"/>
      <c r="G25" s="216">
        <v>43</v>
      </c>
      <c r="H25" s="223" t="s">
        <v>337</v>
      </c>
      <c r="I25" s="222" t="e">
        <f>HLOOKUP(CONCATENATE("lav",$D$6),linkage_aggregate_variables!$P$1:$AA$25,parameters!G25,0)</f>
        <v>#REF!</v>
      </c>
      <c r="J25" s="214"/>
      <c r="R25" s="216"/>
    </row>
    <row r="26" spans="2:18" ht="12.75" x14ac:dyDescent="0.25">
      <c r="B26" s="216">
        <v>28</v>
      </c>
      <c r="C26" s="221" t="s">
        <v>403</v>
      </c>
      <c r="D26" s="222" t="e">
        <f>HLOOKUP(CONCATENATE("lav",$D$6),linkage_aggregate_variables!$P$1:$AA$25,parameters!B26,0)</f>
        <v>#REF!</v>
      </c>
      <c r="F26" s="231"/>
      <c r="G26" s="216">
        <v>43</v>
      </c>
      <c r="H26" s="223" t="s">
        <v>338</v>
      </c>
      <c r="I26" s="222" t="e">
        <f>HLOOKUP(CONCATENATE("lav",$D$6),linkage_aggregate_variables!$P$1:$AA$25,parameters!G26,0)</f>
        <v>#REF!</v>
      </c>
      <c r="J26" s="214"/>
      <c r="M26" s="214" t="s">
        <v>324</v>
      </c>
      <c r="R26" s="216"/>
    </row>
    <row r="27" spans="2:18" ht="12.75" x14ac:dyDescent="0.25">
      <c r="B27" s="216">
        <v>29</v>
      </c>
      <c r="C27" s="221" t="s">
        <v>393</v>
      </c>
      <c r="D27" s="222" t="e">
        <f>HLOOKUP(CONCATENATE("lav",$D$6),linkage_aggregate_variables!$P$1:$AA$25,parameters!B27,0)</f>
        <v>#REF!</v>
      </c>
      <c r="F27" s="231"/>
      <c r="H27" s="223"/>
      <c r="I27" s="222"/>
      <c r="J27" s="214"/>
      <c r="R27" s="216"/>
    </row>
    <row r="28" spans="2:18" ht="12.75" x14ac:dyDescent="0.25">
      <c r="B28" s="216">
        <v>30</v>
      </c>
      <c r="C28" s="221" t="s">
        <v>395</v>
      </c>
      <c r="D28" s="222" t="e">
        <f>HLOOKUP(CONCATENATE("lav",$D$6),linkage_aggregate_variables!$P$1:$AA$25,parameters!B28,0)</f>
        <v>#REF!</v>
      </c>
      <c r="F28" s="231"/>
      <c r="H28" s="642" t="s">
        <v>589</v>
      </c>
      <c r="I28" s="642"/>
      <c r="J28" s="214"/>
      <c r="R28" s="216"/>
    </row>
    <row r="29" spans="2:18" ht="12.75" x14ac:dyDescent="0.25">
      <c r="B29" s="216">
        <v>31</v>
      </c>
      <c r="C29" s="221" t="s">
        <v>396</v>
      </c>
      <c r="D29" s="222" t="e">
        <f>HLOOKUP(CONCATENATE("lav",$D$6),linkage_aggregate_variables!$P$1:$AA$25,parameters!B29,0)</f>
        <v>#REF!</v>
      </c>
      <c r="F29" s="231"/>
      <c r="G29" s="216">
        <v>44</v>
      </c>
      <c r="H29" s="223" t="s">
        <v>593</v>
      </c>
      <c r="I29" s="222"/>
      <c r="J29" s="214"/>
      <c r="R29" s="216"/>
    </row>
    <row r="30" spans="2:18" ht="12.75" x14ac:dyDescent="0.25">
      <c r="B30" s="216">
        <v>32</v>
      </c>
      <c r="C30" s="221" t="s">
        <v>397</v>
      </c>
      <c r="D30" s="222" t="e">
        <f>HLOOKUP(CONCATENATE("lav",$D$6),linkage_aggregate_variables!$P$1:$AA$25,parameters!B30,0)</f>
        <v>#REF!</v>
      </c>
      <c r="F30" s="231"/>
      <c r="G30" s="216">
        <v>45</v>
      </c>
      <c r="H30" s="223" t="s">
        <v>594</v>
      </c>
      <c r="I30" s="222"/>
      <c r="J30" s="214"/>
      <c r="R30" s="216"/>
    </row>
    <row r="31" spans="2:18" ht="12.75" x14ac:dyDescent="0.25">
      <c r="B31" s="216">
        <v>33</v>
      </c>
      <c r="C31" s="221" t="s">
        <v>398</v>
      </c>
      <c r="D31" s="222" t="e">
        <f>HLOOKUP(CONCATENATE("lav",$D$6),linkage_aggregate_variables!$P$1:$AA$25,parameters!B31,0)</f>
        <v>#REF!</v>
      </c>
      <c r="F31" s="231"/>
      <c r="G31" s="216">
        <v>46</v>
      </c>
      <c r="H31" s="223" t="s">
        <v>590</v>
      </c>
      <c r="I31" s="222"/>
      <c r="J31" s="214"/>
      <c r="R31" s="216"/>
    </row>
    <row r="32" spans="2:18" ht="12.75" x14ac:dyDescent="0.25">
      <c r="B32" s="216">
        <v>34</v>
      </c>
      <c r="C32" s="221" t="s">
        <v>399</v>
      </c>
      <c r="D32" s="222" t="e">
        <f>HLOOKUP(CONCATENATE("lav",$D$6),linkage_aggregate_variables!$P$1:$AA$25,parameters!B32,0)</f>
        <v>#REF!</v>
      </c>
      <c r="F32" s="231"/>
      <c r="H32" s="223"/>
      <c r="I32" s="222"/>
      <c r="J32" s="214"/>
      <c r="R32" s="216"/>
    </row>
    <row r="33" spans="2:10" ht="12.75" x14ac:dyDescent="0.25">
      <c r="B33" s="216">
        <v>35</v>
      </c>
      <c r="C33" s="221" t="s">
        <v>400</v>
      </c>
      <c r="D33" s="222" t="e">
        <f>HLOOKUP(CONCATENATE("lav",$D$6),linkage_aggregate_variables!$P$1:$AA$25,parameters!B33,0)</f>
        <v>#REF!</v>
      </c>
      <c r="F33" s="231"/>
      <c r="H33" s="642" t="s">
        <v>592</v>
      </c>
      <c r="I33" s="642"/>
      <c r="J33" s="214"/>
    </row>
    <row r="34" spans="2:10" ht="12.75" x14ac:dyDescent="0.25">
      <c r="C34" s="221"/>
      <c r="D34" s="222"/>
      <c r="F34" s="231"/>
      <c r="G34" s="216">
        <v>47</v>
      </c>
      <c r="H34" s="223" t="s">
        <v>591</v>
      </c>
      <c r="I34" s="222"/>
      <c r="J34" s="214"/>
    </row>
    <row r="35" spans="2:10" ht="12.75" x14ac:dyDescent="0.25">
      <c r="C35" s="221"/>
      <c r="D35" s="222"/>
      <c r="F35" s="231"/>
      <c r="H35" s="223"/>
      <c r="I35" s="226"/>
      <c r="J35" s="214"/>
    </row>
    <row r="36" spans="2:10" ht="12.75" x14ac:dyDescent="0.25">
      <c r="C36" s="229" t="s">
        <v>35</v>
      </c>
      <c r="D36" s="222"/>
      <c r="F36" s="231"/>
      <c r="H36" s="486" t="s">
        <v>339</v>
      </c>
      <c r="I36" s="486"/>
      <c r="J36" s="486"/>
    </row>
    <row r="37" spans="2:10" ht="12.75" x14ac:dyDescent="0.25">
      <c r="B37" s="216">
        <v>36</v>
      </c>
      <c r="C37" s="225" t="s">
        <v>29</v>
      </c>
      <c r="D37" s="222" t="e">
        <f>HLOOKUP(CONCATENATE("lav",$D$6),linkage_aggregate_variables!$P$1:$AA$25,parameters!B37,0)</f>
        <v>#REF!</v>
      </c>
      <c r="F37" s="231"/>
      <c r="G37" s="216">
        <v>48</v>
      </c>
      <c r="H37" s="214" t="s">
        <v>340</v>
      </c>
      <c r="I37" s="232" t="e">
        <f>HLOOKUP(CONCATENATE("value",$D$6),linkage_aggregate_variables!$B$1:$AA$33,parameters!G37,0)</f>
        <v>#REF!</v>
      </c>
      <c r="J37" s="455"/>
    </row>
    <row r="38" spans="2:10" ht="12.75" x14ac:dyDescent="0.25">
      <c r="B38" s="216">
        <v>37</v>
      </c>
      <c r="C38" s="225" t="s">
        <v>385</v>
      </c>
      <c r="D38" s="222" t="e">
        <f>HLOOKUP(CONCATENATE("lav",$D$6),linkage_aggregate_variables!$P$1:$AA$25,parameters!B38,0)</f>
        <v>#REF!</v>
      </c>
      <c r="F38" s="231"/>
      <c r="H38" s="220"/>
    </row>
    <row r="39" spans="2:10" ht="12.75" x14ac:dyDescent="0.25">
      <c r="B39" s="216">
        <v>38</v>
      </c>
      <c r="C39" s="225" t="s">
        <v>402</v>
      </c>
      <c r="D39" s="222" t="e">
        <f>HLOOKUP(CONCATENATE("lav",$D$6),linkage_aggregate_variables!$P$1:$AA$25,parameters!B39,0)</f>
        <v>#REF!</v>
      </c>
      <c r="F39" s="231"/>
      <c r="G39" s="231"/>
      <c r="H39" s="220"/>
    </row>
    <row r="40" spans="2:10" ht="12.75" x14ac:dyDescent="0.25">
      <c r="B40" s="216">
        <v>39</v>
      </c>
      <c r="C40" s="225" t="s">
        <v>386</v>
      </c>
      <c r="D40" s="222" t="e">
        <f>HLOOKUP(CONCATENATE("lav",$D$6),linkage_aggregate_variables!$P$1:$AA$25,parameters!B40,0)</f>
        <v>#REF!</v>
      </c>
      <c r="F40" s="231"/>
      <c r="G40" s="231"/>
      <c r="H40" s="227"/>
      <c r="I40" s="222"/>
    </row>
    <row r="41" spans="2:10" ht="12.75" x14ac:dyDescent="0.25">
      <c r="B41" s="216">
        <v>40</v>
      </c>
      <c r="C41" s="225" t="s">
        <v>387</v>
      </c>
      <c r="D41" s="222" t="e">
        <f>HLOOKUP(CONCATENATE("lav",$D$6),linkage_aggregate_variables!$P$1:$AA$25,parameters!B41,0)</f>
        <v>#REF!</v>
      </c>
      <c r="F41" s="231"/>
      <c r="G41" s="231"/>
      <c r="H41" s="227"/>
      <c r="I41" s="222"/>
    </row>
    <row r="42" spans="2:10" ht="12.75" x14ac:dyDescent="0.25">
      <c r="B42" s="216">
        <v>41</v>
      </c>
      <c r="C42" s="225" t="s">
        <v>388</v>
      </c>
      <c r="D42" s="222" t="e">
        <f>HLOOKUP(CONCATENATE("lav",$D$6),linkage_aggregate_variables!$P$1:$AA$25,parameters!B42,0)</f>
        <v>#REF!</v>
      </c>
      <c r="F42" s="231"/>
      <c r="G42" s="231"/>
      <c r="H42" s="227"/>
      <c r="I42" s="222"/>
    </row>
    <row r="43" spans="2:10" ht="12.75" x14ac:dyDescent="0.25">
      <c r="C43" s="225"/>
      <c r="D43" s="222"/>
      <c r="F43" s="231"/>
      <c r="G43" s="231"/>
      <c r="H43" s="227"/>
      <c r="I43" s="222"/>
    </row>
    <row r="44" spans="2:10" ht="12.75" x14ac:dyDescent="0.25">
      <c r="C44" s="225"/>
      <c r="D44" s="222"/>
      <c r="F44" s="231"/>
      <c r="G44" s="231"/>
      <c r="H44" s="227"/>
      <c r="I44" s="222"/>
    </row>
    <row r="45" spans="2:10" ht="12.75" hidden="1" x14ac:dyDescent="0.25">
      <c r="B45" s="216">
        <v>2</v>
      </c>
      <c r="C45" s="230"/>
      <c r="D45" s="214"/>
      <c r="F45" s="231"/>
      <c r="G45" s="231"/>
      <c r="H45" s="227"/>
      <c r="I45" s="222"/>
    </row>
    <row r="46" spans="2:10" ht="13.5" hidden="1" customHeight="1" x14ac:dyDescent="0.25">
      <c r="B46" s="216">
        <v>3</v>
      </c>
      <c r="C46" s="221"/>
      <c r="D46" s="222"/>
      <c r="F46" s="231"/>
      <c r="G46" s="231"/>
      <c r="H46" s="227"/>
      <c r="I46" s="222"/>
    </row>
    <row r="47" spans="2:10" ht="12" hidden="1" customHeight="1" x14ac:dyDescent="0.25">
      <c r="B47" s="216">
        <v>4</v>
      </c>
      <c r="C47" s="221"/>
      <c r="D47" s="222"/>
      <c r="F47" s="231"/>
      <c r="G47" s="231"/>
      <c r="H47" s="227"/>
      <c r="I47" s="222"/>
    </row>
    <row r="48" spans="2:10" ht="12" hidden="1" customHeight="1" x14ac:dyDescent="0.25">
      <c r="B48" s="216">
        <v>5</v>
      </c>
      <c r="C48" s="221"/>
      <c r="D48" s="222"/>
      <c r="F48" s="231"/>
      <c r="G48" s="231"/>
      <c r="H48" s="227"/>
      <c r="I48" s="222"/>
    </row>
    <row r="49" spans="2:9" ht="12.6" hidden="1" customHeight="1" x14ac:dyDescent="0.25">
      <c r="B49" s="216">
        <v>6</v>
      </c>
      <c r="C49" s="221"/>
      <c r="D49" s="222"/>
      <c r="F49" s="231"/>
      <c r="G49" s="231"/>
      <c r="H49" s="220"/>
    </row>
    <row r="50" spans="2:9" ht="12.6" hidden="1" customHeight="1" x14ac:dyDescent="0.25">
      <c r="B50" s="216">
        <v>7</v>
      </c>
      <c r="C50" s="221"/>
      <c r="D50" s="222"/>
      <c r="F50" s="231"/>
      <c r="G50" s="231"/>
      <c r="H50" s="227"/>
      <c r="I50" s="222"/>
    </row>
    <row r="51" spans="2:9" ht="12.6" hidden="1" customHeight="1" x14ac:dyDescent="0.25">
      <c r="B51" s="216">
        <v>8</v>
      </c>
      <c r="C51" s="221"/>
      <c r="D51" s="222"/>
      <c r="F51" s="231"/>
      <c r="G51" s="231"/>
      <c r="H51" s="227"/>
      <c r="I51" s="222"/>
    </row>
    <row r="52" spans="2:9" ht="12.6" hidden="1" customHeight="1" x14ac:dyDescent="0.25">
      <c r="C52" s="221"/>
      <c r="D52" s="222"/>
      <c r="F52" s="231"/>
      <c r="G52" s="231"/>
      <c r="H52" s="227"/>
      <c r="I52" s="222"/>
    </row>
    <row r="53" spans="2:9" ht="11.1" hidden="1" customHeight="1" x14ac:dyDescent="0.25">
      <c r="C53" s="221"/>
      <c r="D53" s="222"/>
      <c r="F53" s="231"/>
      <c r="G53" s="231"/>
      <c r="H53" s="227"/>
      <c r="I53" s="222"/>
    </row>
    <row r="54" spans="2:9" ht="12.75" hidden="1" x14ac:dyDescent="0.25">
      <c r="D54" s="214"/>
      <c r="F54" s="231"/>
      <c r="G54" s="231"/>
      <c r="H54" s="227"/>
      <c r="I54" s="222"/>
    </row>
    <row r="55" spans="2:9" ht="12.75" hidden="1" x14ac:dyDescent="0.25">
      <c r="C55" s="217" t="s">
        <v>331</v>
      </c>
      <c r="F55" s="231"/>
      <c r="G55" s="214"/>
    </row>
    <row r="56" spans="2:9" ht="12.75" hidden="1" x14ac:dyDescent="0.25">
      <c r="C56" s="217" t="s">
        <v>147</v>
      </c>
      <c r="F56" s="231"/>
    </row>
    <row r="57" spans="2:9" ht="12.75" hidden="1" x14ac:dyDescent="0.25">
      <c r="C57" s="217" t="s">
        <v>148</v>
      </c>
      <c r="F57" s="231"/>
    </row>
    <row r="58" spans="2:9" ht="12.75" hidden="1" x14ac:dyDescent="0.25">
      <c r="C58" s="217" t="s">
        <v>332</v>
      </c>
      <c r="F58" s="231"/>
    </row>
    <row r="59" spans="2:9" ht="12.95" hidden="1" customHeight="1" x14ac:dyDescent="0.25">
      <c r="C59" s="218" t="s">
        <v>333</v>
      </c>
      <c r="F59" s="231"/>
    </row>
    <row r="60" spans="2:9" ht="12.95" hidden="1" customHeight="1" x14ac:dyDescent="0.25"/>
    <row r="61" spans="2:9" ht="12.95" hidden="1" customHeight="1" x14ac:dyDescent="0.25"/>
    <row r="62" spans="2:9" ht="12.95" hidden="1" customHeight="1" x14ac:dyDescent="0.25"/>
    <row r="63" spans="2:9" ht="12.95" hidden="1" customHeight="1" x14ac:dyDescent="0.25"/>
    <row r="64" spans="2:9" ht="12.95" hidden="1" customHeight="1" x14ac:dyDescent="0.25"/>
    <row r="65" ht="12.95" hidden="1" customHeight="1" x14ac:dyDescent="0.25"/>
    <row r="66" ht="12.95" hidden="1" customHeight="1" x14ac:dyDescent="0.25"/>
    <row r="67" ht="12.95" hidden="1" customHeight="1" x14ac:dyDescent="0.25"/>
    <row r="68" ht="12.95" hidden="1" customHeight="1" x14ac:dyDescent="0.25"/>
  </sheetData>
  <customSheetViews>
    <customSheetView guid="{5EB6DE45-64D9-4581-AE55-A519683B64F2}" hiddenRows="1" hiddenColumns="1">
      <selection activeCell="I4" sqref="I4"/>
      <pageMargins left="0.7" right="0.7" top="0.75" bottom="0.75" header="0.3" footer="0.3"/>
      <pageSetup orientation="portrait" r:id="rId1"/>
    </customSheetView>
  </customSheetViews>
  <mergeCells count="5">
    <mergeCell ref="H33:I33"/>
    <mergeCell ref="B2:J2"/>
    <mergeCell ref="B8:E8"/>
    <mergeCell ref="G23:J23"/>
    <mergeCell ref="H28:I28"/>
  </mergeCells>
  <dataValidations count="4">
    <dataValidation type="list" allowBlank="1" showInputMessage="1" showErrorMessage="1" sqref="D6" xr:uid="{F6140847-22B1-467F-871A-4B36596C58E3}">
      <formula1>$M$8:$M$21</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$N$4:$N$18</formula1>
    </dataValidation>
  </dataValidation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44"/>
  <sheetViews>
    <sheetView tabSelected="1" topLeftCell="S1" workbookViewId="0">
      <selection activeCell="Y28" sqref="Y28"/>
    </sheetView>
  </sheetViews>
  <sheetFormatPr defaultColWidth="9.140625" defaultRowHeight="12.75" x14ac:dyDescent="0.2"/>
  <cols>
    <col min="1" max="1" width="24.5703125" style="254" bestFit="1" customWidth="1"/>
    <col min="2" max="6" width="14.140625" style="254" customWidth="1"/>
    <col min="7" max="7" width="12.140625" style="254" customWidth="1"/>
    <col min="8" max="8" width="14.5703125" style="254" customWidth="1"/>
    <col min="9" max="9" width="12.42578125" style="254" customWidth="1"/>
    <col min="10" max="11" width="12.5703125" style="254" bestFit="1" customWidth="1"/>
    <col min="12" max="12" width="12" style="254" bestFit="1" customWidth="1"/>
    <col min="13" max="14" width="12" style="254" customWidth="1"/>
    <col min="15" max="15" width="6" style="254" bestFit="1" customWidth="1"/>
    <col min="16" max="22" width="12" style="254" customWidth="1"/>
    <col min="23" max="27" width="12" style="254" bestFit="1" customWidth="1"/>
    <col min="28" max="28" width="9.140625" style="254"/>
    <col min="29" max="29" width="11.85546875" style="254" bestFit="1" customWidth="1"/>
    <col min="30" max="16384" width="9.140625" style="254"/>
  </cols>
  <sheetData>
    <row r="1" spans="1:31" ht="13.5" thickBot="1" x14ac:dyDescent="0.25">
      <c r="A1" s="63" t="s">
        <v>341</v>
      </c>
      <c r="B1" s="64" t="s">
        <v>557</v>
      </c>
      <c r="C1" s="64" t="s">
        <v>556</v>
      </c>
      <c r="D1" s="64" t="s">
        <v>558</v>
      </c>
      <c r="E1" s="64" t="s">
        <v>559</v>
      </c>
      <c r="F1" s="64" t="s">
        <v>560</v>
      </c>
      <c r="G1" s="64" t="s">
        <v>561</v>
      </c>
      <c r="H1" s="64" t="s">
        <v>562</v>
      </c>
      <c r="I1" s="64" t="s">
        <v>563</v>
      </c>
      <c r="J1" s="64" t="s">
        <v>564</v>
      </c>
      <c r="K1" s="64" t="s">
        <v>565</v>
      </c>
      <c r="L1" s="64" t="s">
        <v>566</v>
      </c>
      <c r="M1" s="64" t="s">
        <v>567</v>
      </c>
      <c r="N1" s="64" t="s">
        <v>568</v>
      </c>
      <c r="O1" s="270"/>
      <c r="P1" s="277" t="s">
        <v>569</v>
      </c>
      <c r="Q1" s="277" t="s">
        <v>570</v>
      </c>
      <c r="R1" s="277" t="s">
        <v>571</v>
      </c>
      <c r="S1" s="277" t="s">
        <v>572</v>
      </c>
      <c r="T1" s="277" t="s">
        <v>573</v>
      </c>
      <c r="U1" s="277" t="s">
        <v>574</v>
      </c>
      <c r="V1" s="277" t="s">
        <v>575</v>
      </c>
      <c r="W1" s="277" t="s">
        <v>576</v>
      </c>
      <c r="X1" s="277" t="s">
        <v>577</v>
      </c>
      <c r="Y1" s="277" t="s">
        <v>578</v>
      </c>
      <c r="Z1" s="277" t="s">
        <v>579</v>
      </c>
      <c r="AA1" s="277" t="s">
        <v>580</v>
      </c>
      <c r="AB1" s="22"/>
      <c r="AC1" s="278" t="s">
        <v>132</v>
      </c>
      <c r="AD1" s="278">
        <f>'0. GUIDELINES'!E4</f>
        <v>2022</v>
      </c>
      <c r="AE1" s="279">
        <v>1</v>
      </c>
    </row>
    <row r="2" spans="1:31" x14ac:dyDescent="0.2">
      <c r="A2" s="217" t="s">
        <v>531</v>
      </c>
      <c r="B2" s="253" t="e">
        <f>'2.2 LABOR INCOME &amp; PRODUCTIVITY'!R21</f>
        <v>#N/A</v>
      </c>
      <c r="C2" s="253" t="e">
        <f>'2.2 LABOR INCOME &amp; PRODUCTIVITY'!S21</f>
        <v>#N/A</v>
      </c>
      <c r="D2" s="253">
        <f>'2.2 LABOR INCOME &amp; PRODUCTIVITY'!T21</f>
        <v>179.61456298828125</v>
      </c>
      <c r="E2" s="253" t="e">
        <f>'2.2 LABOR INCOME &amp; PRODUCTIVITY'!U21</f>
        <v>#N/A</v>
      </c>
      <c r="F2" s="253" t="e">
        <f>'2.2 LABOR INCOME &amp; PRODUCTIVITY'!V21</f>
        <v>#N/A</v>
      </c>
      <c r="G2" s="253" t="e">
        <f>'2.2 LABOR INCOME &amp; PRODUCTIVITY'!W21</f>
        <v>#N/A</v>
      </c>
      <c r="H2" s="253" t="e">
        <f>'2.2 LABOR INCOME &amp; PRODUCTIVITY'!X21</f>
        <v>#N/A</v>
      </c>
      <c r="I2" s="253" t="e">
        <f>'2.2 LABOR INCOME &amp; PRODUCTIVITY'!Y21</f>
        <v>#N/A</v>
      </c>
      <c r="J2" s="253">
        <f>'2.2 LABOR INCOME &amp; PRODUCTIVITY'!Z21</f>
        <v>293.2978515625</v>
      </c>
      <c r="K2" s="253">
        <f>'2.2 LABOR INCOME &amp; PRODUCTIVITY'!AA21</f>
        <v>272.34867404812741</v>
      </c>
      <c r="L2" s="253">
        <f>'2.2 LABOR INCOME &amp; PRODUCTIVITY'!AB21</f>
        <v>262.95264479346702</v>
      </c>
      <c r="M2" s="253">
        <f>'2.2 LABOR INCOME &amp; PRODUCTIVITY'!AC21</f>
        <v>262.496111829033</v>
      </c>
      <c r="N2" s="253">
        <f>'2.2 LABOR INCOME &amp; PRODUCTIVITY'!AD21</f>
        <v>263.25616199874509</v>
      </c>
      <c r="O2" s="271"/>
      <c r="P2" s="222" t="e">
        <f>C2/$AC2-1</f>
        <v>#N/A</v>
      </c>
      <c r="Q2" s="222">
        <f t="shared" ref="Q2:AA8" si="0">D2/$AC2-1</f>
        <v>-0.38760355034511229</v>
      </c>
      <c r="R2" s="222" t="e">
        <f t="shared" si="0"/>
        <v>#N/A</v>
      </c>
      <c r="S2" s="222" t="e">
        <f t="shared" si="0"/>
        <v>#N/A</v>
      </c>
      <c r="T2" s="222" t="e">
        <f t="shared" si="0"/>
        <v>#N/A</v>
      </c>
      <c r="U2" s="222" t="e">
        <f t="shared" si="0"/>
        <v>#N/A</v>
      </c>
      <c r="V2" s="222" t="e">
        <f t="shared" si="0"/>
        <v>#N/A</v>
      </c>
      <c r="W2" s="222">
        <f t="shared" si="0"/>
        <v>0</v>
      </c>
      <c r="X2" s="222">
        <f t="shared" si="0"/>
        <v>-7.1426290382861746E-2</v>
      </c>
      <c r="Y2" s="222">
        <f t="shared" si="0"/>
        <v>-0.10346208336465301</v>
      </c>
      <c r="Z2" s="222">
        <f t="shared" si="0"/>
        <v>-0.10501863402467959</v>
      </c>
      <c r="AA2" s="222">
        <f t="shared" si="0"/>
        <v>-0.1024272404441845</v>
      </c>
      <c r="AC2" s="253">
        <f t="shared" ref="AC2:AC28" si="1">HLOOKUP(CONCATENATE("value",$AD$1),B:N, $AE2, 0)</f>
        <v>293.2978515625</v>
      </c>
      <c r="AE2" s="279">
        <v>2</v>
      </c>
    </row>
    <row r="3" spans="1:31" x14ac:dyDescent="0.2">
      <c r="A3" s="217" t="s">
        <v>532</v>
      </c>
      <c r="B3" s="253" t="e">
        <f>'2.2 LABOR INCOME &amp; PRODUCTIVITY'!R22</f>
        <v>#N/A</v>
      </c>
      <c r="C3" s="253" t="e">
        <f>'2.2 LABOR INCOME &amp; PRODUCTIVITY'!S22</f>
        <v>#N/A</v>
      </c>
      <c r="D3" s="253">
        <f>'2.2 LABOR INCOME &amp; PRODUCTIVITY'!T22</f>
        <v>211.47543334960938</v>
      </c>
      <c r="E3" s="253" t="e">
        <f>'2.2 LABOR INCOME &amp; PRODUCTIVITY'!U22</f>
        <v>#N/A</v>
      </c>
      <c r="F3" s="253" t="e">
        <f>'2.2 LABOR INCOME &amp; PRODUCTIVITY'!V22</f>
        <v>#N/A</v>
      </c>
      <c r="G3" s="253" t="e">
        <f>'2.2 LABOR INCOME &amp; PRODUCTIVITY'!W22</f>
        <v>#N/A</v>
      </c>
      <c r="H3" s="253" t="e">
        <f>'2.2 LABOR INCOME &amp; PRODUCTIVITY'!X22</f>
        <v>#N/A</v>
      </c>
      <c r="I3" s="253" t="e">
        <f>'2.2 LABOR INCOME &amp; PRODUCTIVITY'!Y22</f>
        <v>#N/A</v>
      </c>
      <c r="J3" s="253">
        <f>'2.2 LABOR INCOME &amp; PRODUCTIVITY'!Z22</f>
        <v>395.90869140625</v>
      </c>
      <c r="K3" s="253">
        <f>'2.2 LABOR INCOME &amp; PRODUCTIVITY'!AA22</f>
        <v>403.09808695476227</v>
      </c>
      <c r="L3" s="253">
        <f>'2.2 LABOR INCOME &amp; PRODUCTIVITY'!AB22</f>
        <v>406.35118839138886</v>
      </c>
      <c r="M3" s="253">
        <f>'2.2 LABOR INCOME &amp; PRODUCTIVITY'!AC22</f>
        <v>399.29620277664816</v>
      </c>
      <c r="N3" s="253">
        <f>'2.2 LABOR INCOME &amp; PRODUCTIVITY'!AD22</f>
        <v>401.03042930235443</v>
      </c>
      <c r="O3" s="271"/>
      <c r="P3" s="222" t="e">
        <f t="shared" ref="P3:P8" si="2">C3/$AC3-1</f>
        <v>#N/A</v>
      </c>
      <c r="Q3" s="222">
        <f t="shared" si="0"/>
        <v>-0.46584796459391165</v>
      </c>
      <c r="R3" s="222" t="e">
        <f t="shared" si="0"/>
        <v>#N/A</v>
      </c>
      <c r="S3" s="222" t="e">
        <f t="shared" si="0"/>
        <v>#N/A</v>
      </c>
      <c r="T3" s="222" t="e">
        <f t="shared" si="0"/>
        <v>#N/A</v>
      </c>
      <c r="U3" s="222" t="e">
        <f t="shared" si="0"/>
        <v>#N/A</v>
      </c>
      <c r="V3" s="222" t="e">
        <f t="shared" si="0"/>
        <v>#N/A</v>
      </c>
      <c r="W3" s="222">
        <f t="shared" si="0"/>
        <v>0</v>
      </c>
      <c r="X3" s="222">
        <f t="shared" si="0"/>
        <v>1.8159226368524184E-2</v>
      </c>
      <c r="Y3" s="222">
        <f t="shared" si="0"/>
        <v>2.6376023592832976E-2</v>
      </c>
      <c r="Z3" s="222">
        <f t="shared" si="0"/>
        <v>8.5562945293418124E-3</v>
      </c>
      <c r="AA3" s="222">
        <f t="shared" si="0"/>
        <v>1.2936664456423719E-2</v>
      </c>
      <c r="AC3" s="253">
        <f t="shared" si="1"/>
        <v>395.90869140625</v>
      </c>
      <c r="AE3" s="279">
        <v>3</v>
      </c>
    </row>
    <row r="4" spans="1:31" x14ac:dyDescent="0.2">
      <c r="A4" s="217" t="s">
        <v>533</v>
      </c>
      <c r="B4" s="253" t="e">
        <f>'2.2 LABOR INCOME &amp; PRODUCTIVITY'!R23</f>
        <v>#N/A</v>
      </c>
      <c r="C4" s="253" t="e">
        <f>'2.2 LABOR INCOME &amp; PRODUCTIVITY'!S23</f>
        <v>#N/A</v>
      </c>
      <c r="D4" s="253">
        <f>'2.2 LABOR INCOME &amp; PRODUCTIVITY'!T23</f>
        <v>287.7081298828125</v>
      </c>
      <c r="E4" s="253" t="e">
        <f>'2.2 LABOR INCOME &amp; PRODUCTIVITY'!U23</f>
        <v>#N/A</v>
      </c>
      <c r="F4" s="253" t="e">
        <f>'2.2 LABOR INCOME &amp; PRODUCTIVITY'!V23</f>
        <v>#N/A</v>
      </c>
      <c r="G4" s="253" t="e">
        <f>'2.2 LABOR INCOME &amp; PRODUCTIVITY'!W23</f>
        <v>#N/A</v>
      </c>
      <c r="H4" s="253" t="e">
        <f>'2.2 LABOR INCOME &amp; PRODUCTIVITY'!X23</f>
        <v>#N/A</v>
      </c>
      <c r="I4" s="253" t="e">
        <f>'2.2 LABOR INCOME &amp; PRODUCTIVITY'!Y23</f>
        <v>#N/A</v>
      </c>
      <c r="J4" s="253">
        <f>'2.2 LABOR INCOME &amp; PRODUCTIVITY'!Z23</f>
        <v>614.328125</v>
      </c>
      <c r="K4" s="253">
        <f>'2.2 LABOR INCOME &amp; PRODUCTIVITY'!AA23</f>
        <v>585.95095600678644</v>
      </c>
      <c r="L4" s="253">
        <f>'2.2 LABOR INCOME &amp; PRODUCTIVITY'!AB23</f>
        <v>561.69258642810553</v>
      </c>
      <c r="M4" s="253">
        <f>'2.2 LABOR INCOME &amp; PRODUCTIVITY'!AC23</f>
        <v>492.71066933122705</v>
      </c>
      <c r="N4" s="253">
        <f>'2.2 LABOR INCOME &amp; PRODUCTIVITY'!AD23</f>
        <v>538.48904801346214</v>
      </c>
      <c r="O4" s="271"/>
      <c r="P4" s="222" t="e">
        <f t="shared" si="2"/>
        <v>#N/A</v>
      </c>
      <c r="Q4" s="222">
        <f t="shared" si="0"/>
        <v>-0.53167026190960653</v>
      </c>
      <c r="R4" s="222" t="e">
        <f t="shared" si="0"/>
        <v>#N/A</v>
      </c>
      <c r="S4" s="222" t="e">
        <f t="shared" si="0"/>
        <v>#N/A</v>
      </c>
      <c r="T4" s="222" t="e">
        <f t="shared" si="0"/>
        <v>#N/A</v>
      </c>
      <c r="U4" s="222" t="e">
        <f t="shared" si="0"/>
        <v>#N/A</v>
      </c>
      <c r="V4" s="222" t="e">
        <f t="shared" si="0"/>
        <v>#N/A</v>
      </c>
      <c r="W4" s="222">
        <f t="shared" si="0"/>
        <v>0</v>
      </c>
      <c r="X4" s="222">
        <f t="shared" si="0"/>
        <v>-4.6192202242431257E-2</v>
      </c>
      <c r="Y4" s="222">
        <f t="shared" si="0"/>
        <v>-8.5679845069594474E-2</v>
      </c>
      <c r="Z4" s="222">
        <f t="shared" si="0"/>
        <v>-0.19796823671189223</v>
      </c>
      <c r="AA4" s="222">
        <f t="shared" si="0"/>
        <v>-0.12345043943175782</v>
      </c>
      <c r="AC4" s="253">
        <f t="shared" si="1"/>
        <v>614.328125</v>
      </c>
      <c r="AE4" s="279">
        <v>4</v>
      </c>
    </row>
    <row r="5" spans="1:31" x14ac:dyDescent="0.2">
      <c r="A5" s="217" t="s">
        <v>534</v>
      </c>
      <c r="B5" s="253" t="e">
        <f>'2.2 LABOR INCOME &amp; PRODUCTIVITY'!R24</f>
        <v>#N/A</v>
      </c>
      <c r="C5" s="253" t="e">
        <f>'2.2 LABOR INCOME &amp; PRODUCTIVITY'!S24</f>
        <v>#N/A</v>
      </c>
      <c r="D5" s="253">
        <f>'2.2 LABOR INCOME &amp; PRODUCTIVITY'!T24</f>
        <v>416.73294067382813</v>
      </c>
      <c r="E5" s="253" t="e">
        <f>'2.2 LABOR INCOME &amp; PRODUCTIVITY'!U24</f>
        <v>#N/A</v>
      </c>
      <c r="F5" s="253" t="e">
        <f>'2.2 LABOR INCOME &amp; PRODUCTIVITY'!V24</f>
        <v>#N/A</v>
      </c>
      <c r="G5" s="253" t="e">
        <f>'2.2 LABOR INCOME &amp; PRODUCTIVITY'!W24</f>
        <v>#N/A</v>
      </c>
      <c r="H5" s="253" t="e">
        <f>'2.2 LABOR INCOME &amp; PRODUCTIVITY'!X24</f>
        <v>#N/A</v>
      </c>
      <c r="I5" s="253" t="e">
        <f>'2.2 LABOR INCOME &amp; PRODUCTIVITY'!Y24</f>
        <v>#N/A</v>
      </c>
      <c r="J5" s="253">
        <f>'2.2 LABOR INCOME &amp; PRODUCTIVITY'!Z24</f>
        <v>866.3953857421875</v>
      </c>
      <c r="K5" s="253">
        <f>'2.2 LABOR INCOME &amp; PRODUCTIVITY'!AA24</f>
        <v>862.08546303202161</v>
      </c>
      <c r="L5" s="253">
        <f>'2.2 LABOR INCOME &amp; PRODUCTIVITY'!AB24</f>
        <v>855.98870290992522</v>
      </c>
      <c r="M5" s="253">
        <f>'2.2 LABOR INCOME &amp; PRODUCTIVITY'!AC24</f>
        <v>771.8889755263167</v>
      </c>
      <c r="N5" s="253">
        <f>'2.2 LABOR INCOME &amp; PRODUCTIVITY'!AD24</f>
        <v>848.38731398310722</v>
      </c>
      <c r="O5" s="271"/>
      <c r="P5" s="222" t="e">
        <f t="shared" si="2"/>
        <v>#N/A</v>
      </c>
      <c r="Q5" s="222">
        <f t="shared" si="0"/>
        <v>-0.51900373947993883</v>
      </c>
      <c r="R5" s="222" t="e">
        <f t="shared" si="0"/>
        <v>#N/A</v>
      </c>
      <c r="S5" s="222" t="e">
        <f t="shared" si="0"/>
        <v>#N/A</v>
      </c>
      <c r="T5" s="222" t="e">
        <f t="shared" si="0"/>
        <v>#N/A</v>
      </c>
      <c r="U5" s="222" t="e">
        <f t="shared" si="0"/>
        <v>#N/A</v>
      </c>
      <c r="V5" s="222" t="e">
        <f t="shared" si="0"/>
        <v>#N/A</v>
      </c>
      <c r="W5" s="222">
        <f t="shared" si="0"/>
        <v>0</v>
      </c>
      <c r="X5" s="222">
        <f t="shared" si="0"/>
        <v>-4.9745448568770945E-3</v>
      </c>
      <c r="Y5" s="222">
        <f t="shared" si="0"/>
        <v>-1.2011470748251374E-2</v>
      </c>
      <c r="Z5" s="222">
        <f t="shared" si="0"/>
        <v>-0.10908000177645572</v>
      </c>
      <c r="AA5" s="222">
        <f t="shared" si="0"/>
        <v>-2.0785050400117133E-2</v>
      </c>
      <c r="AC5" s="253">
        <f t="shared" si="1"/>
        <v>866.3953857421875</v>
      </c>
      <c r="AE5" s="279">
        <v>5</v>
      </c>
    </row>
    <row r="6" spans="1:31" x14ac:dyDescent="0.2">
      <c r="A6" s="217" t="s">
        <v>535</v>
      </c>
      <c r="B6" s="253" t="e">
        <f>'2.2 LABOR INCOME &amp; PRODUCTIVITY'!R25</f>
        <v>#N/A</v>
      </c>
      <c r="C6" s="253" t="e">
        <f>'2.2 LABOR INCOME &amp; PRODUCTIVITY'!S25</f>
        <v>#N/A</v>
      </c>
      <c r="D6" s="253">
        <f>'2.2 LABOR INCOME &amp; PRODUCTIVITY'!T25</f>
        <v>334.06631469726563</v>
      </c>
      <c r="E6" s="253" t="e">
        <f>'2.2 LABOR INCOME &amp; PRODUCTIVITY'!U25</f>
        <v>#N/A</v>
      </c>
      <c r="F6" s="253" t="e">
        <f>'2.2 LABOR INCOME &amp; PRODUCTIVITY'!V25</f>
        <v>#N/A</v>
      </c>
      <c r="G6" s="253" t="e">
        <f>'2.2 LABOR INCOME &amp; PRODUCTIVITY'!W25</f>
        <v>#N/A</v>
      </c>
      <c r="H6" s="253" t="e">
        <f>'2.2 LABOR INCOME &amp; PRODUCTIVITY'!X25</f>
        <v>#N/A</v>
      </c>
      <c r="I6" s="253" t="e">
        <f>'2.2 LABOR INCOME &amp; PRODUCTIVITY'!Y25</f>
        <v>#N/A</v>
      </c>
      <c r="J6" s="253">
        <f>'2.2 LABOR INCOME &amp; PRODUCTIVITY'!Z25</f>
        <v>502.22030639648438</v>
      </c>
      <c r="K6" s="253">
        <f>'2.2 LABOR INCOME &amp; PRODUCTIVITY'!AA25</f>
        <v>498.45847633039557</v>
      </c>
      <c r="L6" s="253">
        <f>'2.2 LABOR INCOME &amp; PRODUCTIVITY'!AB25</f>
        <v>481.56073398279511</v>
      </c>
      <c r="M6" s="253">
        <f>'2.2 LABOR INCOME &amp; PRODUCTIVITY'!AC25</f>
        <v>475.28381982790444</v>
      </c>
      <c r="N6" s="253">
        <f>'2.2 LABOR INCOME &amp; PRODUCTIVITY'!AD25</f>
        <v>497.42957004364246</v>
      </c>
      <c r="O6" s="271"/>
      <c r="P6" s="222" t="e">
        <f t="shared" si="2"/>
        <v>#N/A</v>
      </c>
      <c r="Q6" s="222">
        <f t="shared" si="0"/>
        <v>-0.33482117221773067</v>
      </c>
      <c r="R6" s="222" t="e">
        <f t="shared" si="0"/>
        <v>#N/A</v>
      </c>
      <c r="S6" s="222" t="e">
        <f t="shared" si="0"/>
        <v>#N/A</v>
      </c>
      <c r="T6" s="222" t="e">
        <f t="shared" si="0"/>
        <v>#N/A</v>
      </c>
      <c r="U6" s="222" t="e">
        <f t="shared" si="0"/>
        <v>#N/A</v>
      </c>
      <c r="V6" s="222" t="e">
        <f t="shared" si="0"/>
        <v>#N/A</v>
      </c>
      <c r="W6" s="222">
        <f t="shared" si="0"/>
        <v>0</v>
      </c>
      <c r="X6" s="222">
        <f t="shared" si="0"/>
        <v>-7.4903981742207026E-3</v>
      </c>
      <c r="Y6" s="222">
        <f t="shared" si="0"/>
        <v>-4.1136473676114726E-2</v>
      </c>
      <c r="Z6" s="222">
        <f t="shared" si="0"/>
        <v>-5.363480175035884E-2</v>
      </c>
      <c r="AA6" s="222">
        <f t="shared" si="0"/>
        <v>-9.5391131975850474E-3</v>
      </c>
      <c r="AC6" s="253">
        <f t="shared" si="1"/>
        <v>502.22030639648438</v>
      </c>
      <c r="AE6" s="279">
        <v>6</v>
      </c>
    </row>
    <row r="7" spans="1:31" x14ac:dyDescent="0.2">
      <c r="A7" s="217" t="s">
        <v>536</v>
      </c>
      <c r="B7" s="253" t="e">
        <f>'2.2 LABOR INCOME &amp; PRODUCTIVITY'!R26</f>
        <v>#N/A</v>
      </c>
      <c r="C7" s="253" t="e">
        <f>'2.2 LABOR INCOME &amp; PRODUCTIVITY'!S26</f>
        <v>#N/A</v>
      </c>
      <c r="D7" s="253">
        <f>'2.2 LABOR INCOME &amp; PRODUCTIVITY'!T26</f>
        <v>591.46917724609375</v>
      </c>
      <c r="E7" s="253" t="e">
        <f>'2.2 LABOR INCOME &amp; PRODUCTIVITY'!U26</f>
        <v>#N/A</v>
      </c>
      <c r="F7" s="253" t="e">
        <f>'2.2 LABOR INCOME &amp; PRODUCTIVITY'!V26</f>
        <v>#N/A</v>
      </c>
      <c r="G7" s="253" t="e">
        <f>'2.2 LABOR INCOME &amp; PRODUCTIVITY'!W26</f>
        <v>#N/A</v>
      </c>
      <c r="H7" s="253" t="e">
        <f>'2.2 LABOR INCOME &amp; PRODUCTIVITY'!X26</f>
        <v>#N/A</v>
      </c>
      <c r="I7" s="253" t="e">
        <f>'2.2 LABOR INCOME &amp; PRODUCTIVITY'!Y26</f>
        <v>#N/A</v>
      </c>
      <c r="J7" s="253">
        <f>'2.2 LABOR INCOME &amp; PRODUCTIVITY'!Z26</f>
        <v>1200.75146484375</v>
      </c>
      <c r="K7" s="253">
        <f>'2.2 LABOR INCOME &amp; PRODUCTIVITY'!AA26</f>
        <v>1198.7073497119413</v>
      </c>
      <c r="L7" s="253">
        <f>'2.2 LABOR INCOME &amp; PRODUCTIVITY'!AB26</f>
        <v>1196.74205428813</v>
      </c>
      <c r="M7" s="253">
        <f>'2.2 LABOR INCOME &amp; PRODUCTIVITY'!AC26</f>
        <v>1182.3430133041259</v>
      </c>
      <c r="N7" s="253">
        <f>'2.2 LABOR INCOME &amp; PRODUCTIVITY'!AD26</f>
        <v>1202.1757824872159</v>
      </c>
      <c r="O7" s="271"/>
      <c r="P7" s="222" t="e">
        <f t="shared" si="2"/>
        <v>#N/A</v>
      </c>
      <c r="Q7" s="222">
        <f t="shared" si="0"/>
        <v>-0.50741748433089795</v>
      </c>
      <c r="R7" s="222" t="e">
        <f t="shared" si="0"/>
        <v>#N/A</v>
      </c>
      <c r="S7" s="222" t="e">
        <f t="shared" si="0"/>
        <v>#N/A</v>
      </c>
      <c r="T7" s="222" t="e">
        <f t="shared" si="0"/>
        <v>#N/A</v>
      </c>
      <c r="U7" s="222" t="e">
        <f t="shared" si="0"/>
        <v>#N/A</v>
      </c>
      <c r="V7" s="222" t="e">
        <f t="shared" si="0"/>
        <v>#N/A</v>
      </c>
      <c r="W7" s="222">
        <f t="shared" si="0"/>
        <v>0</v>
      </c>
      <c r="X7" s="222">
        <f t="shared" si="0"/>
        <v>-1.7023632214137052E-3</v>
      </c>
      <c r="Y7" s="222">
        <f t="shared" si="0"/>
        <v>-3.3390844591988378E-3</v>
      </c>
      <c r="Z7" s="222">
        <f t="shared" si="0"/>
        <v>-1.5330775833798049E-2</v>
      </c>
      <c r="AA7" s="222">
        <f t="shared" si="0"/>
        <v>1.1861885537247652E-3</v>
      </c>
      <c r="AC7" s="253">
        <f t="shared" si="1"/>
        <v>1200.75146484375</v>
      </c>
      <c r="AE7" s="279">
        <v>7</v>
      </c>
    </row>
    <row r="8" spans="1:31" ht="13.5" thickBot="1" x14ac:dyDescent="0.25">
      <c r="A8" s="255" t="s">
        <v>583</v>
      </c>
      <c r="B8" s="256" t="e">
        <f>'2.2 LABOR INCOME &amp; PRODUCTIVITY'!R27</f>
        <v>#N/A</v>
      </c>
      <c r="C8" s="256" t="e">
        <f>'2.2 LABOR INCOME &amp; PRODUCTIVITY'!S27</f>
        <v>#N/A</v>
      </c>
      <c r="D8" s="256">
        <f>'2.2 LABOR INCOME &amp; PRODUCTIVITY'!T27</f>
        <v>323.01544296148978</v>
      </c>
      <c r="E8" s="256" t="e">
        <f>'2.2 LABOR INCOME &amp; PRODUCTIVITY'!U27</f>
        <v>#N/A</v>
      </c>
      <c r="F8" s="256" t="e">
        <f>'2.2 LABOR INCOME &amp; PRODUCTIVITY'!V27</f>
        <v>#N/A</v>
      </c>
      <c r="G8" s="256" t="e">
        <f>'2.2 LABOR INCOME &amp; PRODUCTIVITY'!W27</f>
        <v>#N/A</v>
      </c>
      <c r="H8" s="256" t="e">
        <f>'2.2 LABOR INCOME &amp; PRODUCTIVITY'!X27</f>
        <v>#N/A</v>
      </c>
      <c r="I8" s="256" t="e">
        <f>'2.2 LABOR INCOME &amp; PRODUCTIVITY'!Y27</f>
        <v>#N/A</v>
      </c>
      <c r="J8" s="256">
        <f>'2.2 LABOR INCOME &amp; PRODUCTIVITY'!Z27</f>
        <v>643.73047733313888</v>
      </c>
      <c r="K8" s="256">
        <f>'2.2 LABOR INCOME &amp; PRODUCTIVITY'!AA27</f>
        <v>641.14513419509808</v>
      </c>
      <c r="L8" s="256">
        <f>'2.2 LABOR INCOME &amp; PRODUCTIVITY'!AB27</f>
        <v>632.76567459745411</v>
      </c>
      <c r="M8" s="256">
        <f>'2.2 LABOR INCOME &amp; PRODUCTIVITY'!AC27</f>
        <v>608.65039157002366</v>
      </c>
      <c r="N8" s="256">
        <f>'2.2 LABOR INCOME &amp; PRODUCTIVITY'!AD27</f>
        <v>632.73544101882396</v>
      </c>
      <c r="O8" s="272"/>
      <c r="P8" s="261" t="e">
        <f t="shared" si="2"/>
        <v>#N/A</v>
      </c>
      <c r="Q8" s="261">
        <f t="shared" si="0"/>
        <v>-0.4982132206949631</v>
      </c>
      <c r="R8" s="261" t="e">
        <f t="shared" si="0"/>
        <v>#N/A</v>
      </c>
      <c r="S8" s="261" t="e">
        <f t="shared" si="0"/>
        <v>#N/A</v>
      </c>
      <c r="T8" s="261" t="e">
        <f t="shared" si="0"/>
        <v>#N/A</v>
      </c>
      <c r="U8" s="261" t="e">
        <f t="shared" si="0"/>
        <v>#N/A</v>
      </c>
      <c r="V8" s="261" t="e">
        <f t="shared" si="0"/>
        <v>#N/A</v>
      </c>
      <c r="W8" s="261">
        <f t="shared" si="0"/>
        <v>0</v>
      </c>
      <c r="X8" s="261">
        <f t="shared" si="0"/>
        <v>-4.0161888073894092E-3</v>
      </c>
      <c r="Y8" s="261">
        <f t="shared" si="0"/>
        <v>-1.7033219836211533E-2</v>
      </c>
      <c r="Z8" s="261">
        <f t="shared" si="0"/>
        <v>-5.4494989748575806E-2</v>
      </c>
      <c r="AA8" s="261">
        <f t="shared" si="0"/>
        <v>-1.7080186042869094E-2</v>
      </c>
      <c r="AC8" s="256">
        <f t="shared" si="1"/>
        <v>643.73047733313888</v>
      </c>
      <c r="AE8" s="279">
        <v>8</v>
      </c>
    </row>
    <row r="9" spans="1:31" ht="13.5" thickTop="1" x14ac:dyDescent="0.2">
      <c r="A9" s="257" t="s">
        <v>537</v>
      </c>
      <c r="B9" s="258">
        <f>'1. GDP'!Q9</f>
        <v>2871706.5</v>
      </c>
      <c r="C9" s="258">
        <f>'1. GDP'!R9</f>
        <v>2967288</v>
      </c>
      <c r="D9" s="258">
        <f>'1. GDP'!S9</f>
        <v>2795050</v>
      </c>
      <c r="E9" s="258">
        <f>'1. GDP'!T9</f>
        <v>2884380</v>
      </c>
      <c r="F9" s="258">
        <f>'1. GDP'!U9</f>
        <v>2986618</v>
      </c>
      <c r="G9" s="258">
        <f>'1. GDP'!V9</f>
        <v>3083999</v>
      </c>
      <c r="H9" s="258">
        <f>'1. GDP'!W9</f>
        <v>3189501</v>
      </c>
      <c r="I9" s="258">
        <f>'1. GDP'!X9</f>
        <v>3290753</v>
      </c>
      <c r="J9" s="258">
        <f>'1. GDP'!Y9</f>
        <v>3391252</v>
      </c>
      <c r="K9" s="258">
        <f>'1. GDP'!Z9</f>
        <v>3505586</v>
      </c>
      <c r="L9" s="258">
        <f>'1. GDP'!AA9</f>
        <v>3614259.25</v>
      </c>
      <c r="M9" s="258">
        <f>'1. GDP'!AB9</f>
        <v>3726301.25</v>
      </c>
      <c r="N9" s="258">
        <f>'1. GDP'!AC9</f>
        <v>3845542.75</v>
      </c>
      <c r="O9" s="273"/>
      <c r="P9" s="222">
        <f>+C9/$AC9-1</f>
        <v>-0.12501695538992674</v>
      </c>
      <c r="Q9" s="222">
        <f t="shared" ref="Q9:AA12" si="3">+D9/$AC9-1</f>
        <v>-0.17580586756749428</v>
      </c>
      <c r="R9" s="222">
        <f t="shared" si="3"/>
        <v>-0.14946456352992932</v>
      </c>
      <c r="S9" s="222">
        <f t="shared" si="3"/>
        <v>-0.11931699561106046</v>
      </c>
      <c r="T9" s="222">
        <f t="shared" si="3"/>
        <v>-9.0601642107398739E-2</v>
      </c>
      <c r="U9" s="222">
        <f t="shared" si="3"/>
        <v>-5.9491597793381312E-2</v>
      </c>
      <c r="V9" s="222">
        <f t="shared" si="3"/>
        <v>-2.9634777952213476E-2</v>
      </c>
      <c r="W9" s="222">
        <f t="shared" si="3"/>
        <v>0</v>
      </c>
      <c r="X9" s="222">
        <f t="shared" si="3"/>
        <v>3.371439220677197E-2</v>
      </c>
      <c r="Y9" s="222">
        <f t="shared" si="3"/>
        <v>6.575956313479514E-2</v>
      </c>
      <c r="Z9" s="222">
        <f t="shared" si="3"/>
        <v>9.8798098755267905E-2</v>
      </c>
      <c r="AA9" s="222">
        <f t="shared" si="3"/>
        <v>0.13395959663274803</v>
      </c>
      <c r="AC9" s="258">
        <f t="shared" si="1"/>
        <v>3391252</v>
      </c>
      <c r="AE9" s="279">
        <v>9</v>
      </c>
    </row>
    <row r="10" spans="1:31" x14ac:dyDescent="0.2">
      <c r="A10" s="257" t="s">
        <v>538</v>
      </c>
      <c r="B10" s="258">
        <f>'1. GDP'!Q10</f>
        <v>5144418</v>
      </c>
      <c r="C10" s="258">
        <f>'1. GDP'!R10</f>
        <v>5641724</v>
      </c>
      <c r="D10" s="258">
        <f>'1. GDP'!S10</f>
        <v>6449400</v>
      </c>
      <c r="E10" s="258">
        <f>'1. GDP'!T10</f>
        <v>6982905</v>
      </c>
      <c r="F10" s="258">
        <f>'1. GDP'!U10</f>
        <v>7694869</v>
      </c>
      <c r="G10" s="258">
        <f>'1. GDP'!V10</f>
        <v>8590038</v>
      </c>
      <c r="H10" s="258">
        <f>'1. GDP'!W10</f>
        <v>8900232</v>
      </c>
      <c r="I10" s="258">
        <f>'1. GDP'!X10</f>
        <v>9815808</v>
      </c>
      <c r="J10" s="258">
        <f>'1. GDP'!Y10</f>
        <v>10783223</v>
      </c>
      <c r="K10" s="258">
        <f>'1. GDP'!Z10</f>
        <v>11685491</v>
      </c>
      <c r="L10" s="258">
        <f>'1. GDP'!AA10</f>
        <v>12456733</v>
      </c>
      <c r="M10" s="258">
        <f>'1. GDP'!AB10</f>
        <v>13353618</v>
      </c>
      <c r="N10" s="258">
        <f>'1. GDP'!AC10</f>
        <v>14261664</v>
      </c>
      <c r="O10" s="273"/>
      <c r="P10" s="222">
        <f t="shared" ref="P10:P12" si="4">+C10/$AC10-1</f>
        <v>-0.47680540409857053</v>
      </c>
      <c r="Q10" s="222">
        <f t="shared" si="3"/>
        <v>-0.40190423586714286</v>
      </c>
      <c r="R10" s="222">
        <f t="shared" si="3"/>
        <v>-0.35242876828198766</v>
      </c>
      <c r="S10" s="222">
        <f t="shared" si="3"/>
        <v>-0.28640361049752938</v>
      </c>
      <c r="T10" s="222">
        <f t="shared" si="3"/>
        <v>-0.20338863436284305</v>
      </c>
      <c r="U10" s="222">
        <f t="shared" si="3"/>
        <v>-0.17462228129753044</v>
      </c>
      <c r="V10" s="222">
        <f t="shared" si="3"/>
        <v>-8.9714828303189109E-2</v>
      </c>
      <c r="W10" s="222">
        <f t="shared" si="3"/>
        <v>0</v>
      </c>
      <c r="X10" s="222">
        <f t="shared" si="3"/>
        <v>8.367331362803121E-2</v>
      </c>
      <c r="Y10" s="222">
        <f t="shared" si="3"/>
        <v>0.15519571467640048</v>
      </c>
      <c r="Z10" s="222">
        <f t="shared" si="3"/>
        <v>0.23836982690611141</v>
      </c>
      <c r="AA10" s="222">
        <f t="shared" si="3"/>
        <v>0.32257897291004745</v>
      </c>
      <c r="AC10" s="258">
        <f t="shared" si="1"/>
        <v>10783223</v>
      </c>
      <c r="AE10" s="279">
        <v>10</v>
      </c>
    </row>
    <row r="11" spans="1:31" x14ac:dyDescent="0.2">
      <c r="A11" s="257" t="s">
        <v>539</v>
      </c>
      <c r="B11" s="258">
        <f>'1. GDP'!Q11</f>
        <v>9391224</v>
      </c>
      <c r="C11" s="258">
        <f>'1. GDP'!R11</f>
        <v>9936015</v>
      </c>
      <c r="D11" s="258">
        <f>'1. GDP'!S11</f>
        <v>10629824</v>
      </c>
      <c r="E11" s="258">
        <f>'1. GDP'!T11</f>
        <v>11307474</v>
      </c>
      <c r="F11" s="258">
        <f>'1. GDP'!U11</f>
        <v>12048523</v>
      </c>
      <c r="G11" s="258">
        <f>'1. GDP'!V11</f>
        <v>12877439</v>
      </c>
      <c r="H11" s="258">
        <f>'1. GDP'!W11</f>
        <v>13383891</v>
      </c>
      <c r="I11" s="258">
        <f>'1. GDP'!X11</f>
        <v>14151078</v>
      </c>
      <c r="J11" s="258">
        <f>'1. GDP'!Y11</f>
        <v>15036465</v>
      </c>
      <c r="K11" s="258">
        <f>'1. GDP'!Z11</f>
        <v>15844110</v>
      </c>
      <c r="L11" s="258">
        <f>'1. GDP'!AA11</f>
        <v>16737511</v>
      </c>
      <c r="M11" s="258">
        <f>'1. GDP'!AB11</f>
        <v>17592770</v>
      </c>
      <c r="N11" s="258">
        <f>'1. GDP'!AC11</f>
        <v>18616922</v>
      </c>
      <c r="O11" s="273"/>
      <c r="P11" s="222">
        <f t="shared" si="4"/>
        <v>-0.33920539169279484</v>
      </c>
      <c r="Q11" s="222">
        <f t="shared" si="3"/>
        <v>-0.29306362898460514</v>
      </c>
      <c r="R11" s="222">
        <f t="shared" si="3"/>
        <v>-0.24799652045876475</v>
      </c>
      <c r="S11" s="222">
        <f t="shared" si="3"/>
        <v>-0.19871306187990334</v>
      </c>
      <c r="T11" s="222">
        <f t="shared" si="3"/>
        <v>-0.14358600907859664</v>
      </c>
      <c r="U11" s="222">
        <f t="shared" si="3"/>
        <v>-0.10990442234926889</v>
      </c>
      <c r="V11" s="222">
        <f t="shared" si="3"/>
        <v>-5.8882656262625566E-2</v>
      </c>
      <c r="W11" s="222">
        <f t="shared" si="3"/>
        <v>0</v>
      </c>
      <c r="X11" s="222">
        <f t="shared" si="3"/>
        <v>5.3712425094595062E-2</v>
      </c>
      <c r="Y11" s="222">
        <f t="shared" si="3"/>
        <v>0.11312805237135182</v>
      </c>
      <c r="Z11" s="222">
        <f t="shared" si="3"/>
        <v>0.1700070462040113</v>
      </c>
      <c r="AA11" s="222">
        <f t="shared" si="3"/>
        <v>0.23811826782425261</v>
      </c>
      <c r="AC11" s="258">
        <f t="shared" si="1"/>
        <v>15036465</v>
      </c>
      <c r="AE11" s="279">
        <v>11</v>
      </c>
    </row>
    <row r="12" spans="1:31" ht="13.5" thickBot="1" x14ac:dyDescent="0.25">
      <c r="A12" s="259" t="s">
        <v>342</v>
      </c>
      <c r="B12" s="260">
        <f>'1. GDP'!Q8</f>
        <v>18187862</v>
      </c>
      <c r="C12" s="260">
        <f>'1. GDP'!R8</f>
        <v>19379648</v>
      </c>
      <c r="D12" s="260">
        <f>'1. GDP'!S8</f>
        <v>20758214</v>
      </c>
      <c r="E12" s="260">
        <f>'1. GDP'!T8</f>
        <v>22126230</v>
      </c>
      <c r="F12" s="260">
        <f>'1. GDP'!U8</f>
        <v>23745740</v>
      </c>
      <c r="G12" s="260">
        <f>'1. GDP'!V8</f>
        <v>25617356</v>
      </c>
      <c r="H12" s="260">
        <f>'1. GDP'!W8</f>
        <v>26500650</v>
      </c>
      <c r="I12" s="260">
        <f>'1. GDP'!X8</f>
        <v>28339444</v>
      </c>
      <c r="J12" s="260">
        <f>'1. GDP'!Y8</f>
        <v>30351496</v>
      </c>
      <c r="K12" s="260">
        <f>'1. GDP'!Z8</f>
        <v>32104328</v>
      </c>
      <c r="L12" s="260">
        <f>'1. GDP'!AA8</f>
        <v>33779452.740000002</v>
      </c>
      <c r="M12" s="260">
        <f>'1. GDP'!AB8</f>
        <v>35114213.409999996</v>
      </c>
      <c r="N12" s="260">
        <f>'1. GDP'!AC8</f>
        <v>37034853.340000004</v>
      </c>
      <c r="O12" s="8"/>
      <c r="P12" s="261">
        <f t="shared" si="4"/>
        <v>-0.36149282394515247</v>
      </c>
      <c r="Q12" s="261">
        <f t="shared" si="3"/>
        <v>-0.31607278929513061</v>
      </c>
      <c r="R12" s="261">
        <f t="shared" si="3"/>
        <v>-0.27100034871427758</v>
      </c>
      <c r="S12" s="261">
        <f t="shared" si="3"/>
        <v>-0.2176418585759331</v>
      </c>
      <c r="T12" s="261">
        <f t="shared" si="3"/>
        <v>-0.15597715512935506</v>
      </c>
      <c r="U12" s="261">
        <f t="shared" si="3"/>
        <v>-0.12687499818789827</v>
      </c>
      <c r="V12" s="261">
        <f t="shared" si="3"/>
        <v>-6.6291691190444091E-2</v>
      </c>
      <c r="W12" s="261">
        <f t="shared" si="3"/>
        <v>0</v>
      </c>
      <c r="X12" s="261">
        <f t="shared" si="3"/>
        <v>5.7751090753483725E-2</v>
      </c>
      <c r="Y12" s="261">
        <f t="shared" si="3"/>
        <v>0.11294193670058306</v>
      </c>
      <c r="Z12" s="261">
        <f t="shared" si="3"/>
        <v>0.15691870377657824</v>
      </c>
      <c r="AA12" s="261">
        <f t="shared" si="3"/>
        <v>0.22019861360375792</v>
      </c>
      <c r="AC12" s="260">
        <f t="shared" si="1"/>
        <v>30351496</v>
      </c>
      <c r="AE12" s="279">
        <v>12</v>
      </c>
    </row>
    <row r="13" spans="1:31" ht="13.5" thickTop="1" x14ac:dyDescent="0.2">
      <c r="A13" s="217" t="s">
        <v>343</v>
      </c>
      <c r="B13" s="262" t="e">
        <f>'2.1 LABOR STRUCTURE'!R40*100</f>
        <v>#N/A</v>
      </c>
      <c r="C13" s="262" t="e">
        <f>'2.1 LABOR STRUCTURE'!S40*100</f>
        <v>#N/A</v>
      </c>
      <c r="D13" s="262">
        <f>'2.1 LABOR STRUCTURE'!T40*100</f>
        <v>47.669631463454472</v>
      </c>
      <c r="E13" s="262" t="e">
        <f>'2.1 LABOR STRUCTURE'!U40*100</f>
        <v>#N/A</v>
      </c>
      <c r="F13" s="262" t="e">
        <f>'2.1 LABOR STRUCTURE'!V40*100</f>
        <v>#N/A</v>
      </c>
      <c r="G13" s="262" t="e">
        <f>'2.1 LABOR STRUCTURE'!W40*100</f>
        <v>#N/A</v>
      </c>
      <c r="H13" s="262" t="e">
        <f>'2.1 LABOR STRUCTURE'!X40*100</f>
        <v>#N/A</v>
      </c>
      <c r="I13" s="262" t="e">
        <f>'2.1 LABOR STRUCTURE'!Y40*100</f>
        <v>#N/A</v>
      </c>
      <c r="J13" s="262">
        <f>'2.1 LABOR STRUCTURE'!Z40*100</f>
        <v>50.867230402224131</v>
      </c>
      <c r="K13" s="262">
        <f>'2.1 LABOR STRUCTURE'!AA40*100</f>
        <v>49.962652304328827</v>
      </c>
      <c r="L13" s="262">
        <f>'2.1 LABOR STRUCTURE'!AB40*100</f>
        <v>48.692491246280852</v>
      </c>
      <c r="M13" s="262">
        <f>'2.1 LABOR STRUCTURE'!AC40*100</f>
        <v>47.71652204267204</v>
      </c>
      <c r="N13" s="262">
        <f>'2.1 LABOR STRUCTURE'!AD40*100</f>
        <v>48.497183295852167</v>
      </c>
      <c r="O13" s="274"/>
      <c r="P13" s="222" t="e">
        <f t="shared" ref="P13:P25" si="5">+C13/$AC13-1</f>
        <v>#N/A</v>
      </c>
      <c r="Q13" s="222">
        <f>+D13/$AC13-1</f>
        <v>-6.2861667786611952E-2</v>
      </c>
      <c r="R13" s="222" t="e">
        <f t="shared" ref="R13:R25" si="6">+E13/$AC13-1</f>
        <v>#N/A</v>
      </c>
      <c r="S13" s="222" t="e">
        <f t="shared" ref="S13:S25" si="7">+F13/$AC13-1</f>
        <v>#N/A</v>
      </c>
      <c r="T13" s="222" t="e">
        <f t="shared" ref="T13:T25" si="8">+G13/$AC13-1</f>
        <v>#N/A</v>
      </c>
      <c r="U13" s="222" t="e">
        <f t="shared" ref="U13:U25" si="9">+H13/$AC13-1</f>
        <v>#N/A</v>
      </c>
      <c r="V13" s="222" t="e">
        <f t="shared" ref="V13:V25" si="10">+I13/$AC13-1</f>
        <v>#N/A</v>
      </c>
      <c r="W13" s="222">
        <f t="shared" ref="W13:W25" si="11">+J13/$AC13-1</f>
        <v>0</v>
      </c>
      <c r="X13" s="222">
        <f t="shared" ref="X13:X25" si="12">+K13/$AC13-1</f>
        <v>-1.7783120699564448E-2</v>
      </c>
      <c r="Y13" s="222">
        <f t="shared" ref="Y13:Y25" si="13">+L13/$AC13-1</f>
        <v>-4.2753244844409455E-2</v>
      </c>
      <c r="Z13" s="222">
        <f t="shared" ref="Z13:Z25" si="14">+M13/$AC13-1</f>
        <v>-6.1939844859615678E-2</v>
      </c>
      <c r="AA13" s="222">
        <f t="shared" ref="AA13:AA24" si="15">+N13/$AC13-1</f>
        <v>-4.659280813268607E-2</v>
      </c>
      <c r="AC13" s="262">
        <f t="shared" si="1"/>
        <v>50.867230402224131</v>
      </c>
      <c r="AE13" s="279">
        <v>13</v>
      </c>
    </row>
    <row r="14" spans="1:31" ht="13.5" thickBot="1" x14ac:dyDescent="0.25">
      <c r="A14" s="255" t="s">
        <v>344</v>
      </c>
      <c r="B14" s="263" t="e">
        <f>'2.1 LABOR STRUCTURE'!R42*100</f>
        <v>#N/A</v>
      </c>
      <c r="C14" s="263" t="e">
        <f>'2.1 LABOR STRUCTURE'!S42*100</f>
        <v>#N/A</v>
      </c>
      <c r="D14" s="263">
        <f>'2.1 LABOR STRUCTURE'!T42*100</f>
        <v>3.1088016262292539</v>
      </c>
      <c r="E14" s="263" t="e">
        <f>'2.1 LABOR STRUCTURE'!U42*100</f>
        <v>#N/A</v>
      </c>
      <c r="F14" s="263" t="e">
        <f>'2.1 LABOR STRUCTURE'!V42*100</f>
        <v>#N/A</v>
      </c>
      <c r="G14" s="263" t="e">
        <f>'2.1 LABOR STRUCTURE'!W42*100</f>
        <v>#N/A</v>
      </c>
      <c r="H14" s="263" t="e">
        <f>'2.1 LABOR STRUCTURE'!X42*100</f>
        <v>#N/A</v>
      </c>
      <c r="I14" s="263" t="e">
        <f>'2.1 LABOR STRUCTURE'!Y42*100</f>
        <v>#N/A</v>
      </c>
      <c r="J14" s="263">
        <f>'2.1 LABOR STRUCTURE'!Z42*100</f>
        <v>4.0339098303362952</v>
      </c>
      <c r="K14" s="263">
        <f>'2.1 LABOR STRUCTURE'!AA42*100</f>
        <v>3.5870525505467072</v>
      </c>
      <c r="L14" s="263">
        <f>'2.1 LABOR STRUCTURE'!AB42*100</f>
        <v>4.169827938624481</v>
      </c>
      <c r="M14" s="263">
        <f>'2.1 LABOR STRUCTURE'!AC42*100</f>
        <v>4.3814351166593992</v>
      </c>
      <c r="N14" s="263">
        <f>'2.1 LABOR STRUCTURE'!AD42*100</f>
        <v>4.1177151662661418</v>
      </c>
      <c r="O14" s="275"/>
      <c r="P14" s="261" t="e">
        <f>+C14/$AC14-1</f>
        <v>#N/A</v>
      </c>
      <c r="Q14" s="261">
        <f t="shared" ref="Q14:Q25" si="16">+D14/$AC14-1</f>
        <v>-0.22933289116924005</v>
      </c>
      <c r="R14" s="261" t="e">
        <f t="shared" si="6"/>
        <v>#N/A</v>
      </c>
      <c r="S14" s="261" t="e">
        <f t="shared" si="7"/>
        <v>#N/A</v>
      </c>
      <c r="T14" s="261" t="e">
        <f t="shared" si="8"/>
        <v>#N/A</v>
      </c>
      <c r="U14" s="261" t="e">
        <f t="shared" si="9"/>
        <v>#N/A</v>
      </c>
      <c r="V14" s="261" t="e">
        <f t="shared" si="10"/>
        <v>#N/A</v>
      </c>
      <c r="W14" s="261">
        <f t="shared" si="11"/>
        <v>0</v>
      </c>
      <c r="X14" s="261">
        <f t="shared" si="12"/>
        <v>-0.11077522765359749</v>
      </c>
      <c r="Y14" s="261">
        <f t="shared" si="13"/>
        <v>3.3693888560928587E-2</v>
      </c>
      <c r="Z14" s="261">
        <f t="shared" si="14"/>
        <v>8.6150980299460889E-2</v>
      </c>
      <c r="AA14" s="261">
        <f t="shared" si="15"/>
        <v>2.0775212995492343E-2</v>
      </c>
      <c r="AC14" s="263">
        <f t="shared" si="1"/>
        <v>4.0339098303362952</v>
      </c>
      <c r="AE14" s="279">
        <v>14</v>
      </c>
    </row>
    <row r="15" spans="1:31" ht="13.5" thickTop="1" x14ac:dyDescent="0.2">
      <c r="A15" s="217" t="s">
        <v>543</v>
      </c>
      <c r="B15" s="262" t="e">
        <f>('2.1 LABOR STRUCTURE'!R23/'2.1 LABOR STRUCTURE'!R$11)*100</f>
        <v>#N/A</v>
      </c>
      <c r="C15" s="262" t="e">
        <f>('2.1 LABOR STRUCTURE'!S23/'2.1 LABOR STRUCTURE'!S$11)*100</f>
        <v>#N/A</v>
      </c>
      <c r="D15" s="262">
        <f>('2.1 LABOR STRUCTURE'!T23/'2.1 LABOR STRUCTURE'!T$11)*100</f>
        <v>4.3053789153658304</v>
      </c>
      <c r="E15" s="262" t="e">
        <f>('2.1 LABOR STRUCTURE'!U23/'2.1 LABOR STRUCTURE'!U$11)*100</f>
        <v>#N/A</v>
      </c>
      <c r="F15" s="262" t="e">
        <f>('2.1 LABOR STRUCTURE'!V23/'2.1 LABOR STRUCTURE'!V$11)*100</f>
        <v>#N/A</v>
      </c>
      <c r="G15" s="262" t="e">
        <f>('2.1 LABOR STRUCTURE'!W23/'2.1 LABOR STRUCTURE'!W$11)*100</f>
        <v>#N/A</v>
      </c>
      <c r="H15" s="262" t="e">
        <f>('2.1 LABOR STRUCTURE'!X23/'2.1 LABOR STRUCTURE'!X$11)*100</f>
        <v>#N/A</v>
      </c>
      <c r="I15" s="262" t="e">
        <f>('2.1 LABOR STRUCTURE'!Y23/'2.1 LABOR STRUCTURE'!Y$11)*100</f>
        <v>#N/A</v>
      </c>
      <c r="J15" s="262">
        <f>('2.1 LABOR STRUCTURE'!Z23/'2.1 LABOR STRUCTURE'!Z$11)*100</f>
        <v>4.4901335727946483</v>
      </c>
      <c r="K15" s="262">
        <f>('2.1 LABOR STRUCTURE'!AA23/'2.1 LABOR STRUCTURE'!AA$11)*100</f>
        <v>4.3638727644264259</v>
      </c>
      <c r="L15" s="262">
        <f>('2.1 LABOR STRUCTURE'!AB23/'2.1 LABOR STRUCTURE'!AB$11)*100</f>
        <v>4.3927868268046257</v>
      </c>
      <c r="M15" s="262">
        <f>('2.1 LABOR STRUCTURE'!AC23/'2.1 LABOR STRUCTURE'!AC$11)*100</f>
        <v>4.4951892622771847</v>
      </c>
      <c r="N15" s="262">
        <f>('2.1 LABOR STRUCTURE'!AD23/'2.1 LABOR STRUCTURE'!AD$11)*100</f>
        <v>4.3721420536256685</v>
      </c>
      <c r="O15" s="9"/>
      <c r="P15" s="222" t="e">
        <f>+C15/$AC15-1</f>
        <v>#N/A</v>
      </c>
      <c r="Q15" s="222">
        <f t="shared" si="16"/>
        <v>-4.1146806533380542E-2</v>
      </c>
      <c r="R15" s="222" t="e">
        <f t="shared" si="6"/>
        <v>#N/A</v>
      </c>
      <c r="S15" s="222" t="e">
        <f t="shared" si="7"/>
        <v>#N/A</v>
      </c>
      <c r="T15" s="222" t="e">
        <f t="shared" si="8"/>
        <v>#N/A</v>
      </c>
      <c r="U15" s="222" t="e">
        <f t="shared" si="9"/>
        <v>#N/A</v>
      </c>
      <c r="V15" s="222" t="e">
        <f t="shared" si="10"/>
        <v>#N/A</v>
      </c>
      <c r="W15" s="222">
        <f t="shared" si="11"/>
        <v>0</v>
      </c>
      <c r="X15" s="222">
        <f>+K15/$AC15-1</f>
        <v>-2.8119610769092973E-2</v>
      </c>
      <c r="Y15" s="222">
        <f t="shared" si="13"/>
        <v>-2.1680144791201394E-2</v>
      </c>
      <c r="Z15" s="222">
        <f t="shared" si="14"/>
        <v>1.1259552529057082E-3</v>
      </c>
      <c r="AA15" s="222">
        <f t="shared" si="15"/>
        <v>-2.627795303994529E-2</v>
      </c>
      <c r="AC15" s="262">
        <f t="shared" si="1"/>
        <v>4.4901335727946483</v>
      </c>
      <c r="AE15" s="279">
        <v>15</v>
      </c>
    </row>
    <row r="16" spans="1:31" x14ac:dyDescent="0.2">
      <c r="A16" s="217" t="s">
        <v>544</v>
      </c>
      <c r="B16" s="262" t="e">
        <f>('2.1 LABOR STRUCTURE'!R24/'2.1 LABOR STRUCTURE'!R$11)*100</f>
        <v>#N/A</v>
      </c>
      <c r="C16" s="262" t="e">
        <f>('2.1 LABOR STRUCTURE'!S24/'2.1 LABOR STRUCTURE'!S$11)*100</f>
        <v>#N/A</v>
      </c>
      <c r="D16" s="262">
        <f>('2.1 LABOR STRUCTURE'!T24/'2.1 LABOR STRUCTURE'!T$11)*100</f>
        <v>28.810235274142521</v>
      </c>
      <c r="E16" s="262" t="e">
        <f>('2.1 LABOR STRUCTURE'!U24/'2.1 LABOR STRUCTURE'!U$11)*100</f>
        <v>#N/A</v>
      </c>
      <c r="F16" s="262" t="e">
        <f>('2.1 LABOR STRUCTURE'!V24/'2.1 LABOR STRUCTURE'!V$11)*100</f>
        <v>#N/A</v>
      </c>
      <c r="G16" s="262" t="e">
        <f>('2.1 LABOR STRUCTURE'!W24/'2.1 LABOR STRUCTURE'!W$11)*100</f>
        <v>#N/A</v>
      </c>
      <c r="H16" s="262" t="e">
        <f>('2.1 LABOR STRUCTURE'!X24/'2.1 LABOR STRUCTURE'!X$11)*100</f>
        <v>#N/A</v>
      </c>
      <c r="I16" s="262" t="e">
        <f>('2.1 LABOR STRUCTURE'!Y24/'2.1 LABOR STRUCTURE'!Y$11)*100</f>
        <v>#N/A</v>
      </c>
      <c r="J16" s="262">
        <f>('2.1 LABOR STRUCTURE'!Z24/'2.1 LABOR STRUCTURE'!Z$11)*100</f>
        <v>27.299324327206492</v>
      </c>
      <c r="K16" s="262">
        <f>('2.1 LABOR STRUCTURE'!AA24/'2.1 LABOR STRUCTURE'!AA$11)*100</f>
        <v>26.531677952866211</v>
      </c>
      <c r="L16" s="262">
        <f>('2.1 LABOR STRUCTURE'!AB24/'2.1 LABOR STRUCTURE'!AB$11)*100</f>
        <v>26.79648693654908</v>
      </c>
      <c r="M16" s="262">
        <f>('2.1 LABOR STRUCTURE'!AC24/'2.1 LABOR STRUCTURE'!AC$11)*100</f>
        <v>27.340105409301025</v>
      </c>
      <c r="N16" s="262">
        <f>('2.1 LABOR STRUCTURE'!AD24/'2.1 LABOR STRUCTURE'!AD$11)*100</f>
        <v>26.50966952152033</v>
      </c>
      <c r="O16" s="9"/>
      <c r="P16" s="222" t="e">
        <f t="shared" ref="P16:P20" si="17">+C16/$AC16-1</f>
        <v>#N/A</v>
      </c>
      <c r="Q16" s="222">
        <f t="shared" si="16"/>
        <v>5.5346093142321973E-2</v>
      </c>
      <c r="R16" s="222" t="e">
        <f t="shared" si="6"/>
        <v>#N/A</v>
      </c>
      <c r="S16" s="222" t="e">
        <f t="shared" si="7"/>
        <v>#N/A</v>
      </c>
      <c r="T16" s="222" t="e">
        <f t="shared" si="8"/>
        <v>#N/A</v>
      </c>
      <c r="U16" s="222" t="e">
        <f t="shared" si="9"/>
        <v>#N/A</v>
      </c>
      <c r="V16" s="222" t="e">
        <f t="shared" si="10"/>
        <v>#N/A</v>
      </c>
      <c r="W16" s="222">
        <f t="shared" si="11"/>
        <v>0</v>
      </c>
      <c r="X16" s="222">
        <f>+K16/$AC16-1</f>
        <v>-2.8119610769093084E-2</v>
      </c>
      <c r="Y16" s="222">
        <f t="shared" si="13"/>
        <v>-1.8419407917590225E-2</v>
      </c>
      <c r="Z16" s="222">
        <f t="shared" si="14"/>
        <v>1.4938495035896615E-3</v>
      </c>
      <c r="AA16" s="222">
        <f t="shared" si="15"/>
        <v>-2.8925800368589827E-2</v>
      </c>
      <c r="AC16" s="262">
        <f t="shared" si="1"/>
        <v>27.299324327206492</v>
      </c>
      <c r="AE16" s="279">
        <v>16</v>
      </c>
    </row>
    <row r="17" spans="1:31" x14ac:dyDescent="0.2">
      <c r="A17" s="217" t="s">
        <v>545</v>
      </c>
      <c r="B17" s="262" t="e">
        <f>('2.1 LABOR STRUCTURE'!R25/'2.1 LABOR STRUCTURE'!R$11)*100</f>
        <v>#N/A</v>
      </c>
      <c r="C17" s="262" t="e">
        <f>('2.1 LABOR STRUCTURE'!S25/'2.1 LABOR STRUCTURE'!S$11)*100</f>
        <v>#N/A</v>
      </c>
      <c r="D17" s="262">
        <f>('2.1 LABOR STRUCTURE'!T25/'2.1 LABOR STRUCTURE'!T$11)*100</f>
        <v>19.418244792516298</v>
      </c>
      <c r="E17" s="262" t="e">
        <f>('2.1 LABOR STRUCTURE'!U25/'2.1 LABOR STRUCTURE'!U$11)*100</f>
        <v>#N/A</v>
      </c>
      <c r="F17" s="262" t="e">
        <f>('2.1 LABOR STRUCTURE'!V25/'2.1 LABOR STRUCTURE'!V$11)*100</f>
        <v>#N/A</v>
      </c>
      <c r="G17" s="262" t="e">
        <f>('2.1 LABOR STRUCTURE'!W25/'2.1 LABOR STRUCTURE'!W$11)*100</f>
        <v>#N/A</v>
      </c>
      <c r="H17" s="262" t="e">
        <f>('2.1 LABOR STRUCTURE'!X25/'2.1 LABOR STRUCTURE'!X$11)*100</f>
        <v>#N/A</v>
      </c>
      <c r="I17" s="262" t="e">
        <f>('2.1 LABOR STRUCTURE'!Y25/'2.1 LABOR STRUCTURE'!Y$11)*100</f>
        <v>#N/A</v>
      </c>
      <c r="J17" s="262">
        <f>('2.1 LABOR STRUCTURE'!Z25/'2.1 LABOR STRUCTURE'!Z$11)*100</f>
        <v>17.416479679248063</v>
      </c>
      <c r="K17" s="262">
        <f>('2.1 LABOR STRUCTURE'!AA25/'2.1 LABOR STRUCTURE'!AA$11)*100</f>
        <v>17.402215048988225</v>
      </c>
      <c r="L17" s="262">
        <f>('2.1 LABOR STRUCTURE'!AB25/'2.1 LABOR STRUCTURE'!AB$11)*100</f>
        <v>17.384823236105191</v>
      </c>
      <c r="M17" s="262">
        <f>('2.1 LABOR STRUCTURE'!AC25/'2.1 LABOR STRUCTURE'!AC$11)*100</f>
        <v>15.791990798234739</v>
      </c>
      <c r="N17" s="262">
        <f>('2.1 LABOR STRUCTURE'!AD25/'2.1 LABOR STRUCTURE'!AD$11)*100</f>
        <v>17.02235304521232</v>
      </c>
      <c r="O17" s="9"/>
      <c r="P17" s="222" t="e">
        <f t="shared" si="17"/>
        <v>#N/A</v>
      </c>
      <c r="Q17" s="222">
        <f t="shared" si="16"/>
        <v>0.11493511605869244</v>
      </c>
      <c r="R17" s="222" t="e">
        <f t="shared" si="6"/>
        <v>#N/A</v>
      </c>
      <c r="S17" s="222" t="e">
        <f t="shared" si="7"/>
        <v>#N/A</v>
      </c>
      <c r="T17" s="222" t="e">
        <f t="shared" si="8"/>
        <v>#N/A</v>
      </c>
      <c r="U17" s="222" t="e">
        <f t="shared" si="9"/>
        <v>#N/A</v>
      </c>
      <c r="V17" s="222" t="e">
        <f t="shared" si="10"/>
        <v>#N/A</v>
      </c>
      <c r="W17" s="222">
        <f t="shared" si="11"/>
        <v>0</v>
      </c>
      <c r="X17" s="222">
        <f t="shared" si="12"/>
        <v>-8.1903062631161205E-4</v>
      </c>
      <c r="Y17" s="222">
        <f t="shared" si="13"/>
        <v>-1.8176143357253594E-3</v>
      </c>
      <c r="Z17" s="222">
        <f t="shared" si="14"/>
        <v>-9.3273090253073399E-2</v>
      </c>
      <c r="AA17" s="222">
        <f t="shared" si="15"/>
        <v>-2.2629523376377247E-2</v>
      </c>
      <c r="AC17" s="262">
        <f t="shared" si="1"/>
        <v>17.416479679248063</v>
      </c>
      <c r="AE17" s="279">
        <v>17</v>
      </c>
    </row>
    <row r="18" spans="1:31" x14ac:dyDescent="0.2">
      <c r="A18" s="217" t="s">
        <v>546</v>
      </c>
      <c r="B18" s="262" t="e">
        <f>('2.1 LABOR STRUCTURE'!R26/'2.1 LABOR STRUCTURE'!R$11)*100</f>
        <v>#N/A</v>
      </c>
      <c r="C18" s="262" t="e">
        <f>('2.1 LABOR STRUCTURE'!S26/'2.1 LABOR STRUCTURE'!S$11)*100</f>
        <v>#N/A</v>
      </c>
      <c r="D18" s="262">
        <f>('2.1 LABOR STRUCTURE'!T26/'2.1 LABOR STRUCTURE'!T$11)*100</f>
        <v>5.930572698966623</v>
      </c>
      <c r="E18" s="262" t="e">
        <f>('2.1 LABOR STRUCTURE'!U26/'2.1 LABOR STRUCTURE'!U$11)*100</f>
        <v>#N/A</v>
      </c>
      <c r="F18" s="262" t="e">
        <f>('2.1 LABOR STRUCTURE'!V26/'2.1 LABOR STRUCTURE'!V$11)*100</f>
        <v>#N/A</v>
      </c>
      <c r="G18" s="262" t="e">
        <f>('2.1 LABOR STRUCTURE'!W26/'2.1 LABOR STRUCTURE'!W$11)*100</f>
        <v>#N/A</v>
      </c>
      <c r="H18" s="262" t="e">
        <f>('2.1 LABOR STRUCTURE'!X26/'2.1 LABOR STRUCTURE'!X$11)*100</f>
        <v>#N/A</v>
      </c>
      <c r="I18" s="262" t="e">
        <f>('2.1 LABOR STRUCTURE'!Y26/'2.1 LABOR STRUCTURE'!Y$11)*100</f>
        <v>#N/A</v>
      </c>
      <c r="J18" s="262">
        <f>('2.1 LABOR STRUCTURE'!Z26/'2.1 LABOR STRUCTURE'!Z$11)*100</f>
        <v>10.434310759123282</v>
      </c>
      <c r="K18" s="262">
        <f>('2.1 LABOR STRUCTURE'!AA26/'2.1 LABOR STRUCTURE'!AA$11)*100</f>
        <v>10.694507736663066</v>
      </c>
      <c r="L18" s="262">
        <f>('2.1 LABOR STRUCTURE'!AB26/'2.1 LABOR STRUCTURE'!AB$11)*100</f>
        <v>10.841478267444908</v>
      </c>
      <c r="M18" s="262">
        <f>('2.1 LABOR STRUCTURE'!AC26/'2.1 LABOR STRUCTURE'!AC$11)*100</f>
        <v>10.389207881610924</v>
      </c>
      <c r="N18" s="262">
        <f>('2.1 LABOR STRUCTURE'!AD26/'2.1 LABOR STRUCTURE'!AD$11)*100</f>
        <v>10.546874632921213</v>
      </c>
      <c r="O18" s="9"/>
      <c r="P18" s="222" t="e">
        <f t="shared" si="17"/>
        <v>#N/A</v>
      </c>
      <c r="Q18" s="222">
        <f t="shared" si="16"/>
        <v>-0.4316277485044997</v>
      </c>
      <c r="R18" s="222" t="e">
        <f t="shared" si="6"/>
        <v>#N/A</v>
      </c>
      <c r="S18" s="222" t="e">
        <f t="shared" si="7"/>
        <v>#N/A</v>
      </c>
      <c r="T18" s="222" t="e">
        <f t="shared" si="8"/>
        <v>#N/A</v>
      </c>
      <c r="U18" s="222" t="e">
        <f t="shared" si="9"/>
        <v>#N/A</v>
      </c>
      <c r="V18" s="222" t="e">
        <f t="shared" si="10"/>
        <v>#N/A</v>
      </c>
      <c r="W18" s="222">
        <f t="shared" si="11"/>
        <v>0</v>
      </c>
      <c r="X18" s="222">
        <f t="shared" si="12"/>
        <v>2.4936671290174184E-2</v>
      </c>
      <c r="Y18" s="222">
        <f t="shared" si="13"/>
        <v>3.9021984079362193E-2</v>
      </c>
      <c r="Z18" s="222">
        <f t="shared" si="14"/>
        <v>-4.3225545561714762E-3</v>
      </c>
      <c r="AA18" s="222">
        <f t="shared" si="15"/>
        <v>1.0787859054275373E-2</v>
      </c>
      <c r="AC18" s="262">
        <f t="shared" si="1"/>
        <v>10.434310759123282</v>
      </c>
      <c r="AE18" s="279">
        <v>18</v>
      </c>
    </row>
    <row r="19" spans="1:31" x14ac:dyDescent="0.2">
      <c r="A19" s="217" t="s">
        <v>547</v>
      </c>
      <c r="B19" s="262" t="e">
        <f>('2.1 LABOR STRUCTURE'!R27/'2.1 LABOR STRUCTURE'!R$11)*100</f>
        <v>#N/A</v>
      </c>
      <c r="C19" s="262" t="e">
        <f>('2.1 LABOR STRUCTURE'!S27/'2.1 LABOR STRUCTURE'!S$11)*100</f>
        <v>#N/A</v>
      </c>
      <c r="D19" s="262">
        <f>('2.1 LABOR STRUCTURE'!T27/'2.1 LABOR STRUCTURE'!T$11)*100</f>
        <v>27.93163094698637</v>
      </c>
      <c r="E19" s="262" t="e">
        <f>('2.1 LABOR STRUCTURE'!U27/'2.1 LABOR STRUCTURE'!U$11)*100</f>
        <v>#N/A</v>
      </c>
      <c r="F19" s="262" t="e">
        <f>('2.1 LABOR STRUCTURE'!V27/'2.1 LABOR STRUCTURE'!V$11)*100</f>
        <v>#N/A</v>
      </c>
      <c r="G19" s="262" t="e">
        <f>('2.1 LABOR STRUCTURE'!W27/'2.1 LABOR STRUCTURE'!W$11)*100</f>
        <v>#N/A</v>
      </c>
      <c r="H19" s="262" t="e">
        <f>('2.1 LABOR STRUCTURE'!X27/'2.1 LABOR STRUCTURE'!X$11)*100</f>
        <v>#N/A</v>
      </c>
      <c r="I19" s="262" t="e">
        <f>('2.1 LABOR STRUCTURE'!Y27/'2.1 LABOR STRUCTURE'!Y$11)*100</f>
        <v>#N/A</v>
      </c>
      <c r="J19" s="262">
        <f>('2.1 LABOR STRUCTURE'!Z27/'2.1 LABOR STRUCTURE'!Z$11)*100</f>
        <v>22.838840191358063</v>
      </c>
      <c r="K19" s="262">
        <f>('2.1 LABOR STRUCTURE'!AA27/'2.1 LABOR STRUCTURE'!AA$11)*100</f>
        <v>23.336756594597084</v>
      </c>
      <c r="L19" s="262">
        <f>('2.1 LABOR STRUCTURE'!AB27/'2.1 LABOR STRUCTURE'!AB$11)*100</f>
        <v>22.905392486776925</v>
      </c>
      <c r="M19" s="262">
        <f>('2.1 LABOR STRUCTURE'!AC27/'2.1 LABOR STRUCTURE'!AC$11)*100</f>
        <v>23.57770624868845</v>
      </c>
      <c r="N19" s="262">
        <f>('2.1 LABOR STRUCTURE'!AD27/'2.1 LABOR STRUCTURE'!AD$11)*100</f>
        <v>23.514809750466657</v>
      </c>
      <c r="O19" s="9"/>
      <c r="P19" s="222" t="e">
        <f t="shared" si="17"/>
        <v>#N/A</v>
      </c>
      <c r="Q19" s="222">
        <f t="shared" si="16"/>
        <v>0.22298815145417739</v>
      </c>
      <c r="R19" s="222" t="e">
        <f t="shared" si="6"/>
        <v>#N/A</v>
      </c>
      <c r="S19" s="222" t="e">
        <f t="shared" si="7"/>
        <v>#N/A</v>
      </c>
      <c r="T19" s="222" t="e">
        <f t="shared" si="8"/>
        <v>#N/A</v>
      </c>
      <c r="U19" s="222" t="e">
        <f t="shared" si="9"/>
        <v>#N/A</v>
      </c>
      <c r="V19" s="222" t="e">
        <f t="shared" si="10"/>
        <v>#N/A</v>
      </c>
      <c r="W19" s="222">
        <f t="shared" si="11"/>
        <v>0</v>
      </c>
      <c r="X19" s="222">
        <f t="shared" si="12"/>
        <v>2.1801299850043421E-2</v>
      </c>
      <c r="Y19" s="222">
        <f t="shared" si="13"/>
        <v>2.9139962827029464E-3</v>
      </c>
      <c r="Z19" s="222">
        <f t="shared" si="14"/>
        <v>3.2351295036862959E-2</v>
      </c>
      <c r="AA19" s="222">
        <f t="shared" si="15"/>
        <v>2.9597368055684914E-2</v>
      </c>
      <c r="AC19" s="262">
        <f t="shared" si="1"/>
        <v>22.838840191358063</v>
      </c>
      <c r="AE19" s="279">
        <v>19</v>
      </c>
    </row>
    <row r="20" spans="1:31" ht="13.5" thickBot="1" x14ac:dyDescent="0.25">
      <c r="A20" s="255" t="s">
        <v>548</v>
      </c>
      <c r="B20" s="263" t="e">
        <f>('2.1 LABOR STRUCTURE'!R28/'2.1 LABOR STRUCTURE'!R$11)*100</f>
        <v>#N/A</v>
      </c>
      <c r="C20" s="263" t="e">
        <f>('2.1 LABOR STRUCTURE'!S28/'2.1 LABOR STRUCTURE'!S$11)*100</f>
        <v>#N/A</v>
      </c>
      <c r="D20" s="263">
        <f>('2.1 LABOR STRUCTURE'!T28/'2.1 LABOR STRUCTURE'!T$11)*100</f>
        <v>13.60393737202236</v>
      </c>
      <c r="E20" s="263" t="e">
        <f>('2.1 LABOR STRUCTURE'!U28/'2.1 LABOR STRUCTURE'!U$11)*100</f>
        <v>#N/A</v>
      </c>
      <c r="F20" s="263" t="e">
        <f>('2.1 LABOR STRUCTURE'!V28/'2.1 LABOR STRUCTURE'!V$11)*100</f>
        <v>#N/A</v>
      </c>
      <c r="G20" s="263" t="e">
        <f>('2.1 LABOR STRUCTURE'!W28/'2.1 LABOR STRUCTURE'!W$11)*100</f>
        <v>#N/A</v>
      </c>
      <c r="H20" s="263" t="e">
        <f>('2.1 LABOR STRUCTURE'!X28/'2.1 LABOR STRUCTURE'!X$11)*100</f>
        <v>#N/A</v>
      </c>
      <c r="I20" s="263" t="e">
        <f>('2.1 LABOR STRUCTURE'!Y28/'2.1 LABOR STRUCTURE'!Y$11)*100</f>
        <v>#N/A</v>
      </c>
      <c r="J20" s="263">
        <f>('2.1 LABOR STRUCTURE'!Z28/'2.1 LABOR STRUCTURE'!Z$11)*100</f>
        <v>17.52091147026945</v>
      </c>
      <c r="K20" s="263">
        <f>('2.1 LABOR STRUCTURE'!AA28/'2.1 LABOR STRUCTURE'!AA$11)*100</f>
        <v>17.670969902458996</v>
      </c>
      <c r="L20" s="263">
        <f>('2.1 LABOR STRUCTURE'!AB28/'2.1 LABOR STRUCTURE'!AB$11)*100</f>
        <v>17.679032246319274</v>
      </c>
      <c r="M20" s="263">
        <f>('2.1 LABOR STRUCTURE'!AC28/'2.1 LABOR STRUCTURE'!AC$11)*100</f>
        <v>18.405800399887681</v>
      </c>
      <c r="N20" s="263">
        <f>('2.1 LABOR STRUCTURE'!AD28/'2.1 LABOR STRUCTURE'!AD$11)*100</f>
        <v>18.034150996253814</v>
      </c>
      <c r="O20" s="10"/>
      <c r="P20" s="261" t="e">
        <f t="shared" si="17"/>
        <v>#N/A</v>
      </c>
      <c r="Q20" s="261">
        <f t="shared" si="16"/>
        <v>-0.22355995034240372</v>
      </c>
      <c r="R20" s="261" t="e">
        <f t="shared" si="6"/>
        <v>#N/A</v>
      </c>
      <c r="S20" s="261" t="e">
        <f t="shared" si="7"/>
        <v>#N/A</v>
      </c>
      <c r="T20" s="261" t="e">
        <f t="shared" si="8"/>
        <v>#N/A</v>
      </c>
      <c r="U20" s="261" t="e">
        <f t="shared" si="9"/>
        <v>#N/A</v>
      </c>
      <c r="V20" s="261" t="e">
        <f t="shared" si="10"/>
        <v>#N/A</v>
      </c>
      <c r="W20" s="261">
        <f t="shared" si="11"/>
        <v>0</v>
      </c>
      <c r="X20" s="261">
        <f t="shared" si="12"/>
        <v>8.5645334401793782E-3</v>
      </c>
      <c r="Y20" s="261">
        <f t="shared" si="13"/>
        <v>9.0246889448721834E-3</v>
      </c>
      <c r="Z20" s="261">
        <f t="shared" si="14"/>
        <v>5.0504731510102374E-2</v>
      </c>
      <c r="AA20" s="261">
        <f t="shared" si="15"/>
        <v>2.9292969538443181E-2</v>
      </c>
      <c r="AC20" s="263">
        <f t="shared" si="1"/>
        <v>17.52091147026945</v>
      </c>
      <c r="AE20" s="279">
        <v>20</v>
      </c>
    </row>
    <row r="21" spans="1:31" ht="13.5" thickTop="1" x14ac:dyDescent="0.2">
      <c r="A21" s="257" t="s">
        <v>549</v>
      </c>
      <c r="B21" s="262" t="e">
        <f>'2.1 LABOR STRUCTURE'!R52*100</f>
        <v>#N/A</v>
      </c>
      <c r="C21" s="262" t="e">
        <f>'2.1 LABOR STRUCTURE'!S52*100</f>
        <v>#N/A</v>
      </c>
      <c r="D21" s="262">
        <f>'2.1 LABOR STRUCTURE'!T52*100</f>
        <v>13.001054097102797</v>
      </c>
      <c r="E21" s="262" t="e">
        <f>'2.1 LABOR STRUCTURE'!U52*100</f>
        <v>#N/A</v>
      </c>
      <c r="F21" s="262" t="e">
        <f>'2.1 LABOR STRUCTURE'!V52*100</f>
        <v>#N/A</v>
      </c>
      <c r="G21" s="262" t="e">
        <f>'2.1 LABOR STRUCTURE'!W52*100</f>
        <v>#N/A</v>
      </c>
      <c r="H21" s="262" t="e">
        <f>'2.1 LABOR STRUCTURE'!X52*100</f>
        <v>#N/A</v>
      </c>
      <c r="I21" s="262" t="e">
        <f>'2.1 LABOR STRUCTURE'!Y52*100</f>
        <v>#N/A</v>
      </c>
      <c r="J21" s="262">
        <f>'2.1 LABOR STRUCTURE'!Z52*100</f>
        <v>14.124599377941852</v>
      </c>
      <c r="K21" s="262">
        <f>'2.1 LABOR STRUCTURE'!AA52*100</f>
        <v>14.124599377941852</v>
      </c>
      <c r="L21" s="262">
        <f>'2.1 LABOR STRUCTURE'!AB52*100</f>
        <v>14.084286989606007</v>
      </c>
      <c r="M21" s="262">
        <f>'2.1 LABOR STRUCTURE'!AC52*100</f>
        <v>14.120143408913952</v>
      </c>
      <c r="N21" s="262">
        <f>'2.1 LABOR STRUCTURE'!AD52*100</f>
        <v>14.157660547169495</v>
      </c>
      <c r="O21" s="9"/>
      <c r="P21" s="222" t="e">
        <f t="shared" si="5"/>
        <v>#N/A</v>
      </c>
      <c r="Q21" s="222">
        <f t="shared" si="16"/>
        <v>-7.9545284844940611E-2</v>
      </c>
      <c r="R21" s="222" t="e">
        <f t="shared" si="6"/>
        <v>#N/A</v>
      </c>
      <c r="S21" s="222" t="e">
        <f t="shared" si="7"/>
        <v>#N/A</v>
      </c>
      <c r="T21" s="222" t="e">
        <f t="shared" si="8"/>
        <v>#N/A</v>
      </c>
      <c r="U21" s="222" t="e">
        <f t="shared" si="9"/>
        <v>#N/A</v>
      </c>
      <c r="V21" s="222" t="e">
        <f t="shared" si="10"/>
        <v>#N/A</v>
      </c>
      <c r="W21" s="222">
        <f t="shared" si="11"/>
        <v>0</v>
      </c>
      <c r="X21" s="222">
        <f t="shared" si="12"/>
        <v>0</v>
      </c>
      <c r="Y21" s="222">
        <f t="shared" si="13"/>
        <v>-2.8540553439554417E-3</v>
      </c>
      <c r="Z21" s="222">
        <f t="shared" si="14"/>
        <v>-3.1547578155444178E-4</v>
      </c>
      <c r="AA21" s="222">
        <f t="shared" si="15"/>
        <v>2.340680138459339E-3</v>
      </c>
      <c r="AC21" s="262">
        <f t="shared" si="1"/>
        <v>14.124599377941852</v>
      </c>
      <c r="AE21" s="279">
        <v>21</v>
      </c>
    </row>
    <row r="22" spans="1:31" x14ac:dyDescent="0.2">
      <c r="A22" s="257" t="s">
        <v>581</v>
      </c>
      <c r="B22" s="262" t="e">
        <f>'2.1 LABOR STRUCTURE'!R53*100</f>
        <v>#N/A</v>
      </c>
      <c r="C22" s="262" t="e">
        <f>'2.1 LABOR STRUCTURE'!S53*100</f>
        <v>#N/A</v>
      </c>
      <c r="D22" s="262">
        <f>'2.1 LABOR STRUCTURE'!T53*100</f>
        <v>76.604144548520793</v>
      </c>
      <c r="E22" s="262" t="e">
        <f>'2.1 LABOR STRUCTURE'!U53*100</f>
        <v>#N/A</v>
      </c>
      <c r="F22" s="262" t="e">
        <f>'2.1 LABOR STRUCTURE'!V53*100</f>
        <v>#N/A</v>
      </c>
      <c r="G22" s="262" t="e">
        <f>'2.1 LABOR STRUCTURE'!W53*100</f>
        <v>#N/A</v>
      </c>
      <c r="H22" s="262" t="e">
        <f>'2.1 LABOR STRUCTURE'!X53*100</f>
        <v>#N/A</v>
      </c>
      <c r="I22" s="262" t="e">
        <f>'2.1 LABOR STRUCTURE'!Y53*100</f>
        <v>#N/A</v>
      </c>
      <c r="J22" s="262">
        <f>'2.1 LABOR STRUCTURE'!Z53*100</f>
        <v>62.534956477402382</v>
      </c>
      <c r="K22" s="262">
        <f>'2.1 LABOR STRUCTURE'!AA53*100</f>
        <v>61.936814416930353</v>
      </c>
      <c r="L22" s="262">
        <f>'2.1 LABOR STRUCTURE'!AB53*100</f>
        <v>61.590864938216058</v>
      </c>
      <c r="M22" s="262">
        <f>'2.1 LABOR STRUCTURE'!AC53*100</f>
        <v>60.318058738813377</v>
      </c>
      <c r="N22" s="262">
        <f>'2.1 LABOR STRUCTURE'!AD53*100</f>
        <v>61.744033035475852</v>
      </c>
      <c r="O22" s="9"/>
      <c r="P22" s="222" t="e">
        <f t="shared" si="5"/>
        <v>#N/A</v>
      </c>
      <c r="Q22" s="222">
        <f t="shared" si="16"/>
        <v>0.22498117634738346</v>
      </c>
      <c r="R22" s="222" t="e">
        <f t="shared" si="6"/>
        <v>#N/A</v>
      </c>
      <c r="S22" s="222" t="e">
        <f t="shared" si="7"/>
        <v>#N/A</v>
      </c>
      <c r="T22" s="222" t="e">
        <f t="shared" si="8"/>
        <v>#N/A</v>
      </c>
      <c r="U22" s="222" t="e">
        <f t="shared" si="9"/>
        <v>#N/A</v>
      </c>
      <c r="V22" s="222" t="e">
        <f t="shared" si="10"/>
        <v>#N/A</v>
      </c>
      <c r="W22" s="222">
        <f t="shared" si="11"/>
        <v>0</v>
      </c>
      <c r="X22" s="222">
        <f t="shared" si="12"/>
        <v>-9.5649232711655374E-3</v>
      </c>
      <c r="Y22" s="222">
        <f t="shared" si="13"/>
        <v>-1.5097020808313544E-2</v>
      </c>
      <c r="Z22" s="222">
        <f t="shared" si="14"/>
        <v>-3.5450536203540883E-2</v>
      </c>
      <c r="AA22" s="222">
        <f t="shared" si="15"/>
        <v>-1.26477011655447E-2</v>
      </c>
      <c r="AC22" s="262">
        <f t="shared" si="1"/>
        <v>62.534956477402382</v>
      </c>
      <c r="AE22" s="279">
        <v>22</v>
      </c>
    </row>
    <row r="23" spans="1:31" ht="13.5" thickBot="1" x14ac:dyDescent="0.25">
      <c r="A23" s="507" t="s">
        <v>582</v>
      </c>
      <c r="B23" s="263" t="e">
        <f>'2.1 LABOR STRUCTURE'!R54*100</f>
        <v>#N/A</v>
      </c>
      <c r="C23" s="263" t="e">
        <f>'2.1 LABOR STRUCTURE'!S54*100</f>
        <v>#N/A</v>
      </c>
      <c r="D23" s="263">
        <f>'2.1 LABOR STRUCTURE'!T54*100</f>
        <v>67.247499137271888</v>
      </c>
      <c r="E23" s="263" t="e">
        <f>'2.1 LABOR STRUCTURE'!U54*100</f>
        <v>#N/A</v>
      </c>
      <c r="F23" s="263" t="e">
        <f>'2.1 LABOR STRUCTURE'!V54*100</f>
        <v>#N/A</v>
      </c>
      <c r="G23" s="263" t="e">
        <f>'2.1 LABOR STRUCTURE'!W54*100</f>
        <v>#N/A</v>
      </c>
      <c r="H23" s="263" t="e">
        <f>'2.1 LABOR STRUCTURE'!X54*100</f>
        <v>#N/A</v>
      </c>
      <c r="I23" s="263" t="e">
        <f>'2.1 LABOR STRUCTURE'!Y54*100</f>
        <v>#N/A</v>
      </c>
      <c r="J23" s="263">
        <f>'2.1 LABOR STRUCTURE'!Z54*100</f>
        <v>56.588158378269583</v>
      </c>
      <c r="K23" s="263">
        <f>'2.1 LABOR STRUCTURE'!AA54*100</f>
        <v>56.908194108913634</v>
      </c>
      <c r="L23" s="263">
        <f>'2.1 LABOR STRUCTURE'!AB54*100</f>
        <v>56.438874364770285</v>
      </c>
      <c r="M23" s="263">
        <f>'2.1 LABOR STRUCTURE'!AC54*100</f>
        <v>56.159449581108511</v>
      </c>
      <c r="N23" s="263">
        <f>'2.1 LABOR STRUCTURE'!AD54*100</f>
        <v>56.595422190728847</v>
      </c>
      <c r="O23" s="10"/>
      <c r="P23" s="261" t="e">
        <f t="shared" si="5"/>
        <v>#N/A</v>
      </c>
      <c r="Q23" s="261">
        <f t="shared" si="16"/>
        <v>0.18836698462156698</v>
      </c>
      <c r="R23" s="261" t="e">
        <f t="shared" si="6"/>
        <v>#N/A</v>
      </c>
      <c r="S23" s="261" t="e">
        <f t="shared" si="7"/>
        <v>#N/A</v>
      </c>
      <c r="T23" s="261" t="e">
        <f t="shared" si="8"/>
        <v>#N/A</v>
      </c>
      <c r="U23" s="261" t="e">
        <f t="shared" si="9"/>
        <v>#N/A</v>
      </c>
      <c r="V23" s="261" t="e">
        <f t="shared" si="10"/>
        <v>#N/A</v>
      </c>
      <c r="W23" s="261">
        <f t="shared" si="11"/>
        <v>0</v>
      </c>
      <c r="X23" s="261">
        <f t="shared" si="12"/>
        <v>5.6555247566945077E-3</v>
      </c>
      <c r="Y23" s="261">
        <f t="shared" si="13"/>
        <v>-2.638078668356636E-3</v>
      </c>
      <c r="Z23" s="261">
        <f t="shared" si="14"/>
        <v>-7.5759453823417422E-3</v>
      </c>
      <c r="AA23" s="261">
        <f t="shared" si="15"/>
        <v>1.2836276470973296E-4</v>
      </c>
      <c r="AC23" s="263">
        <f t="shared" si="1"/>
        <v>56.588158378269583</v>
      </c>
      <c r="AE23" s="279">
        <v>23</v>
      </c>
    </row>
    <row r="24" spans="1:31" ht="13.5" thickTop="1" x14ac:dyDescent="0.2">
      <c r="A24" s="485" t="s">
        <v>262</v>
      </c>
      <c r="B24" s="480">
        <f>'3. NON-LABOR INCOME'!J$7</f>
        <v>14115.999999999995</v>
      </c>
      <c r="C24" s="480">
        <f>'3. NON-LABOR INCOME'!K$7</f>
        <v>15169.999999999998</v>
      </c>
      <c r="D24" s="480">
        <f>'3. NON-LABOR INCOME'!L$7</f>
        <v>14716.999999999995</v>
      </c>
      <c r="E24" s="480">
        <f>'3. NON-LABOR INCOME'!M$7</f>
        <v>12769.000000000005</v>
      </c>
      <c r="F24" s="480">
        <f>'3. NON-LABOR INCOME'!N$7</f>
        <v>14982.000000000011</v>
      </c>
      <c r="G24" s="480">
        <f>'3. NON-LABOR INCOME'!O$7</f>
        <v>16420.000000000011</v>
      </c>
      <c r="H24" s="480">
        <f>'3. NON-LABOR INCOME'!P$7</f>
        <v>18205.000829999997</v>
      </c>
      <c r="I24" s="480">
        <f>'3. NON-LABOR INCOME'!Q$7</f>
        <v>24777.710000000003</v>
      </c>
      <c r="J24" s="480">
        <f>'3. NON-LABOR INCOME'!R$7</f>
        <v>21031.680000000011</v>
      </c>
      <c r="K24" s="480">
        <f>'3. NON-LABOR INCOME'!S$7</f>
        <v>21610.73</v>
      </c>
      <c r="L24" s="480">
        <f>'3. NON-LABOR INCOME'!T$7</f>
        <v>23912</v>
      </c>
      <c r="M24" s="480">
        <f>'3. NON-LABOR INCOME'!U$7</f>
        <v>25000</v>
      </c>
      <c r="N24" s="480">
        <f>'3. NON-LABOR INCOME'!V$7</f>
        <v>26500</v>
      </c>
      <c r="O24" s="481"/>
      <c r="P24" s="482">
        <f t="shared" si="5"/>
        <v>-0.27870716937496243</v>
      </c>
      <c r="Q24" s="482">
        <f t="shared" si="16"/>
        <v>-0.30024610492362058</v>
      </c>
      <c r="R24" s="482">
        <f t="shared" si="6"/>
        <v>-0.3928682825147588</v>
      </c>
      <c r="S24" s="482">
        <f t="shared" si="7"/>
        <v>-0.28764606536425041</v>
      </c>
      <c r="T24" s="482">
        <f t="shared" si="8"/>
        <v>-0.21927302051001141</v>
      </c>
      <c r="U24" s="482">
        <f t="shared" si="9"/>
        <v>-0.13440101646658809</v>
      </c>
      <c r="V24" s="482">
        <f t="shared" si="10"/>
        <v>0.17811368373805569</v>
      </c>
      <c r="W24" s="482">
        <f t="shared" si="11"/>
        <v>0</v>
      </c>
      <c r="X24" s="482">
        <f t="shared" si="12"/>
        <v>2.7532275120198957E-2</v>
      </c>
      <c r="Y24" s="482">
        <f t="shared" si="13"/>
        <v>0.13695149412695451</v>
      </c>
      <c r="Z24" s="482">
        <f t="shared" si="14"/>
        <v>0.18868297729900729</v>
      </c>
      <c r="AA24" s="482">
        <f t="shared" si="15"/>
        <v>0.26000395593694781</v>
      </c>
      <c r="AB24" s="269"/>
      <c r="AC24" s="480">
        <f t="shared" si="1"/>
        <v>21031.680000000011</v>
      </c>
      <c r="AE24" s="279">
        <v>24</v>
      </c>
    </row>
    <row r="25" spans="1:31" x14ac:dyDescent="0.2">
      <c r="A25" s="485" t="s">
        <v>337</v>
      </c>
      <c r="B25" s="484">
        <v>1</v>
      </c>
      <c r="C25" s="484">
        <f>B25*(1+'3. NON-LABOR INCOME'!K$19/100)</f>
        <v>1.0655264483533029</v>
      </c>
      <c r="D25" s="484">
        <f>C25*(1+'3. NON-LABOR INCOME'!L$19/100)</f>
        <v>1.1413223830266581</v>
      </c>
      <c r="E25" s="484">
        <f>D25*(1+'3. NON-LABOR INCOME'!M$19/100)</f>
        <v>1.2165382605168218</v>
      </c>
      <c r="F25" s="484">
        <f>E25*(1+'3. NON-LABOR INCOME'!N$19/100)</f>
        <v>1.3055817115832526</v>
      </c>
      <c r="G25" s="484">
        <f>F25*(1+'3. NON-LABOR INCOME'!O$19/100)</f>
        <v>1.4084863850407487</v>
      </c>
      <c r="H25" s="484">
        <f>G25*(1+'3. NON-LABOR INCOME'!P$19/100)</f>
        <v>1.4570514115402902</v>
      </c>
      <c r="I25" s="484">
        <f>H25*(1+'3. NON-LABOR INCOME'!Q$19/100)</f>
        <v>1.5581514748682395</v>
      </c>
      <c r="J25" s="484">
        <f>I25*(1+'3. NON-LABOR INCOME'!R$19/100)</f>
        <v>1.6687775616507323</v>
      </c>
      <c r="K25" s="484">
        <f>J25*(1+'3. NON-LABOR INCOME'!S$19/100)</f>
        <v>1.765151286061001</v>
      </c>
      <c r="L25" s="484">
        <f>K25*(1+'3. NON-LABOR INCOME'!T$19/100)</f>
        <v>1.8572525313860426</v>
      </c>
      <c r="M25" s="484">
        <f>L25*(1+'3. NON-LABOR INCOME'!U$19/100)</f>
        <v>1.9306399735164039</v>
      </c>
      <c r="N25" s="484">
        <f>M25*(1+'3. NON-LABOR INCOME'!V$19/100)</f>
        <v>2.0362400671392833</v>
      </c>
      <c r="O25" s="481"/>
      <c r="P25" s="482">
        <f t="shared" si="5"/>
        <v>-0.3614928239451527</v>
      </c>
      <c r="Q25" s="482">
        <f t="shared" si="16"/>
        <v>-0.31607278929513083</v>
      </c>
      <c r="R25" s="482">
        <f t="shared" si="6"/>
        <v>-0.27100034871427769</v>
      </c>
      <c r="S25" s="482">
        <f t="shared" si="7"/>
        <v>-0.21764185857593343</v>
      </c>
      <c r="T25" s="482">
        <f t="shared" si="8"/>
        <v>-0.15597715512935528</v>
      </c>
      <c r="U25" s="482">
        <f t="shared" si="9"/>
        <v>-0.12687499818789838</v>
      </c>
      <c r="V25" s="482">
        <f t="shared" si="10"/>
        <v>-6.6291691190444202E-2</v>
      </c>
      <c r="W25" s="482">
        <f t="shared" si="11"/>
        <v>0</v>
      </c>
      <c r="X25" s="482">
        <f t="shared" si="12"/>
        <v>5.7751090753483725E-2</v>
      </c>
      <c r="Y25" s="482">
        <f t="shared" si="13"/>
        <v>0.11294193670058306</v>
      </c>
      <c r="Z25" s="482">
        <f t="shared" si="14"/>
        <v>0.15691870377657802</v>
      </c>
      <c r="AA25" s="482">
        <f t="shared" ref="AA25" si="18">+N25/$AC25-1</f>
        <v>0.22019861360375792</v>
      </c>
      <c r="AB25" s="269"/>
      <c r="AC25" s="483">
        <f t="shared" si="1"/>
        <v>1.6687775616507323</v>
      </c>
      <c r="AE25" s="279">
        <v>25</v>
      </c>
    </row>
    <row r="26" spans="1:31" x14ac:dyDescent="0.2">
      <c r="A26" s="485" t="s">
        <v>338</v>
      </c>
      <c r="B26" s="484">
        <f>B25</f>
        <v>1</v>
      </c>
      <c r="C26" s="484">
        <f t="shared" ref="C26:N26" si="19">C25</f>
        <v>1.0655264483533029</v>
      </c>
      <c r="D26" s="484">
        <f t="shared" si="19"/>
        <v>1.1413223830266581</v>
      </c>
      <c r="E26" s="484">
        <f t="shared" si="19"/>
        <v>1.2165382605168218</v>
      </c>
      <c r="F26" s="484">
        <f t="shared" si="19"/>
        <v>1.3055817115832526</v>
      </c>
      <c r="G26" s="484">
        <f t="shared" si="19"/>
        <v>1.4084863850407487</v>
      </c>
      <c r="H26" s="484">
        <f t="shared" si="19"/>
        <v>1.4570514115402902</v>
      </c>
      <c r="I26" s="484">
        <f t="shared" si="19"/>
        <v>1.5581514748682395</v>
      </c>
      <c r="J26" s="484">
        <f t="shared" si="19"/>
        <v>1.6687775616507323</v>
      </c>
      <c r="K26" s="484">
        <f t="shared" si="19"/>
        <v>1.765151286061001</v>
      </c>
      <c r="L26" s="484">
        <f t="shared" si="19"/>
        <v>1.8572525313860426</v>
      </c>
      <c r="M26" s="484">
        <f t="shared" si="19"/>
        <v>1.9306399735164039</v>
      </c>
      <c r="N26" s="484">
        <f t="shared" si="19"/>
        <v>2.0362400671392833</v>
      </c>
      <c r="O26" s="481"/>
      <c r="P26" s="482">
        <f t="shared" ref="P26" si="20">+C26/$AC26-1</f>
        <v>-0.3614928239451527</v>
      </c>
      <c r="Q26" s="482">
        <f t="shared" ref="Q26" si="21">+D26/$AC26-1</f>
        <v>-0.31607278929513083</v>
      </c>
      <c r="R26" s="482">
        <f t="shared" ref="R26" si="22">+E26/$AC26-1</f>
        <v>-0.27100034871427769</v>
      </c>
      <c r="S26" s="482">
        <f t="shared" ref="S26" si="23">+F26/$AC26-1</f>
        <v>-0.21764185857593343</v>
      </c>
      <c r="T26" s="482">
        <f t="shared" ref="T26" si="24">+G26/$AC26-1</f>
        <v>-0.15597715512935528</v>
      </c>
      <c r="U26" s="482">
        <f t="shared" ref="U26" si="25">+H26/$AC26-1</f>
        <v>-0.12687499818789838</v>
      </c>
      <c r="V26" s="482">
        <f t="shared" ref="V26" si="26">+I26/$AC26-1</f>
        <v>-6.6291691190444202E-2</v>
      </c>
      <c r="W26" s="482">
        <f t="shared" ref="W26" si="27">+J26/$AC26-1</f>
        <v>0</v>
      </c>
      <c r="X26" s="482">
        <f t="shared" ref="X26" si="28">+K26/$AC26-1</f>
        <v>5.7751090753483725E-2</v>
      </c>
      <c r="Y26" s="482">
        <f t="shared" ref="Y26" si="29">+L26/$AC26-1</f>
        <v>0.11294193670058306</v>
      </c>
      <c r="Z26" s="482">
        <f t="shared" ref="Z26" si="30">+M26/$AC26-1</f>
        <v>0.15691870377657802</v>
      </c>
      <c r="AA26" s="482">
        <f t="shared" ref="AA26" si="31">+N26/$AC26-1</f>
        <v>0.22019861360375792</v>
      </c>
      <c r="AB26" s="269"/>
      <c r="AC26" s="483">
        <f t="shared" si="1"/>
        <v>1.6687775616507323</v>
      </c>
      <c r="AE26" s="279">
        <v>26</v>
      </c>
    </row>
    <row r="27" spans="1:31" x14ac:dyDescent="0.2">
      <c r="A27" s="485" t="s">
        <v>368</v>
      </c>
      <c r="B27" s="484"/>
      <c r="C27" s="484"/>
      <c r="D27" s="484"/>
      <c r="E27" s="484"/>
      <c r="F27" s="484"/>
      <c r="G27" s="484"/>
      <c r="H27" s="484"/>
      <c r="I27" s="484"/>
      <c r="J27" s="484"/>
      <c r="K27" s="484"/>
      <c r="L27" s="484"/>
      <c r="M27" s="484"/>
      <c r="N27" s="484"/>
      <c r="O27" s="481"/>
      <c r="P27" s="482">
        <v>0</v>
      </c>
      <c r="Q27" s="482">
        <v>0</v>
      </c>
      <c r="R27" s="482">
        <v>0</v>
      </c>
      <c r="S27" s="482">
        <v>0</v>
      </c>
      <c r="T27" s="482">
        <v>0</v>
      </c>
      <c r="U27" s="482">
        <v>0</v>
      </c>
      <c r="V27" s="482">
        <v>0</v>
      </c>
      <c r="W27" s="482">
        <v>0</v>
      </c>
      <c r="X27" s="482">
        <v>0</v>
      </c>
      <c r="Y27" s="482">
        <v>0</v>
      </c>
      <c r="Z27" s="482">
        <v>0</v>
      </c>
      <c r="AA27" s="482">
        <v>0</v>
      </c>
      <c r="AB27" s="269"/>
      <c r="AC27" s="483">
        <f t="shared" si="1"/>
        <v>0</v>
      </c>
      <c r="AE27" s="279">
        <v>27</v>
      </c>
    </row>
    <row r="28" spans="1:31" ht="13.5" thickBot="1" x14ac:dyDescent="0.25">
      <c r="A28" s="264" t="s">
        <v>369</v>
      </c>
      <c r="B28" s="280"/>
      <c r="C28" s="280"/>
      <c r="D28" s="280"/>
      <c r="E28" s="280"/>
      <c r="F28" s="280"/>
      <c r="G28" s="280"/>
      <c r="H28" s="280"/>
      <c r="I28" s="280"/>
      <c r="J28" s="280"/>
      <c r="K28" s="280"/>
      <c r="L28" s="280"/>
      <c r="M28" s="280"/>
      <c r="N28" s="280"/>
      <c r="O28" s="276"/>
      <c r="P28" s="261">
        <v>0</v>
      </c>
      <c r="Q28" s="261">
        <v>0</v>
      </c>
      <c r="R28" s="261">
        <v>0</v>
      </c>
      <c r="S28" s="261">
        <v>0</v>
      </c>
      <c r="T28" s="261">
        <v>0</v>
      </c>
      <c r="U28" s="261">
        <v>0</v>
      </c>
      <c r="V28" s="261">
        <v>0</v>
      </c>
      <c r="W28" s="261">
        <v>0</v>
      </c>
      <c r="X28" s="261">
        <v>0</v>
      </c>
      <c r="Y28" s="261">
        <v>0</v>
      </c>
      <c r="Z28" s="261">
        <v>0</v>
      </c>
      <c r="AA28" s="261">
        <v>0</v>
      </c>
      <c r="AB28" s="269"/>
      <c r="AC28" s="265">
        <f t="shared" si="1"/>
        <v>0</v>
      </c>
      <c r="AE28" s="279">
        <v>28</v>
      </c>
    </row>
    <row r="29" spans="1:31" ht="13.5" thickTop="1" x14ac:dyDescent="0.2">
      <c r="A29" s="485" t="s">
        <v>585</v>
      </c>
      <c r="B29" s="484"/>
      <c r="C29" s="484"/>
      <c r="D29" s="484"/>
      <c r="E29" s="484"/>
      <c r="F29" s="484"/>
      <c r="G29" s="484"/>
      <c r="H29" s="484"/>
      <c r="I29" s="484"/>
      <c r="J29" s="484"/>
      <c r="K29" s="484"/>
      <c r="L29" s="484"/>
      <c r="M29" s="484"/>
      <c r="N29" s="484"/>
      <c r="O29" s="481"/>
      <c r="P29" s="482"/>
      <c r="Q29" s="482"/>
      <c r="R29" s="482"/>
      <c r="S29" s="482"/>
      <c r="T29" s="482"/>
      <c r="U29" s="482"/>
      <c r="V29" s="482"/>
      <c r="W29" s="482"/>
      <c r="X29" s="482"/>
      <c r="Y29" s="482"/>
      <c r="Z29" s="482"/>
      <c r="AA29" s="482"/>
      <c r="AB29" s="269"/>
      <c r="AC29" s="483"/>
      <c r="AE29" s="279">
        <v>29</v>
      </c>
    </row>
    <row r="30" spans="1:31" x14ac:dyDescent="0.2">
      <c r="A30" s="485" t="s">
        <v>586</v>
      </c>
      <c r="B30" s="484"/>
      <c r="C30" s="484"/>
      <c r="D30" s="484"/>
      <c r="E30" s="484"/>
      <c r="F30" s="484"/>
      <c r="G30" s="484"/>
      <c r="H30" s="484"/>
      <c r="I30" s="484"/>
      <c r="J30" s="484"/>
      <c r="K30" s="484"/>
      <c r="L30" s="484"/>
      <c r="M30" s="484"/>
      <c r="N30" s="484"/>
      <c r="O30" s="481"/>
      <c r="P30" s="482"/>
      <c r="Q30" s="482"/>
      <c r="R30" s="482"/>
      <c r="S30" s="482"/>
      <c r="T30" s="482"/>
      <c r="U30" s="482"/>
      <c r="V30" s="482"/>
      <c r="W30" s="482"/>
      <c r="X30" s="482"/>
      <c r="Y30" s="482"/>
      <c r="Z30" s="482"/>
      <c r="AA30" s="482"/>
      <c r="AB30" s="269"/>
      <c r="AC30" s="483"/>
      <c r="AE30" s="279">
        <v>30</v>
      </c>
    </row>
    <row r="31" spans="1:31" ht="13.5" thickBot="1" x14ac:dyDescent="0.25">
      <c r="A31" s="264" t="s">
        <v>587</v>
      </c>
      <c r="B31" s="280"/>
      <c r="C31" s="280"/>
      <c r="D31" s="280"/>
      <c r="E31" s="280"/>
      <c r="F31" s="280"/>
      <c r="G31" s="280"/>
      <c r="H31" s="280"/>
      <c r="I31" s="280"/>
      <c r="J31" s="280"/>
      <c r="K31" s="280"/>
      <c r="L31" s="280"/>
      <c r="M31" s="280"/>
      <c r="N31" s="280"/>
      <c r="O31" s="276"/>
      <c r="P31" s="261"/>
      <c r="Q31" s="261"/>
      <c r="R31" s="261"/>
      <c r="S31" s="261"/>
      <c r="T31" s="261"/>
      <c r="U31" s="261"/>
      <c r="V31" s="261"/>
      <c r="W31" s="261"/>
      <c r="X31" s="261"/>
      <c r="Y31" s="261"/>
      <c r="Z31" s="261"/>
      <c r="AA31" s="261"/>
      <c r="AB31" s="269"/>
      <c r="AC31" s="265"/>
      <c r="AE31" s="279">
        <v>31</v>
      </c>
    </row>
    <row r="32" spans="1:31" ht="16.5" thickTop="1" thickBot="1" x14ac:dyDescent="0.3">
      <c r="A32" s="645" t="s">
        <v>620</v>
      </c>
      <c r="B32" s="646">
        <v>12734515.84258025</v>
      </c>
      <c r="C32" s="646">
        <v>13475299.137771722</v>
      </c>
      <c r="D32" s="646">
        <v>13879862.000000007</v>
      </c>
      <c r="E32" s="646">
        <v>14750010.000000007</v>
      </c>
      <c r="F32" s="646">
        <v>16138461</v>
      </c>
      <c r="G32" s="646">
        <v>16922051</v>
      </c>
      <c r="H32" s="646">
        <v>17429170.999999993</v>
      </c>
      <c r="I32" s="646">
        <v>18826200</v>
      </c>
      <c r="J32" s="646">
        <v>20233743.999999993</v>
      </c>
      <c r="K32" s="646">
        <v>20635376.999999993</v>
      </c>
      <c r="L32" s="646">
        <v>21448410.853799995</v>
      </c>
      <c r="M32" s="646">
        <v>22272029.830585916</v>
      </c>
      <c r="N32" s="647">
        <v>23345541.668420158</v>
      </c>
      <c r="O32" s="276"/>
      <c r="P32" s="261"/>
      <c r="Q32" s="261"/>
      <c r="R32" s="261"/>
      <c r="S32" s="261"/>
      <c r="T32" s="261"/>
      <c r="U32" s="261"/>
      <c r="V32" s="261"/>
      <c r="W32" s="261"/>
      <c r="X32" s="261"/>
      <c r="Y32" s="261"/>
      <c r="Z32" s="261"/>
      <c r="AA32" s="261"/>
      <c r="AB32" s="269"/>
      <c r="AC32" s="265"/>
      <c r="AE32" s="279">
        <v>32</v>
      </c>
    </row>
    <row r="33" spans="1:31" ht="14.25" thickTop="1" thickBot="1" x14ac:dyDescent="0.25">
      <c r="A33" s="264" t="s">
        <v>380</v>
      </c>
      <c r="B33" s="266">
        <f>'POPULATION (hidden)'!N4</f>
        <v>150951204.03356087</v>
      </c>
      <c r="C33" s="266">
        <f>'POPULATION (hidden)'!O4</f>
        <v>152759872.11016122</v>
      </c>
      <c r="D33" s="266">
        <f>'POPULATION (hidden)'!P4</f>
        <v>154651643.18811724</v>
      </c>
      <c r="E33" s="266">
        <f>'POPULATION (hidden)'!Q4</f>
        <v>156596492.67141762</v>
      </c>
      <c r="F33" s="266">
        <f>'POPULATION (hidden)'!R4</f>
        <v>158425777.73573655</v>
      </c>
      <c r="G33" s="266">
        <f>'POPULATION (hidden)'!S6</f>
        <v>165516220.09277344</v>
      </c>
      <c r="H33" s="266">
        <f>'POPULATION (hidden)'!T6</f>
        <v>167420944.21386719</v>
      </c>
      <c r="I33" s="266">
        <f>'POPULATION (hidden)'!U6</f>
        <v>169356246.94824219</v>
      </c>
      <c r="J33" s="266">
        <f>'POPULATION (hidden)'!V4</f>
        <v>165687181.23681599</v>
      </c>
      <c r="K33" s="266">
        <f>'POPULATION (hidden)'!W4</f>
        <v>167398332.14299658</v>
      </c>
      <c r="L33" s="266">
        <f>'POPULATION (hidden)'!X4</f>
        <v>169089117.12792796</v>
      </c>
      <c r="M33" s="266">
        <f>'POPULATION (hidden)'!Y4</f>
        <v>170754145.64682692</v>
      </c>
      <c r="N33" s="266">
        <f>'POPULATION (hidden)'!Z4</f>
        <v>172384659.91049781</v>
      </c>
      <c r="O33" s="276"/>
      <c r="P33" s="261">
        <f>+C33/$AC33-1</f>
        <v>-7.8022385498717761E-2</v>
      </c>
      <c r="Q33" s="261">
        <f>+D33/$AC33-1</f>
        <v>-6.6604658044883469E-2</v>
      </c>
      <c r="R33" s="261">
        <f t="shared" ref="R33:AA34" si="32">+E33/$AC33-1</f>
        <v>-5.4866577471706091E-2</v>
      </c>
      <c r="S33" s="261">
        <f t="shared" si="32"/>
        <v>-4.3825982474170688E-2</v>
      </c>
      <c r="T33" s="261">
        <f t="shared" si="32"/>
        <v>-1.0318308439214441E-3</v>
      </c>
      <c r="U33" s="261">
        <f t="shared" si="32"/>
        <v>1.0464074312261706E-2</v>
      </c>
      <c r="V33" s="261">
        <f t="shared" si="32"/>
        <v>2.2144535769378582E-2</v>
      </c>
      <c r="W33" s="261">
        <f>+J33/$AC33-1</f>
        <v>0</v>
      </c>
      <c r="X33" s="261">
        <f t="shared" si="32"/>
        <v>1.032759983848619E-2</v>
      </c>
      <c r="Y33" s="261">
        <f t="shared" si="32"/>
        <v>2.0532281771693528E-2</v>
      </c>
      <c r="Z33" s="261">
        <f t="shared" si="32"/>
        <v>3.0581511328681144E-2</v>
      </c>
      <c r="AA33" s="261">
        <f t="shared" si="32"/>
        <v>4.0422431136112769E-2</v>
      </c>
      <c r="AC33" s="266">
        <f>HLOOKUP(CONCATENATE("value",$AD$1),B:N, $AE33, 0)</f>
        <v>165687181.23681599</v>
      </c>
      <c r="AE33" s="279">
        <v>33</v>
      </c>
    </row>
    <row r="34" spans="1:31" ht="14.25" thickTop="1" thickBot="1" x14ac:dyDescent="0.25">
      <c r="A34" s="644" t="s">
        <v>588</v>
      </c>
      <c r="B34" s="644">
        <f>B32/B33</f>
        <v>8.4361803697498128E-2</v>
      </c>
      <c r="C34" s="644">
        <f t="shared" ref="C34:N34" si="33">C32/C33</f>
        <v>8.8212296538544815E-2</v>
      </c>
      <c r="D34" s="644">
        <f t="shared" si="33"/>
        <v>8.9749204818448877E-2</v>
      </c>
      <c r="E34" s="644">
        <f t="shared" si="33"/>
        <v>9.4191190034821362E-2</v>
      </c>
      <c r="F34" s="644">
        <f t="shared" si="33"/>
        <v>0.10186764572442179</v>
      </c>
      <c r="G34" s="644">
        <f t="shared" si="33"/>
        <v>0.1022380222948242</v>
      </c>
      <c r="H34" s="644">
        <f t="shared" si="33"/>
        <v>0.10410388665432198</v>
      </c>
      <c r="I34" s="644">
        <f t="shared" si="33"/>
        <v>0.11116330421371211</v>
      </c>
      <c r="J34" s="644">
        <f t="shared" si="33"/>
        <v>0.12212015346606681</v>
      </c>
      <c r="K34" s="644">
        <f t="shared" si="33"/>
        <v>0.12327110273937883</v>
      </c>
      <c r="L34" s="644">
        <f t="shared" si="33"/>
        <v>0.12684678480858555</v>
      </c>
      <c r="M34" s="644">
        <f t="shared" si="33"/>
        <v>0.13043331830227683</v>
      </c>
      <c r="N34" s="644">
        <f t="shared" si="33"/>
        <v>0.1354270251224278</v>
      </c>
      <c r="O34" s="644"/>
      <c r="P34" s="644">
        <f>+C34/$AC34-1</f>
        <v>-0.2776597962345656</v>
      </c>
      <c r="Q34" s="644">
        <f t="shared" ref="Q34" si="34">+D34/$AC34-1</f>
        <v>-0.26507458211320345</v>
      </c>
      <c r="R34" s="644">
        <f t="shared" si="32"/>
        <v>-0.22870069057852915</v>
      </c>
      <c r="S34" s="644">
        <f t="shared" si="32"/>
        <v>-0.16584083107357472</v>
      </c>
      <c r="T34" s="644">
        <f t="shared" si="32"/>
        <v>-0.16280794452790459</v>
      </c>
      <c r="U34" s="644">
        <f t="shared" si="32"/>
        <v>-0.14752902203607987</v>
      </c>
      <c r="V34" s="644">
        <f t="shared" si="32"/>
        <v>-8.9721875885123592E-2</v>
      </c>
      <c r="W34" s="644">
        <v>0</v>
      </c>
      <c r="X34" s="644">
        <v>1.0543862191744191E-2</v>
      </c>
      <c r="Y34" s="644">
        <v>1.3321776480230474E-2</v>
      </c>
      <c r="Z34" s="644">
        <v>6.9202209382513535E-2</v>
      </c>
      <c r="AA34" s="644">
        <v>0.10964133449138602</v>
      </c>
      <c r="AC34" s="648">
        <f>HLOOKUP(CONCATENATE("value",$AD$1),B:N, $AE34, 0)</f>
        <v>0.12212015346606681</v>
      </c>
      <c r="AE34" s="279">
        <v>34</v>
      </c>
    </row>
    <row r="35" spans="1:31" ht="13.5" thickTop="1" x14ac:dyDescent="0.2">
      <c r="H35" s="267"/>
    </row>
    <row r="36" spans="1:31" x14ac:dyDescent="0.2">
      <c r="H36" s="267"/>
    </row>
    <row r="37" spans="1:31" x14ac:dyDescent="0.2">
      <c r="H37" s="267"/>
    </row>
    <row r="38" spans="1:31" x14ac:dyDescent="0.2">
      <c r="H38" s="267"/>
    </row>
    <row r="41" spans="1:31" x14ac:dyDescent="0.2">
      <c r="A41" s="268"/>
      <c r="B41" s="268"/>
      <c r="C41" s="225"/>
    </row>
    <row r="42" spans="1:31" x14ac:dyDescent="0.2">
      <c r="A42" s="268"/>
      <c r="B42" s="268"/>
      <c r="C42" s="225"/>
    </row>
    <row r="43" spans="1:31" x14ac:dyDescent="0.2">
      <c r="A43" s="268"/>
      <c r="B43" s="268"/>
      <c r="C43" s="225"/>
    </row>
    <row r="44" spans="1:31" x14ac:dyDescent="0.2">
      <c r="A44" s="269"/>
      <c r="B44" s="269"/>
    </row>
  </sheetData>
  <customSheetViews>
    <customSheetView guid="{5EB6DE45-64D9-4581-AE55-A519683B64F2}">
      <selection activeCell="K50" sqref="K50"/>
      <pageMargins left="0.7" right="0.7" top="0.75" bottom="0.75" header="0.3" footer="0.3"/>
      <pageSetup orientation="portrait" r:id="rId1"/>
    </customSheetView>
  </customSheetViews>
  <phoneticPr fontId="24" type="noConversion"/>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topLeftCell="D1" workbookViewId="0">
      <selection activeCell="K12" sqref="K12"/>
    </sheetView>
  </sheetViews>
  <sheetFormatPr defaultRowHeight="15" x14ac:dyDescent="0.25"/>
  <cols>
    <col min="1" max="1" width="18.42578125" style="79" customWidth="1"/>
    <col min="2" max="2" width="20.28515625" style="32" customWidth="1"/>
    <col min="3" max="3" width="34.28515625"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345</v>
      </c>
      <c r="E1" s="2"/>
      <c r="F1" s="2"/>
      <c r="G1" s="2"/>
      <c r="H1" s="2"/>
      <c r="I1" s="2"/>
      <c r="J1" s="2"/>
      <c r="K1" s="3"/>
      <c r="L1" s="3"/>
    </row>
    <row r="3" spans="1:26" x14ac:dyDescent="0.25">
      <c r="D3" s="25" t="s">
        <v>346</v>
      </c>
      <c r="E3" s="1"/>
      <c r="F3" s="1"/>
      <c r="G3" s="1"/>
      <c r="H3" s="1"/>
      <c r="I3" s="1"/>
      <c r="J3" s="2"/>
      <c r="K3" s="3"/>
      <c r="L3" s="3"/>
      <c r="M3" s="3"/>
      <c r="N3" s="3"/>
      <c r="O3" s="3"/>
      <c r="P3" s="3"/>
      <c r="Q3" s="3"/>
      <c r="R3" s="3"/>
      <c r="S3" s="3"/>
      <c r="T3" s="3"/>
      <c r="U3" s="3"/>
      <c r="V3" s="3">
        <v>165687181.23681599</v>
      </c>
      <c r="W3" s="3"/>
      <c r="X3" s="3"/>
      <c r="Y3" s="3"/>
    </row>
    <row r="4" spans="1:26" ht="15.75" thickBot="1" x14ac:dyDescent="0.3">
      <c r="D4" s="3"/>
      <c r="E4" s="3"/>
      <c r="F4" s="3"/>
      <c r="G4" s="3">
        <f t="shared" ref="E4:V4" si="0">$V$3*G6/$V$6</f>
        <v>139505718.74625689</v>
      </c>
      <c r="H4" s="3">
        <f t="shared" si="0"/>
        <v>140749797.40774655</v>
      </c>
      <c r="I4" s="3">
        <f t="shared" si="0"/>
        <v>141994008.98677886</v>
      </c>
      <c r="J4" s="4">
        <f t="shared" si="0"/>
        <v>143624227.87813288</v>
      </c>
      <c r="K4" s="3">
        <f t="shared" si="0"/>
        <v>145385621.61541569</v>
      </c>
      <c r="L4" s="3">
        <f t="shared" si="0"/>
        <v>147204893.55819219</v>
      </c>
      <c r="M4" s="3">
        <f t="shared" si="0"/>
        <v>149082073.24369413</v>
      </c>
      <c r="N4" s="3">
        <f t="shared" si="0"/>
        <v>150951204.03356087</v>
      </c>
      <c r="O4" s="3">
        <f t="shared" si="0"/>
        <v>152759872.11016122</v>
      </c>
      <c r="P4" s="3">
        <f t="shared" si="0"/>
        <v>154651643.18811724</v>
      </c>
      <c r="Q4" s="3">
        <f t="shared" si="0"/>
        <v>156596492.67141762</v>
      </c>
      <c r="R4" s="3">
        <f t="shared" si="0"/>
        <v>158425777.73573655</v>
      </c>
      <c r="S4" s="3">
        <f t="shared" si="0"/>
        <v>160199178.35770074</v>
      </c>
      <c r="T4" s="3">
        <f t="shared" si="0"/>
        <v>162042715.13630942</v>
      </c>
      <c r="U4" s="3">
        <f t="shared" si="0"/>
        <v>163915848.22106996</v>
      </c>
      <c r="V4" s="3">
        <f>$V$3*V6/$V$6</f>
        <v>165687181.23681599</v>
      </c>
      <c r="W4" s="3">
        <f t="shared" ref="W4:Z4" si="1">$V$3*W6/$V$6</f>
        <v>167398332.14299658</v>
      </c>
      <c r="X4" s="3">
        <f t="shared" si="1"/>
        <v>169089117.12792796</v>
      </c>
      <c r="Y4" s="3">
        <f t="shared" si="1"/>
        <v>170754145.64682692</v>
      </c>
      <c r="Z4">
        <f t="shared" si="1"/>
        <v>172384659.91049781</v>
      </c>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79" t="str">
        <f>"pop_total"&amp;"_"&amp;'0. GUIDELINES'!E3</f>
        <v>pop_total_BGD</v>
      </c>
      <c r="C6" s="87" t="s">
        <v>450</v>
      </c>
      <c r="D6" s="57" t="s">
        <v>347</v>
      </c>
      <c r="E6" s="7" t="e" cm="1">
        <f t="array" ref="E6">_xlfn.XLOOKUP(1, ('0. GUIDELINES'!$E$3='[1]input-mpo'!$A:$A) * (E$5='[1]input-mpo'!$B:$B) * ($C6='[1]input-mpo'!$C:$C), '[1]input-mpo'!$D:$D)</f>
        <v>#N/A</v>
      </c>
      <c r="F6" s="7" t="e" cm="1">
        <f t="array" ref="F6">_xlfn.XLOOKUP(1, ('0. GUIDELINES'!$E$3='[1]input-mpo'!$A:$A) * (F$5='[1]input-mpo'!$B:$B) * ($C6='[1]input-mpo'!$C:$C), '[1]input-mpo'!$D:$D)</f>
        <v>#N/A</v>
      </c>
      <c r="G6" s="7" cm="1">
        <f t="array" ref="G6">_xlfn.XLOOKUP(1, ('0. GUIDELINES'!$E$3='[1]input-mpo'!$A:$A) * (G$5='[1]input-mpo'!$B:$B) * ($C6='[1]input-mpo'!$C:$C), '[1]input-mpo'!$D:$D)</f>
        <v>144135940.55175781</v>
      </c>
      <c r="H6" s="7" cm="1">
        <f t="array" ref="H6">_xlfn.XLOOKUP(1, ('0. GUIDELINES'!$E$3='[1]input-mpo'!$A:$A) * (H$5='[1]input-mpo'!$B:$B) * ($C6='[1]input-mpo'!$C:$C), '[1]input-mpo'!$D:$D)</f>
        <v>145421310.42480469</v>
      </c>
      <c r="I6" s="7" cm="1">
        <f t="array" ref="I6">_xlfn.XLOOKUP(1, ('0. GUIDELINES'!$E$3='[1]input-mpo'!$A:$A) * (I$5='[1]input-mpo'!$B:$B) * ($C6='[1]input-mpo'!$C:$C), '[1]input-mpo'!$D:$D)</f>
        <v>146706817.62695313</v>
      </c>
      <c r="J6" s="7" cm="1">
        <f t="array" ref="J6">_xlfn.XLOOKUP(1, ('0. GUIDELINES'!$E$3='[1]input-mpo'!$A:$A) * (J$5='[1]input-mpo'!$B:$B) * ($C6='[1]input-mpo'!$C:$C), '[1]input-mpo'!$D:$D)</f>
        <v>148391143.79882813</v>
      </c>
      <c r="K6" s="7" cm="1">
        <f t="array" ref="K6">_xlfn.XLOOKUP(1, ('0. GUIDELINES'!$E$3='[1]input-mpo'!$A:$A) * (K$5='[1]input-mpo'!$B:$B) * ($C6='[1]input-mpo'!$C:$C), '[1]input-mpo'!$D:$D)</f>
        <v>150210998.53515625</v>
      </c>
      <c r="L6" s="7" cm="1">
        <f t="array" ref="L6">_xlfn.XLOOKUP(1, ('0. GUIDELINES'!$E$3='[1]input-mpo'!$A:$A) * (L$5='[1]input-mpo'!$B:$B) * ($C6='[1]input-mpo'!$C:$C), '[1]input-mpo'!$D:$D)</f>
        <v>152090652.46582031</v>
      </c>
      <c r="M6" s="7" cm="1">
        <f t="array" ref="M6">_xlfn.XLOOKUP(1, ('0. GUIDELINES'!$E$3='[1]input-mpo'!$A:$A) * (M$5='[1]input-mpo'!$B:$B) * ($C6='[1]input-mpo'!$C:$C), '[1]input-mpo'!$D:$D)</f>
        <v>154030136.10839844</v>
      </c>
      <c r="N6" s="7" cm="1">
        <f t="array" ref="N6">_xlfn.XLOOKUP(1, ('0. GUIDELINES'!$E$3='[1]input-mpo'!$A:$A) * (N$5='[1]input-mpo'!$B:$B) * ($C6='[1]input-mpo'!$C:$C), '[1]input-mpo'!$D:$D)</f>
        <v>155961303.7109375</v>
      </c>
      <c r="O6" s="7" cm="1">
        <f t="array" ref="O6">_xlfn.XLOOKUP(1, ('0. GUIDELINES'!$E$3='[1]input-mpo'!$A:$A) * (O$5='[1]input-mpo'!$B:$B) * ($C6='[1]input-mpo'!$C:$C), '[1]input-mpo'!$D:$D)</f>
        <v>157830001.83105469</v>
      </c>
      <c r="P6" s="7" cm="1">
        <f t="array" ref="P6">_xlfn.XLOOKUP(1, ('0. GUIDELINES'!$E$3='[1]input-mpo'!$A:$A) * (P$5='[1]input-mpo'!$B:$B) * ($C6='[1]input-mpo'!$C:$C), '[1]input-mpo'!$D:$D)</f>
        <v>159784561.15722656</v>
      </c>
      <c r="Q6" s="7" cm="1">
        <f t="array" ref="Q6">_xlfn.XLOOKUP(1, ('0. GUIDELINES'!$E$3='[1]input-mpo'!$A:$A) * (Q$5='[1]input-mpo'!$B:$B) * ($C6='[1]input-mpo'!$C:$C), '[1]input-mpo'!$D:$D)</f>
        <v>161793960.57128906</v>
      </c>
      <c r="R6" s="7" cm="1">
        <f t="array" ref="R6">_xlfn.XLOOKUP(1, ('0. GUIDELINES'!$E$3='[1]input-mpo'!$A:$A) * (R$5='[1]input-mpo'!$B:$B) * ($C6='[1]input-mpo'!$C:$C), '[1]input-mpo'!$D:$D)</f>
        <v>163683959.9609375</v>
      </c>
      <c r="S6" s="7" cm="1">
        <f t="array" ref="S6">_xlfn.XLOOKUP(1, ('0. GUIDELINES'!$E$3='[1]input-mpo'!$A:$A) * (S$5='[1]input-mpo'!$B:$B) * ($C6='[1]input-mpo'!$C:$C), '[1]input-mpo'!$D:$D)</f>
        <v>165516220.09277344</v>
      </c>
      <c r="T6" s="7" cm="1">
        <f t="array" ref="T6">_xlfn.XLOOKUP(1, ('0. GUIDELINES'!$E$3='[1]input-mpo'!$A:$A) * (T$5='[1]input-mpo'!$B:$B) * ($C6='[1]input-mpo'!$C:$C), '[1]input-mpo'!$D:$D)</f>
        <v>167420944.21386719</v>
      </c>
      <c r="U6" s="7" cm="1">
        <f t="array" ref="U6">_xlfn.XLOOKUP(1, ('0. GUIDELINES'!$E$3='[1]input-mpo'!$A:$A) * (U$5='[1]input-mpo'!$B:$B) * ($C6='[1]input-mpo'!$C:$C), '[1]input-mpo'!$D:$D)</f>
        <v>169356246.94824219</v>
      </c>
      <c r="V6" s="7" cm="1">
        <f t="array" ref="V6">_xlfn.XLOOKUP(1, ('0. GUIDELINES'!$E$3='[1]input-mpo'!$A:$A) * (V$5='[1]input-mpo'!$B:$B) * ($C6='[1]input-mpo'!$C:$C), '[1]input-mpo'!$D:$D)</f>
        <v>171186370.84960938</v>
      </c>
      <c r="W6" s="7" cm="1">
        <f t="array" ref="W6">_xlfn.XLOOKUP(1, ('0. GUIDELINES'!$E$3='[1]input-mpo'!$A:$A) * (W$5='[1]input-mpo'!$B:$B) * ($C6='[1]input-mpo'!$C:$C), '[1]input-mpo'!$D:$D)</f>
        <v>172954315.18554688</v>
      </c>
      <c r="X6" s="7" cm="1">
        <f t="array" ref="X6">_xlfn.XLOOKUP(1, ('0. GUIDELINES'!$E$3='[1]input-mpo'!$A:$A) * (X$5='[1]input-mpo'!$B:$B) * ($C6='[1]input-mpo'!$C:$C), '[1]input-mpo'!$D:$D)</f>
        <v>174701217.65136719</v>
      </c>
      <c r="Y6" s="7" cm="1">
        <f t="array" ref="Y6">_xlfn.XLOOKUP(1, ('0. GUIDELINES'!$E$3='[1]input-mpo'!$A:$A) * (Y$5='[1]input-mpo'!$B:$B) * ($C6='[1]input-mpo'!$C:$C), '[1]input-mpo'!$D:$D)</f>
        <v>176421508.7890625</v>
      </c>
      <c r="Z6" s="7" cm="1">
        <f t="array" ref="Z6">_xlfn.XLOOKUP(1, ('0. GUIDELINES'!$E$3='[1]input-mpo'!$A:$A) * (Z$5='[1]input-mpo'!$B:$B) * ($C6='[1]input-mpo'!$C:$C), '[1]input-mpo'!$D:$D)</f>
        <v>178106140.13671875</v>
      </c>
    </row>
    <row r="7" spans="1:26" s="58" customFormat="1" ht="15.75" thickBot="1" x14ac:dyDescent="0.3">
      <c r="A7" s="80"/>
      <c r="D7" s="46" t="s">
        <v>348</v>
      </c>
      <c r="E7" s="59"/>
      <c r="F7" s="59" t="e">
        <f t="shared" ref="F7:Z7" si="2">+(F6/E6-1)*100</f>
        <v>#N/A</v>
      </c>
      <c r="G7" s="59" t="e">
        <f t="shared" si="2"/>
        <v>#N/A</v>
      </c>
      <c r="H7" s="59">
        <f t="shared" si="2"/>
        <v>0.89177610256430118</v>
      </c>
      <c r="I7" s="59">
        <f t="shared" si="2"/>
        <v>0.88398818467061435</v>
      </c>
      <c r="J7" s="59">
        <f t="shared" si="2"/>
        <v>1.1480899109664433</v>
      </c>
      <c r="K7" s="59">
        <f t="shared" si="2"/>
        <v>1.2263903961784228</v>
      </c>
      <c r="L7" s="59">
        <f t="shared" si="2"/>
        <v>1.2513424110047078</v>
      </c>
      <c r="M7" s="59">
        <f t="shared" si="2"/>
        <v>1.2752155448961577</v>
      </c>
      <c r="N7" s="59">
        <f t="shared" si="2"/>
        <v>1.2537595897337939</v>
      </c>
      <c r="O7" s="59">
        <f t="shared" si="2"/>
        <v>1.1981806227913339</v>
      </c>
      <c r="P7" s="59">
        <f t="shared" si="2"/>
        <v>1.2383953009543092</v>
      </c>
      <c r="Q7" s="59">
        <f t="shared" si="2"/>
        <v>1.2575679399245976</v>
      </c>
      <c r="R7" s="59">
        <f t="shared" si="2"/>
        <v>1.1681520020740743</v>
      </c>
      <c r="S7" s="59">
        <f t="shared" si="2"/>
        <v>1.1193889323506179</v>
      </c>
      <c r="T7" s="59">
        <f t="shared" si="2"/>
        <v>1.1507779237745597</v>
      </c>
      <c r="U7" s="59">
        <f t="shared" si="2"/>
        <v>1.1559501969495622</v>
      </c>
      <c r="V7" s="59">
        <f t="shared" si="2"/>
        <v>1.0806356035549802</v>
      </c>
      <c r="W7" s="59">
        <f t="shared" si="2"/>
        <v>1.0327599838486412</v>
      </c>
      <c r="X7" s="59">
        <f t="shared" si="2"/>
        <v>1.010036936023373</v>
      </c>
      <c r="Y7" s="59">
        <f t="shared" si="2"/>
        <v>0.98470472090717021</v>
      </c>
      <c r="Z7" s="59">
        <f t="shared" si="2"/>
        <v>0.95489000134925117</v>
      </c>
    </row>
    <row r="8" spans="1:26" ht="15.75" thickTop="1" x14ac:dyDescent="0.25">
      <c r="A8" s="79" t="str">
        <f>"pop_1564"&amp;"_"&amp;'0. GUIDELINES'!E3</f>
        <v>pop_1564_BGD</v>
      </c>
      <c r="C8" s="87" t="s">
        <v>488</v>
      </c>
      <c r="D8" s="26" t="s">
        <v>349</v>
      </c>
      <c r="E8" s="7" t="e" cm="1">
        <f t="array" ref="E8">_xlfn.XLOOKUP(1, ('0. GUIDELINES'!$E$3='[1]input-mpo'!$A:$A) * (E$5='[1]input-mpo'!$B:$B) * ($C8='[1]input-mpo'!$C:$C), '[1]input-mpo'!$D:$D)</f>
        <v>#N/A</v>
      </c>
      <c r="F8" s="7" t="e" cm="1">
        <f t="array" ref="F8">_xlfn.XLOOKUP(1, ('0. GUIDELINES'!$E$3='[1]input-mpo'!$A:$A) * (F$5='[1]input-mpo'!$B:$B) * ($C8='[1]input-mpo'!$C:$C), '[1]input-mpo'!$D:$D)</f>
        <v>#N/A</v>
      </c>
      <c r="G8" s="7" t="e" cm="1">
        <f t="array" ref="G8">_xlfn.XLOOKUP(1, ('0. GUIDELINES'!$E$3='[1]input-mpo'!$A:$A) * (G$5='[1]input-mpo'!$B:$B) * ($C8='[1]input-mpo'!$C:$C), '[1]input-mpo'!$D:$D)</f>
        <v>#N/A</v>
      </c>
      <c r="H8" s="7" t="e" cm="1">
        <f t="array" ref="H8">_xlfn.XLOOKUP(1, ('0. GUIDELINES'!$E$3='[1]input-mpo'!$A:$A) * (H$5='[1]input-mpo'!$B:$B) * ($C8='[1]input-mpo'!$C:$C), '[1]input-mpo'!$D:$D)</f>
        <v>#N/A</v>
      </c>
      <c r="I8" s="7" t="e" cm="1">
        <f t="array" ref="I8">_xlfn.XLOOKUP(1, ('0. GUIDELINES'!$E$3='[1]input-mpo'!$A:$A) * (I$5='[1]input-mpo'!$B:$B) * ($C8='[1]input-mpo'!$C:$C), '[1]input-mpo'!$D:$D)</f>
        <v>#N/A</v>
      </c>
      <c r="J8" s="7" t="e" cm="1">
        <f t="array" ref="J8">_xlfn.XLOOKUP(1, ('0. GUIDELINES'!$E$3='[1]input-mpo'!$A:$A) * (J$5='[1]input-mpo'!$B:$B) * ($C8='[1]input-mpo'!$C:$C), '[1]input-mpo'!$D:$D)</f>
        <v>#N/A</v>
      </c>
      <c r="K8" s="7" t="e" cm="1">
        <f t="array" ref="K8">_xlfn.XLOOKUP(1, ('0. GUIDELINES'!$E$3='[1]input-mpo'!$A:$A) * (K$5='[1]input-mpo'!$B:$B) * ($C8='[1]input-mpo'!$C:$C), '[1]input-mpo'!$D:$D)</f>
        <v>#N/A</v>
      </c>
      <c r="L8" s="7" t="e" cm="1">
        <f t="array" ref="L8">_xlfn.XLOOKUP(1, ('0. GUIDELINES'!$E$3='[1]input-mpo'!$A:$A) * (L$5='[1]input-mpo'!$B:$B) * ($C8='[1]input-mpo'!$C:$C), '[1]input-mpo'!$D:$D)</f>
        <v>#N/A</v>
      </c>
      <c r="M8" s="7" t="e" cm="1">
        <f t="array" ref="M8">_xlfn.XLOOKUP(1, ('0. GUIDELINES'!$E$3='[1]input-mpo'!$A:$A) * (M$5='[1]input-mpo'!$B:$B) * ($C8='[1]input-mpo'!$C:$C), '[1]input-mpo'!$D:$D)</f>
        <v>#N/A</v>
      </c>
      <c r="N8" s="7" t="e" cm="1">
        <f t="array" ref="N8">_xlfn.XLOOKUP(1, ('0. GUIDELINES'!$E$3='[1]input-mpo'!$A:$A) * (N$5='[1]input-mpo'!$B:$B) * ($C8='[1]input-mpo'!$C:$C), '[1]input-mpo'!$D:$D)</f>
        <v>#N/A</v>
      </c>
      <c r="O8" s="7" t="e" cm="1">
        <f t="array" ref="O8">_xlfn.XLOOKUP(1, ('0. GUIDELINES'!$E$3='[1]input-mpo'!$A:$A) * (O$5='[1]input-mpo'!$B:$B) * ($C8='[1]input-mpo'!$C:$C), '[1]input-mpo'!$D:$D)</f>
        <v>#N/A</v>
      </c>
      <c r="P8" s="7" t="e" cm="1">
        <f t="array" ref="P8">_xlfn.XLOOKUP(1, ('0. GUIDELINES'!$E$3='[1]input-mpo'!$A:$A) * (P$5='[1]input-mpo'!$B:$B) * ($C8='[1]input-mpo'!$C:$C), '[1]input-mpo'!$D:$D)</f>
        <v>#N/A</v>
      </c>
      <c r="Q8" s="7" t="e" cm="1">
        <f t="array" ref="Q8">_xlfn.XLOOKUP(1, ('0. GUIDELINES'!$E$3='[1]input-mpo'!$A:$A) * (Q$5='[1]input-mpo'!$B:$B) * ($C8='[1]input-mpo'!$C:$C), '[1]input-mpo'!$D:$D)</f>
        <v>#N/A</v>
      </c>
      <c r="R8" s="7" t="e" cm="1">
        <f t="array" ref="R8">_xlfn.XLOOKUP(1, ('0. GUIDELINES'!$E$3='[1]input-mpo'!$A:$A) * (R$5='[1]input-mpo'!$B:$B) * ($C8='[1]input-mpo'!$C:$C), '[1]input-mpo'!$D:$D)</f>
        <v>#N/A</v>
      </c>
      <c r="S8" s="7" t="e" cm="1">
        <f t="array" ref="S8">_xlfn.XLOOKUP(1, ('0. GUIDELINES'!$E$3='[1]input-mpo'!$A:$A) * (S$5='[1]input-mpo'!$B:$B) * ($C8='[1]input-mpo'!$C:$C), '[1]input-mpo'!$D:$D)</f>
        <v>#N/A</v>
      </c>
      <c r="T8" s="7" t="e" cm="1">
        <f t="array" ref="T8">_xlfn.XLOOKUP(1, ('0. GUIDELINES'!$E$3='[1]input-mpo'!$A:$A) * (T$5='[1]input-mpo'!$B:$B) * ($C8='[1]input-mpo'!$C:$C), '[1]input-mpo'!$D:$D)</f>
        <v>#N/A</v>
      </c>
      <c r="U8" s="7" t="e" cm="1">
        <f t="array" ref="U8">_xlfn.XLOOKUP(1, ('0. GUIDELINES'!$E$3='[1]input-mpo'!$A:$A) * (U$5='[1]input-mpo'!$B:$B) * ($C8='[1]input-mpo'!$C:$C), '[1]input-mpo'!$D:$D)</f>
        <v>#N/A</v>
      </c>
      <c r="V8" s="7" t="e" cm="1">
        <f t="array" ref="V8">_xlfn.XLOOKUP(1, ('0. GUIDELINES'!$E$3='[1]input-mpo'!$A:$A) * (V$5='[1]input-mpo'!$B:$B) * ($C8='[1]input-mpo'!$C:$C), '[1]input-mpo'!$D:$D)</f>
        <v>#N/A</v>
      </c>
      <c r="W8" s="7" t="e" cm="1">
        <f t="array" ref="W8">_xlfn.XLOOKUP(1, ('0. GUIDELINES'!$E$3='[1]input-mpo'!$A:$A) * (W$5='[1]input-mpo'!$B:$B) * ($C8='[1]input-mpo'!$C:$C), '[1]input-mpo'!$D:$D)</f>
        <v>#N/A</v>
      </c>
      <c r="X8" s="7" t="e" cm="1">
        <f t="array" ref="X8">_xlfn.XLOOKUP(1, ('0. GUIDELINES'!$E$3='[1]input-mpo'!$A:$A) * (X$5='[1]input-mpo'!$B:$B) * ($C8='[1]input-mpo'!$C:$C), '[1]input-mpo'!$D:$D)</f>
        <v>#N/A</v>
      </c>
      <c r="Y8" s="7" t="e" cm="1">
        <f t="array" ref="Y8">_xlfn.XLOOKUP(1, ('0. GUIDELINES'!$E$3='[1]input-mpo'!$A:$A) * (Y$5='[1]input-mpo'!$B:$B) * ($C8='[1]input-mpo'!$C:$C), '[1]input-mpo'!$D:$D)</f>
        <v>#N/A</v>
      </c>
      <c r="Z8" s="7" t="e" cm="1">
        <f t="array" ref="Z8">_xlfn.XLOOKUP(1, ('0. GUIDELINES'!$E$3='[1]input-mpo'!$A:$A) * (Z$5='[1]input-mpo'!$B:$B) * ($C8='[1]input-mpo'!$C:$C), '[1]input-mpo'!$D:$D)</f>
        <v>#N/A</v>
      </c>
    </row>
    <row r="9" spans="1:26" s="58" customFormat="1" ht="15" customHeight="1" thickBot="1" x14ac:dyDescent="0.3">
      <c r="A9" s="80"/>
      <c r="D9" s="60" t="s">
        <v>350</v>
      </c>
      <c r="E9" s="59"/>
      <c r="F9" s="59" t="e">
        <f t="shared" ref="F9:K9" si="3">+(F8/E8-1)*100</f>
        <v>#N/A</v>
      </c>
      <c r="G9" s="59" t="e">
        <f t="shared" si="3"/>
        <v>#N/A</v>
      </c>
      <c r="H9" s="59" t="e">
        <f t="shared" si="3"/>
        <v>#N/A</v>
      </c>
      <c r="I9" s="59" t="e">
        <f t="shared" si="3"/>
        <v>#N/A</v>
      </c>
      <c r="J9" s="59" t="e">
        <f t="shared" si="3"/>
        <v>#N/A</v>
      </c>
      <c r="K9" s="59" t="e">
        <f t="shared" si="3"/>
        <v>#N/A</v>
      </c>
      <c r="L9" s="59" t="e">
        <f t="shared" ref="L9:Y9" si="4">+(L8/K8-1)*100</f>
        <v>#N/A</v>
      </c>
      <c r="M9" s="59" t="e">
        <f t="shared" si="4"/>
        <v>#N/A</v>
      </c>
      <c r="N9" s="59" t="e">
        <f t="shared" si="4"/>
        <v>#N/A</v>
      </c>
      <c r="O9" s="59" t="e">
        <f t="shared" si="4"/>
        <v>#N/A</v>
      </c>
      <c r="P9" s="59" t="e">
        <f t="shared" si="4"/>
        <v>#N/A</v>
      </c>
      <c r="Q9" s="59" t="e">
        <f>+(Q8/P8-1)*100</f>
        <v>#N/A</v>
      </c>
      <c r="R9" s="59" t="e">
        <f t="shared" si="4"/>
        <v>#N/A</v>
      </c>
      <c r="S9" s="59" t="e">
        <f t="shared" si="4"/>
        <v>#N/A</v>
      </c>
      <c r="T9" s="59" t="e">
        <f t="shared" si="4"/>
        <v>#N/A</v>
      </c>
      <c r="U9" s="59" t="e">
        <f t="shared" si="4"/>
        <v>#N/A</v>
      </c>
      <c r="V9" s="59" t="e">
        <f t="shared" si="4"/>
        <v>#N/A</v>
      </c>
      <c r="W9" s="59" t="e">
        <f t="shared" si="4"/>
        <v>#N/A</v>
      </c>
      <c r="X9" s="59" t="e">
        <f t="shared" si="4"/>
        <v>#N/A</v>
      </c>
      <c r="Y9" s="59" t="e">
        <f t="shared" si="4"/>
        <v>#N/A</v>
      </c>
      <c r="Z9" s="59">
        <f>+Z7</f>
        <v>0.95489000134925117</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550</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89" t="s">
        <v>455</v>
      </c>
      <c r="D15" s="57" t="s">
        <v>347</v>
      </c>
      <c r="E15" s="7" cm="1">
        <f t="array" ref="E15">_xlfn.XLOOKUP(1, ('0. GUIDELINES'!$E$3='[1]input-mpo'!$A:$A) * (E$5='[1]input-mpo'!$B:$B) * ($C15='[1]input-mpo'!$C:$C), '[1]input-mpo'!$D:$D)</f>
        <v>144715786</v>
      </c>
      <c r="F15" s="7" cm="1">
        <f t="array" ref="F15">_xlfn.XLOOKUP(1, ('0. GUIDELINES'!$E$3='[1]input-mpo'!$A:$A) * (F$5='[1]input-mpo'!$B:$B) * ($C15='[1]input-mpo'!$C:$C), '[1]input-mpo'!$D:$D)</f>
        <v>146405973.5</v>
      </c>
      <c r="G15" s="7" cm="1">
        <f t="array" ref="G15">_xlfn.XLOOKUP(1, ('0. GUIDELINES'!$E$3='[1]input-mpo'!$A:$A) * (G$5='[1]input-mpo'!$B:$B) * ($C15='[1]input-mpo'!$C:$C), '[1]input-mpo'!$D:$D)</f>
        <v>147989278</v>
      </c>
      <c r="H15" s="7" cm="1">
        <f t="array" ref="H15">_xlfn.XLOOKUP(1, ('0. GUIDELINES'!$E$3='[1]input-mpo'!$A:$A) * (H$5='[1]input-mpo'!$B:$B) * ($C15='[1]input-mpo'!$C:$C), '[1]input-mpo'!$D:$D)</f>
        <v>149474263.5</v>
      </c>
      <c r="I15" s="7" cm="1">
        <f t="array" ref="I15">_xlfn.XLOOKUP(1, ('0. GUIDELINES'!$E$3='[1]input-mpo'!$A:$A) * (I$5='[1]input-mpo'!$B:$B) * ($C15='[1]input-mpo'!$C:$C), '[1]input-mpo'!$D:$D)</f>
        <v>150873714</v>
      </c>
      <c r="J15" s="7" cm="1">
        <f t="array" ref="J15">_xlfn.XLOOKUP(1, ('0. GUIDELINES'!$E$3='[1]input-mpo'!$A:$A) * (J$5='[1]input-mpo'!$B:$B) * ($C15='[1]input-mpo'!$C:$C), '[1]input-mpo'!$D:$D)</f>
        <v>152201981.5</v>
      </c>
      <c r="K15" s="7" cm="1">
        <f t="array" ref="K15">_xlfn.XLOOKUP(1, ('0. GUIDELINES'!$E$3='[1]input-mpo'!$A:$A) * (K$5='[1]input-mpo'!$B:$B) * ($C15='[1]input-mpo'!$C:$C), '[1]input-mpo'!$D:$D)</f>
        <v>153591075.5</v>
      </c>
      <c r="L15" s="7" cm="1">
        <f t="array" ref="L15">_xlfn.XLOOKUP(1, ('0. GUIDELINES'!$E$3='[1]input-mpo'!$A:$A) * (L$5='[1]input-mpo'!$B:$B) * ($C15='[1]input-mpo'!$C:$C), '[1]input-mpo'!$D:$D)</f>
        <v>155070101.5</v>
      </c>
      <c r="M15" s="7" cm="1">
        <f t="array" ref="M15">_xlfn.XLOOKUP(1, ('0. GUIDELINES'!$E$3='[1]input-mpo'!$A:$A) * (M$5='[1]input-mpo'!$B:$B) * ($C15='[1]input-mpo'!$C:$C), '[1]input-mpo'!$D:$D)</f>
        <v>156532140.5</v>
      </c>
      <c r="N15" s="7" cm="1">
        <f t="array" ref="N15">_xlfn.XLOOKUP(1, ('0. GUIDELINES'!$E$3='[1]input-mpo'!$A:$A) * (N$5='[1]input-mpo'!$B:$B) * ($C15='[1]input-mpo'!$C:$C), '[1]input-mpo'!$D:$D)</f>
        <v>157964928.5</v>
      </c>
      <c r="O15" s="7" cm="1">
        <f t="array" ref="O15">_xlfn.XLOOKUP(1, ('0. GUIDELINES'!$E$3='[1]input-mpo'!$A:$A) * (O$5='[1]input-mpo'!$B:$B) * ($C15='[1]input-mpo'!$C:$C), '[1]input-mpo'!$D:$D)</f>
        <v>159383179</v>
      </c>
      <c r="P15" s="7" cm="1">
        <f t="array" ref="P15">_xlfn.XLOOKUP(1, ('0. GUIDELINES'!$E$3='[1]input-mpo'!$A:$A) * (P$5='[1]input-mpo'!$B:$B) * ($C15='[1]input-mpo'!$C:$C), '[1]input-mpo'!$D:$D)</f>
        <v>160811932.5</v>
      </c>
      <c r="Q15" s="7" cm="1">
        <f t="array" ref="Q15">_xlfn.XLOOKUP(1, ('0. GUIDELINES'!$E$3='[1]input-mpo'!$A:$A) * (Q$5='[1]input-mpo'!$B:$B) * ($C15='[1]input-mpo'!$C:$C), '[1]input-mpo'!$D:$D)</f>
        <v>162186146.5</v>
      </c>
      <c r="R15" s="7" cm="1">
        <f t="array" ref="R15">_xlfn.XLOOKUP(1, ('0. GUIDELINES'!$E$3='[1]input-mpo'!$A:$A) * (R$5='[1]input-mpo'!$B:$B) * ($C15='[1]input-mpo'!$C:$C), '[1]input-mpo'!$D:$D)</f>
        <v>163523103.5</v>
      </c>
      <c r="S15" s="7" cm="1">
        <f t="array" ref="S15">_xlfn.XLOOKUP(1, ('0. GUIDELINES'!$E$3='[1]input-mpo'!$A:$A) * (S$5='[1]input-mpo'!$B:$B) * ($C15='[1]input-mpo'!$C:$C), '[1]input-mpo'!$D:$D)</f>
        <v>164913055</v>
      </c>
      <c r="T15" s="7" cm="1">
        <f t="array" ref="T15">_xlfn.XLOOKUP(1, ('0. GUIDELINES'!$E$3='[1]input-mpo'!$A:$A) * (T$5='[1]input-mpo'!$B:$B) * ($C15='[1]input-mpo'!$C:$C), '[1]input-mpo'!$D:$D)</f>
        <v>166298024</v>
      </c>
      <c r="U15" s="7" cm="1">
        <f t="array" ref="U15">_xlfn.XLOOKUP(1, ('0. GUIDELINES'!$E$3='[1]input-mpo'!$A:$A) * (U$5='[1]input-mpo'!$B:$B) * ($C15='[1]input-mpo'!$C:$C), '[1]input-mpo'!$D:$D)</f>
        <v>167658854.5</v>
      </c>
      <c r="V15" s="7" cm="1">
        <f t="array" ref="V15">_xlfn.XLOOKUP(1, ('0. GUIDELINES'!$E$3='[1]input-mpo'!$A:$A) * (V$5='[1]input-mpo'!$B:$B) * ($C15='[1]input-mpo'!$C:$C), '[1]input-mpo'!$D:$D)</f>
        <v>169384897.5</v>
      </c>
      <c r="W15" s="7" cm="1">
        <f t="array" ref="W15">_xlfn.XLOOKUP(1, ('0. GUIDELINES'!$E$3='[1]input-mpo'!$A:$A) * (W$5='[1]input-mpo'!$B:$B) * ($C15='[1]input-mpo'!$C:$C), '[1]input-mpo'!$D:$D)</f>
        <v>171466990</v>
      </c>
      <c r="X15" s="7" cm="1">
        <f t="array" ref="X15">_xlfn.XLOOKUP(1, ('0. GUIDELINES'!$E$3='[1]input-mpo'!$A:$A) * (X$5='[1]input-mpo'!$B:$B) * ($C15='[1]input-mpo'!$C:$C), '[1]input-mpo'!$D:$D)</f>
        <v>173562364</v>
      </c>
      <c r="Y15" s="7" cm="1">
        <f t="array" ref="Y15">_xlfn.XLOOKUP(1, ('0. GUIDELINES'!$E$3='[1]input-mpo'!$A:$A) * (Y$5='[1]input-mpo'!$B:$B) * ($C15='[1]input-mpo'!$C:$C), '[1]input-mpo'!$D:$D)</f>
        <v>175686899.5</v>
      </c>
      <c r="Z15" s="7" cm="1">
        <f t="array" ref="Z15">_xlfn.XLOOKUP(1, ('0. GUIDELINES'!$E$3='[1]input-mpo'!$A:$A) * (Z$5='[1]input-mpo'!$B:$B) * ($C15='[1]input-mpo'!$C:$C), '[1]input-mpo'!$D:$D)</f>
        <v>177818044.5</v>
      </c>
    </row>
    <row r="16" spans="1:26" ht="15.75" thickBot="1" x14ac:dyDescent="0.3">
      <c r="D16" s="46" t="s">
        <v>348</v>
      </c>
      <c r="E16" s="59"/>
      <c r="F16" s="59">
        <f t="shared" ref="F16" si="5">+(F15/E15-1)*100</f>
        <v>1.1679358186949873</v>
      </c>
      <c r="G16" s="59">
        <f>+(G15/F15-1)*100</f>
        <v>1.0814480189225373</v>
      </c>
      <c r="H16" s="59">
        <f t="shared" ref="H16" si="6">+(H15/G15-1)*100</f>
        <v>1.0034412763335387</v>
      </c>
      <c r="I16" s="59">
        <f t="shared" ref="I16" si="7">+(I15/H15-1)*100</f>
        <v>0.9362484666131099</v>
      </c>
      <c r="J16" s="59">
        <f t="shared" ref="J16" si="8">+(J15/I15-1)*100</f>
        <v>0.88038364323688167</v>
      </c>
      <c r="K16" s="59">
        <f t="shared" ref="K16" si="9">+(K15/J15-1)*100</f>
        <v>0.91266485909711204</v>
      </c>
      <c r="L16" s="59">
        <f t="shared" ref="L16" si="10">+(L15/K15-1)*100</f>
        <v>0.96296350239437611</v>
      </c>
      <c r="M16" s="59">
        <f t="shared" ref="M16" si="11">+(M15/L15-1)*100</f>
        <v>0.94282455860776881</v>
      </c>
      <c r="N16" s="59">
        <f t="shared" ref="N16" si="12">+(N15/M15-1)*100</f>
        <v>0.91533150663074547</v>
      </c>
      <c r="O16" s="59">
        <f t="shared" ref="O16" si="13">+(O15/N15-1)*100</f>
        <v>0.89782619057747759</v>
      </c>
      <c r="P16" s="59">
        <f t="shared" ref="P16" si="14">+(P15/O15-1)*100</f>
        <v>0.89642678039443258</v>
      </c>
      <c r="Q16" s="59">
        <f t="shared" ref="Q16" si="15">+(Q15/P15-1)*100</f>
        <v>0.85454728305065508</v>
      </c>
      <c r="R16" s="59">
        <f t="shared" ref="R16" si="16">+(R15/Q15-1)*100</f>
        <v>0.82433489471926968</v>
      </c>
      <c r="S16" s="59">
        <f t="shared" ref="S16" si="17">+(S15/R15-1)*100</f>
        <v>0.85000313120890958</v>
      </c>
      <c r="T16" s="59">
        <f t="shared" ref="T16" si="18">+(T15/S15-1)*100</f>
        <v>0.83981768453686989</v>
      </c>
      <c r="U16" s="59">
        <f t="shared" ref="U16" si="19">+(U15/T15-1)*100</f>
        <v>0.81830828007913858</v>
      </c>
      <c r="V16" s="59">
        <f t="shared" ref="V16" si="20">+(V15/U15-1)*100</f>
        <v>1.0294970731772546</v>
      </c>
      <c r="W16" s="59">
        <f t="shared" ref="W16" si="21">+(W15/V15-1)*100</f>
        <v>1.2292078755132163</v>
      </c>
      <c r="X16" s="59">
        <f t="shared" ref="X16" si="22">+(X15/W15-1)*100</f>
        <v>1.2220276334237834</v>
      </c>
      <c r="Y16" s="59">
        <f t="shared" ref="Y16" si="23">+(Y15/X15-1)*100</f>
        <v>1.2240761482137819</v>
      </c>
      <c r="Z16" s="59">
        <f t="shared" ref="Z16" si="24">+(Z15/Y15-1)*100</f>
        <v>1.2130358074877501</v>
      </c>
    </row>
    <row r="17" spans="3:26" ht="15.75" thickTop="1" x14ac:dyDescent="0.25">
      <c r="C17" s="89" t="s">
        <v>489</v>
      </c>
      <c r="D17" s="26" t="s">
        <v>349</v>
      </c>
      <c r="E17" s="7" cm="1">
        <f t="array" ref="E17">_xlfn.XLOOKUP(1, ('0. GUIDELINES'!$E$3='[1]input-mpo'!$A:$A) * (E$5='[1]input-mpo'!$B:$B) * ($C17='[1]input-mpo'!$C:$C), '[1]input-mpo'!$D:$D)</f>
        <v>87605093.5</v>
      </c>
      <c r="F17" s="7" cm="1">
        <f t="array" ref="F17">_xlfn.XLOOKUP(1, ('0. GUIDELINES'!$E$3='[1]input-mpo'!$A:$A) * (F$5='[1]input-mpo'!$B:$B) * ($C17='[1]input-mpo'!$C:$C), '[1]input-mpo'!$D:$D)</f>
        <v>88987587</v>
      </c>
      <c r="G17" s="7" cm="1">
        <f t="array" ref="G17">_xlfn.XLOOKUP(1, ('0. GUIDELINES'!$E$3='[1]input-mpo'!$A:$A) * (G$5='[1]input-mpo'!$B:$B) * ($C17='[1]input-mpo'!$C:$C), '[1]input-mpo'!$D:$D)</f>
        <v>90285654.5</v>
      </c>
      <c r="H17" s="7" cm="1">
        <f t="array" ref="H17">_xlfn.XLOOKUP(1, ('0. GUIDELINES'!$E$3='[1]input-mpo'!$A:$A) * (H$5='[1]input-mpo'!$B:$B) * ($C17='[1]input-mpo'!$C:$C), '[1]input-mpo'!$D:$D)</f>
        <v>91513536</v>
      </c>
      <c r="I17" s="7" cm="1">
        <f t="array" ref="I17">_xlfn.XLOOKUP(1, ('0. GUIDELINES'!$E$3='[1]input-mpo'!$A:$A) * (I$5='[1]input-mpo'!$B:$B) * ($C17='[1]input-mpo'!$C:$C), '[1]input-mpo'!$D:$D)</f>
        <v>92729412</v>
      </c>
      <c r="J17" s="7" cm="1">
        <f t="array" ref="J17">_xlfn.XLOOKUP(1, ('0. GUIDELINES'!$E$3='[1]input-mpo'!$A:$A) * (J$5='[1]input-mpo'!$B:$B) * ($C17='[1]input-mpo'!$C:$C), '[1]input-mpo'!$D:$D)</f>
        <v>93970006.5</v>
      </c>
      <c r="K17" s="7" cm="1">
        <f t="array" ref="K17">_xlfn.XLOOKUP(1, ('0. GUIDELINES'!$E$3='[1]input-mpo'!$A:$A) * (K$5='[1]input-mpo'!$B:$B) * ($C17='[1]input-mpo'!$C:$C), '[1]input-mpo'!$D:$D)</f>
        <v>95340177.5</v>
      </c>
      <c r="L17" s="7" cm="1">
        <f t="array" ref="L17">_xlfn.XLOOKUP(1, ('0. GUIDELINES'!$E$3='[1]input-mpo'!$A:$A) * (L$5='[1]input-mpo'!$B:$B) * ($C17='[1]input-mpo'!$C:$C), '[1]input-mpo'!$D:$D)</f>
        <v>96894688.5</v>
      </c>
      <c r="M17" s="7" cm="1">
        <f t="array" ref="M17">_xlfn.XLOOKUP(1, ('0. GUIDELINES'!$E$3='[1]input-mpo'!$A:$A) * (M$5='[1]input-mpo'!$B:$B) * ($C17='[1]input-mpo'!$C:$C), '[1]input-mpo'!$D:$D)</f>
        <v>98536132.5</v>
      </c>
      <c r="N17" s="7" cm="1">
        <f t="array" ref="N17">_xlfn.XLOOKUP(1, ('0. GUIDELINES'!$E$3='[1]input-mpo'!$A:$A) * (N$5='[1]input-mpo'!$B:$B) * ($C17='[1]input-mpo'!$C:$C), '[1]input-mpo'!$D:$D)</f>
        <v>100208409.5</v>
      </c>
      <c r="O17" s="7" cm="1">
        <f t="array" ref="O17">_xlfn.XLOOKUP(1, ('0. GUIDELINES'!$E$3='[1]input-mpo'!$A:$A) * (O$5='[1]input-mpo'!$B:$B) * ($C17='[1]input-mpo'!$C:$C), '[1]input-mpo'!$D:$D)</f>
        <v>101869851</v>
      </c>
      <c r="P17" s="7" cm="1">
        <f t="array" ref="P17">_xlfn.XLOOKUP(1, ('0. GUIDELINES'!$E$3='[1]input-mpo'!$A:$A) * (P$5='[1]input-mpo'!$B:$B) * ($C17='[1]input-mpo'!$C:$C), '[1]input-mpo'!$D:$D)</f>
        <v>103501312.5</v>
      </c>
      <c r="Q17" s="7" cm="1">
        <f t="array" ref="Q17">_xlfn.XLOOKUP(1, ('0. GUIDELINES'!$E$3='[1]input-mpo'!$A:$A) * (Q$5='[1]input-mpo'!$B:$B) * ($C17='[1]input-mpo'!$C:$C), '[1]input-mpo'!$D:$D)</f>
        <v>104877347.5</v>
      </c>
      <c r="R17" s="7" cm="1">
        <f t="array" ref="R17">_xlfn.XLOOKUP(1, ('0. GUIDELINES'!$E$3='[1]input-mpo'!$A:$A) * (R$5='[1]input-mpo'!$B:$B) * ($C17='[1]input-mpo'!$C:$C), '[1]input-mpo'!$D:$D)</f>
        <v>105958585</v>
      </c>
      <c r="S17" s="7" cm="1">
        <f t="array" ref="S17">_xlfn.XLOOKUP(1, ('0. GUIDELINES'!$E$3='[1]input-mpo'!$A:$A) * (S$5='[1]input-mpo'!$B:$B) * ($C17='[1]input-mpo'!$C:$C), '[1]input-mpo'!$D:$D)</f>
        <v>106964718</v>
      </c>
      <c r="T17" s="7" cm="1">
        <f t="array" ref="T17">_xlfn.XLOOKUP(1, ('0. GUIDELINES'!$E$3='[1]input-mpo'!$A:$A) * (T$5='[1]input-mpo'!$B:$B) * ($C17='[1]input-mpo'!$C:$C), '[1]input-mpo'!$D:$D)</f>
        <v>107938076.5</v>
      </c>
      <c r="U17" s="7" cm="1">
        <f t="array" ref="U17">_xlfn.XLOOKUP(1, ('0. GUIDELINES'!$E$3='[1]input-mpo'!$A:$A) * (U$5='[1]input-mpo'!$B:$B) * ($C17='[1]input-mpo'!$C:$C), '[1]input-mpo'!$D:$D)</f>
        <v>108897252.5</v>
      </c>
      <c r="V17" s="7" cm="1">
        <f t="array" ref="V17">_xlfn.XLOOKUP(1, ('0. GUIDELINES'!$E$3='[1]input-mpo'!$A:$A) * (V$5='[1]input-mpo'!$B:$B) * ($C17='[1]input-mpo'!$C:$C), '[1]input-mpo'!$D:$D)</f>
        <v>110260679.5</v>
      </c>
      <c r="W17" s="7" cm="1">
        <f t="array" ref="W17">_xlfn.XLOOKUP(1, ('0. GUIDELINES'!$E$3='[1]input-mpo'!$A:$A) * (W$5='[1]input-mpo'!$B:$B) * ($C17='[1]input-mpo'!$C:$C), '[1]input-mpo'!$D:$D)</f>
        <v>111999785.5</v>
      </c>
      <c r="X17" s="7" cm="1">
        <f t="array" ref="X17">_xlfn.XLOOKUP(1, ('0. GUIDELINES'!$E$3='[1]input-mpo'!$A:$A) * (X$5='[1]input-mpo'!$B:$B) * ($C17='[1]input-mpo'!$C:$C), '[1]input-mpo'!$D:$D)</f>
        <v>113705228.5</v>
      </c>
      <c r="Y17" s="7" cm="1">
        <f t="array" ref="Y17">_xlfn.XLOOKUP(1, ('0. GUIDELINES'!$E$3='[1]input-mpo'!$A:$A) * (Y$5='[1]input-mpo'!$B:$B) * ($C17='[1]input-mpo'!$C:$C), '[1]input-mpo'!$D:$D)</f>
        <v>115401404</v>
      </c>
      <c r="Z17" s="7" cm="1">
        <f t="array" ref="Z17">_xlfn.XLOOKUP(1, ('0. GUIDELINES'!$E$3='[1]input-mpo'!$A:$A) * (Z$5='[1]input-mpo'!$B:$B) * ($C17='[1]input-mpo'!$C:$C), '[1]input-mpo'!$D:$D)</f>
        <v>117061314</v>
      </c>
    </row>
    <row r="18" spans="3:26" ht="15.75" thickBot="1" x14ac:dyDescent="0.3">
      <c r="D18" s="60" t="s">
        <v>350</v>
      </c>
      <c r="E18" s="59"/>
      <c r="F18" s="59">
        <f t="shared" ref="F18" si="25">+(F17/E17-1)*100</f>
        <v>1.578097168516801</v>
      </c>
      <c r="G18" s="59">
        <f t="shared" ref="G18" si="26">+(G17/F17-1)*100</f>
        <v>1.4587062575367904</v>
      </c>
      <c r="H18" s="59">
        <f t="shared" ref="H18" si="27">+(H17/G17-1)*100</f>
        <v>1.3599962328456172</v>
      </c>
      <c r="I18" s="59">
        <f t="shared" ref="I18" si="28">+(I17/H17-1)*100</f>
        <v>1.3286296794388974</v>
      </c>
      <c r="J18" s="59">
        <f t="shared" ref="J18" si="29">+(J17/I17-1)*100</f>
        <v>1.337865164075458</v>
      </c>
      <c r="K18" s="59">
        <f t="shared" ref="K18" si="30">+(K17/J17-1)*100</f>
        <v>1.4580939717185215</v>
      </c>
      <c r="L18" s="59">
        <f t="shared" ref="L18" si="31">+(L17/K17-1)*100</f>
        <v>1.630488888066095</v>
      </c>
      <c r="M18" s="59">
        <f t="shared" ref="M18" si="32">+(M17/L17-1)*100</f>
        <v>1.6940495143859202</v>
      </c>
      <c r="N18" s="59">
        <f t="shared" ref="N18" si="33">+(N17/M17-1)*100</f>
        <v>1.6971205968531411</v>
      </c>
      <c r="O18" s="59">
        <f t="shared" ref="O18" si="34">+(O17/N17-1)*100</f>
        <v>1.6579860994600404</v>
      </c>
      <c r="P18" s="59">
        <f t="shared" ref="P18" si="35">+(P17/O17-1)*100</f>
        <v>1.6015155455562535</v>
      </c>
      <c r="Q18" s="59">
        <f>+(Q17/P17-1)*100</f>
        <v>1.3294855560406438</v>
      </c>
      <c r="R18" s="59">
        <f t="shared" ref="R18" si="36">+(R17/Q17-1)*100</f>
        <v>1.0309542773285774</v>
      </c>
      <c r="S18" s="59">
        <f t="shared" ref="S18" si="37">+(S17/R17-1)*100</f>
        <v>0.94955307302375669</v>
      </c>
      <c r="T18" s="59">
        <f t="shared" ref="T18" si="38">+(T17/S17-1)*100</f>
        <v>0.90998089669156457</v>
      </c>
      <c r="U18" s="59">
        <f t="shared" ref="U18" si="39">+(U17/T17-1)*100</f>
        <v>0.88863543904267317</v>
      </c>
      <c r="V18" s="59">
        <f t="shared" ref="V18" si="40">+(V17/U17-1)*100</f>
        <v>1.2520306699197903</v>
      </c>
      <c r="W18" s="59">
        <f t="shared" ref="W18" si="41">+(W17/V17-1)*100</f>
        <v>1.5772676242213901</v>
      </c>
      <c r="X18" s="59">
        <f t="shared" ref="X18" si="42">+(X17/W17-1)*100</f>
        <v>1.5227198805662034</v>
      </c>
      <c r="Y18" s="59">
        <f t="shared" ref="Y18" si="43">+(Y17/X17-1)*100</f>
        <v>1.4917304352455529</v>
      </c>
      <c r="Z18" s="59">
        <f>+Z16</f>
        <v>1.2130358074877501</v>
      </c>
    </row>
    <row r="19" spans="3:26" ht="15.75" thickTop="1" x14ac:dyDescent="0.25"/>
    <row r="21" spans="3:26" x14ac:dyDescent="0.25">
      <c r="S21" s="89" t="s">
        <v>551</v>
      </c>
      <c r="V21">
        <f>+V15/V6</f>
        <v>0.98947653752650666</v>
      </c>
      <c r="W21">
        <f>+W15/W6</f>
        <v>0.99140047368028217</v>
      </c>
    </row>
    <row r="22" spans="3:26" x14ac:dyDescent="0.25">
      <c r="S22" s="89" t="s">
        <v>552</v>
      </c>
      <c r="V22" t="e">
        <f>+V17/V8</f>
        <v>#N/A</v>
      </c>
      <c r="W22" t="e">
        <f>+W17/W8</f>
        <v>#N/A</v>
      </c>
    </row>
    <row r="23" spans="3:26" x14ac:dyDescent="0.25">
      <c r="S23" s="252" t="s">
        <v>379</v>
      </c>
    </row>
  </sheetData>
  <customSheetViews>
    <customSheetView guid="{5EB6DE45-64D9-4581-AE55-A519683B64F2}">
      <selection activeCell="G39" sqref="G39"/>
      <pageMargins left="0.7" right="0.7" top="0.75" bottom="0.75" header="0.3" footer="0.3"/>
      <pageSetup orientation="portrait" r:id="rId1"/>
    </customSheetView>
  </customSheetView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workbookViewId="0">
      <selection activeCell="D2" sqref="D2"/>
    </sheetView>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354</v>
      </c>
      <c r="B1" s="14" t="s">
        <v>355</v>
      </c>
      <c r="C1" s="14" t="s">
        <v>356</v>
      </c>
      <c r="D1" s="14" t="s">
        <v>357</v>
      </c>
      <c r="E1" s="14" t="s">
        <v>358</v>
      </c>
      <c r="F1" s="14" t="s">
        <v>359</v>
      </c>
    </row>
    <row r="2" spans="1:6" x14ac:dyDescent="0.25">
      <c r="A2" s="14">
        <f>IF(parameters!D4="national",1,0)</f>
        <v>0</v>
      </c>
      <c r="B2" s="14">
        <f>+parameters!D6</f>
        <v>2023</v>
      </c>
      <c r="C2" s="14">
        <f>parameters!I6</f>
        <v>0</v>
      </c>
      <c r="D2" s="14">
        <v>6</v>
      </c>
      <c r="E2" s="14">
        <v>0</v>
      </c>
      <c r="F2" s="14">
        <f>IF(parameters!I4="si",1,0)</f>
        <v>0</v>
      </c>
    </row>
  </sheetData>
  <customSheetViews>
    <customSheetView guid="{5EB6DE45-64D9-4581-AE55-A519683B64F2}">
      <selection activeCell="D2" sqref="D2"/>
      <pageMargins left="0.7" right="0.7" top="0.75" bottom="0.75" header="0.3" footer="0.3"/>
      <pageSetup orientation="portrait" r:id="rId1"/>
    </customSheetView>
  </customSheetView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8"/>
  <sheetViews>
    <sheetView workbookViewId="0">
      <selection activeCell="T44" sqref="T44"/>
    </sheetView>
  </sheetViews>
  <sheetFormatPr defaultRowHeight="15" x14ac:dyDescent="0.25"/>
  <cols>
    <col min="1" max="1" width="12.7109375" bestFit="1" customWidth="1"/>
  </cols>
  <sheetData>
    <row r="1" spans="1:2" x14ac:dyDescent="0.25">
      <c r="A1" s="15" t="s">
        <v>360</v>
      </c>
      <c r="B1" s="16" t="s">
        <v>361</v>
      </c>
    </row>
    <row r="2" spans="1:2" x14ac:dyDescent="0.25">
      <c r="A2" s="225" t="s">
        <v>29</v>
      </c>
      <c r="B2" s="17">
        <f>parameters!D13</f>
        <v>-2.8119610769092973E-2</v>
      </c>
    </row>
    <row r="3" spans="1:2" x14ac:dyDescent="0.25">
      <c r="A3" s="225" t="s">
        <v>385</v>
      </c>
      <c r="B3" s="17">
        <f>parameters!D14</f>
        <v>-2.8119610769093084E-2</v>
      </c>
    </row>
    <row r="4" spans="1:2" x14ac:dyDescent="0.25">
      <c r="A4" s="225" t="s">
        <v>402</v>
      </c>
      <c r="B4" s="17">
        <f>parameters!D15</f>
        <v>-8.1903062631161205E-4</v>
      </c>
    </row>
    <row r="5" spans="1:2" x14ac:dyDescent="0.25">
      <c r="A5" s="225" t="s">
        <v>386</v>
      </c>
      <c r="B5" s="17">
        <f>parameters!D16</f>
        <v>2.4936671290174184E-2</v>
      </c>
    </row>
    <row r="6" spans="1:2" x14ac:dyDescent="0.25">
      <c r="A6" s="225" t="s">
        <v>387</v>
      </c>
      <c r="B6" s="17">
        <f>parameters!D17</f>
        <v>2.1801299850043421E-2</v>
      </c>
    </row>
    <row r="7" spans="1:2" x14ac:dyDescent="0.25">
      <c r="A7" s="225" t="s">
        <v>388</v>
      </c>
      <c r="B7" s="17">
        <f>parameters!D18</f>
        <v>8.5645334401793782E-3</v>
      </c>
    </row>
    <row r="8" spans="1:2" x14ac:dyDescent="0.25">
      <c r="A8" s="225" t="s">
        <v>213</v>
      </c>
      <c r="B8" s="17">
        <f>parameters!D19</f>
        <v>0</v>
      </c>
    </row>
  </sheetData>
  <customSheetViews>
    <customSheetView guid="{5EB6DE45-64D9-4581-AE55-A519683B64F2}">
      <selection activeCell="T44" sqref="T44"/>
      <pageMargins left="0.7" right="0.7" top="0.75" bottom="0.75" header="0.3" footer="0.3"/>
      <pageSetup orientation="portrait" r:id="rId1"/>
    </customSheetView>
  </customSheetView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14"/>
  <sheetViews>
    <sheetView workbookViewId="0">
      <selection activeCell="B14" sqref="B14"/>
    </sheetView>
  </sheetViews>
  <sheetFormatPr defaultRowHeight="15" x14ac:dyDescent="0.25"/>
  <cols>
    <col min="1" max="1" width="21.140625" bestFit="1" customWidth="1"/>
  </cols>
  <sheetData>
    <row r="1" spans="1:2" x14ac:dyDescent="0.25">
      <c r="A1" s="15" t="s">
        <v>360</v>
      </c>
      <c r="B1" s="16" t="s">
        <v>361</v>
      </c>
    </row>
    <row r="2" spans="1:2" x14ac:dyDescent="0.25">
      <c r="A2" s="221" t="s">
        <v>390</v>
      </c>
      <c r="B2">
        <f>parameters!I9</f>
        <v>-7.1426290382861746E-2</v>
      </c>
    </row>
    <row r="3" spans="1:2" x14ac:dyDescent="0.25">
      <c r="A3" s="221" t="s">
        <v>389</v>
      </c>
      <c r="B3">
        <f>parameters!I10</f>
        <v>1.8159226368524184E-2</v>
      </c>
    </row>
    <row r="4" spans="1:2" x14ac:dyDescent="0.25">
      <c r="A4" s="221" t="s">
        <v>391</v>
      </c>
      <c r="B4">
        <f>parameters!I11</f>
        <v>-4.6192202242431257E-2</v>
      </c>
    </row>
    <row r="5" spans="1:2" x14ac:dyDescent="0.25">
      <c r="A5" s="221" t="s">
        <v>392</v>
      </c>
      <c r="B5">
        <f>parameters!I12</f>
        <v>-4.9745448568770945E-3</v>
      </c>
    </row>
    <row r="6" spans="1:2" x14ac:dyDescent="0.25">
      <c r="A6" s="221" t="s">
        <v>403</v>
      </c>
      <c r="B6">
        <f>parameters!I13</f>
        <v>-7.4903981742207026E-3</v>
      </c>
    </row>
    <row r="7" spans="1:2" x14ac:dyDescent="0.25">
      <c r="A7" s="221" t="s">
        <v>393</v>
      </c>
      <c r="B7">
        <f>parameters!I14</f>
        <v>-1.7023632214137052E-3</v>
      </c>
    </row>
    <row r="8" spans="1:2" x14ac:dyDescent="0.25">
      <c r="A8" s="221" t="s">
        <v>395</v>
      </c>
      <c r="B8">
        <f>parameters!I15</f>
        <v>-4.0161888073894092E-3</v>
      </c>
    </row>
    <row r="9" spans="1:2" x14ac:dyDescent="0.25">
      <c r="A9" s="221" t="s">
        <v>396</v>
      </c>
      <c r="B9">
        <f>parameters!I16</f>
        <v>3.371439220677197E-2</v>
      </c>
    </row>
    <row r="10" spans="1:2" x14ac:dyDescent="0.25">
      <c r="A10" s="221" t="s">
        <v>397</v>
      </c>
      <c r="B10">
        <f>parameters!I17</f>
        <v>8.367331362803121E-2</v>
      </c>
    </row>
    <row r="11" spans="1:2" x14ac:dyDescent="0.25">
      <c r="A11" s="221" t="s">
        <v>398</v>
      </c>
      <c r="B11">
        <f>parameters!I18</f>
        <v>5.3712425094595062E-2</v>
      </c>
    </row>
    <row r="12" spans="1:2" x14ac:dyDescent="0.25">
      <c r="A12" s="221" t="s">
        <v>399</v>
      </c>
      <c r="B12">
        <f>parameters!I19</f>
        <v>5.7751090753483725E-2</v>
      </c>
    </row>
    <row r="13" spans="1:2" x14ac:dyDescent="0.25">
      <c r="A13" s="221" t="s">
        <v>400</v>
      </c>
      <c r="B13">
        <f>parameters!I20</f>
        <v>-1.7783120699564448E-2</v>
      </c>
    </row>
    <row r="14" spans="1:2" x14ac:dyDescent="0.25">
      <c r="A14" s="221" t="s">
        <v>334</v>
      </c>
      <c r="B14">
        <f>parameters!I21</f>
        <v>-0.11077522765359749</v>
      </c>
    </row>
  </sheetData>
  <customSheetViews>
    <customSheetView guid="{5EB6DE45-64D9-4581-AE55-A519683B64F2}">
      <selection activeCell="B14" sqref="B14"/>
      <pageMargins left="0.7" right="0.7" top="0.75" bottom="0.75" header="0.3" footer="0.3"/>
      <pageSetup orientation="portrait" r:id="rId1"/>
    </customSheetView>
  </customSheetView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15"/>
  <sheetViews>
    <sheetView workbookViewId="0">
      <selection activeCell="B4" sqref="B4"/>
    </sheetView>
  </sheetViews>
  <sheetFormatPr defaultRowHeight="15" x14ac:dyDescent="0.25"/>
  <cols>
    <col min="1" max="1" width="21.140625" bestFit="1" customWidth="1"/>
  </cols>
  <sheetData>
    <row r="1" spans="1:2" x14ac:dyDescent="0.25">
      <c r="A1" s="16" t="s">
        <v>365</v>
      </c>
      <c r="B1" s="16" t="s">
        <v>361</v>
      </c>
    </row>
    <row r="2" spans="1:2" x14ac:dyDescent="0.25">
      <c r="A2" s="14" t="s">
        <v>366</v>
      </c>
      <c r="B2">
        <f>parameters!D9</f>
        <v>-9.5649232711655374E-3</v>
      </c>
    </row>
    <row r="3" spans="1:2" x14ac:dyDescent="0.25">
      <c r="A3" s="14" t="s">
        <v>367</v>
      </c>
      <c r="B3">
        <f>parameters!D10</f>
        <v>5.6555247566945077E-3</v>
      </c>
    </row>
    <row r="4" spans="1:2" x14ac:dyDescent="0.25">
      <c r="A4" s="221" t="s">
        <v>390</v>
      </c>
      <c r="B4" s="18">
        <f>parameters!D22</f>
        <v>2.7532275120198957E-2</v>
      </c>
    </row>
    <row r="5" spans="1:2" x14ac:dyDescent="0.25">
      <c r="A5" s="221" t="s">
        <v>389</v>
      </c>
      <c r="B5" s="18">
        <f>parameters!D23</f>
        <v>5.7751090753483725E-2</v>
      </c>
    </row>
    <row r="6" spans="1:2" x14ac:dyDescent="0.25">
      <c r="A6" s="221" t="s">
        <v>391</v>
      </c>
      <c r="B6" s="18" t="e">
        <f>parameters!D24</f>
        <v>#REF!</v>
      </c>
    </row>
    <row r="7" spans="1:2" x14ac:dyDescent="0.25">
      <c r="A7" s="221" t="s">
        <v>392</v>
      </c>
      <c r="B7" s="18" t="e">
        <f>parameters!D25</f>
        <v>#REF!</v>
      </c>
    </row>
    <row r="8" spans="1:2" x14ac:dyDescent="0.25">
      <c r="A8" s="221" t="s">
        <v>403</v>
      </c>
      <c r="B8" s="18" t="e">
        <f>parameters!D26</f>
        <v>#REF!</v>
      </c>
    </row>
    <row r="9" spans="1:2" x14ac:dyDescent="0.25">
      <c r="A9" s="221" t="s">
        <v>393</v>
      </c>
      <c r="B9" s="18" t="e">
        <f>parameters!D27</f>
        <v>#REF!</v>
      </c>
    </row>
    <row r="10" spans="1:2" x14ac:dyDescent="0.25">
      <c r="A10" s="221" t="s">
        <v>395</v>
      </c>
      <c r="B10" s="18" t="e">
        <f>parameters!D28</f>
        <v>#REF!</v>
      </c>
    </row>
    <row r="11" spans="1:2" x14ac:dyDescent="0.25">
      <c r="A11" s="221" t="s">
        <v>396</v>
      </c>
      <c r="B11" s="18" t="e">
        <f>parameters!D29</f>
        <v>#REF!</v>
      </c>
    </row>
    <row r="12" spans="1:2" x14ac:dyDescent="0.25">
      <c r="A12" s="221" t="s">
        <v>397</v>
      </c>
      <c r="B12" s="18" t="e">
        <f>parameters!D30</f>
        <v>#REF!</v>
      </c>
    </row>
    <row r="13" spans="1:2" x14ac:dyDescent="0.25">
      <c r="A13" s="221" t="s">
        <v>398</v>
      </c>
      <c r="B13" s="18" t="e">
        <f>parameters!D31</f>
        <v>#REF!</v>
      </c>
    </row>
    <row r="14" spans="1:2" x14ac:dyDescent="0.25">
      <c r="A14" s="221" t="s">
        <v>399</v>
      </c>
      <c r="B14" s="18" t="e">
        <f>parameters!D32</f>
        <v>#REF!</v>
      </c>
    </row>
    <row r="15" spans="1:2" x14ac:dyDescent="0.25">
      <c r="A15" s="221" t="s">
        <v>400</v>
      </c>
      <c r="B15" s="18" t="e">
        <f>parameters!D33</f>
        <v>#REF!</v>
      </c>
    </row>
  </sheetData>
  <customSheetViews>
    <customSheetView guid="{5EB6DE45-64D9-4581-AE55-A519683B64F2}">
      <selection activeCell="B4" sqref="B4"/>
      <pageMargins left="0.7" right="0.7" top="0.75" bottom="0.75" header="0.3" footer="0.3"/>
      <pageSetup orientation="portrait" r:id="rId1"/>
    </customSheetView>
  </customSheetView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election activeCell="A2" sqref="A2:A6"/>
    </sheetView>
  </sheetViews>
  <sheetFormatPr defaultRowHeight="15" x14ac:dyDescent="0.25"/>
  <sheetData>
    <row r="1" spans="1:2" x14ac:dyDescent="0.25">
      <c r="A1" s="19" t="s">
        <v>365</v>
      </c>
      <c r="B1" s="16" t="s">
        <v>361</v>
      </c>
    </row>
    <row r="2" spans="1:2" x14ac:dyDescent="0.25">
      <c r="A2" s="14" t="s">
        <v>262</v>
      </c>
      <c r="B2" s="18" t="e">
        <f>parameters!I24</f>
        <v>#REF!</v>
      </c>
    </row>
    <row r="3" spans="1:2" x14ac:dyDescent="0.25">
      <c r="A3" s="14" t="s">
        <v>337</v>
      </c>
      <c r="B3" s="18" t="e">
        <f>parameters!I25</f>
        <v>#REF!</v>
      </c>
    </row>
    <row r="4" spans="1:2" x14ac:dyDescent="0.25">
      <c r="A4" s="14" t="s">
        <v>338</v>
      </c>
      <c r="B4" s="18" t="e">
        <f>parameters!I26</f>
        <v>#REF!</v>
      </c>
    </row>
    <row r="5" spans="1:2" x14ac:dyDescent="0.25">
      <c r="A5" s="14" t="s">
        <v>368</v>
      </c>
      <c r="B5" s="18">
        <v>0</v>
      </c>
    </row>
    <row r="6" spans="1:2" x14ac:dyDescent="0.25">
      <c r="A6" s="14" t="s">
        <v>369</v>
      </c>
      <c r="B6" s="18">
        <v>0</v>
      </c>
    </row>
  </sheetData>
  <customSheetViews>
    <customSheetView guid="{5EB6DE45-64D9-4581-AE55-A519683B64F2}">
      <selection activeCell="A2" sqref="A2:A6"/>
      <pageMargins left="0.7" right="0.7" top="0.75" bottom="0.75" header="0.3" footer="0.3"/>
      <pageSetup orientation="portrait" r:id="rId1"/>
    </customSheetView>
  </customSheetView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election activeCell="B2" sqref="B2"/>
    </sheetView>
  </sheetViews>
  <sheetFormatPr defaultRowHeight="15" x14ac:dyDescent="0.25"/>
  <sheetData>
    <row r="1" spans="1:2" x14ac:dyDescent="0.25">
      <c r="A1" s="16" t="s">
        <v>351</v>
      </c>
      <c r="B1" s="16" t="s">
        <v>352</v>
      </c>
    </row>
    <row r="2" spans="1:2" x14ac:dyDescent="0.25">
      <c r="A2" s="14" t="s">
        <v>353</v>
      </c>
      <c r="B2" s="47" t="e">
        <f>+parameters!I37</f>
        <v>#REF!</v>
      </c>
    </row>
  </sheetData>
  <customSheetViews>
    <customSheetView guid="{5EB6DE45-64D9-4581-AE55-A519683B64F2}">
      <selection activeCell="B2" sqref="B2"/>
      <pageMargins left="0.7" right="0.7" top="0.75" bottom="0.75" header="0.3" footer="0.3"/>
      <pageSetup orientation="portrait" r:id="rId1"/>
    </customSheetView>
  </customSheetView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365</v>
      </c>
      <c r="B1" s="16" t="s">
        <v>361</v>
      </c>
    </row>
    <row r="2" spans="1:2" x14ac:dyDescent="0.25">
      <c r="A2" s="14" t="s">
        <v>362</v>
      </c>
      <c r="B2" s="18" t="e">
        <f>parameters!D37</f>
        <v>#REF!</v>
      </c>
    </row>
    <row r="3" spans="1:2" x14ac:dyDescent="0.25">
      <c r="A3" s="14" t="s">
        <v>363</v>
      </c>
      <c r="B3" s="18" t="e">
        <f>parameters!D39</f>
        <v>#REF!</v>
      </c>
    </row>
    <row r="4" spans="1:2" x14ac:dyDescent="0.25">
      <c r="A4" s="14" t="s">
        <v>364</v>
      </c>
      <c r="B4" s="18" t="e">
        <f>parameters!D42</f>
        <v>#REF!</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365</v>
      </c>
      <c r="B1" s="16" t="s">
        <v>352</v>
      </c>
    </row>
    <row r="2" spans="1:2" x14ac:dyDescent="0.25">
      <c r="A2" s="14" t="s">
        <v>370</v>
      </c>
      <c r="B2" s="18">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371</v>
      </c>
      <c r="B1" s="16" t="s">
        <v>372</v>
      </c>
      <c r="C1" s="16" t="s">
        <v>373</v>
      </c>
    </row>
    <row r="2" spans="1:3" x14ac:dyDescent="0.25">
      <c r="A2" s="14" t="s">
        <v>374</v>
      </c>
      <c r="B2" s="18">
        <f>parameters!I40</f>
        <v>0</v>
      </c>
      <c r="C2" s="18">
        <f>parameters!I50</f>
        <v>0</v>
      </c>
    </row>
    <row r="3" spans="1:3" x14ac:dyDescent="0.25">
      <c r="A3" s="14" t="s">
        <v>375</v>
      </c>
      <c r="B3" s="18">
        <f>parameters!I43</f>
        <v>0</v>
      </c>
      <c r="C3" s="18">
        <f>parameters!I51</f>
        <v>0</v>
      </c>
    </row>
    <row r="4" spans="1:3" x14ac:dyDescent="0.25">
      <c r="A4" s="14" t="s">
        <v>376</v>
      </c>
      <c r="B4" s="18">
        <f>parameters!I44</f>
        <v>0</v>
      </c>
      <c r="C4" s="18">
        <f>parameters!I52</f>
        <v>0</v>
      </c>
    </row>
    <row r="5" spans="1:3" x14ac:dyDescent="0.25">
      <c r="A5" s="14" t="s">
        <v>377</v>
      </c>
      <c r="B5" s="18">
        <f>parameters!I46</f>
        <v>0</v>
      </c>
      <c r="C5" s="18">
        <f>parameters!I53</f>
        <v>0</v>
      </c>
    </row>
    <row r="6" spans="1:3" x14ac:dyDescent="0.25">
      <c r="A6" s="14" t="s">
        <v>378</v>
      </c>
      <c r="B6" s="18">
        <f>parameters!I47</f>
        <v>0</v>
      </c>
      <c r="C6" s="18">
        <f>parameters!I54</f>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Props1.xml><?xml version="1.0" encoding="utf-8"?>
<ds:datastoreItem xmlns:ds="http://schemas.openxmlformats.org/officeDocument/2006/customXml" ds:itemID="{9DC09283-99FE-4427-956A-BE4F4BF5E2B7}">
  <ds:schemaRefs>
    <ds:schemaRef ds:uri="http://schemas.microsoft.com/sharepoint/v3/contenttype/forms"/>
  </ds:schemaRefs>
</ds:datastoreItem>
</file>

<file path=customXml/itemProps2.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Technical Notes</vt:lpstr>
      <vt:lpstr>0. GUIDELINES</vt:lpstr>
      <vt:lpstr>1. GDP</vt:lpstr>
      <vt:lpstr>2.1 LABOR STRUCTURE</vt:lpstr>
      <vt:lpstr>ELASTICITY</vt:lpstr>
      <vt:lpstr>GROWTH RATES</vt:lpstr>
      <vt:lpstr>2.2 LABOR INCOME &amp; PRODUCTIVITY</vt:lpstr>
      <vt:lpstr>3. NON-LABOR INCOME</vt:lpstr>
      <vt:lpstr>4. WELFARE</vt:lpstr>
      <vt:lpstr>5. SUMMARY AND SUBMISSION</vt:lpstr>
      <vt:lpstr>CONTROL </vt:lpstr>
      <vt:lpstr>parameters</vt:lpstr>
      <vt:lpstr>linkage_aggregate_variables</vt:lpstr>
      <vt:lpstr>POPULATION (hidden)</vt:lpstr>
      <vt:lpstr>input_setup</vt:lpstr>
      <vt:lpstr>input_gdp </vt:lpstr>
      <vt:lpstr>input_labor_incomes</vt:lpstr>
      <vt:lpstr>input_labor</vt:lpstr>
      <vt:lpstr>input_nonlabor</vt:lpstr>
      <vt:lpstr>input_pop_wdi</vt:lpstr>
      <vt:lpstr>input_informality</vt:lpstr>
      <vt:lpstr>input_pl</vt:lpstr>
      <vt:lpstr>input_population</vt:lpstr>
      <vt:lpstr>'5.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2024-09-19T23:48:26Z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